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ynthese_equite" sheetId="2" state="visible" r:id="rId4"/>
    <sheet name="CMR_Segments" sheetId="3" state="visible" r:id="rId5"/>
    <sheet name="CMR_Residentiel" sheetId="4" state="visible" r:id="rId6"/>
    <sheet name="COG_Segmen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<sst xmlns="http://schemas.openxmlformats.org/spreadsheetml/2006/main" count="245" uniqueCount="200">
  <si>
    <t xml:space="preserve">Analyse de l'équité tarifaire — électricité, Cameroun et Congo</t>
  </si>
  <si>
    <t xml:space="preserve">Objet : comparer les tarifs réglementés en vigueur au coût du service de chaque segment, puis juger l'équité (entre segments, entre petits et gros consommateurs, envers les non-raccordés).</t>
  </si>
  <si>
    <t xml:space="preserve">SOURCES</t>
  </si>
  <si>
    <t xml:space="preserve">• ARSEL, décision n°0096/ARSEL/DG/DCEC/SDCT du 28 mai 2012 (tarifs HT en vigueur depuis le 1er juin 2012), https://arsel-cm.org/tarifs-basse-tension/</t>
  </si>
  <si>
    <t xml:space="preserve">• ARSEL / Banque mondiale, « Cameroun – Étude des coûts du service et des tarifs de l'électricité, R4 », MRC &amp; Phoenix, déc. 2022, http://arsel-cm.org/wp-content/uploads/2026/02/CMR-142-CoSTariff-R4-revise_dec-2022.pdf</t>
  </si>
  <si>
    <t xml:space="preserve">• Compact énergétique du Cameroun (Mission 300), annexe II, https://thedocs.worldbank.org/en/doc/230ea6e10398ad291f50a89d2d458c8f-0010012025/original/Cameroon-National-Energy-Compact-Mission-300.pdf</t>
  </si>
  <si>
    <t xml:space="preserve">• Pacte national énergétique de la République du Congo (Mission 300), https://thedocs.worldbank.org/en/doc/ce91545b5a0c9e201bc7622f58b26618-0010012025/original/Congo-National-Energy-Compact-Mission-300.pdf</t>
  </si>
  <si>
    <t xml:space="preserve">• Arrêté n°681 du 19 mars 1994, tel que reproduit par E2C (https://e2c.cg/node/45) et l'ancienne SNE ; page consultée via index de recherche le 17/10/2026, site E2C inaccessible (HTTP 403) : à revérifier sur le texte de l'arrêté</t>
  </si>
  <si>
    <t xml:space="preserve">POINT DE MÉTHODE ESSENTIEL</t>
  </si>
  <si>
    <t xml:space="preserve">Les deux pactes ne publient qu'un coût MOYEN, pas de coût par segment. Pour le Cameroun, le coût par niveau de tension provient de l'étude de coût de service commandée pour l'ARSEL (2022). Pour le Congo, seul le coût moyen du pacte est disponible : le jugement porte sur la structure de la grille, pas sur un coût par segment.</t>
  </si>
  <si>
    <t xml:space="preserve">CODE COULEUR</t>
  </si>
  <si>
    <t xml:space="preserve">Bleu : donnée saisie depuis une source. Noir : formule. Vert : lien entre feuilles. Fond jaune : hypothèse de l'analyse (pas une donnée source).</t>
  </si>
  <si>
    <t xml:space="preserve">Jugement d'équité tarifaire — grille de lecture</t>
  </si>
  <si>
    <t xml:space="preserve">Critère</t>
  </si>
  <si>
    <t xml:space="preserve">Cameroun</t>
  </si>
  <si>
    <t xml:space="preserve">Congo</t>
  </si>
  <si>
    <t xml:space="preserve">Lecture</t>
  </si>
  <si>
    <t xml:space="preserve">Couverture moyenne du coût par le tarif</t>
  </si>
  <si>
    <t xml:space="preserve">&lt; 1 : le tarif ne couvre pas le coût ; l'écart est payé par l'État, la dette ou la dégradation du service.</t>
  </si>
  <si>
    <t xml:space="preserve">Tarif/coût — ménages résidentiels</t>
  </si>
  <si>
    <t xml:space="preserve">Congo : petit abonné monophasé.</t>
  </si>
  <si>
    <t xml:space="preserve">Tarif/coût — MT (PME, tertiaire, industrie moyenne)</t>
  </si>
  <si>
    <t xml:space="preserve">n.d.</t>
  </si>
  <si>
    <t xml:space="preserve">Congo : grille MT non trouvée.</t>
  </si>
  <si>
    <t xml:space="preserve">Tarif/coût — plus gros consommateur</t>
  </si>
  <si>
    <t xml:space="preserve">Cameroun : ALUCAM. Congo : triphasé &gt; 900 kWh/mois.</t>
  </si>
  <si>
    <t xml:space="preserve">Écart de traitement entre segments (max/min du ratio)</t>
  </si>
  <si>
    <t xml:space="preserve">Plus il est élevé, plus le tarif s'éloigne du coût de manière différenciée.</t>
  </si>
  <si>
    <t xml:space="preserve">Part des subventions brutes captée par le plus gros consommateur</t>
  </si>
  <si>
    <t xml:space="preserve">Cameroun : un seul client industriel (ALUCAM).</t>
  </si>
  <si>
    <t xml:space="preserve">Prix au kWh : petit consommateur / gros consommateur</t>
  </si>
  <si>
    <t xml:space="preserve">&lt; 1 = progressif (le petit paie moins) ; &gt; 1 = régressif.</t>
  </si>
  <si>
    <t xml:space="preserve">Part de la subvention résidentielle allant à la tranche sociale (0–110 kWh)</t>
  </si>
  <si>
    <t xml:space="preserve">Cameroun : part des subventions positives, volumes 2020, coût BT 2025.</t>
  </si>
  <si>
    <t xml:space="preserve">Effet de seuil au 111e kWh (FCFA/mois)</t>
  </si>
  <si>
    <t xml:space="preserve">Facture qui augmente de plus de 3 000 FCFA pour 1 kWh de plus.</t>
  </si>
  <si>
    <t xml:space="preserve">Cameroun — tarifs réglementés et coût du service par segment</t>
  </si>
  <si>
    <t xml:space="preserve">Coût du service 2025 par niveau de tension (étude ARSEL, FCFA constants) ; tarifs moyens = grille ARSEL 2012 appliquée aux volumes projetés 2025 (statu quo).</t>
  </si>
  <si>
    <t xml:space="preserve">1. TARIF vs COÛT PAR SEGMENT — 2025, statu quo tarifaire</t>
  </si>
  <si>
    <t xml:space="preserve">Segment</t>
  </si>
  <si>
    <t xml:space="preserve">Tarif moyen (FCFA HT/kWh)</t>
  </si>
  <si>
    <t xml:space="preserve">Coût du service (FCFA/kWh)</t>
  </si>
  <si>
    <t xml:space="preserve">Volumes (GWh)</t>
  </si>
  <si>
    <t xml:space="preserve">Tarif / coût</t>
  </si>
  <si>
    <t xml:space="preserve">Subvention (+) / surcharge (−) par kWh</t>
  </si>
  <si>
    <t xml:space="preserve">Subvention nette (Md FCFA)</t>
  </si>
  <si>
    <t xml:space="preserve">Recettes (Md FCFA)</t>
  </si>
  <si>
    <t xml:space="preserve">Part des subventions brutes</t>
  </si>
  <si>
    <t xml:space="preserve">Source</t>
  </si>
  <si>
    <t xml:space="preserve">BT — résidentiels</t>
  </si>
  <si>
    <t xml:space="preserve">Étude ARSEL : Tab. 29 ; coût BT unique (Tab. 25)</t>
  </si>
  <si>
    <t xml:space="preserve">BT — non résidentiels</t>
  </si>
  <si>
    <t xml:space="preserve">Étude ARSEL : Tab. 29</t>
  </si>
  <si>
    <t xml:space="preserve">BT — éclairage public</t>
  </si>
  <si>
    <t xml:space="preserve">MT — moyenne industrie / tertiaire</t>
  </si>
  <si>
    <t xml:space="preserve">HT — ALUCAM (aluminium)</t>
  </si>
  <si>
    <t xml:space="preserve">Étude ARSEL : Tarif 2020 (Tab. 17), supposé inchangé ; volume 2025 Tab. 20</t>
  </si>
  <si>
    <t xml:space="preserve">HT — autres grands industriels</t>
  </si>
  <si>
    <t xml:space="preserve">Étude ARSEL : Tarif moyen 2020 (Tab. 17), supposé inchangé ; volume 2025 Tab. 20</t>
  </si>
  <si>
    <t xml:space="preserve">Total / moyenne</t>
  </si>
  <si>
    <t xml:space="preserve">Contrôle : l'étude donne 64,8 FCFA/kWh, 7 226 GWh, 468,0 Md et un déficit de 36,7 Md (Tab. 29).</t>
  </si>
  <si>
    <t xml:space="preserve">Coût unitaire du service par niveau de tension, 2025 (Tab. 25)</t>
  </si>
  <si>
    <t xml:space="preserve">BT</t>
  </si>
  <si>
    <t xml:space="preserve">Étude ARSEL, Tab. 25 (FCFA/kWh, 2025)</t>
  </si>
  <si>
    <t xml:space="preserve">MT</t>
  </si>
  <si>
    <t xml:space="preserve">HT</t>
  </si>
  <si>
    <t xml:space="preserve">Global</t>
  </si>
  <si>
    <t xml:space="preserve">Étude ARSEL, Tab. 25</t>
  </si>
  <si>
    <t xml:space="preserve">Méthode d'allocation : coûts de production et de réseau répartis au prorata des ventes par tension, sans responsabilité de pointe (§5.2.2). La pointe (20 h) étant résidentielle (§3.4), le coût BT est probablement sous-estimé et les coûts MT/HT surestimés.</t>
  </si>
  <si>
    <t xml:space="preserve">2. QUI FINANCE QUI ? (2025, statu quo)</t>
  </si>
  <si>
    <t xml:space="preserve">Subventions brutes reçues (segments sous le coût)</t>
  </si>
  <si>
    <t xml:space="preserve">Md FCFA</t>
  </si>
  <si>
    <t xml:space="preserve">  dont ALUCAM</t>
  </si>
  <si>
    <t xml:space="preserve">  dont ménages BT résidentiels</t>
  </si>
  <si>
    <t xml:space="preserve">Surcharges payées (segments au-dessus du coût)</t>
  </si>
  <si>
    <t xml:space="preserve">  dont MT</t>
  </si>
  <si>
    <t xml:space="preserve">Déficit restant (État / opérateur)</t>
  </si>
  <si>
    <t xml:space="preserve">Part d'ALUCAM dans les subventions brutes</t>
  </si>
  <si>
    <t xml:space="preserve">Part des ménages résidentiels dans les subventions brutes</t>
  </si>
  <si>
    <t xml:space="preserve">Subvention par kWh : ALUCAM / ménages résidentiels</t>
  </si>
  <si>
    <t xml:space="preserve">3. CHIFFRES DU PACTE (MOYENNES SEULEMENT — AUCUN COÛT PAR SEGMENT)</t>
  </si>
  <si>
    <t xml:space="preserve">Coût moyen par kWh</t>
  </si>
  <si>
    <t xml:space="preserve">FCFA/kWh</t>
  </si>
  <si>
    <t xml:space="preserve">Compact Cameroun, annexe II, Pilier I. Année et périmètre non précisés.</t>
  </si>
  <si>
    <t xml:space="preserve">Tarif moyen MT/BT</t>
  </si>
  <si>
    <t xml:space="preserve">Compact Cameroun, annexe II, Pilier V, 2025. HT/TTC non précisé.</t>
  </si>
  <si>
    <t xml:space="preserve">Subventions pour la réflectivité des charges de l'opérateur</t>
  </si>
  <si>
    <t xml:space="preserve">Compact Cameroun, annexe II, Pilier V, 2025 (estimation).</t>
  </si>
  <si>
    <t xml:space="preserve">Taux de recouvrement des factures</t>
  </si>
  <si>
    <t xml:space="preserve">%</t>
  </si>
  <si>
    <t xml:space="preserve">Compact Cameroun, annexe II, Pilier V, exercice courant.</t>
  </si>
  <si>
    <t xml:space="preserve">Pertes techniques</t>
  </si>
  <si>
    <t xml:space="preserve">Compact Cameroun, annexe II, Pilier V.</t>
  </si>
  <si>
    <t xml:space="preserve">Pertes non techniques</t>
  </si>
  <si>
    <t xml:space="preserve">Tarif moyen MT/BT / coût moyen (pacte)</t>
  </si>
  <si>
    <t xml:space="preserve">Ces moyennes (≈102,6 FCFA/kWh) ne sont pas comparables au coût de l'étude ARSEL (69,8 FCFA/kWh en monnaie constante 2022) : base monétaire, périmètre (pertes, taxes) et définition non précisés dans le pacte.</t>
  </si>
  <si>
    <t xml:space="preserve">Cameroun — équité à l'intérieur de la basse tension</t>
  </si>
  <si>
    <t xml:space="preserve">Grille ARSEL 2012 (HT). ENEO applique les tranches de façon EXCLUSIVE : toute la consommation du mois est facturée au prix de la tranche atteinte (étude ARSEL §2.2.2).</t>
  </si>
  <si>
    <t xml:space="preserve">Coût BT appliqué :</t>
  </si>
  <si>
    <t xml:space="preserve">1. GRILLE BT EN VIGUEUR vs COÛT BT</t>
  </si>
  <si>
    <t xml:space="preserve">Tranche (kWh/mois)</t>
  </si>
  <si>
    <t xml:space="preserve">Borne haute (kWh)</t>
  </si>
  <si>
    <t xml:space="preserve">Tarif (FCFA HT/kWh)</t>
  </si>
  <si>
    <t xml:space="preserve">Coût BT 2025 (FCFA/kWh)</t>
  </si>
  <si>
    <t xml:space="preserve">Subvention (+) par kWh</t>
  </si>
  <si>
    <t xml:space="preserve">Résidentiel 0–110</t>
  </si>
  <si>
    <t xml:space="preserve">ARSEL, décision n°0096/ARSEL/DG/DCEC/SDCT du 28 mai 2012 (tarifs HT en vigueur depuis le 1er juin 2012), https://arsel-cm.org/tarifs-basse-tension/</t>
  </si>
  <si>
    <t xml:space="preserve">Résidentiel 111–400</t>
  </si>
  <si>
    <t xml:space="preserve">Idem</t>
  </si>
  <si>
    <t xml:space="preserve">Résidentiel 401–800</t>
  </si>
  <si>
    <t xml:space="preserve">Résidentiel 801–2000</t>
  </si>
  <si>
    <t xml:space="preserve">Non résidentiel 0–110</t>
  </si>
  <si>
    <t xml:space="preserve">Non résidentiel 111–400</t>
  </si>
  <si>
    <t xml:space="preserve">Non résidentiel 401–1000</t>
  </si>
  <si>
    <t xml:space="preserve">Éclairage public (tarif unique)</t>
  </si>
  <si>
    <t xml:space="preserve">Le coût BT est un coût moyen unique pour tous les usages BT (l'étude ne distingue pas résidentiel et non résidentiel). Révision du 1/11/2024 (alignement du prépayé, bandes 111–220 / 221–400 rapportées par la presse) non retenue : aucune décision ARSEL publiée trouvée ; l'ARSEL affiche toujours la décision de 2012.</t>
  </si>
  <si>
    <t xml:space="preserve">2. FACTURES RÉSIDENTIELLES 2020 PAR TRANCHE (base de facturation ENEO)</t>
  </si>
  <si>
    <t xml:space="preserve">Tranche</t>
  </si>
  <si>
    <t xml:space="preserve">Nb de factures</t>
  </si>
  <si>
    <t xml:space="preserve">Volumes (MWh)</t>
  </si>
  <si>
    <t xml:space="preserve">Conso. moyenne (kWh/facture)</t>
  </si>
  <si>
    <t xml:space="preserve">Part des factures</t>
  </si>
  <si>
    <t xml:space="preserve">Part des volumes</t>
  </si>
  <si>
    <t xml:space="preserve">Subvention totale (Md FCFA)</t>
  </si>
  <si>
    <t xml:space="preserve">Part des subventions positives</t>
  </si>
  <si>
    <t xml:space="preserve">0–110</t>
  </si>
  <si>
    <t xml:space="preserve">Étude ARSEL, Tab. 4 (2020)</t>
  </si>
  <si>
    <t xml:space="preserve">111–400</t>
  </si>
  <si>
    <t xml:space="preserve">401–800</t>
  </si>
  <si>
    <t xml:space="preserve">801–2000</t>
  </si>
  <si>
    <t xml:space="preserve">Total</t>
  </si>
  <si>
    <t xml:space="preserve">Incohérence de la source : le Tab. 11 de l'étude indique 727 GWh pour la tranche &gt; 800 kWh (contre 226,9 GWh au Tab. 4). Le Tab. 4 est retenu car cohérent avec la consommation moyenne publiée (102 kWh/mois). Volumes 2020 valorisés au coût BT 2025 : ordre de grandeur, pas une comptabilité.</t>
  </si>
  <si>
    <t xml:space="preserve">3. SUBVENTION MENSUELLE PAR FACTURE SELON LA CONSOMMATION (facturation exclusive)</t>
  </si>
  <si>
    <t xml:space="preserve">Consommation (kWh/mois)</t>
  </si>
  <si>
    <t xml:space="preserve">Prix appliqué (FCFA HT/kWh)</t>
  </si>
  <si>
    <t xml:space="preserve">Facture HT (FCFA)</t>
  </si>
  <si>
    <t xml:space="preserve">Coût de fourniture (FCFA)</t>
  </si>
  <si>
    <t xml:space="preserve">Subvention (+) / surcharge (−) (FCFA/mois)</t>
  </si>
  <si>
    <t xml:space="preserve">Prix moyen / coût</t>
  </si>
  <si>
    <t xml:space="preserve">Repère</t>
  </si>
  <si>
    <t xml:space="preserve">Plafond du 3e décile de factures (Tab. 5)</t>
  </si>
  <si>
    <t xml:space="preserve">Médiane des factures 2020 (§3.1.2.2)</t>
  </si>
  <si>
    <t xml:space="preserve">Consommation moyenne résidentielle 2020 (Tab. 10)</t>
  </si>
  <si>
    <t xml:space="preserve">Dernier kWh de la tranche sociale</t>
  </si>
  <si>
    <t xml:space="preserve">Premier kWh de la tranche 2 : effet de seuil</t>
  </si>
  <si>
    <t xml:space="preserve">Plafond du 9e décile (Tab. 5)</t>
  </si>
  <si>
    <t xml:space="preserve">Fin de tranche 2</t>
  </si>
  <si>
    <t xml:space="preserve">Premier kWh de la tranche 3</t>
  </si>
  <si>
    <t xml:space="preserve">Fin de tranche 3</t>
  </si>
  <si>
    <t xml:space="preserve">Premier kWh de la tranche 4</t>
  </si>
  <si>
    <t xml:space="preserve">Gros consommateur</t>
  </si>
  <si>
    <t xml:space="preserve">Effet de seuil à 110→111 kWh : (facture à 111) − (facture à 110), FCFA</t>
  </si>
  <si>
    <t xml:space="preserve">4. SUBVENTION PAR DÉCILE DE FACTURES (consommation moyenne du décile, 2020)</t>
  </si>
  <si>
    <t xml:space="preserve">Décile de factures</t>
  </si>
  <si>
    <t xml:space="preserve">Conso. moyenne (kWh/mois)</t>
  </si>
  <si>
    <t xml:space="preserve">Prix appliqué</t>
  </si>
  <si>
    <t xml:space="preserve">Subvention (FCFA/mois)</t>
  </si>
  <si>
    <t xml:space="preserve">Prix / coût</t>
  </si>
  <si>
    <t xml:space="preserve">D1</t>
  </si>
  <si>
    <t xml:space="preserve">Étude ARSEL, Tab. 6 (2020)</t>
  </si>
  <si>
    <t xml:space="preserve">D2</t>
  </si>
  <si>
    <t xml:space="preserve">D3</t>
  </si>
  <si>
    <t xml:space="preserve">D4</t>
  </si>
  <si>
    <t xml:space="preserve">D5</t>
  </si>
  <si>
    <t xml:space="preserve">D6</t>
  </si>
  <si>
    <t xml:space="preserve">D7</t>
  </si>
  <si>
    <t xml:space="preserve">D8</t>
  </si>
  <si>
    <t xml:space="preserve">D9</t>
  </si>
  <si>
    <t xml:space="preserve">D10</t>
  </si>
  <si>
    <t xml:space="preserve">Limite : déciles de CONSOMMATION des abonnés raccordés, pas de revenu. La moyenne de D10 (481,8 kWh) masque des factures très hétérogènes. Les ménages non raccordés (≈37 % de la population, 77 % en rural selon l'étude) ne reçoivent rien.</t>
  </si>
  <si>
    <t xml:space="preserve">Congo — tarifs réglementés (1994) et coût du service</t>
  </si>
  <si>
    <t xml:space="preserve">Le pacte ne donne qu'un coût MOYEN du service ; aucun coût par segment n'est publié. Grille MT/HT et primes fixes BT non trouvées.</t>
  </si>
  <si>
    <t xml:space="preserve">1. COÛT DU SERVICE (moyenne, pacte national énergétique)</t>
  </si>
  <si>
    <t xml:space="preserve">Coût de fourniture du service</t>
  </si>
  <si>
    <t xml:space="preserve">Pacte Congo, p. 15 : tarifs recouvrant 56 % du coût (0,09 vs 0,16 USD/kWh).</t>
  </si>
  <si>
    <t xml:space="preserve">Tarif moyen</t>
  </si>
  <si>
    <t xml:space="preserve">Pacte Congo, p. 15 et annexe (« 0,091 $/kWh depuis 1994 »).</t>
  </si>
  <si>
    <t xml:space="preserve">Taux de change implicite du pacte (XAF par USD)</t>
  </si>
  <si>
    <t xml:space="preserve">Pacte Congo, p. 13 : frais de raccordement « 110 000 XAF (180 USD) ». Taux implicite, à remplacer par le taux de l'année de référence.</t>
  </si>
  <si>
    <t xml:space="preserve">Coût du service en FCFA/kWh</t>
  </si>
  <si>
    <t xml:space="preserve">Tarif moyen en FCFA/kWh</t>
  </si>
  <si>
    <t xml:space="preserve">Taux de couverture du coût (pacte : 56 %)</t>
  </si>
  <si>
    <t xml:space="preserve">Référence secondaire : coût moyen 94 FCFA/kWh, recette unitaire ≈48 FCFA/kWh (2016), étude ICEA-Ricardo 2017 citée par icea-consulting.com — page non consultable directement, non retenue dans les calculs.</t>
  </si>
  <si>
    <t xml:space="preserve">Pertes totales 45 % (2022), recouvrement 73 %, 40 % des clients facturés au forfait, accès des ménages 31 % (pacte, p. 13–15, 22).</t>
  </si>
  <si>
    <t xml:space="preserve">2. GRILLE BASSE TENSION (arrêté n°681 du 19 mars 1994) vs COÛT MOYEN</t>
  </si>
  <si>
    <t xml:space="preserve">Catégorie d'abonnement</t>
  </si>
  <si>
    <t xml:space="preserve">Tarif (FCFA/kWh)</t>
  </si>
  <si>
    <t xml:space="preserve">Coût moyen (FCFA/kWh)</t>
  </si>
  <si>
    <t xml:space="preserve">Subvention par kWh</t>
  </si>
  <si>
    <t xml:space="preserve">Conso. illustrative (kWh/mois)</t>
  </si>
  <si>
    <t xml:space="preserve">Subvention mensuelle (FCFA)</t>
  </si>
  <si>
    <t xml:space="preserve">Rabais vs petit abonné</t>
  </si>
  <si>
    <t xml:space="preserve">Monophasé 1,2 à 3 kW (T1–T3)</t>
  </si>
  <si>
    <t xml:space="preserve">Arrêté n°681 du 19 mars 1994, tel que reproduit par E2C (https://e2c.cg/node/45) et l'ancienne SNE ; page consultée via index de recherche le 17/10/2026, site E2C inaccessible (HTTP 403) : à revérifier sur le texte de l'arrêté</t>
  </si>
  <si>
    <t xml:space="preserve">Monophasé 5 et 9 kW</t>
  </si>
  <si>
    <t xml:space="preserve">Mono/triphasé ≥ 11,5 kW</t>
  </si>
  <si>
    <t xml:space="preserve">Triphasé, au-delà de 900 kWh/mois</t>
  </si>
  <si>
    <t xml:space="preserve">Éclairage public (T12, + 7 272 FCFA/mois)</t>
  </si>
  <si>
    <t xml:space="preserve">Consommations illustratives (jaune) : hypothèses de l'analyse, non tirées d'une source. Primes fixes mensuelles BT (« droit à la consommation ») non trouvées : elles réduisent ou accentuent la régressivité selon leur niveau.</t>
  </si>
  <si>
    <t xml:space="preserve">Rapport subvention mensuelle gros abonné / petit abonné</t>
  </si>
</sst>
</file>

<file path=xl/styles.xml><?xml version="1.0" encoding="utf-8"?>
<styleSheet xmlns="http://schemas.openxmlformats.org/spreadsheetml/2006/main">
  <numFmts count="6">
    <numFmt numFmtId="164" formatCode="General"/>
    <numFmt numFmtId="165" formatCode="0.00\x"/>
    <numFmt numFmtId="166" formatCode="0.0%;\(0.0%\);\-"/>
    <numFmt numFmtId="167" formatCode="#,##0;\(#,##0\);\-"/>
    <numFmt numFmtId="168" formatCode="#,##0.0;\(#,##0.0\);\-"/>
    <numFmt numFmtId="169" formatCode="0.00&quot; USD/kWh&quot;"/>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rgb="FF000000"/>
      <name val="Arial"/>
      <family val="0"/>
      <charset val="1"/>
    </font>
    <font>
      <b val="true"/>
      <sz val="11"/>
      <name val="Arial"/>
      <family val="0"/>
      <charset val="1"/>
    </font>
    <font>
      <sz val="11"/>
      <color rgb="FF008000"/>
      <name val="Arial"/>
      <family val="0"/>
      <charset val="1"/>
    </font>
    <font>
      <i val="true"/>
      <sz val="9"/>
      <color rgb="FF666666"/>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26.85" hidden="false" customHeight="false" outlineLevel="0" collapsed="false">
      <c r="A6" s="2" t="s">
        <v>4</v>
      </c>
    </row>
    <row r="7" customFormat="false" ht="39.55" hidden="false" customHeight="false" outlineLevel="0" collapsed="false">
      <c r="A7" s="2" t="s">
        <v>5</v>
      </c>
    </row>
    <row r="8" customFormat="false" ht="39.55" hidden="false" customHeight="false" outlineLevel="0" collapsed="false">
      <c r="A8" s="2" t="s">
        <v>6</v>
      </c>
    </row>
    <row r="9" customFormat="false" ht="26.8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39.5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6.8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22"/>
    <col collapsed="false" customWidth="true" hidden="false" outlineLevel="0" max="4" min="4" style="0" width="70"/>
  </cols>
  <sheetData>
    <row r="1" customFormat="false" ht="17.35" hidden="false" customHeight="false" outlineLevel="0" collapsed="false">
      <c r="A1" s="4" t="s">
        <v>12</v>
      </c>
    </row>
    <row r="3" customFormat="false" ht="45" hidden="false" customHeight="true" outlineLevel="0" collapsed="false">
      <c r="A3" s="5" t="s">
        <v>13</v>
      </c>
      <c r="B3" s="5" t="s">
        <v>14</v>
      </c>
      <c r="C3" s="5" t="s">
        <v>15</v>
      </c>
      <c r="D3" s="5" t="s">
        <v>16</v>
      </c>
    </row>
    <row r="4" customFormat="false" ht="22.35" hidden="false" customHeight="false" outlineLevel="0" collapsed="false">
      <c r="A4" s="2" t="s">
        <v>17</v>
      </c>
      <c r="B4" s="6" t="n">
        <f aca="false">IFERROR(CMR_Segments!B12/CMR_Segments!B18,0)</f>
        <v>0.927712973833004</v>
      </c>
      <c r="C4" s="6" t="n">
        <f aca="false">COG_Segments!B10</f>
        <v>0.5625</v>
      </c>
      <c r="D4" s="7" t="s">
        <v>18</v>
      </c>
    </row>
    <row r="5" customFormat="false" ht="15" hidden="false" customHeight="false" outlineLevel="0" collapsed="false">
      <c r="A5" s="2" t="s">
        <v>19</v>
      </c>
      <c r="B5" s="6" t="n">
        <f aca="false">CMR_Segments!E6</f>
        <v>0.853179190751445</v>
      </c>
      <c r="C5" s="6" t="n">
        <f aca="false">COG_Segments!D16</f>
        <v>0.501954545454545</v>
      </c>
      <c r="D5" s="7" t="s">
        <v>20</v>
      </c>
    </row>
    <row r="6" customFormat="false" ht="26.85" hidden="false" customHeight="false" outlineLevel="0" collapsed="false">
      <c r="A6" s="2" t="s">
        <v>21</v>
      </c>
      <c r="B6" s="6" t="n">
        <f aca="false">CMR_Segments!E9</f>
        <v>1.61020036429873</v>
      </c>
      <c r="C6" s="8" t="s">
        <v>22</v>
      </c>
      <c r="D6" s="7" t="s">
        <v>23</v>
      </c>
    </row>
    <row r="7" customFormat="false" ht="15" hidden="false" customHeight="false" outlineLevel="0" collapsed="false">
      <c r="A7" s="2" t="s">
        <v>24</v>
      </c>
      <c r="B7" s="6" t="n">
        <f aca="false">CMR_Segments!E10</f>
        <v>0.276470588235294</v>
      </c>
      <c r="C7" s="6" t="n">
        <f aca="false">COG_Segments!D19</f>
        <v>0.319090909090909</v>
      </c>
      <c r="D7" s="7" t="s">
        <v>25</v>
      </c>
    </row>
    <row r="8" customFormat="false" ht="26.85" hidden="false" customHeight="false" outlineLevel="0" collapsed="false">
      <c r="A8" s="2" t="s">
        <v>26</v>
      </c>
      <c r="B8" s="6" t="n">
        <f aca="false">MAX(CMR_Segments!E6:E11)/MIN(CMR_Segments!E6:E11)</f>
        <v>5.82412897725071</v>
      </c>
      <c r="C8" s="6" t="n">
        <f aca="false">MAX(COG_Segments!D16:D19)/MIN(COG_Segments!D16:D19)</f>
        <v>1.57307692307692</v>
      </c>
      <c r="D8" s="7" t="s">
        <v>27</v>
      </c>
    </row>
    <row r="9" customFormat="false" ht="26.85" hidden="false" customHeight="false" outlineLevel="0" collapsed="false">
      <c r="A9" s="2" t="s">
        <v>28</v>
      </c>
      <c r="B9" s="9" t="n">
        <f aca="false">CMR_Segments!I10</f>
        <v>0.457424916232658</v>
      </c>
      <c r="C9" s="10" t="s">
        <v>22</v>
      </c>
      <c r="D9" s="7" t="s">
        <v>29</v>
      </c>
    </row>
    <row r="10" customFormat="false" ht="26.85" hidden="false" customHeight="false" outlineLevel="0" collapsed="false">
      <c r="A10" s="2" t="s">
        <v>30</v>
      </c>
      <c r="B10" s="6" t="n">
        <f aca="false">CMR_Residentiel!C6/CMR_Residentiel!C9</f>
        <v>0.505050505050505</v>
      </c>
      <c r="C10" s="6" t="n">
        <f aca="false">COG_Segments!B16/COG_Segments!B19</f>
        <v>1.57307692307692</v>
      </c>
      <c r="D10" s="7" t="s">
        <v>31</v>
      </c>
    </row>
    <row r="11" customFormat="false" ht="26.85" hidden="false" customHeight="false" outlineLevel="0" collapsed="false">
      <c r="A11" s="2" t="s">
        <v>32</v>
      </c>
      <c r="B11" s="9" t="n">
        <f aca="false">CMR_Residentiel!H18</f>
        <v>0.768145614232673</v>
      </c>
      <c r="C11" s="10" t="s">
        <v>22</v>
      </c>
      <c r="D11" s="7" t="s">
        <v>33</v>
      </c>
    </row>
    <row r="12" customFormat="false" ht="15" hidden="false" customHeight="false" outlineLevel="0" collapsed="false">
      <c r="A12" s="2" t="s">
        <v>34</v>
      </c>
      <c r="B12" s="11" t="n">
        <f aca="false">CMR_Residentiel!E39</f>
        <v>3269</v>
      </c>
      <c r="C12" s="12" t="s">
        <v>22</v>
      </c>
      <c r="D12" s="7"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7" min="7" style="0" width="14"/>
    <col collapsed="false" customWidth="true" hidden="false" outlineLevel="0" max="9" min="8" style="0" width="13"/>
    <col collapsed="false" customWidth="true" hidden="false" outlineLevel="0" max="10" min="10" style="0" width="60"/>
  </cols>
  <sheetData>
    <row r="1" customFormat="false" ht="17.35" hidden="false" customHeight="false" outlineLevel="0" collapsed="false">
      <c r="A1" s="4" t="s">
        <v>36</v>
      </c>
    </row>
    <row r="2" customFormat="false" ht="15" hidden="false" customHeight="false" outlineLevel="0" collapsed="false">
      <c r="A2" s="13" t="s">
        <v>37</v>
      </c>
    </row>
    <row r="4" customFormat="false" ht="15" hidden="false" customHeight="false" outlineLevel="0" collapsed="false">
      <c r="A4" s="14" t="s">
        <v>38</v>
      </c>
      <c r="B4" s="15"/>
      <c r="C4" s="15"/>
      <c r="D4" s="15"/>
      <c r="E4" s="15"/>
      <c r="F4" s="15"/>
      <c r="G4" s="15"/>
      <c r="H4" s="15"/>
      <c r="I4" s="15"/>
      <c r="J4" s="15"/>
    </row>
    <row r="5" customFormat="false" ht="45" hidden="false" customHeight="true" outlineLevel="0" collapsed="false">
      <c r="A5" s="5" t="s">
        <v>39</v>
      </c>
      <c r="B5" s="5" t="s">
        <v>40</v>
      </c>
      <c r="C5" s="5" t="s">
        <v>41</v>
      </c>
      <c r="D5" s="5" t="s">
        <v>42</v>
      </c>
      <c r="E5" s="5" t="s">
        <v>43</v>
      </c>
      <c r="F5" s="5" t="s">
        <v>44</v>
      </c>
      <c r="G5" s="5" t="s">
        <v>45</v>
      </c>
      <c r="H5" s="5" t="s">
        <v>46</v>
      </c>
      <c r="I5" s="5" t="s">
        <v>47</v>
      </c>
      <c r="J5" s="5" t="s">
        <v>48</v>
      </c>
    </row>
    <row r="6" customFormat="false" ht="15" hidden="false" customHeight="false" outlineLevel="0" collapsed="false">
      <c r="A6" s="16" t="s">
        <v>49</v>
      </c>
      <c r="B6" s="17" t="n">
        <v>73.8</v>
      </c>
      <c r="C6" s="18" t="n">
        <f aca="false">$B$15</f>
        <v>86.5</v>
      </c>
      <c r="D6" s="19" t="n">
        <v>2620</v>
      </c>
      <c r="E6" s="20" t="n">
        <f aca="false">IFERROR(B6/C6,0)</f>
        <v>0.853179190751445</v>
      </c>
      <c r="F6" s="18" t="n">
        <f aca="false">C6-B6</f>
        <v>12.7</v>
      </c>
      <c r="G6" s="18" t="n">
        <f aca="false">F6*D6/1000</f>
        <v>33.274</v>
      </c>
      <c r="H6" s="18" t="n">
        <f aca="false">B6*D6/1000</f>
        <v>193.356</v>
      </c>
      <c r="I6" s="21" t="n">
        <f aca="false">IFERROR(MAX(0,G6)/SUMIF($G$6:$G$11,"&gt;0"),0)</f>
        <v>0.340326559668122</v>
      </c>
      <c r="J6" s="13" t="s">
        <v>50</v>
      </c>
    </row>
    <row r="7" customFormat="false" ht="15" hidden="false" customHeight="false" outlineLevel="0" collapsed="false">
      <c r="A7" s="16" t="s">
        <v>51</v>
      </c>
      <c r="B7" s="17" t="n">
        <v>95.6</v>
      </c>
      <c r="C7" s="18" t="n">
        <f aca="false">$B$15</f>
        <v>86.5</v>
      </c>
      <c r="D7" s="19" t="n">
        <v>814</v>
      </c>
      <c r="E7" s="20" t="n">
        <f aca="false">IFERROR(B7/C7,0)</f>
        <v>1.10520231213873</v>
      </c>
      <c r="F7" s="18" t="n">
        <f aca="false">C7-B7</f>
        <v>-9.09999999999999</v>
      </c>
      <c r="G7" s="18" t="n">
        <f aca="false">F7*D7/1000</f>
        <v>-7.4074</v>
      </c>
      <c r="H7" s="18" t="n">
        <f aca="false">B7*D7/1000</f>
        <v>77.8184</v>
      </c>
      <c r="I7" s="21" t="n">
        <f aca="false">IFERROR(MAX(0,G7)/SUMIF($G$6:$G$11,"&gt;0"),0)</f>
        <v>0</v>
      </c>
      <c r="J7" s="13" t="s">
        <v>52</v>
      </c>
    </row>
    <row r="8" customFormat="false" ht="15" hidden="false" customHeight="false" outlineLevel="0" collapsed="false">
      <c r="A8" s="16" t="s">
        <v>53</v>
      </c>
      <c r="B8" s="17" t="n">
        <v>66</v>
      </c>
      <c r="C8" s="18" t="n">
        <f aca="false">$B$15</f>
        <v>86.5</v>
      </c>
      <c r="D8" s="19" t="n">
        <v>228</v>
      </c>
      <c r="E8" s="20" t="n">
        <f aca="false">IFERROR(B8/C8,0)</f>
        <v>0.763005780346821</v>
      </c>
      <c r="F8" s="18" t="n">
        <f aca="false">C8-B8</f>
        <v>20.5</v>
      </c>
      <c r="G8" s="18" t="n">
        <f aca="false">F8*D8/1000</f>
        <v>4.674</v>
      </c>
      <c r="H8" s="18" t="n">
        <f aca="false">B8*D8/1000</f>
        <v>15.048</v>
      </c>
      <c r="I8" s="21" t="n">
        <f aca="false">IFERROR(MAX(0,G8)/SUMIF($G$6:$G$11,"&gt;0"),0)</f>
        <v>0.0478056843147443</v>
      </c>
      <c r="J8" s="13" t="s">
        <v>52</v>
      </c>
    </row>
    <row r="9" customFormat="false" ht="15" hidden="false" customHeight="false" outlineLevel="0" collapsed="false">
      <c r="A9" s="16" t="s">
        <v>54</v>
      </c>
      <c r="B9" s="17" t="n">
        <v>88.4</v>
      </c>
      <c r="C9" s="18" t="n">
        <f aca="false">$B$16</f>
        <v>54.9</v>
      </c>
      <c r="D9" s="19" t="n">
        <v>1598</v>
      </c>
      <c r="E9" s="20" t="n">
        <f aca="false">IFERROR(B9/C9,0)</f>
        <v>1.61020036429873</v>
      </c>
      <c r="F9" s="18" t="n">
        <f aca="false">C9-B9</f>
        <v>-33.5</v>
      </c>
      <c r="G9" s="18" t="n">
        <f aca="false">F9*D9/1000</f>
        <v>-53.533</v>
      </c>
      <c r="H9" s="18" t="n">
        <f aca="false">B9*D9/1000</f>
        <v>141.2632</v>
      </c>
      <c r="I9" s="21" t="n">
        <f aca="false">IFERROR(MAX(0,G9)/SUMIF($G$6:$G$11,"&gt;0"),0)</f>
        <v>0</v>
      </c>
      <c r="J9" s="13" t="s">
        <v>52</v>
      </c>
    </row>
    <row r="10" customFormat="false" ht="15" hidden="false" customHeight="false" outlineLevel="0" collapsed="false">
      <c r="A10" s="16" t="s">
        <v>55</v>
      </c>
      <c r="B10" s="17" t="n">
        <v>14.1</v>
      </c>
      <c r="C10" s="18" t="n">
        <f aca="false">$B$17</f>
        <v>51</v>
      </c>
      <c r="D10" s="19" t="n">
        <v>1212</v>
      </c>
      <c r="E10" s="20" t="n">
        <f aca="false">IFERROR(B10/C10,0)</f>
        <v>0.276470588235294</v>
      </c>
      <c r="F10" s="18" t="n">
        <f aca="false">C10-B10</f>
        <v>36.9</v>
      </c>
      <c r="G10" s="18" t="n">
        <f aca="false">F10*D10/1000</f>
        <v>44.7228</v>
      </c>
      <c r="H10" s="18" t="n">
        <f aca="false">B10*D10/1000</f>
        <v>17.0892</v>
      </c>
      <c r="I10" s="21" t="n">
        <f aca="false">IFERROR(MAX(0,G10)/SUMIF($G$6:$G$11,"&gt;0"),0)</f>
        <v>0.457424916232658</v>
      </c>
      <c r="J10" s="13" t="s">
        <v>56</v>
      </c>
    </row>
    <row r="11" customFormat="false" ht="15" hidden="false" customHeight="false" outlineLevel="0" collapsed="false">
      <c r="A11" s="16" t="s">
        <v>57</v>
      </c>
      <c r="B11" s="17" t="n">
        <v>31</v>
      </c>
      <c r="C11" s="18" t="n">
        <f aca="false">$B$17</f>
        <v>51</v>
      </c>
      <c r="D11" s="19" t="n">
        <v>755</v>
      </c>
      <c r="E11" s="20" t="n">
        <f aca="false">IFERROR(B11/C11,0)</f>
        <v>0.607843137254902</v>
      </c>
      <c r="F11" s="18" t="n">
        <f aca="false">C11-B11</f>
        <v>20</v>
      </c>
      <c r="G11" s="18" t="n">
        <f aca="false">F11*D11/1000</f>
        <v>15.1</v>
      </c>
      <c r="H11" s="18" t="n">
        <f aca="false">B11*D11/1000</f>
        <v>23.405</v>
      </c>
      <c r="I11" s="21" t="n">
        <f aca="false">IFERROR(MAX(0,G11)/SUMIF($G$6:$G$11,"&gt;0"),0)</f>
        <v>0.154442839784476</v>
      </c>
      <c r="J11" s="13" t="s">
        <v>58</v>
      </c>
    </row>
    <row r="12" customFormat="false" ht="15" hidden="false" customHeight="false" outlineLevel="0" collapsed="false">
      <c r="A12" s="22" t="s">
        <v>59</v>
      </c>
      <c r="B12" s="23" t="n">
        <f aca="false">IFERROR(H12/D12*1000,0)</f>
        <v>64.7543655735437</v>
      </c>
      <c r="D12" s="24" t="n">
        <f aca="false">SUM(D6:D11)</f>
        <v>7227</v>
      </c>
      <c r="G12" s="23" t="n">
        <f aca="false">SUM(G6:G11)</f>
        <v>36.8304</v>
      </c>
      <c r="H12" s="23" t="n">
        <f aca="false">SUM(H6:H11)</f>
        <v>467.9798</v>
      </c>
      <c r="J12" s="13" t="s">
        <v>60</v>
      </c>
    </row>
    <row r="14" customFormat="false" ht="15" hidden="false" customHeight="false" outlineLevel="0" collapsed="false">
      <c r="A14" s="22" t="s">
        <v>61</v>
      </c>
    </row>
    <row r="15" customFormat="false" ht="15" hidden="false" customHeight="false" outlineLevel="0" collapsed="false">
      <c r="A15" s="16" t="s">
        <v>62</v>
      </c>
      <c r="B15" s="17" t="n">
        <v>86.5</v>
      </c>
      <c r="J15" s="13" t="s">
        <v>63</v>
      </c>
    </row>
    <row r="16" customFormat="false" ht="15" hidden="false" customHeight="false" outlineLevel="0" collapsed="false">
      <c r="A16" s="16" t="s">
        <v>64</v>
      </c>
      <c r="B16" s="17" t="n">
        <v>54.9</v>
      </c>
      <c r="J16" s="13" t="s">
        <v>63</v>
      </c>
    </row>
    <row r="17" customFormat="false" ht="15" hidden="false" customHeight="false" outlineLevel="0" collapsed="false">
      <c r="A17" s="16" t="s">
        <v>65</v>
      </c>
      <c r="B17" s="17" t="n">
        <v>51</v>
      </c>
      <c r="J17" s="13" t="s">
        <v>63</v>
      </c>
    </row>
    <row r="18" customFormat="false" ht="15" hidden="false" customHeight="false" outlineLevel="0" collapsed="false">
      <c r="A18" s="16" t="s">
        <v>66</v>
      </c>
      <c r="B18" s="17" t="n">
        <v>69.8</v>
      </c>
      <c r="J18" s="13" t="s">
        <v>67</v>
      </c>
    </row>
    <row r="19" customFormat="false" ht="15" hidden="false" customHeight="false" outlineLevel="0" collapsed="false">
      <c r="A19" s="13" t="s">
        <v>68</v>
      </c>
    </row>
    <row r="21" customFormat="false" ht="15" hidden="false" customHeight="false" outlineLevel="0" collapsed="false">
      <c r="A21" s="14" t="s">
        <v>69</v>
      </c>
      <c r="B21" s="15"/>
      <c r="C21" s="15"/>
      <c r="D21" s="15"/>
      <c r="E21" s="15"/>
      <c r="F21" s="15"/>
      <c r="G21" s="15"/>
      <c r="H21" s="15"/>
      <c r="I21" s="15"/>
      <c r="J21" s="15"/>
    </row>
    <row r="22" customFormat="false" ht="15" hidden="false" customHeight="false" outlineLevel="0" collapsed="false">
      <c r="A22" s="22" t="s">
        <v>70</v>
      </c>
      <c r="B22" s="18" t="n">
        <f aca="false">SUMIF(G6:G11,"&gt;0")</f>
        <v>97.7708</v>
      </c>
      <c r="C22" s="13" t="s">
        <v>71</v>
      </c>
    </row>
    <row r="23" customFormat="false" ht="15" hidden="false" customHeight="false" outlineLevel="0" collapsed="false">
      <c r="A23" s="16" t="s">
        <v>72</v>
      </c>
      <c r="B23" s="18" t="n">
        <f aca="false">MAX(0,G10)</f>
        <v>44.7228</v>
      </c>
      <c r="C23" s="13" t="s">
        <v>71</v>
      </c>
    </row>
    <row r="24" customFormat="false" ht="15" hidden="false" customHeight="false" outlineLevel="0" collapsed="false">
      <c r="A24" s="16" t="s">
        <v>73</v>
      </c>
      <c r="B24" s="18" t="n">
        <f aca="false">MAX(0,G6)</f>
        <v>33.274</v>
      </c>
      <c r="C24" s="13" t="s">
        <v>71</v>
      </c>
    </row>
    <row r="25" customFormat="false" ht="15" hidden="false" customHeight="false" outlineLevel="0" collapsed="false">
      <c r="A25" s="22" t="s">
        <v>74</v>
      </c>
      <c r="B25" s="18" t="n">
        <f aca="false">-SUMIF(G6:G11,"&lt;0")</f>
        <v>60.9404</v>
      </c>
      <c r="C25" s="13" t="s">
        <v>71</v>
      </c>
    </row>
    <row r="26" customFormat="false" ht="15" hidden="false" customHeight="false" outlineLevel="0" collapsed="false">
      <c r="A26" s="16" t="s">
        <v>75</v>
      </c>
      <c r="B26" s="18" t="n">
        <f aca="false">-MIN(0,G9)</f>
        <v>53.533</v>
      </c>
      <c r="C26" s="13" t="s">
        <v>71</v>
      </c>
    </row>
    <row r="27" customFormat="false" ht="15" hidden="false" customHeight="false" outlineLevel="0" collapsed="false">
      <c r="A27" s="22" t="s">
        <v>76</v>
      </c>
      <c r="B27" s="18" t="n">
        <f aca="false">G12</f>
        <v>36.8304</v>
      </c>
      <c r="C27" s="13" t="s">
        <v>71</v>
      </c>
    </row>
    <row r="28" customFormat="false" ht="15" hidden="false" customHeight="false" outlineLevel="0" collapsed="false">
      <c r="A28" s="22" t="s">
        <v>77</v>
      </c>
      <c r="B28" s="21" t="n">
        <f aca="false">IFERROR(B23/B22,0)</f>
        <v>0.457424916232658</v>
      </c>
      <c r="C28" s="13"/>
    </row>
    <row r="29" customFormat="false" ht="15" hidden="false" customHeight="false" outlineLevel="0" collapsed="false">
      <c r="A29" s="22" t="s">
        <v>78</v>
      </c>
      <c r="B29" s="21" t="n">
        <f aca="false">IFERROR(B24/B22,0)</f>
        <v>0.340326559668122</v>
      </c>
      <c r="C29" s="13"/>
    </row>
    <row r="30" customFormat="false" ht="15" hidden="false" customHeight="false" outlineLevel="0" collapsed="false">
      <c r="A30" s="22" t="s">
        <v>79</v>
      </c>
      <c r="B30" s="20" t="n">
        <f aca="false">IFERROR(F10/F6,0)</f>
        <v>2.90551181102362</v>
      </c>
      <c r="C30" s="13"/>
    </row>
    <row r="33" customFormat="false" ht="15" hidden="false" customHeight="false" outlineLevel="0" collapsed="false">
      <c r="A33" s="14" t="s">
        <v>80</v>
      </c>
      <c r="B33" s="15"/>
      <c r="C33" s="15"/>
      <c r="D33" s="15"/>
      <c r="E33" s="15"/>
      <c r="F33" s="15"/>
      <c r="G33" s="15"/>
      <c r="H33" s="15"/>
      <c r="I33" s="15"/>
      <c r="J33" s="15"/>
    </row>
    <row r="34" customFormat="false" ht="15" hidden="false" customHeight="false" outlineLevel="0" collapsed="false">
      <c r="A34" s="16" t="s">
        <v>81</v>
      </c>
      <c r="B34" s="17" t="n">
        <v>102.56</v>
      </c>
      <c r="C34" s="13" t="s">
        <v>82</v>
      </c>
      <c r="J34" s="13" t="s">
        <v>83</v>
      </c>
    </row>
    <row r="35" customFormat="false" ht="15" hidden="false" customHeight="false" outlineLevel="0" collapsed="false">
      <c r="A35" s="16" t="s">
        <v>84</v>
      </c>
      <c r="B35" s="17" t="n">
        <v>102.65</v>
      </c>
      <c r="C35" s="13" t="s">
        <v>82</v>
      </c>
      <c r="J35" s="13" t="s">
        <v>85</v>
      </c>
    </row>
    <row r="36" customFormat="false" ht="15" hidden="false" customHeight="false" outlineLevel="0" collapsed="false">
      <c r="A36" s="16" t="s">
        <v>86</v>
      </c>
      <c r="B36" s="17" t="n">
        <v>67</v>
      </c>
      <c r="C36" s="13" t="s">
        <v>71</v>
      </c>
      <c r="J36" s="13" t="s">
        <v>87</v>
      </c>
    </row>
    <row r="37" customFormat="false" ht="15" hidden="false" customHeight="false" outlineLevel="0" collapsed="false">
      <c r="A37" s="16" t="s">
        <v>88</v>
      </c>
      <c r="B37" s="25" t="n">
        <v>0.72</v>
      </c>
      <c r="C37" s="13" t="s">
        <v>89</v>
      </c>
      <c r="J37" s="13" t="s">
        <v>90</v>
      </c>
    </row>
    <row r="38" customFormat="false" ht="15" hidden="false" customHeight="false" outlineLevel="0" collapsed="false">
      <c r="A38" s="16" t="s">
        <v>91</v>
      </c>
      <c r="B38" s="25" t="n">
        <v>0.15</v>
      </c>
      <c r="C38" s="13" t="s">
        <v>89</v>
      </c>
      <c r="J38" s="13" t="s">
        <v>92</v>
      </c>
    </row>
    <row r="39" customFormat="false" ht="15" hidden="false" customHeight="false" outlineLevel="0" collapsed="false">
      <c r="A39" s="16" t="s">
        <v>93</v>
      </c>
      <c r="B39" s="25" t="n">
        <v>0.15</v>
      </c>
      <c r="C39" s="13" t="s">
        <v>89</v>
      </c>
      <c r="J39" s="13" t="s">
        <v>92</v>
      </c>
    </row>
    <row r="40" customFormat="false" ht="15" hidden="false" customHeight="false" outlineLevel="0" collapsed="false">
      <c r="A40" s="22" t="s">
        <v>94</v>
      </c>
      <c r="B40" s="26" t="n">
        <f aca="false">IFERROR(B35/B34,0)</f>
        <v>1.0008775351014</v>
      </c>
    </row>
    <row r="41" customFormat="false" ht="15" hidden="false" customHeight="false" outlineLevel="0" collapsed="false">
      <c r="A41" s="13"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4"/>
    <col collapsed="false" customWidth="true" hidden="false" outlineLevel="0" max="8" min="4" style="0" width="15"/>
    <col collapsed="false" customWidth="true" hidden="false" outlineLevel="0" max="9" min="9" style="0" width="60"/>
  </cols>
  <sheetData>
    <row r="1" customFormat="false" ht="17.35" hidden="false" customHeight="false" outlineLevel="0" collapsed="false">
      <c r="A1" s="4" t="s">
        <v>96</v>
      </c>
    </row>
    <row r="2" customFormat="false" ht="15" hidden="false" customHeight="false" outlineLevel="0" collapsed="false">
      <c r="A2" s="13" t="s">
        <v>97</v>
      </c>
    </row>
    <row r="3" customFormat="false" ht="15" hidden="false" customHeight="false" outlineLevel="0" collapsed="false">
      <c r="D3" s="22" t="s">
        <v>98</v>
      </c>
      <c r="E3" s="27" t="n">
        <f aca="false">CMR_Segments!$B$15</f>
        <v>86.5</v>
      </c>
    </row>
    <row r="4" customFormat="false" ht="15" hidden="false" customHeight="false" outlineLevel="0" collapsed="false">
      <c r="A4" s="14" t="s">
        <v>99</v>
      </c>
      <c r="B4" s="15"/>
      <c r="C4" s="15"/>
      <c r="D4" s="15"/>
      <c r="E4" s="15"/>
      <c r="F4" s="15"/>
      <c r="G4" s="15"/>
      <c r="H4" s="15"/>
      <c r="I4" s="15"/>
      <c r="J4" s="15"/>
    </row>
    <row r="5" customFormat="false" ht="45" hidden="false" customHeight="true" outlineLevel="0" collapsed="false">
      <c r="A5" s="5" t="s">
        <v>100</v>
      </c>
      <c r="B5" s="5" t="s">
        <v>101</v>
      </c>
      <c r="C5" s="5" t="s">
        <v>102</v>
      </c>
      <c r="D5" s="5" t="s">
        <v>103</v>
      </c>
      <c r="E5" s="5" t="s">
        <v>43</v>
      </c>
      <c r="F5" s="5" t="s">
        <v>104</v>
      </c>
      <c r="G5" s="5"/>
      <c r="H5" s="5"/>
      <c r="I5" s="5" t="s">
        <v>48</v>
      </c>
    </row>
    <row r="6" customFormat="false" ht="15" hidden="false" customHeight="false" outlineLevel="0" collapsed="false">
      <c r="A6" s="16" t="s">
        <v>105</v>
      </c>
      <c r="B6" s="19" t="n">
        <v>110</v>
      </c>
      <c r="C6" s="17" t="n">
        <v>50</v>
      </c>
      <c r="D6" s="18" t="n">
        <f aca="false">$E$3</f>
        <v>86.5</v>
      </c>
      <c r="E6" s="20" t="n">
        <f aca="false">IFERROR(C6/D6,0)</f>
        <v>0.578034682080925</v>
      </c>
      <c r="F6" s="18" t="n">
        <f aca="false">D6-C6</f>
        <v>36.5</v>
      </c>
      <c r="I6" s="13" t="s">
        <v>106</v>
      </c>
    </row>
    <row r="7" customFormat="false" ht="15" hidden="false" customHeight="false" outlineLevel="0" collapsed="false">
      <c r="A7" s="16" t="s">
        <v>107</v>
      </c>
      <c r="B7" s="19" t="n">
        <v>400</v>
      </c>
      <c r="C7" s="17" t="n">
        <v>79</v>
      </c>
      <c r="D7" s="18" t="n">
        <f aca="false">$E$3</f>
        <v>86.5</v>
      </c>
      <c r="E7" s="20" t="n">
        <f aca="false">IFERROR(C7/D7,0)</f>
        <v>0.913294797687861</v>
      </c>
      <c r="F7" s="18" t="n">
        <f aca="false">D7-C7</f>
        <v>7.5</v>
      </c>
      <c r="I7" s="13" t="s">
        <v>108</v>
      </c>
    </row>
    <row r="8" customFormat="false" ht="15" hidden="false" customHeight="false" outlineLevel="0" collapsed="false">
      <c r="A8" s="16" t="s">
        <v>109</v>
      </c>
      <c r="B8" s="19" t="n">
        <v>800</v>
      </c>
      <c r="C8" s="17" t="n">
        <v>94</v>
      </c>
      <c r="D8" s="18" t="n">
        <f aca="false">$E$3</f>
        <v>86.5</v>
      </c>
      <c r="E8" s="20" t="n">
        <f aca="false">IFERROR(C8/D8,0)</f>
        <v>1.08670520231214</v>
      </c>
      <c r="F8" s="18" t="n">
        <f aca="false">D8-C8</f>
        <v>-7.5</v>
      </c>
      <c r="I8" s="13" t="s">
        <v>108</v>
      </c>
    </row>
    <row r="9" customFormat="false" ht="15" hidden="false" customHeight="false" outlineLevel="0" collapsed="false">
      <c r="A9" s="16" t="s">
        <v>110</v>
      </c>
      <c r="B9" s="19" t="n">
        <v>2000</v>
      </c>
      <c r="C9" s="17" t="n">
        <v>99</v>
      </c>
      <c r="D9" s="18" t="n">
        <f aca="false">$E$3</f>
        <v>86.5</v>
      </c>
      <c r="E9" s="20" t="n">
        <f aca="false">IFERROR(C9/D9,0)</f>
        <v>1.14450867052023</v>
      </c>
      <c r="F9" s="18" t="n">
        <f aca="false">D9-C9</f>
        <v>-12.5</v>
      </c>
      <c r="I9" s="13" t="s">
        <v>108</v>
      </c>
    </row>
    <row r="10" customFormat="false" ht="15" hidden="false" customHeight="false" outlineLevel="0" collapsed="false">
      <c r="A10" s="16" t="s">
        <v>111</v>
      </c>
      <c r="B10" s="19" t="n">
        <v>110</v>
      </c>
      <c r="C10" s="17" t="n">
        <v>84</v>
      </c>
      <c r="D10" s="18" t="n">
        <f aca="false">$E$3</f>
        <v>86.5</v>
      </c>
      <c r="E10" s="20" t="n">
        <f aca="false">IFERROR(C10/D10,0)</f>
        <v>0.971098265895954</v>
      </c>
      <c r="F10" s="18" t="n">
        <f aca="false">D10-C10</f>
        <v>2.5</v>
      </c>
      <c r="I10" s="13" t="s">
        <v>108</v>
      </c>
    </row>
    <row r="11" customFormat="false" ht="15" hidden="false" customHeight="false" outlineLevel="0" collapsed="false">
      <c r="A11" s="16" t="s">
        <v>112</v>
      </c>
      <c r="B11" s="19" t="n">
        <v>400</v>
      </c>
      <c r="C11" s="17" t="n">
        <v>92</v>
      </c>
      <c r="D11" s="18" t="n">
        <f aca="false">$E$3</f>
        <v>86.5</v>
      </c>
      <c r="E11" s="20" t="n">
        <f aca="false">IFERROR(C11/D11,0)</f>
        <v>1.0635838150289</v>
      </c>
      <c r="F11" s="18" t="n">
        <f aca="false">D11-C11</f>
        <v>-5.5</v>
      </c>
      <c r="I11" s="13" t="s">
        <v>108</v>
      </c>
    </row>
    <row r="12" customFormat="false" ht="15" hidden="false" customHeight="false" outlineLevel="0" collapsed="false">
      <c r="A12" s="16" t="s">
        <v>113</v>
      </c>
      <c r="B12" s="19" t="n">
        <v>1000</v>
      </c>
      <c r="C12" s="17" t="n">
        <v>99</v>
      </c>
      <c r="D12" s="18" t="n">
        <f aca="false">$E$3</f>
        <v>86.5</v>
      </c>
      <c r="E12" s="20" t="n">
        <f aca="false">IFERROR(C12/D12,0)</f>
        <v>1.14450867052023</v>
      </c>
      <c r="F12" s="18" t="n">
        <f aca="false">D12-C12</f>
        <v>-12.5</v>
      </c>
      <c r="I12" s="13" t="s">
        <v>108</v>
      </c>
    </row>
    <row r="13" customFormat="false" ht="15" hidden="false" customHeight="false" outlineLevel="0" collapsed="false">
      <c r="A13" s="16" t="s">
        <v>114</v>
      </c>
      <c r="C13" s="17" t="n">
        <v>66</v>
      </c>
      <c r="D13" s="18" t="n">
        <f aca="false">$E$3</f>
        <v>86.5</v>
      </c>
      <c r="E13" s="20" t="n">
        <f aca="false">IFERROR(C13/D13,0)</f>
        <v>0.763005780346821</v>
      </c>
      <c r="F13" s="18" t="n">
        <f aca="false">D13-C13</f>
        <v>20.5</v>
      </c>
      <c r="I13" s="13" t="s">
        <v>108</v>
      </c>
    </row>
    <row r="14" customFormat="false" ht="15" hidden="false" customHeight="false" outlineLevel="0" collapsed="false">
      <c r="A14" s="13" t="s">
        <v>115</v>
      </c>
    </row>
    <row r="16" customFormat="false" ht="15" hidden="false" customHeight="false" outlineLevel="0" collapsed="false">
      <c r="A16" s="14" t="s">
        <v>116</v>
      </c>
      <c r="B16" s="15"/>
      <c r="C16" s="15"/>
      <c r="D16" s="15"/>
      <c r="E16" s="15"/>
      <c r="F16" s="15"/>
      <c r="G16" s="15"/>
      <c r="H16" s="15"/>
      <c r="I16" s="15"/>
      <c r="J16" s="15"/>
    </row>
    <row r="17" customFormat="false" ht="45" hidden="false" customHeight="true" outlineLevel="0" collapsed="false">
      <c r="A17" s="5" t="s">
        <v>117</v>
      </c>
      <c r="B17" s="5" t="s">
        <v>118</v>
      </c>
      <c r="C17" s="5" t="s">
        <v>119</v>
      </c>
      <c r="D17" s="5" t="s">
        <v>120</v>
      </c>
      <c r="E17" s="5" t="s">
        <v>121</v>
      </c>
      <c r="F17" s="5" t="s">
        <v>122</v>
      </c>
      <c r="G17" s="5" t="s">
        <v>123</v>
      </c>
      <c r="H17" s="5" t="s">
        <v>124</v>
      </c>
      <c r="I17" s="5" t="s">
        <v>48</v>
      </c>
    </row>
    <row r="18" customFormat="false" ht="15" hidden="false" customHeight="false" outlineLevel="0" collapsed="false">
      <c r="A18" s="16" t="s">
        <v>125</v>
      </c>
      <c r="B18" s="19" t="n">
        <v>9350605</v>
      </c>
      <c r="C18" s="19" t="n">
        <v>375873</v>
      </c>
      <c r="D18" s="18" t="n">
        <f aca="false">IFERROR(C18*1000/B18,0)</f>
        <v>40.197719826685</v>
      </c>
      <c r="E18" s="21" t="n">
        <f aca="false">IFERROR(B18/SUM($B$18:$B$21),0)</f>
        <v>0.73904050138322</v>
      </c>
      <c r="F18" s="21" t="n">
        <f aca="false">IFERROR(C18/SUM($C$18:$C$21),0)</f>
        <v>0.292075399563604</v>
      </c>
      <c r="G18" s="18" t="n">
        <f aca="false">C18*$F$6/1000000</f>
        <v>13.7193645</v>
      </c>
      <c r="H18" s="21" t="n">
        <f aca="false">IFERROR(MAX(0,G18)/SUMIF($G$18:$G$21,"&gt;0"),0)</f>
        <v>0.768145614232673</v>
      </c>
      <c r="I18" s="13" t="s">
        <v>126</v>
      </c>
    </row>
    <row r="19" customFormat="false" ht="15" hidden="false" customHeight="false" outlineLevel="0" collapsed="false">
      <c r="A19" s="16" t="s">
        <v>127</v>
      </c>
      <c r="B19" s="19" t="n">
        <v>2956507</v>
      </c>
      <c r="C19" s="19" t="n">
        <v>552134</v>
      </c>
      <c r="D19" s="18" t="n">
        <f aca="false">IFERROR(C19*1000/B19,0)</f>
        <v>186.752136896682</v>
      </c>
      <c r="E19" s="21" t="n">
        <f aca="false">IFERROR(B19/SUM($B$18:$B$21),0)</f>
        <v>0.233672411103132</v>
      </c>
      <c r="F19" s="21" t="n">
        <f aca="false">IFERROR(C19/SUM($C$18:$C$21),0)</f>
        <v>0.429040550033258</v>
      </c>
      <c r="G19" s="18" t="n">
        <f aca="false">C19*$F$7/1000000</f>
        <v>4.141005</v>
      </c>
      <c r="H19" s="21" t="n">
        <f aca="false">IFERROR(MAX(0,G19)/SUMIF($G$18:$G$21,"&gt;0"),0)</f>
        <v>0.231854385767327</v>
      </c>
      <c r="I19" s="13" t="s">
        <v>108</v>
      </c>
    </row>
    <row r="20" customFormat="false" ht="15" hidden="false" customHeight="false" outlineLevel="0" collapsed="false">
      <c r="A20" s="16" t="s">
        <v>128</v>
      </c>
      <c r="B20" s="19" t="n">
        <v>246664</v>
      </c>
      <c r="C20" s="19" t="n">
        <v>131980</v>
      </c>
      <c r="D20" s="18" t="n">
        <f aca="false">IFERROR(C20*1000/B20,0)</f>
        <v>535.05983848474</v>
      </c>
      <c r="E20" s="21" t="n">
        <f aca="false">IFERROR(B20/SUM($B$18:$B$21),0)</f>
        <v>0.0194954964126055</v>
      </c>
      <c r="F20" s="21" t="n">
        <f aca="false">IFERROR(C20/SUM($C$18:$C$21),0)</f>
        <v>0.10255621242921</v>
      </c>
      <c r="G20" s="18" t="n">
        <f aca="false">C20*$F$8/1000000</f>
        <v>-0.98985</v>
      </c>
      <c r="H20" s="21" t="n">
        <f aca="false">IFERROR(MAX(0,G20)/SUMIF($G$18:$G$21,"&gt;0"),0)</f>
        <v>0</v>
      </c>
      <c r="I20" s="13" t="s">
        <v>108</v>
      </c>
    </row>
    <row r="21" customFormat="false" ht="15" hidden="false" customHeight="false" outlineLevel="0" collapsed="false">
      <c r="A21" s="16" t="s">
        <v>129</v>
      </c>
      <c r="B21" s="19" t="n">
        <v>98582</v>
      </c>
      <c r="C21" s="19" t="n">
        <v>226917</v>
      </c>
      <c r="D21" s="18" t="n">
        <f aca="false">IFERROR(C21*1000/B21,0)</f>
        <v>2301.80966099288</v>
      </c>
      <c r="E21" s="21" t="n">
        <f aca="false">IFERROR(B21/SUM($B$18:$B$21),0)</f>
        <v>0.00779159110104219</v>
      </c>
      <c r="F21" s="21" t="n">
        <f aca="false">IFERROR(C21/SUM($C$18:$C$21),0)</f>
        <v>0.176327837973928</v>
      </c>
      <c r="G21" s="18" t="n">
        <f aca="false">C21*$F$9/1000000</f>
        <v>-2.8364625</v>
      </c>
      <c r="H21" s="21" t="n">
        <f aca="false">IFERROR(MAX(0,G21)/SUMIF($G$18:$G$21,"&gt;0"),0)</f>
        <v>0</v>
      </c>
      <c r="I21" s="13" t="s">
        <v>108</v>
      </c>
    </row>
    <row r="22" customFormat="false" ht="15" hidden="false" customHeight="false" outlineLevel="0" collapsed="false">
      <c r="A22" s="22" t="s">
        <v>130</v>
      </c>
      <c r="B22" s="24" t="n">
        <f aca="false">SUM(B18:B21)</f>
        <v>12652358</v>
      </c>
      <c r="C22" s="24" t="n">
        <f aca="false">SUM(C18:C21)</f>
        <v>1286904</v>
      </c>
      <c r="D22" s="23" t="n">
        <f aca="false">IFERROR(C22*1000/B22,0)</f>
        <v>101.712581955079</v>
      </c>
      <c r="G22" s="23" t="n">
        <f aca="false">SUM(G18:G21)</f>
        <v>14.034057</v>
      </c>
    </row>
    <row r="23" customFormat="false" ht="15" hidden="false" customHeight="false" outlineLevel="0" collapsed="false">
      <c r="A23" s="13" t="s">
        <v>131</v>
      </c>
    </row>
    <row r="25" customFormat="false" ht="15" hidden="false" customHeight="false" outlineLevel="0" collapsed="false">
      <c r="A25" s="14" t="s">
        <v>132</v>
      </c>
      <c r="B25" s="15"/>
      <c r="C25" s="15"/>
      <c r="D25" s="15"/>
      <c r="E25" s="15"/>
      <c r="F25" s="15"/>
      <c r="G25" s="15"/>
      <c r="H25" s="15"/>
      <c r="I25" s="15"/>
      <c r="J25" s="15"/>
    </row>
    <row r="26" customFormat="false" ht="45" hidden="false" customHeight="true" outlineLevel="0" collapsed="false">
      <c r="A26" s="5" t="s">
        <v>133</v>
      </c>
      <c r="B26" s="5" t="s">
        <v>134</v>
      </c>
      <c r="C26" s="5" t="s">
        <v>135</v>
      </c>
      <c r="D26" s="5" t="s">
        <v>136</v>
      </c>
      <c r="E26" s="5" t="s">
        <v>137</v>
      </c>
      <c r="F26" s="5" t="s">
        <v>138</v>
      </c>
      <c r="G26" s="5"/>
      <c r="H26" s="5"/>
      <c r="I26" s="5" t="s">
        <v>139</v>
      </c>
    </row>
    <row r="27" customFormat="false" ht="15" hidden="false" customHeight="false" outlineLevel="0" collapsed="false">
      <c r="A27" s="19" t="n">
        <v>25</v>
      </c>
      <c r="B27" s="18" t="n">
        <f aca="false">IF(A27&lt;=$B$6,$C$6,IF(A27&lt;=$B$7,$C$7,IF(A27&lt;=$B$8,$C$8,$C$9)))</f>
        <v>50</v>
      </c>
      <c r="C27" s="28" t="n">
        <f aca="false">A27*B27</f>
        <v>1250</v>
      </c>
      <c r="D27" s="28" t="n">
        <f aca="false">A27*$E$3</f>
        <v>2162.5</v>
      </c>
      <c r="E27" s="28" t="n">
        <f aca="false">D27-C27</f>
        <v>912.5</v>
      </c>
      <c r="F27" s="20" t="n">
        <f aca="false">IFERROR(B27/$E$3,0)</f>
        <v>0.578034682080925</v>
      </c>
      <c r="I27" s="13" t="s">
        <v>140</v>
      </c>
    </row>
    <row r="28" customFormat="false" ht="15" hidden="false" customHeight="false" outlineLevel="0" collapsed="false">
      <c r="A28" s="19" t="n">
        <v>54</v>
      </c>
      <c r="B28" s="18" t="n">
        <f aca="false">IF(A28&lt;=$B$6,$C$6,IF(A28&lt;=$B$7,$C$7,IF(A28&lt;=$B$8,$C$8,$C$9)))</f>
        <v>50</v>
      </c>
      <c r="C28" s="28" t="n">
        <f aca="false">A28*B28</f>
        <v>2700</v>
      </c>
      <c r="D28" s="28" t="n">
        <f aca="false">A28*$E$3</f>
        <v>4671</v>
      </c>
      <c r="E28" s="28" t="n">
        <f aca="false">D28-C28</f>
        <v>1971</v>
      </c>
      <c r="F28" s="20" t="n">
        <f aca="false">IFERROR(B28/$E$3,0)</f>
        <v>0.578034682080925</v>
      </c>
      <c r="I28" s="13" t="s">
        <v>141</v>
      </c>
    </row>
    <row r="29" customFormat="false" ht="15" hidden="false" customHeight="false" outlineLevel="0" collapsed="false">
      <c r="A29" s="19" t="n">
        <v>102</v>
      </c>
      <c r="B29" s="18" t="n">
        <f aca="false">IF(A29&lt;=$B$6,$C$6,IF(A29&lt;=$B$7,$C$7,IF(A29&lt;=$B$8,$C$8,$C$9)))</f>
        <v>50</v>
      </c>
      <c r="C29" s="28" t="n">
        <f aca="false">A29*B29</f>
        <v>5100</v>
      </c>
      <c r="D29" s="28" t="n">
        <f aca="false">A29*$E$3</f>
        <v>8823</v>
      </c>
      <c r="E29" s="28" t="n">
        <f aca="false">D29-C29</f>
        <v>3723</v>
      </c>
      <c r="F29" s="20" t="n">
        <f aca="false">IFERROR(B29/$E$3,0)</f>
        <v>0.578034682080925</v>
      </c>
      <c r="I29" s="13" t="s">
        <v>142</v>
      </c>
    </row>
    <row r="30" customFormat="false" ht="15" hidden="false" customHeight="false" outlineLevel="0" collapsed="false">
      <c r="A30" s="19" t="n">
        <v>110</v>
      </c>
      <c r="B30" s="18" t="n">
        <f aca="false">IF(A30&lt;=$B$6,$C$6,IF(A30&lt;=$B$7,$C$7,IF(A30&lt;=$B$8,$C$8,$C$9)))</f>
        <v>50</v>
      </c>
      <c r="C30" s="28" t="n">
        <f aca="false">A30*B30</f>
        <v>5500</v>
      </c>
      <c r="D30" s="28" t="n">
        <f aca="false">A30*$E$3</f>
        <v>9515</v>
      </c>
      <c r="E30" s="28" t="n">
        <f aca="false">D30-C30</f>
        <v>4015</v>
      </c>
      <c r="F30" s="20" t="n">
        <f aca="false">IFERROR(B30/$E$3,0)</f>
        <v>0.578034682080925</v>
      </c>
      <c r="I30" s="13" t="s">
        <v>143</v>
      </c>
    </row>
    <row r="31" customFormat="false" ht="15" hidden="false" customHeight="false" outlineLevel="0" collapsed="false">
      <c r="A31" s="19" t="n">
        <v>111</v>
      </c>
      <c r="B31" s="18" t="n">
        <f aca="false">IF(A31&lt;=$B$6,$C$6,IF(A31&lt;=$B$7,$C$7,IF(A31&lt;=$B$8,$C$8,$C$9)))</f>
        <v>79</v>
      </c>
      <c r="C31" s="28" t="n">
        <f aca="false">A31*B31</f>
        <v>8769</v>
      </c>
      <c r="D31" s="28" t="n">
        <f aca="false">A31*$E$3</f>
        <v>9601.5</v>
      </c>
      <c r="E31" s="28" t="n">
        <f aca="false">D31-C31</f>
        <v>832.5</v>
      </c>
      <c r="F31" s="20" t="n">
        <f aca="false">IFERROR(B31/$E$3,0)</f>
        <v>0.913294797687861</v>
      </c>
      <c r="I31" s="13" t="s">
        <v>144</v>
      </c>
    </row>
    <row r="32" customFormat="false" ht="15" hidden="false" customHeight="false" outlineLevel="0" collapsed="false">
      <c r="A32" s="19" t="n">
        <v>204</v>
      </c>
      <c r="B32" s="18" t="n">
        <f aca="false">IF(A32&lt;=$B$6,$C$6,IF(A32&lt;=$B$7,$C$7,IF(A32&lt;=$B$8,$C$8,$C$9)))</f>
        <v>79</v>
      </c>
      <c r="C32" s="28" t="n">
        <f aca="false">A32*B32</f>
        <v>16116</v>
      </c>
      <c r="D32" s="28" t="n">
        <f aca="false">A32*$E$3</f>
        <v>17646</v>
      </c>
      <c r="E32" s="28" t="n">
        <f aca="false">D32-C32</f>
        <v>1530</v>
      </c>
      <c r="F32" s="20" t="n">
        <f aca="false">IFERROR(B32/$E$3,0)</f>
        <v>0.913294797687861</v>
      </c>
      <c r="I32" s="13" t="s">
        <v>145</v>
      </c>
    </row>
    <row r="33" customFormat="false" ht="15" hidden="false" customHeight="false" outlineLevel="0" collapsed="false">
      <c r="A33" s="19" t="n">
        <v>400</v>
      </c>
      <c r="B33" s="18" t="n">
        <f aca="false">IF(A33&lt;=$B$6,$C$6,IF(A33&lt;=$B$7,$C$7,IF(A33&lt;=$B$8,$C$8,$C$9)))</f>
        <v>79</v>
      </c>
      <c r="C33" s="28" t="n">
        <f aca="false">A33*B33</f>
        <v>31600</v>
      </c>
      <c r="D33" s="28" t="n">
        <f aca="false">A33*$E$3</f>
        <v>34600</v>
      </c>
      <c r="E33" s="28" t="n">
        <f aca="false">D33-C33</f>
        <v>3000</v>
      </c>
      <c r="F33" s="20" t="n">
        <f aca="false">IFERROR(B33/$E$3,0)</f>
        <v>0.913294797687861</v>
      </c>
      <c r="I33" s="13" t="s">
        <v>146</v>
      </c>
    </row>
    <row r="34" customFormat="false" ht="15" hidden="false" customHeight="false" outlineLevel="0" collapsed="false">
      <c r="A34" s="19" t="n">
        <v>401</v>
      </c>
      <c r="B34" s="18" t="n">
        <f aca="false">IF(A34&lt;=$B$6,$C$6,IF(A34&lt;=$B$7,$C$7,IF(A34&lt;=$B$8,$C$8,$C$9)))</f>
        <v>94</v>
      </c>
      <c r="C34" s="28" t="n">
        <f aca="false">A34*B34</f>
        <v>37694</v>
      </c>
      <c r="D34" s="28" t="n">
        <f aca="false">A34*$E$3</f>
        <v>34686.5</v>
      </c>
      <c r="E34" s="28" t="n">
        <f aca="false">D34-C34</f>
        <v>-3007.5</v>
      </c>
      <c r="F34" s="20" t="n">
        <f aca="false">IFERROR(B34/$E$3,0)</f>
        <v>1.08670520231214</v>
      </c>
      <c r="I34" s="13" t="s">
        <v>147</v>
      </c>
    </row>
    <row r="35" customFormat="false" ht="15" hidden="false" customHeight="false" outlineLevel="0" collapsed="false">
      <c r="A35" s="19" t="n">
        <v>800</v>
      </c>
      <c r="B35" s="18" t="n">
        <f aca="false">IF(A35&lt;=$B$6,$C$6,IF(A35&lt;=$B$7,$C$7,IF(A35&lt;=$B$8,$C$8,$C$9)))</f>
        <v>94</v>
      </c>
      <c r="C35" s="28" t="n">
        <f aca="false">A35*B35</f>
        <v>75200</v>
      </c>
      <c r="D35" s="28" t="n">
        <f aca="false">A35*$E$3</f>
        <v>69200</v>
      </c>
      <c r="E35" s="28" t="n">
        <f aca="false">D35-C35</f>
        <v>-6000</v>
      </c>
      <c r="F35" s="20" t="n">
        <f aca="false">IFERROR(B35/$E$3,0)</f>
        <v>1.08670520231214</v>
      </c>
      <c r="I35" s="13" t="s">
        <v>148</v>
      </c>
    </row>
    <row r="36" customFormat="false" ht="15" hidden="false" customHeight="false" outlineLevel="0" collapsed="false">
      <c r="A36" s="19" t="n">
        <v>801</v>
      </c>
      <c r="B36" s="18" t="n">
        <f aca="false">IF(A36&lt;=$B$6,$C$6,IF(A36&lt;=$B$7,$C$7,IF(A36&lt;=$B$8,$C$8,$C$9)))</f>
        <v>99</v>
      </c>
      <c r="C36" s="28" t="n">
        <f aca="false">A36*B36</f>
        <v>79299</v>
      </c>
      <c r="D36" s="28" t="n">
        <f aca="false">A36*$E$3</f>
        <v>69286.5</v>
      </c>
      <c r="E36" s="28" t="n">
        <f aca="false">D36-C36</f>
        <v>-10012.5</v>
      </c>
      <c r="F36" s="20" t="n">
        <f aca="false">IFERROR(B36/$E$3,0)</f>
        <v>1.14450867052023</v>
      </c>
      <c r="I36" s="13" t="s">
        <v>149</v>
      </c>
    </row>
    <row r="37" customFormat="false" ht="15" hidden="false" customHeight="false" outlineLevel="0" collapsed="false">
      <c r="A37" s="19" t="n">
        <v>1500</v>
      </c>
      <c r="B37" s="18" t="n">
        <f aca="false">IF(A37&lt;=$B$6,$C$6,IF(A37&lt;=$B$7,$C$7,IF(A37&lt;=$B$8,$C$8,$C$9)))</f>
        <v>99</v>
      </c>
      <c r="C37" s="28" t="n">
        <f aca="false">A37*B37</f>
        <v>148500</v>
      </c>
      <c r="D37" s="28" t="n">
        <f aca="false">A37*$E$3</f>
        <v>129750</v>
      </c>
      <c r="E37" s="28" t="n">
        <f aca="false">D37-C37</f>
        <v>-18750</v>
      </c>
      <c r="F37" s="20" t="n">
        <f aca="false">IFERROR(B37/$E$3,0)</f>
        <v>1.14450867052023</v>
      </c>
      <c r="I37" s="13" t="s">
        <v>150</v>
      </c>
    </row>
    <row r="39" customFormat="false" ht="15" hidden="false" customHeight="false" outlineLevel="0" collapsed="false">
      <c r="A39" s="22" t="s">
        <v>151</v>
      </c>
      <c r="E39" s="24" t="n">
        <f aca="false">C31-C30</f>
        <v>3269</v>
      </c>
    </row>
    <row r="41" customFormat="false" ht="15" hidden="false" customHeight="false" outlineLevel="0" collapsed="false">
      <c r="A41" s="14" t="s">
        <v>152</v>
      </c>
      <c r="B41" s="15"/>
      <c r="C41" s="15"/>
      <c r="D41" s="15"/>
      <c r="E41" s="15"/>
      <c r="F41" s="15"/>
      <c r="G41" s="15"/>
      <c r="H41" s="15"/>
      <c r="I41" s="15"/>
      <c r="J41" s="15"/>
    </row>
    <row r="42" customFormat="false" ht="45" hidden="false" customHeight="true" outlineLevel="0" collapsed="false">
      <c r="A42" s="5" t="s">
        <v>153</v>
      </c>
      <c r="B42" s="5" t="s">
        <v>154</v>
      </c>
      <c r="C42" s="5" t="s">
        <v>155</v>
      </c>
      <c r="D42" s="5" t="s">
        <v>156</v>
      </c>
      <c r="E42" s="5" t="s">
        <v>157</v>
      </c>
      <c r="F42" s="5"/>
      <c r="G42" s="5"/>
      <c r="H42" s="5"/>
      <c r="I42" s="5" t="s">
        <v>48</v>
      </c>
    </row>
    <row r="43" customFormat="false" ht="15" hidden="false" customHeight="false" outlineLevel="0" collapsed="false">
      <c r="A43" s="16" t="s">
        <v>158</v>
      </c>
      <c r="B43" s="17" t="n">
        <v>0.6</v>
      </c>
      <c r="C43" s="18" t="n">
        <f aca="false">IF(B43&lt;=$B$6,$C$6,IF(B43&lt;=$B$7,$C$7,IF(B43&lt;=$B$8,$C$8,$C$9)))</f>
        <v>50</v>
      </c>
      <c r="D43" s="28" t="n">
        <f aca="false">B43*($E$3-C43)</f>
        <v>21.9</v>
      </c>
      <c r="E43" s="20" t="n">
        <f aca="false">IFERROR(C43/$E$3,0)</f>
        <v>0.578034682080925</v>
      </c>
      <c r="I43" s="13" t="s">
        <v>159</v>
      </c>
    </row>
    <row r="44" customFormat="false" ht="15" hidden="false" customHeight="false" outlineLevel="0" collapsed="false">
      <c r="A44" s="16" t="s">
        <v>160</v>
      </c>
      <c r="B44" s="17" t="n">
        <v>7.5</v>
      </c>
      <c r="C44" s="18" t="n">
        <f aca="false">IF(B44&lt;=$B$6,$C$6,IF(B44&lt;=$B$7,$C$7,IF(B44&lt;=$B$8,$C$8,$C$9)))</f>
        <v>50</v>
      </c>
      <c r="D44" s="28" t="n">
        <f aca="false">B44*($E$3-C44)</f>
        <v>273.75</v>
      </c>
      <c r="E44" s="20" t="n">
        <f aca="false">IFERROR(C44/$E$3,0)</f>
        <v>0.578034682080925</v>
      </c>
      <c r="I44" s="13" t="s">
        <v>108</v>
      </c>
    </row>
    <row r="45" customFormat="false" ht="15" hidden="false" customHeight="false" outlineLevel="0" collapsed="false">
      <c r="A45" s="16" t="s">
        <v>161</v>
      </c>
      <c r="B45" s="17" t="n">
        <v>18.3</v>
      </c>
      <c r="C45" s="18" t="n">
        <f aca="false">IF(B45&lt;=$B$6,$C$6,IF(B45&lt;=$B$7,$C$7,IF(B45&lt;=$B$8,$C$8,$C$9)))</f>
        <v>50</v>
      </c>
      <c r="D45" s="28" t="n">
        <f aca="false">B45*($E$3-C45)</f>
        <v>667.95</v>
      </c>
      <c r="E45" s="20" t="n">
        <f aca="false">IFERROR(C45/$E$3,0)</f>
        <v>0.578034682080925</v>
      </c>
      <c r="I45" s="13" t="s">
        <v>108</v>
      </c>
    </row>
    <row r="46" customFormat="false" ht="15" hidden="false" customHeight="false" outlineLevel="0" collapsed="false">
      <c r="A46" s="16" t="s">
        <v>162</v>
      </c>
      <c r="B46" s="17" t="n">
        <v>30.8</v>
      </c>
      <c r="C46" s="18" t="n">
        <f aca="false">IF(B46&lt;=$B$6,$C$6,IF(B46&lt;=$B$7,$C$7,IF(B46&lt;=$B$8,$C$8,$C$9)))</f>
        <v>50</v>
      </c>
      <c r="D46" s="28" t="n">
        <f aca="false">B46*($E$3-C46)</f>
        <v>1124.2</v>
      </c>
      <c r="E46" s="20" t="n">
        <f aca="false">IFERROR(C46/$E$3,0)</f>
        <v>0.578034682080925</v>
      </c>
      <c r="I46" s="13" t="s">
        <v>108</v>
      </c>
    </row>
    <row r="47" customFormat="false" ht="15" hidden="false" customHeight="false" outlineLevel="0" collapsed="false">
      <c r="A47" s="16" t="s">
        <v>163</v>
      </c>
      <c r="B47" s="17" t="n">
        <v>45.7</v>
      </c>
      <c r="C47" s="18" t="n">
        <f aca="false">IF(B47&lt;=$B$6,$C$6,IF(B47&lt;=$B$7,$C$7,IF(B47&lt;=$B$8,$C$8,$C$9)))</f>
        <v>50</v>
      </c>
      <c r="D47" s="28" t="n">
        <f aca="false">B47*($E$3-C47)</f>
        <v>1668.05</v>
      </c>
      <c r="E47" s="20" t="n">
        <f aca="false">IFERROR(C47/$E$3,0)</f>
        <v>0.578034682080925</v>
      </c>
      <c r="I47" s="13" t="s">
        <v>108</v>
      </c>
    </row>
    <row r="48" customFormat="false" ht="15" hidden="false" customHeight="false" outlineLevel="0" collapsed="false">
      <c r="A48" s="16" t="s">
        <v>164</v>
      </c>
      <c r="B48" s="17" t="n">
        <v>64.2</v>
      </c>
      <c r="C48" s="18" t="n">
        <f aca="false">IF(B48&lt;=$B$6,$C$6,IF(B48&lt;=$B$7,$C$7,IF(B48&lt;=$B$8,$C$8,$C$9)))</f>
        <v>50</v>
      </c>
      <c r="D48" s="28" t="n">
        <f aca="false">B48*($E$3-C48)</f>
        <v>2343.3</v>
      </c>
      <c r="E48" s="20" t="n">
        <f aca="false">IFERROR(C48/$E$3,0)</f>
        <v>0.578034682080925</v>
      </c>
      <c r="I48" s="13" t="s">
        <v>108</v>
      </c>
    </row>
    <row r="49" customFormat="false" ht="15" hidden="false" customHeight="false" outlineLevel="0" collapsed="false">
      <c r="A49" s="16" t="s">
        <v>165</v>
      </c>
      <c r="B49" s="17" t="n">
        <v>86</v>
      </c>
      <c r="C49" s="18" t="n">
        <f aca="false">IF(B49&lt;=$B$6,$C$6,IF(B49&lt;=$B$7,$C$7,IF(B49&lt;=$B$8,$C$8,$C$9)))</f>
        <v>50</v>
      </c>
      <c r="D49" s="28" t="n">
        <f aca="false">B49*($E$3-C49)</f>
        <v>3139</v>
      </c>
      <c r="E49" s="20" t="n">
        <f aca="false">IFERROR(C49/$E$3,0)</f>
        <v>0.578034682080925</v>
      </c>
      <c r="I49" s="13" t="s">
        <v>108</v>
      </c>
    </row>
    <row r="50" customFormat="false" ht="15" hidden="false" customHeight="false" outlineLevel="0" collapsed="false">
      <c r="A50" s="16" t="s">
        <v>166</v>
      </c>
      <c r="B50" s="17" t="n">
        <v>114.2</v>
      </c>
      <c r="C50" s="18" t="n">
        <f aca="false">IF(B50&lt;=$B$6,$C$6,IF(B50&lt;=$B$7,$C$7,IF(B50&lt;=$B$8,$C$8,$C$9)))</f>
        <v>79</v>
      </c>
      <c r="D50" s="28" t="n">
        <f aca="false">B50*($E$3-C50)</f>
        <v>856.5</v>
      </c>
      <c r="E50" s="20" t="n">
        <f aca="false">IFERROR(C50/$E$3,0)</f>
        <v>0.913294797687861</v>
      </c>
      <c r="I50" s="13" t="s">
        <v>108</v>
      </c>
    </row>
    <row r="51" customFormat="false" ht="15" hidden="false" customHeight="false" outlineLevel="0" collapsed="false">
      <c r="A51" s="16" t="s">
        <v>167</v>
      </c>
      <c r="B51" s="17" t="n">
        <v>163.9</v>
      </c>
      <c r="C51" s="18" t="n">
        <f aca="false">IF(B51&lt;=$B$6,$C$6,IF(B51&lt;=$B$7,$C$7,IF(B51&lt;=$B$8,$C$8,$C$9)))</f>
        <v>79</v>
      </c>
      <c r="D51" s="28" t="n">
        <f aca="false">B51*($E$3-C51)</f>
        <v>1229.25</v>
      </c>
      <c r="E51" s="20" t="n">
        <f aca="false">IFERROR(C51/$E$3,0)</f>
        <v>0.913294797687861</v>
      </c>
      <c r="I51" s="13" t="s">
        <v>108</v>
      </c>
    </row>
    <row r="52" customFormat="false" ht="15" hidden="false" customHeight="false" outlineLevel="0" collapsed="false">
      <c r="A52" s="16" t="s">
        <v>168</v>
      </c>
      <c r="B52" s="17" t="n">
        <v>481.8</v>
      </c>
      <c r="C52" s="18" t="n">
        <f aca="false">IF(B52&lt;=$B$6,$C$6,IF(B52&lt;=$B$7,$C$7,IF(B52&lt;=$B$8,$C$8,$C$9)))</f>
        <v>94</v>
      </c>
      <c r="D52" s="28" t="n">
        <f aca="false">B52*($E$3-C52)</f>
        <v>-3613.5</v>
      </c>
      <c r="E52" s="20" t="n">
        <f aca="false">IFERROR(C52/$E$3,0)</f>
        <v>1.08670520231214</v>
      </c>
      <c r="I52" s="13" t="s">
        <v>108</v>
      </c>
    </row>
    <row r="53" customFormat="false" ht="15" hidden="false" customHeight="false" outlineLevel="0" collapsed="false">
      <c r="A53" s="13"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4"/>
    <col collapsed="false" customWidth="true" hidden="false" outlineLevel="0" max="8" min="6" style="0" width="15"/>
    <col collapsed="false" customWidth="true" hidden="false" outlineLevel="0" max="9" min="9" style="0" width="60"/>
  </cols>
  <sheetData>
    <row r="1" customFormat="false" ht="17.35" hidden="false" customHeight="false" outlineLevel="0" collapsed="false">
      <c r="A1" s="4" t="s">
        <v>170</v>
      </c>
    </row>
    <row r="2" customFormat="false" ht="15" hidden="false" customHeight="false" outlineLevel="0" collapsed="false">
      <c r="A2" s="13" t="s">
        <v>171</v>
      </c>
    </row>
    <row r="4" customFormat="false" ht="15" hidden="false" customHeight="false" outlineLevel="0" collapsed="false">
      <c r="A4" s="14" t="s">
        <v>172</v>
      </c>
      <c r="B4" s="15"/>
      <c r="C4" s="15"/>
      <c r="D4" s="15"/>
      <c r="E4" s="15"/>
      <c r="F4" s="15"/>
      <c r="G4" s="15"/>
      <c r="H4" s="15"/>
      <c r="I4" s="15"/>
      <c r="J4" s="15"/>
    </row>
    <row r="5" customFormat="false" ht="15" hidden="false" customHeight="false" outlineLevel="0" collapsed="false">
      <c r="A5" s="16" t="s">
        <v>173</v>
      </c>
      <c r="B5" s="29" t="n">
        <v>0.16</v>
      </c>
      <c r="I5" s="13" t="s">
        <v>174</v>
      </c>
    </row>
    <row r="6" customFormat="false" ht="15" hidden="false" customHeight="false" outlineLevel="0" collapsed="false">
      <c r="A6" s="16" t="s">
        <v>175</v>
      </c>
      <c r="B6" s="29" t="n">
        <v>0.09</v>
      </c>
      <c r="I6" s="13" t="s">
        <v>176</v>
      </c>
    </row>
    <row r="7" customFormat="false" ht="15" hidden="false" customHeight="false" outlineLevel="0" collapsed="false">
      <c r="A7" s="16" t="s">
        <v>177</v>
      </c>
      <c r="B7" s="30" t="n">
        <f aca="false">110000/180</f>
        <v>611.111111111111</v>
      </c>
      <c r="I7" s="13" t="s">
        <v>178</v>
      </c>
    </row>
    <row r="8" customFormat="false" ht="15" hidden="false" customHeight="false" outlineLevel="0" collapsed="false">
      <c r="A8" s="22" t="s">
        <v>179</v>
      </c>
      <c r="B8" s="23" t="n">
        <f aca="false">B5*B7</f>
        <v>97.7777777777778</v>
      </c>
    </row>
    <row r="9" customFormat="false" ht="15" hidden="false" customHeight="false" outlineLevel="0" collapsed="false">
      <c r="A9" s="16" t="s">
        <v>180</v>
      </c>
      <c r="B9" s="18" t="n">
        <f aca="false">B6*B7</f>
        <v>55</v>
      </c>
    </row>
    <row r="10" customFormat="false" ht="15" hidden="false" customHeight="false" outlineLevel="0" collapsed="false">
      <c r="A10" s="16" t="s">
        <v>181</v>
      </c>
      <c r="B10" s="21" t="n">
        <f aca="false">IFERROR(B6/B5,0)</f>
        <v>0.5625</v>
      </c>
    </row>
    <row r="11" customFormat="false" ht="15" hidden="false" customHeight="false" outlineLevel="0" collapsed="false">
      <c r="A11" s="13" t="s">
        <v>182</v>
      </c>
    </row>
    <row r="12" customFormat="false" ht="15" hidden="false" customHeight="false" outlineLevel="0" collapsed="false">
      <c r="A12" s="13" t="s">
        <v>183</v>
      </c>
    </row>
    <row r="14" customFormat="false" ht="15" hidden="false" customHeight="false" outlineLevel="0" collapsed="false">
      <c r="A14" s="14" t="s">
        <v>184</v>
      </c>
      <c r="B14" s="15"/>
      <c r="C14" s="15"/>
      <c r="D14" s="15"/>
      <c r="E14" s="15"/>
      <c r="F14" s="15"/>
      <c r="G14" s="15"/>
      <c r="H14" s="15"/>
      <c r="I14" s="15"/>
      <c r="J14" s="15"/>
    </row>
    <row r="15" customFormat="false" ht="45" hidden="false" customHeight="true" outlineLevel="0" collapsed="false">
      <c r="A15" s="5" t="s">
        <v>185</v>
      </c>
      <c r="B15" s="5" t="s">
        <v>186</v>
      </c>
      <c r="C15" s="5" t="s">
        <v>187</v>
      </c>
      <c r="D15" s="5" t="s">
        <v>43</v>
      </c>
      <c r="E15" s="5" t="s">
        <v>188</v>
      </c>
      <c r="F15" s="5" t="s">
        <v>189</v>
      </c>
      <c r="G15" s="5" t="s">
        <v>190</v>
      </c>
      <c r="H15" s="5" t="s">
        <v>191</v>
      </c>
      <c r="I15" s="5" t="s">
        <v>48</v>
      </c>
    </row>
    <row r="16" customFormat="false" ht="15" hidden="false" customHeight="false" outlineLevel="0" collapsed="false">
      <c r="A16" s="16" t="s">
        <v>192</v>
      </c>
      <c r="B16" s="17" t="n">
        <v>49.08</v>
      </c>
      <c r="C16" s="18" t="n">
        <f aca="false">$B$8</f>
        <v>97.7777777777778</v>
      </c>
      <c r="D16" s="20" t="n">
        <f aca="false">IFERROR(B16/C16,0)</f>
        <v>0.501954545454545</v>
      </c>
      <c r="E16" s="18" t="n">
        <f aca="false">C16-B16</f>
        <v>48.6977777777778</v>
      </c>
      <c r="F16" s="31" t="n">
        <v>100</v>
      </c>
      <c r="G16" s="28" t="n">
        <f aca="false">F16*E16</f>
        <v>4869.77777777778</v>
      </c>
      <c r="H16" s="21" t="n">
        <f aca="false">IFERROR(1-B16/$B$16,0)</f>
        <v>0</v>
      </c>
      <c r="I16" s="13" t="s">
        <v>193</v>
      </c>
    </row>
    <row r="17" customFormat="false" ht="15" hidden="false" customHeight="false" outlineLevel="0" collapsed="false">
      <c r="A17" s="16" t="s">
        <v>194</v>
      </c>
      <c r="B17" s="17" t="n">
        <v>44.64</v>
      </c>
      <c r="C17" s="18" t="n">
        <f aca="false">$B$8</f>
        <v>97.7777777777778</v>
      </c>
      <c r="D17" s="20" t="n">
        <f aca="false">IFERROR(B17/C17,0)</f>
        <v>0.456545454545455</v>
      </c>
      <c r="E17" s="18" t="n">
        <f aca="false">C17-B17</f>
        <v>53.1377777777778</v>
      </c>
      <c r="F17" s="31" t="n">
        <v>300</v>
      </c>
      <c r="G17" s="28" t="n">
        <f aca="false">F17*E17</f>
        <v>15941.3333333333</v>
      </c>
      <c r="H17" s="21" t="n">
        <f aca="false">IFERROR(1-B17/$B$16,0)</f>
        <v>0.0904645476772615</v>
      </c>
      <c r="I17" s="13" t="s">
        <v>108</v>
      </c>
    </row>
    <row r="18" customFormat="false" ht="15" hidden="false" customHeight="false" outlineLevel="0" collapsed="false">
      <c r="A18" s="16" t="s">
        <v>195</v>
      </c>
      <c r="B18" s="17" t="n">
        <v>43.56</v>
      </c>
      <c r="C18" s="18" t="n">
        <f aca="false">$B$8</f>
        <v>97.7777777777778</v>
      </c>
      <c r="D18" s="20" t="n">
        <f aca="false">IFERROR(B18/C18,0)</f>
        <v>0.4455</v>
      </c>
      <c r="E18" s="18" t="n">
        <f aca="false">C18-B18</f>
        <v>54.2177777777778</v>
      </c>
      <c r="F18" s="31" t="n">
        <v>600</v>
      </c>
      <c r="G18" s="28" t="n">
        <f aca="false">F18*E18</f>
        <v>32530.6666666667</v>
      </c>
      <c r="H18" s="21" t="n">
        <f aca="false">IFERROR(1-B18/$B$16,0)</f>
        <v>0.112469437652812</v>
      </c>
      <c r="I18" s="13" t="s">
        <v>108</v>
      </c>
    </row>
    <row r="19" customFormat="false" ht="15" hidden="false" customHeight="false" outlineLevel="0" collapsed="false">
      <c r="A19" s="16" t="s">
        <v>196</v>
      </c>
      <c r="B19" s="17" t="n">
        <v>31.2</v>
      </c>
      <c r="C19" s="18" t="n">
        <f aca="false">$B$8</f>
        <v>97.7777777777778</v>
      </c>
      <c r="D19" s="20" t="n">
        <f aca="false">IFERROR(B19/C19,0)</f>
        <v>0.319090909090909</v>
      </c>
      <c r="E19" s="18" t="n">
        <f aca="false">C19-B19</f>
        <v>66.5777777777778</v>
      </c>
      <c r="F19" s="31" t="n">
        <v>1200</v>
      </c>
      <c r="G19" s="28" t="n">
        <f aca="false">F19*E19</f>
        <v>79893.3333333333</v>
      </c>
      <c r="H19" s="21" t="n">
        <f aca="false">IFERROR(1-B19/$B$16,0)</f>
        <v>0.364303178484108</v>
      </c>
      <c r="I19" s="13" t="s">
        <v>108</v>
      </c>
    </row>
    <row r="20" customFormat="false" ht="15" hidden="false" customHeight="false" outlineLevel="0" collapsed="false">
      <c r="A20" s="16" t="s">
        <v>197</v>
      </c>
      <c r="B20" s="17" t="n">
        <v>43.56</v>
      </c>
      <c r="C20" s="18" t="n">
        <f aca="false">$B$8</f>
        <v>97.7777777777778</v>
      </c>
      <c r="D20" s="20" t="n">
        <f aca="false">IFERROR(B20/C20,0)</f>
        <v>0.4455</v>
      </c>
      <c r="E20" s="18" t="n">
        <f aca="false">C20-B20</f>
        <v>54.2177777777778</v>
      </c>
      <c r="H20" s="21" t="n">
        <f aca="false">IFERROR(1-B20/$B$16,0)</f>
        <v>0.112469437652812</v>
      </c>
      <c r="I20" s="13" t="s">
        <v>108</v>
      </c>
    </row>
    <row r="21" customFormat="false" ht="15" hidden="false" customHeight="false" outlineLevel="0" collapsed="false">
      <c r="A21" s="13" t="s">
        <v>198</v>
      </c>
    </row>
    <row r="22" customFormat="false" ht="15" hidden="false" customHeight="false" outlineLevel="0" collapsed="false">
      <c r="A22" s="22" t="s">
        <v>199</v>
      </c>
      <c r="G22" s="26" t="n">
        <f aca="false">IFERROR(G19/G16,0)</f>
        <v>16.4059505339053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2026-10-17T18:20:49Z</dcterms:created>
  <dc:creator>openpyxl</dc:creator>
  <dc:description/>
  <dc:language>en-US</dc:language>
  <cp:lastModifiedBy/>
  <dcterms:modified xsi:type="dcterms:W3CDTF">2026-10-17T18:20:49Z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