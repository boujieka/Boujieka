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CEMAC_Comparaison" sheetId="2" state="visible" r:id="rId4"/>
    <sheet name="Synthese_equite" sheetId="3" state="visible" r:id="rId5"/>
    <sheet name="CMR_Segments" sheetId="4" state="visible" r:id="rId6"/>
    <sheet name="CMR_Residentiel" sheetId="5" state="visible" r:id="rId7"/>
    <sheet name="COG_Segments" sheetId="6" state="visible" r:id="rId8"/>
    <sheet name="GAB" sheetId="7" state="visible" r:id="rId9"/>
    <sheet name="TCD" sheetId="8" state="visible" r:id="rId10"/>
    <sheet name="CAF" sheetId="9" state="visible" r:id="rId11"/>
    <sheet name="GNQ"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<sst xmlns="http://schemas.openxmlformats.org/spreadsheetml/2006/main" count="554" uniqueCount="405">
  <si>
    <t xml:space="preserve">Analyse de l'équité tarifaire — électricité, Cameroun et Congo</t>
  </si>
  <si>
    <t xml:space="preserve">Objet : comparer les tarifs réglementés en vigueur au coût du service de chaque segment, puis juger l'équité (entre segments, entre petits et gros consommateurs, envers les non-raccordés).</t>
  </si>
  <si>
    <t xml:space="preserve">SOURCES</t>
  </si>
  <si>
    <t xml:space="preserve">• ARSEL, décision n°0096/ARSEL/DG/DCEC/SDCT du 28 mai 2012 (tarifs HT en vigueur depuis le 1er juin 2012), https://arsel-cm.org/tarifs-basse-tension/</t>
  </si>
  <si>
    <t xml:space="preserve">• ARSEL / Banque mondiale, « Cameroun – Étude des coûts du service et des tarifs de l'électricité, R4 », MRC &amp; Phoenix, déc. 2022, http://arsel-cm.org/wp-content/uploads/2026/02/CMR-142-CoSTariff-R4-revise_dec-2022.pdf</t>
  </si>
  <si>
    <t xml:space="preserve">• Compact énergétique du Cameroun (Mission 300), annexe II, https://thedocs.worldbank.org/en/doc/230ea6e10398ad291f50a89d2d458c8f-0010012025/original/Cameroon-National-Energy-Compact-Mission-300.pdf</t>
  </si>
  <si>
    <t xml:space="preserve">• Pacte national énergétique de la République du Congo (Mission 300), https://thedocs.worldbank.org/en/doc/ce91545b5a0c9e201bc7622f58b26618-0010012025/original/Congo-National-Energy-Compact-Mission-300.pdf</t>
  </si>
  <si>
    <t xml:space="preserve">• Arrêté n°681 du 19 mars 1994, tel que reproduit par E2C (https://e2c.cg/node/45) et l'ancienne SNE ; page consultée via index de recherche le 17/10/2026, site E2C inaccessible (HTTP 403) : à revérifier sur le texte de l'arrêté</t>
  </si>
  <si>
    <t xml:space="preserve">POINT DE MÉTHODE ESSENTIEL</t>
  </si>
  <si>
    <t xml:space="preserve">Les deux pactes ne publient qu'un coût MOYEN, pas de coût par segment. Pour le Cameroun, le coût par niveau de tension provient de l'étude de coût de service commandée pour l'ARSEL (2022). Pour le Congo, seul le coût moyen du pacte est disponible : le jugement porte sur la structure de la grille, pas sur un coût par segment.</t>
  </si>
  <si>
    <t xml:space="preserve">CODE COULEUR</t>
  </si>
  <si>
    <t xml:space="preserve">Bleu : donnée saisie depuis une source. Noir : formule. Vert : lien entre feuilles. Fond jaune : hypothèse de l'analyse (pas une donnée source).</t>
  </si>
  <si>
    <t xml:space="preserve">EXTENSION CEMAC</t>
  </si>
  <si>
    <t xml:space="preserve">Feuilles GAB, TCD, CAF, GNQ et CEMAC_Comparaison : grilles en vigueur rapportées au seul coût MOYEN disponible (aucun pays ne publie de coût par segment, sauf le Cameroun). Sources en colonne I de chaque feuille.</t>
  </si>
  <si>
    <t xml:space="preserve">CEMAC — équité tarifaire de l'électricité, vue comparative</t>
  </si>
  <si>
    <t xml:space="preserve">Tous les prix en FCFA (XAF), monnaie commune. Coûts moyens de sources hétérogènes (années et périmètres différents) : comparer les ordres de grandeur, pas les décimales.</t>
  </si>
  <si>
    <t xml:space="preserve">Indicateur</t>
  </si>
  <si>
    <t xml:space="preserve">Cameroun</t>
  </si>
  <si>
    <t xml:space="preserve">Congo</t>
  </si>
  <si>
    <t xml:space="preserve">Gabon</t>
  </si>
  <si>
    <t xml:space="preserve">Tchad</t>
  </si>
  <si>
    <t xml:space="preserve">Centrafrique</t>
  </si>
  <si>
    <t xml:space="preserve">Guinée éq.</t>
  </si>
  <si>
    <t xml:space="preserve">Opérateur</t>
  </si>
  <si>
    <t xml:space="preserve">ENEO</t>
  </si>
  <si>
    <t xml:space="preserve">E2C</t>
  </si>
  <si>
    <t xml:space="preserve">SEEG</t>
  </si>
  <si>
    <t xml:space="preserve">SNE, devenue TchadElec (2025)</t>
  </si>
  <si>
    <t xml:space="preserve">ENERCA</t>
  </si>
  <si>
    <t xml:space="preserve">SEGESA</t>
  </si>
  <si>
    <t xml:space="preserve">Texte tarifaire de référence</t>
  </si>
  <si>
    <t xml:space="preserve">ARSEL, décision 0096 (2012)</t>
  </si>
  <si>
    <t xml:space="preserve">Arrêté 681 (1994)</t>
  </si>
  <si>
    <t xml:space="preserve">Barème SEEG (2020), gel 2018</t>
  </si>
  <si>
    <t xml:space="preserve">Arrêté de 2012</t>
  </si>
  <si>
    <t xml:space="preserve">Grille déc. 2016</t>
  </si>
  <si>
    <t xml:space="preserve">Loi du 21/05/2002</t>
  </si>
  <si>
    <t xml:space="preserve">Tarif du plus petit consommateur résidentiel (FCFA/kWh)</t>
  </si>
  <si>
    <t xml:space="preserve">Tarif du gros consommateur résidentiel (FCFA/kWh)</t>
  </si>
  <si>
    <t xml:space="preserve">Petit / gros (&lt; 1 = progressif ; &gt; 1 = régressif)</t>
  </si>
  <si>
    <t xml:space="preserve">Coût moyen de référence (FCFA/kWh)</t>
  </si>
  <si>
    <t xml:space="preserve">n.d.</t>
  </si>
  <si>
    <t xml:space="preserve">Nature du coût de référence</t>
  </si>
  <si>
    <t xml:space="preserve">Coût du service 2025 (étude ARSEL)</t>
  </si>
  <si>
    <t xml:space="preserve">Coût du service (pacte)</t>
  </si>
  <si>
    <t xml:space="preserve">Coût de revient 2024 (pacte, partiel ?)</t>
  </si>
  <si>
    <t xml:space="preserve">Coût de production (pacte)</t>
  </si>
  <si>
    <t xml:space="preserve">Coût de fourniture 2014 (Banque mondiale)</t>
  </si>
  <si>
    <t xml:space="preserve">—</t>
  </si>
  <si>
    <t xml:space="preserve">Tarif du petit consommateur / coût moyen</t>
  </si>
  <si>
    <t xml:space="preserve">Tranche ou tarif social explicite</t>
  </si>
  <si>
    <t xml:space="preserve">Oui (≤ 110 kWh, 50 FCFA)</t>
  </si>
  <si>
    <t xml:space="preserve">Non</t>
  </si>
  <si>
    <t xml:space="preserve">Oui : 1 kW à 52,40 et 2 kW à 84,68 FCFA/kWh</t>
  </si>
  <si>
    <t xml:space="preserve">Partiel : tranche 0–150 kWh à 85 FCFA ; gratuité ≤ 300 kWh/mois en 2024 (circulaire, source secondaire)</t>
  </si>
  <si>
    <t xml:space="preserve">Tranche 1–150 kWh à 60 FCFA (loi 2002)</t>
  </si>
  <si>
    <t xml:space="preserve">Accès national</t>
  </si>
  <si>
    <t xml:space="preserve">Accès rural</t>
  </si>
  <si>
    <t xml:space="preserve">Source de l'accès</t>
  </si>
  <si>
    <t xml:space="preserve">Étude ARSEL 2022 (§1.1)</t>
  </si>
  <si>
    <t xml:space="preserve">Pacte Congo p.13 (ménages)</t>
  </si>
  <si>
    <t xml:space="preserve">Pacte p.15</t>
  </si>
  <si>
    <t xml:space="preserve">Pacte p.12</t>
  </si>
  <si>
    <t xml:space="preserve">Pacte p.3</t>
  </si>
  <si>
    <t xml:space="preserve">WDI 2024</t>
  </si>
  <si>
    <t xml:space="preserve">Coût par segment publié ?</t>
  </si>
  <si>
    <t xml:space="preserve">Oui (par tension, étude ARSEL)</t>
  </si>
  <si>
    <t xml:space="preserve">Non (étude 2022 non publiée)</t>
  </si>
  <si>
    <t xml:space="preserve">Jugement d'équité</t>
  </si>
  <si>
    <t xml:space="preserve">Équitable entre ménages raccordés ; inéquitable entre segments (ALUCAM, MT)</t>
  </si>
  <si>
    <t xml:space="preserve">Inéquitable (régressif, sans tarif social)</t>
  </si>
  <si>
    <t xml:space="preserve">Relativement équitable entre ménages ; inconnu entre segments</t>
  </si>
  <si>
    <t xml:space="preserve">Fortement inéquitable (exclusion)</t>
  </si>
  <si>
    <t xml:space="preserve">Inéquitable (sans tarif social, écart Bangui / province)</t>
  </si>
  <si>
    <t xml:space="preserve">Non jugeable (données de 2002)</t>
  </si>
  <si>
    <t xml:space="preserve">Accès Cameroun : chiffre de l'étude ARSEL (63 %, rural 23 %). Accès Congo : part des ménages (31 %), le chiffre de population diffère. Accès Tchad : 11 % (pacte) contre 6,4 % (Banque mondiale 2022). Tarifs RCA TTC, les autres HT. Cameroun : coût moyen global (69,8) retenu pour la comparabilité ; rapporté au coût BT (86,5), le ratio du petit consommateur est 0,58.</t>
  </si>
  <si>
    <t xml:space="preserve">Jugement d'équité tarifaire — grille de lecture</t>
  </si>
  <si>
    <t xml:space="preserve">Critère</t>
  </si>
  <si>
    <t xml:space="preserve">Lecture</t>
  </si>
  <si>
    <t xml:space="preserve">Couverture moyenne du coût par le tarif</t>
  </si>
  <si>
    <t xml:space="preserve">&lt; 1 : le tarif ne couvre pas le coût ; l'écart est payé par l'État, la dette ou la dégradation du service.</t>
  </si>
  <si>
    <t xml:space="preserve">Tarif/coût — ménages résidentiels</t>
  </si>
  <si>
    <t xml:space="preserve">Congo : petit abonné monophasé.</t>
  </si>
  <si>
    <t xml:space="preserve">Tarif/coût — MT (PME, tertiaire, industrie moyenne)</t>
  </si>
  <si>
    <t xml:space="preserve">Congo : grille MT non trouvée.</t>
  </si>
  <si>
    <t xml:space="preserve">Tarif/coût — plus gros consommateur</t>
  </si>
  <si>
    <t xml:space="preserve">Cameroun : ALUCAM. Congo : triphasé &gt; 900 kWh/mois.</t>
  </si>
  <si>
    <t xml:space="preserve">Écart de traitement entre segments (max/min du ratio)</t>
  </si>
  <si>
    <t xml:space="preserve">Plus il est élevé, plus le tarif s'éloigne du coût de manière différenciée.</t>
  </si>
  <si>
    <t xml:space="preserve">Part des subventions brutes captée par le plus gros consommateur</t>
  </si>
  <si>
    <t xml:space="preserve">Cameroun : un seul client industriel (ALUCAM).</t>
  </si>
  <si>
    <t xml:space="preserve">Prix au kWh : petit consommateur / gros consommateur</t>
  </si>
  <si>
    <t xml:space="preserve">&lt; 1 = progressif (le petit paie moins) ; &gt; 1 = régressif.</t>
  </si>
  <si>
    <t xml:space="preserve">Part de la subvention résidentielle allant à la tranche sociale (0–110 kWh)</t>
  </si>
  <si>
    <t xml:space="preserve">Cameroun : part des subventions positives, volumes 2020, coût BT 2025.</t>
  </si>
  <si>
    <t xml:space="preserve">Effet de seuil au 111e kWh (FCFA/mois)</t>
  </si>
  <si>
    <t xml:space="preserve">Facture qui augmente de plus de 3 000 FCFA pour 1 kWh de plus.</t>
  </si>
  <si>
    <t xml:space="preserve">Cameroun — tarifs réglementés et coût du service par segment</t>
  </si>
  <si>
    <t xml:space="preserve">Coût du service 2025 par niveau de tension (étude ARSEL, FCFA constants) ; tarifs moyens = grille ARSEL 2012 appliquée aux volumes projetés 2025 (statu quo).</t>
  </si>
  <si>
    <t xml:space="preserve">1. TARIF vs COÛT PAR SEGMENT — 2025, statu quo tarifaire</t>
  </si>
  <si>
    <t xml:space="preserve">Segment</t>
  </si>
  <si>
    <t xml:space="preserve">Tarif moyen (FCFA HT/kWh)</t>
  </si>
  <si>
    <t xml:space="preserve">Coût du service (FCFA/kWh)</t>
  </si>
  <si>
    <t xml:space="preserve">Volumes (GWh)</t>
  </si>
  <si>
    <t xml:space="preserve">Tarif / coût</t>
  </si>
  <si>
    <t xml:space="preserve">Subvention (+) / surcharge (−) par kWh</t>
  </si>
  <si>
    <t xml:space="preserve">Subvention nette (Md FCFA)</t>
  </si>
  <si>
    <t xml:space="preserve">Recettes (Md FCFA)</t>
  </si>
  <si>
    <t xml:space="preserve">Part des subventions brutes</t>
  </si>
  <si>
    <t xml:space="preserve">Source</t>
  </si>
  <si>
    <t xml:space="preserve">BT — résidentiels</t>
  </si>
  <si>
    <t xml:space="preserve">Étude ARSEL : Tab. 29 ; coût BT unique (Tab. 25)</t>
  </si>
  <si>
    <t xml:space="preserve">BT — non résidentiels</t>
  </si>
  <si>
    <t xml:space="preserve">Étude ARSEL : Tab. 29</t>
  </si>
  <si>
    <t xml:space="preserve">BT — éclairage public</t>
  </si>
  <si>
    <t xml:space="preserve">MT — moyenne industrie / tertiaire</t>
  </si>
  <si>
    <t xml:space="preserve">HT — ALUCAM (aluminium)</t>
  </si>
  <si>
    <t xml:space="preserve">Étude ARSEL : Tarif 2020 (Tab. 17), supposé inchangé ; volume 2025 Tab. 20</t>
  </si>
  <si>
    <t xml:space="preserve">HT — autres grands industriels</t>
  </si>
  <si>
    <t xml:space="preserve">Étude ARSEL : Tarif moyen 2020 (Tab. 17), supposé inchangé ; volume 2025 Tab. 20</t>
  </si>
  <si>
    <t xml:space="preserve">Total / moyenne</t>
  </si>
  <si>
    <t xml:space="preserve">Contrôle : l'étude donne 64,8 FCFA/kWh, 7 226 GWh, 468,0 Md et un déficit de 36,7 Md (Tab. 29).</t>
  </si>
  <si>
    <t xml:space="preserve">Coût unitaire du service par niveau de tension, 2025 (Tab. 25)</t>
  </si>
  <si>
    <t xml:space="preserve">BT</t>
  </si>
  <si>
    <t xml:space="preserve">Étude ARSEL, Tab. 25 (FCFA/kWh, 2025)</t>
  </si>
  <si>
    <t xml:space="preserve">MT</t>
  </si>
  <si>
    <t xml:space="preserve">HT</t>
  </si>
  <si>
    <t xml:space="preserve">Global</t>
  </si>
  <si>
    <t xml:space="preserve">Étude ARSEL, Tab. 25</t>
  </si>
  <si>
    <t xml:space="preserve">Méthode d'allocation : coûts de production et de réseau répartis au prorata des ventes par tension, sans responsabilité de pointe (§5.2.2). La pointe (20 h) étant résidentielle (§3.4), le coût BT est probablement sous-estimé et les coûts MT/HT surestimés.</t>
  </si>
  <si>
    <t xml:space="preserve">2. QUI FINANCE QUI ? (2025, statu quo)</t>
  </si>
  <si>
    <t xml:space="preserve">Subventions brutes reçues (segments sous le coût)</t>
  </si>
  <si>
    <t xml:space="preserve">Md FCFA</t>
  </si>
  <si>
    <t xml:space="preserve">  dont ALUCAM</t>
  </si>
  <si>
    <t xml:space="preserve">  dont ménages BT résidentiels</t>
  </si>
  <si>
    <t xml:space="preserve">Surcharges payées (segments au-dessus du coût)</t>
  </si>
  <si>
    <t xml:space="preserve">  dont MT</t>
  </si>
  <si>
    <t xml:space="preserve">Déficit restant (État / opérateur)</t>
  </si>
  <si>
    <t xml:space="preserve">Part d'ALUCAM dans les subventions brutes</t>
  </si>
  <si>
    <t xml:space="preserve">Part des ménages résidentiels dans les subventions brutes</t>
  </si>
  <si>
    <t xml:space="preserve">Subvention par kWh : ALUCAM / ménages résidentiels</t>
  </si>
  <si>
    <t xml:space="preserve">3. CHIFFRES DU PACTE (MOYENNES SEULEMENT — AUCUN COÛT PAR SEGMENT)</t>
  </si>
  <si>
    <t xml:space="preserve">Coût moyen par kWh</t>
  </si>
  <si>
    <t xml:space="preserve">FCFA/kWh</t>
  </si>
  <si>
    <t xml:space="preserve">Compact Cameroun, annexe II, Pilier I. Année et périmètre non précisés.</t>
  </si>
  <si>
    <t xml:space="preserve">Tarif moyen MT/BT</t>
  </si>
  <si>
    <t xml:space="preserve">Compact Cameroun, annexe II, Pilier V, 2025. HT/TTC non précisé.</t>
  </si>
  <si>
    <t xml:space="preserve">Subventions pour la réflectivité des charges de l'opérateur</t>
  </si>
  <si>
    <t xml:space="preserve">Compact Cameroun, annexe II, Pilier V, 2025 (estimation).</t>
  </si>
  <si>
    <t xml:space="preserve">Taux de recouvrement des factures</t>
  </si>
  <si>
    <t xml:space="preserve">%</t>
  </si>
  <si>
    <t xml:space="preserve">Compact Cameroun, annexe II, Pilier V, exercice courant.</t>
  </si>
  <si>
    <t xml:space="preserve">Pertes techniques</t>
  </si>
  <si>
    <t xml:space="preserve">Compact Cameroun, annexe II, Pilier V.</t>
  </si>
  <si>
    <t xml:space="preserve">Pertes non techniques</t>
  </si>
  <si>
    <t xml:space="preserve">Tarif moyen MT/BT / coût moyen (pacte)</t>
  </si>
  <si>
    <t xml:space="preserve">Ces moyennes (≈102,6 FCFA/kWh) ne sont pas comparables au coût de l'étude ARSEL (69,8 FCFA/kWh en monnaie constante 2022) : base monétaire, périmètre (pertes, taxes) et définition non précisés dans le pacte.</t>
  </si>
  <si>
    <t xml:space="preserve">Cameroun — équité à l'intérieur de la basse tension</t>
  </si>
  <si>
    <t xml:space="preserve">Grille ARSEL 2012 (HT). ENEO applique les tranches de façon EXCLUSIVE : toute la consommation du mois est facturée au prix de la tranche atteinte (étude ARSEL §2.2.2).</t>
  </si>
  <si>
    <t xml:space="preserve">Coût BT appliqué :</t>
  </si>
  <si>
    <t xml:space="preserve">1. GRILLE BT EN VIGUEUR vs COÛT BT</t>
  </si>
  <si>
    <t xml:space="preserve">Tranche (kWh/mois)</t>
  </si>
  <si>
    <t xml:space="preserve">Borne haute (kWh)</t>
  </si>
  <si>
    <t xml:space="preserve">Tarif (FCFA HT/kWh)</t>
  </si>
  <si>
    <t xml:space="preserve">Coût BT 2025 (FCFA/kWh)</t>
  </si>
  <si>
    <t xml:space="preserve">Subvention (+) par kWh</t>
  </si>
  <si>
    <t xml:space="preserve">Résidentiel 0–110</t>
  </si>
  <si>
    <t xml:space="preserve">ARSEL, décision n°0096/ARSEL/DG/DCEC/SDCT du 28 mai 2012 (tarifs HT en vigueur depuis le 1er juin 2012), https://arsel-cm.org/tarifs-basse-tension/</t>
  </si>
  <si>
    <t xml:space="preserve">Résidentiel 111–400</t>
  </si>
  <si>
    <t xml:space="preserve">Idem</t>
  </si>
  <si>
    <t xml:space="preserve">Résidentiel 401–800</t>
  </si>
  <si>
    <t xml:space="preserve">Résidentiel 801–2000</t>
  </si>
  <si>
    <t xml:space="preserve">Non résidentiel 0–110</t>
  </si>
  <si>
    <t xml:space="preserve">Non résidentiel 111–400</t>
  </si>
  <si>
    <t xml:space="preserve">Non résidentiel 401–1000</t>
  </si>
  <si>
    <t xml:space="preserve">Éclairage public (tarif unique)</t>
  </si>
  <si>
    <t xml:space="preserve">Le coût BT est un coût moyen unique pour tous les usages BT (l'étude ne distingue pas résidentiel et non résidentiel). Révision du 1/11/2024 (alignement du prépayé, bandes 111–220 / 221–400 rapportées par la presse) non retenue : aucune décision ARSEL publiée trouvée ; l'ARSEL affiche toujours la décision de 2012.</t>
  </si>
  <si>
    <t xml:space="preserve">2. FACTURES RÉSIDENTIELLES 2020 PAR TRANCHE (base de facturation ENEO)</t>
  </si>
  <si>
    <t xml:space="preserve">Tranche</t>
  </si>
  <si>
    <t xml:space="preserve">Nb de factures</t>
  </si>
  <si>
    <t xml:space="preserve">Volumes (MWh)</t>
  </si>
  <si>
    <t xml:space="preserve">Conso. moyenne (kWh/facture)</t>
  </si>
  <si>
    <t xml:space="preserve">Part des factures</t>
  </si>
  <si>
    <t xml:space="preserve">Part des volumes</t>
  </si>
  <si>
    <t xml:space="preserve">Subvention totale (Md FCFA)</t>
  </si>
  <si>
    <t xml:space="preserve">Part des subventions positives</t>
  </si>
  <si>
    <t xml:space="preserve">0–110</t>
  </si>
  <si>
    <t xml:space="preserve">Étude ARSEL, Tab. 4 (2020)</t>
  </si>
  <si>
    <t xml:space="preserve">111–400</t>
  </si>
  <si>
    <t xml:space="preserve">401–800</t>
  </si>
  <si>
    <t xml:space="preserve">801–2000</t>
  </si>
  <si>
    <t xml:space="preserve">Total</t>
  </si>
  <si>
    <t xml:space="preserve">Incohérence de la source : le Tab. 11 de l'étude indique 727 GWh pour la tranche &gt; 800 kWh (contre 226,9 GWh au Tab. 4). Le Tab. 4 est retenu car cohérent avec la consommation moyenne publiée (102 kWh/mois). Volumes 2020 valorisés au coût BT 2025 : ordre de grandeur, pas une comptabilité.</t>
  </si>
  <si>
    <t xml:space="preserve">3. SUBVENTION MENSUELLE PAR FACTURE SELON LA CONSOMMATION (facturation exclusive)</t>
  </si>
  <si>
    <t xml:space="preserve">Consommation (kWh/mois)</t>
  </si>
  <si>
    <t xml:space="preserve">Prix appliqué (FCFA HT/kWh)</t>
  </si>
  <si>
    <t xml:space="preserve">Facture HT (FCFA)</t>
  </si>
  <si>
    <t xml:space="preserve">Coût de fourniture (FCFA)</t>
  </si>
  <si>
    <t xml:space="preserve">Subvention (+) / surcharge (−) (FCFA/mois)</t>
  </si>
  <si>
    <t xml:space="preserve">Prix moyen / coût</t>
  </si>
  <si>
    <t xml:space="preserve">Repère</t>
  </si>
  <si>
    <t xml:space="preserve">Plafond du 3e décile de factures (Tab. 5)</t>
  </si>
  <si>
    <t xml:space="preserve">Médiane des factures 2020 (§3.1.2.2)</t>
  </si>
  <si>
    <t xml:space="preserve">Consommation moyenne résidentielle 2020 (Tab. 10)</t>
  </si>
  <si>
    <t xml:space="preserve">Dernier kWh de la tranche sociale</t>
  </si>
  <si>
    <t xml:space="preserve">Premier kWh de la tranche 2 : effet de seuil</t>
  </si>
  <si>
    <t xml:space="preserve">Plafond du 9e décile (Tab. 5)</t>
  </si>
  <si>
    <t xml:space="preserve">Fin de tranche 2</t>
  </si>
  <si>
    <t xml:space="preserve">Premier kWh de la tranche 3</t>
  </si>
  <si>
    <t xml:space="preserve">Fin de tranche 3</t>
  </si>
  <si>
    <t xml:space="preserve">Premier kWh de la tranche 4</t>
  </si>
  <si>
    <t xml:space="preserve">Gros consommateur</t>
  </si>
  <si>
    <t xml:space="preserve">Effet de seuil à 110→111 kWh : (facture à 111) − (facture à 110), FCFA</t>
  </si>
  <si>
    <t xml:space="preserve">4. SUBVENTION PAR DÉCILE DE FACTURES (consommation moyenne du décile, 2020)</t>
  </si>
  <si>
    <t xml:space="preserve">Décile de factures</t>
  </si>
  <si>
    <t xml:space="preserve">Conso. moyenne (kWh/mois)</t>
  </si>
  <si>
    <t xml:space="preserve">Prix appliqué</t>
  </si>
  <si>
    <t xml:space="preserve">Subvention (FCFA/mois)</t>
  </si>
  <si>
    <t xml:space="preserve">Prix / coût</t>
  </si>
  <si>
    <t xml:space="preserve">D1</t>
  </si>
  <si>
    <t xml:space="preserve">Étude ARSEL, Tab. 6 (2020)</t>
  </si>
  <si>
    <t xml:space="preserve">D2</t>
  </si>
  <si>
    <t xml:space="preserve">D3</t>
  </si>
  <si>
    <t xml:space="preserve">D4</t>
  </si>
  <si>
    <t xml:space="preserve">D5</t>
  </si>
  <si>
    <t xml:space="preserve">D6</t>
  </si>
  <si>
    <t xml:space="preserve">D7</t>
  </si>
  <si>
    <t xml:space="preserve">D8</t>
  </si>
  <si>
    <t xml:space="preserve">D9</t>
  </si>
  <si>
    <t xml:space="preserve">D10</t>
  </si>
  <si>
    <t xml:space="preserve">Limite : déciles de CONSOMMATION des abonnés raccordés, pas de revenu. La moyenne de D10 (481,8 kWh) masque des factures très hétérogènes. Les ménages non raccordés (≈37 % de la population, 77 % en rural selon l'étude) ne reçoivent rien.</t>
  </si>
  <si>
    <t xml:space="preserve">Congo — tarifs réglementés (1994) et coût du service</t>
  </si>
  <si>
    <t xml:space="preserve">Le pacte ne donne qu'un coût MOYEN du service ; aucun coût par segment n'est publié. Grille MT/HT et primes fixes BT non trouvées.</t>
  </si>
  <si>
    <t xml:space="preserve">1. COÛT DU SERVICE (moyenne, pacte national énergétique)</t>
  </si>
  <si>
    <t xml:space="preserve">Coût de fourniture du service</t>
  </si>
  <si>
    <t xml:space="preserve">Pacte Congo, p. 15 : tarifs recouvrant 56 % du coût (0,09 vs 0,16 USD/kWh).</t>
  </si>
  <si>
    <t xml:space="preserve">Tarif moyen</t>
  </si>
  <si>
    <t xml:space="preserve">Pacte Congo, p. 15 et annexe (« 0,091 $/kWh depuis 1994 »).</t>
  </si>
  <si>
    <t xml:space="preserve">Taux de change implicite du pacte (XAF par USD)</t>
  </si>
  <si>
    <t xml:space="preserve">Pacte Congo, p. 13 : frais de raccordement « 110 000 XAF (180 USD) ». Taux implicite, à remplacer par le taux de l'année de référence.</t>
  </si>
  <si>
    <t xml:space="preserve">Coût du service en FCFA/kWh</t>
  </si>
  <si>
    <t xml:space="preserve">Tarif moyen en FCFA/kWh</t>
  </si>
  <si>
    <t xml:space="preserve">Taux de couverture du coût (pacte : 56 %)</t>
  </si>
  <si>
    <t xml:space="preserve">Référence secondaire : coût moyen 94 FCFA/kWh, recette unitaire ≈48 FCFA/kWh (2016), étude ICEA-Ricardo 2017 citée par icea-consulting.com — page non consultable directement, non retenue dans les calculs.</t>
  </si>
  <si>
    <t xml:space="preserve">Pertes totales 45 % (2022), recouvrement 73 %, 40 % des clients facturés au forfait, accès des ménages 31 % (pacte, p. 13–15, 22).</t>
  </si>
  <si>
    <t xml:space="preserve">2. GRILLE BASSE TENSION (arrêté n°681 du 19 mars 1994) vs COÛT MOYEN</t>
  </si>
  <si>
    <t xml:space="preserve">Catégorie d'abonnement</t>
  </si>
  <si>
    <t xml:space="preserve">Tarif (FCFA/kWh)</t>
  </si>
  <si>
    <t xml:space="preserve">Coût moyen (FCFA/kWh)</t>
  </si>
  <si>
    <t xml:space="preserve">Subvention par kWh</t>
  </si>
  <si>
    <t xml:space="preserve">Conso. illustrative (kWh/mois)</t>
  </si>
  <si>
    <t xml:space="preserve">Subvention mensuelle (FCFA)</t>
  </si>
  <si>
    <t xml:space="preserve">Rabais vs petit abonné</t>
  </si>
  <si>
    <t xml:space="preserve">Monophasé 1,2 à 3 kW (T1–T3)</t>
  </si>
  <si>
    <t xml:space="preserve">Arrêté n°681 du 19 mars 1994, tel que reproduit par E2C (https://e2c.cg/node/45) et l'ancienne SNE ; page consultée via index de recherche le 17/10/2026, site E2C inaccessible (HTTP 403) : à revérifier sur le texte de l'arrêté</t>
  </si>
  <si>
    <t xml:space="preserve">Monophasé 5 et 9 kW</t>
  </si>
  <si>
    <t xml:space="preserve">Mono/triphasé ≥ 11,5 kW</t>
  </si>
  <si>
    <t xml:space="preserve">Triphasé, au-delà de 900 kWh/mois</t>
  </si>
  <si>
    <t xml:space="preserve">Éclairage public (T12, + 7 272 FCFA/mois)</t>
  </si>
  <si>
    <t xml:space="preserve">Consommations illustratives (jaune) : hypothèses de l'analyse, non tirées d'une source. Primes fixes mensuelles BT (« droit à la consommation ») non trouvées : elles réduisent ou accentuent la régressivité selon leur niveau.</t>
  </si>
  <si>
    <t xml:space="preserve">Rapport subvention mensuelle gros abonné / petit abonné</t>
  </si>
  <si>
    <t xml:space="preserve">Gabon — grille SEEG (HT) vs coût moyen du pacte</t>
  </si>
  <si>
    <t xml:space="preserve">Barème SEEG « valable à compter du 01/01/2020 », hors taxes ; aucun texte réglementaire cité. Tarifs gelés par décision gouvernementale depuis octobre 2018 (pacte p.40–41).</t>
  </si>
  <si>
    <t xml:space="preserve">1. RÉFÉRENCES DE COÛT (moyennes ; aucun coût par segment publié)</t>
  </si>
  <si>
    <t xml:space="preserve">Référence</t>
  </si>
  <si>
    <t xml:space="preserve">Valeur</t>
  </si>
  <si>
    <t xml:space="preserve">Unité</t>
  </si>
  <si>
    <t xml:space="preserve">XAF/USD</t>
  </si>
  <si>
    <t xml:space="preserve">Coût (FCFA/kWh)</t>
  </si>
  <si>
    <t xml:space="preserve">Coût moyen de revient 2024 (pacte)</t>
  </si>
  <si>
    <t xml:space="preserve">FCFA</t>
  </si>
  <si>
    <t xml:space="preserve">Pacte Gabon p.41 (https://mission300africa.org/wp-content/uploads/2026/06/Gabon-National-Energy-Compact-Mission-300.pdf). Probablement partiel : le pacte dit aussi que les tarifs ne couvrent pas les coûts de service.</t>
  </si>
  <si>
    <t xml:space="preserve">Coût d'exploitation des centrales au gazole (plafond)</t>
  </si>
  <si>
    <t xml:space="preserve">Pacte Gabon p.41 (« jusqu'à 250 FCFA/kWh »).</t>
  </si>
  <si>
    <t xml:space="preserve">Coût moyen retenu pour les ratios (choix de l'analyse)</t>
  </si>
  <si>
    <t xml:space="preserve">Modifiable : pointer vers une autre ligne pour tester la sensibilité.</t>
  </si>
  <si>
    <t xml:space="preserve">2. GRILLE TARIFAIRE vs COÛT MOYEN</t>
  </si>
  <si>
    <t xml:space="preserve">Catégorie / tranche</t>
  </si>
  <si>
    <t xml:space="preserve">Tarif min (FCFA/kWh)</t>
  </si>
  <si>
    <t xml:space="preserve">Tarif max (FCFA/kWh)</t>
  </si>
  <si>
    <t xml:space="preserve">Tarif min / coût</t>
  </si>
  <si>
    <t xml:space="preserve">Tarif max / coût</t>
  </si>
  <si>
    <t xml:space="preserve">Subvention par kWh (au tarif min)</t>
  </si>
  <si>
    <t xml:space="preserve">Note / source</t>
  </si>
  <si>
    <t xml:space="preserve">BT social S1 (1 kW, ≤ 120 kWh/mois)</t>
  </si>
  <si>
    <t xml:space="preserve">Barème p.6</t>
  </si>
  <si>
    <t xml:space="preserve">BT social S2+ER (2 kW, ≤ 240 kWh/mois)</t>
  </si>
  <si>
    <t xml:space="preserve">BT général 3 kW</t>
  </si>
  <si>
    <t xml:space="preserve">Barème p.7</t>
  </si>
  <si>
    <t xml:space="preserve">BT général 6 kW</t>
  </si>
  <si>
    <t xml:space="preserve">BT général 9 kW</t>
  </si>
  <si>
    <t xml:space="preserve">BT général 12 kW</t>
  </si>
  <si>
    <t xml:space="preserve">BT général 15 kW</t>
  </si>
  <si>
    <t xml:space="preserve">BT ≥ 18 kW longues utilisations (+ 5 602 F/kW/mois)</t>
  </si>
  <si>
    <t xml:space="preserve">BT ≥ 18 kW courtes utilisations (+ 2 435 F/kW/mois)</t>
  </si>
  <si>
    <t xml:space="preserve">MT Libreville, hors pointe (+ 7 552 à 17 311 F/kW/mois)</t>
  </si>
  <si>
    <t xml:space="preserve">Barème p.4 ; énergie seule, prime fixe en sus</t>
  </si>
  <si>
    <t xml:space="preserve">MT Libreville, pointe</t>
  </si>
  <si>
    <t xml:space="preserve">Barème p.4</t>
  </si>
  <si>
    <t xml:space="preserve">HTB Libreville, hors pointe (+ 5 214 à 11 970 F/kW/mois)</t>
  </si>
  <si>
    <t xml:space="preserve">Barème p.1 ; énergie seule, prime fixe en sus</t>
  </si>
  <si>
    <t xml:space="preserve">Prix au kWh : petit consommateur / gros consommateur résidentiel</t>
  </si>
  <si>
    <t xml:space="preserve">Rapport « BT social S1 (1 kW, ≤ 120 kWh/mois) » / « BT général 15 kW ». &lt; 1 = progressif.</t>
  </si>
  <si>
    <t xml:space="preserve">Les tarifs avec prime fixe (MT, HT, BT ≥ 18 kW) sont comparés sur leur seule part énergie : leur prix moyen réel dépend du taux d'utilisation de la puissance souscrite.</t>
  </si>
  <si>
    <t xml:space="preserve">3. INDICATEURS DE CONTEXTE</t>
  </si>
  <si>
    <t xml:space="preserve">Prix de vente moyen 2024</t>
  </si>
  <si>
    <t xml:space="preserve">Pacte p.41 (FCFA/kWh)</t>
  </si>
  <si>
    <t xml:space="preserve">Recouvrement des factures (y c. État)</t>
  </si>
  <si>
    <t xml:space="preserve">Pacte p.41</t>
  </si>
  <si>
    <t xml:space="preserve">Pertes totales (non auditées)</t>
  </si>
  <si>
    <t xml:space="preserve">Pacte p.40 et p.51</t>
  </si>
  <si>
    <t xml:space="preserve">Part des coûts d'exploitation et maintenance (O&amp;M) couverte (électricité, déc. 2024)</t>
  </si>
  <si>
    <t xml:space="preserve">Banque mondiale, PAD PASBAP p.37 (https://documents.worldbank.org/curated/en/099011626102575716/pdf/BOSIB-a852726a-9c2e-4d4e-8903-33e9705339c0.pdf)</t>
  </si>
  <si>
    <t xml:space="preserve">Accès national (réseau + mini-réseau)</t>
  </si>
  <si>
    <t xml:space="preserve">Pacte p.15 (EDSG-III 2019–21) ; jugé « optimiste » par le pacte</t>
  </si>
  <si>
    <t xml:space="preserve">Usagers sans compteur propre (alimentés par un voisin)</t>
  </si>
  <si>
    <t xml:space="preserve">Pacte (≈ 500 000)</t>
  </si>
  <si>
    <t xml:space="preserve">Jugement</t>
  </si>
  <si>
    <t xml:space="preserve">Le plus équitable de la CEMAC entre ménages : un tarif social explicite, des prix qui montent avec la puissance souscrite, un accès élevé. Réserves : (1) les quelque 500 000 usagers sans compteur ne bénéficient pas du tarif social ; (2) en heures creuses, l'énergie MT et HT coûte de 12 à 55 FCFA/kWh, sous le tarif social (prime fixe en sus) : impossible de trancher entre segments sans coût par tension ; (3) la couverture des coûts est incertaine (79,8 &lt; 103,2 selon le pacte, mais 83 % des coûts O&amp;M couverts selon la Banque mondiale).</t>
  </si>
  <si>
    <t xml:space="preserve">Tchad — grille de 2012 vs coût moyen de production</t>
  </si>
  <si>
    <t xml:space="preserve">Arrêté du ministère du Commerce d'août 2012 (numéro non trouvé), toujours la référence selon le pacte (p.23). Grille connue par une dépêche Xinhua reprise par Tchadoscopie (source secondaire) ; la fourchette 85–125 FCFA/kWh est confirmée par la Banque mondiale (PAD 2022, p.18).</t>
  </si>
  <si>
    <t xml:space="preserve">Coût moyen de production (pacte)</t>
  </si>
  <si>
    <t xml:space="preserve">Pacte Tchad p.22 (https://www.worldbank.org/content/dam/theworldbankgroupasset/document/2026/m300-energy-compacts/Chad-M300-AES-Compact.pdf) : « 200 FCFA / NA »</t>
  </si>
  <si>
    <t xml:space="preserve">Coût moyen de production (Banque mondiale, 2022)</t>
  </si>
  <si>
    <t xml:space="preserve">USD</t>
  </si>
  <si>
    <t xml:space="preserve">PAD P174495 p.18 et taux p.2 (CFAF 574,4 = 1 USD) (https://documents1.worldbank.org/curated/en/860701648216750651/pdf/Chad-Energy-Access-Scale-Up-Project.pdf)</t>
  </si>
  <si>
    <t xml:space="preserve">Coût du kWh moyen (pacte, nature ambiguë)</t>
  </si>
  <si>
    <t xml:space="preserve">Pacte p.23 : « Cout de kWh moyen : 0,175 USD » ; taux du PAD faute de taux dans le pacte</t>
  </si>
  <si>
    <t xml:space="preserve">BT domestique 0–150 kWh/mois</t>
  </si>
  <si>
    <t xml:space="preserve">https://tchadoscopie.over-blog.com/article-tchad-baisse-des-tarifs-de-l-electricite-pour-lutter-contre-la-fraude-110399447.html</t>
  </si>
  <si>
    <t xml:space="preserve">BT domestique &gt; 150 kWh/mois</t>
  </si>
  <si>
    <t xml:space="preserve">Force motrice</t>
  </si>
  <si>
    <t xml:space="preserve">Éclairage public</t>
  </si>
  <si>
    <t xml:space="preserve">Moyenne tension (tranche unique)</t>
  </si>
  <si>
    <t xml:space="preserve">Rapport « BT domestique 0–150 kWh/mois » / « BT domestique &gt; 150 kWh/mois ». &lt; 1 = progressif.</t>
  </si>
  <si>
    <t xml:space="preserve">Subventions à la SNE 2019 (en nature : combustible)</t>
  </si>
  <si>
    <t xml:space="preserve">PAD p.19 (0,8 % du PIB, ≈ 1 000 USD par client et par an)</t>
  </si>
  <si>
    <t xml:space="preserve">Accès à l'électricité (pacte)</t>
  </si>
  <si>
    <t xml:space="preserve">Pacte p.12 (rural &lt; 1 %, urbain 20 %)</t>
  </si>
  <si>
    <t xml:space="preserve">Accès à l'électricité (Banque mondiale)</t>
  </si>
  <si>
    <t xml:space="preserve">PAD p.40</t>
  </si>
  <si>
    <t xml:space="preserve">Pertes ATCC</t>
  </si>
  <si>
    <t xml:space="preserve">Pacte p.23</t>
  </si>
  <si>
    <t xml:space="preserve">Taux de recouvrement actuel</t>
  </si>
  <si>
    <t xml:space="preserve">Part des recettes SNE venant des 2 000 plus gros clients</t>
  </si>
  <si>
    <t xml:space="preserve">PAD p.21 (« more than 60 percent »)</t>
  </si>
  <si>
    <t xml:space="preserve">Ruraux ne pouvant payer plus de 10 USD/mois</t>
  </si>
  <si>
    <t xml:space="preserve">Pacte p.24</t>
  </si>
  <si>
    <t xml:space="preserve">Fortement inéquitable, surtout par exclusion. 6 à 11 % d'accès, et une subvention d'environ 1 000 USD par client et par an versée à quelque 70 000 clients, surtout urbains. La subvention par kWh (coût 200 − tarif) bénéficie d'abord aux 2 000 plus gros clients (plus de 60 % des recettes). La grille ne distingue pas la MT de la BT à plus de 150 kWh (125 FCFA) : rien ne reflète les coûts par tension.</t>
  </si>
  <si>
    <t xml:space="preserve">Centrafrique — grille ENERCA (déc. 2016, TTC) vs coût moyen</t>
  </si>
  <si>
    <t xml:space="preserve">Tableau « Structure tarifaire de l'électricité (Décembre 2016) », source DPED ébauche 2017, reproduit dans le rapport ONU Environnement-CCC (2020), p.54 (https://tech-action.unepccc.org/wp-content/uploads/sites/2/2022/04/rca-rapport-ii-abcp-attenuation-version-finale.pdf). Prix TVA incluse. Aucune référence réglementaire. Pacte p.28 : « absence d'ajustement tarifaire depuis trois décennies ».</t>
  </si>
  <si>
    <t xml:space="preserve">Coût de fourniture (données 2014, Banque mondiale)</t>
  </si>
  <si>
    <t xml:space="preserve">Kojima &amp; Trimble, WPS7788, tab. 6 (https://documents1.worldbank.org/curated/en/182071470748085038/pdf/WPS7788.pdf) ; repris par le PAD PURACEL 2022 ; taux implicite du pacte RCA (≈ 600 XAF/USD, p.10–18)</t>
  </si>
  <si>
    <t xml:space="preserve">BT éclairage, 50 premières heures</t>
  </si>
  <si>
    <t xml:space="preserve">Tranche 1 (heures d'utilisation)</t>
  </si>
  <si>
    <t xml:space="preserve">BT éclairage, au-delà de 100 h</t>
  </si>
  <si>
    <t xml:space="preserve">Tranche 3</t>
  </si>
  <si>
    <t xml:space="preserve">BT force motrice, 65 premières heures</t>
  </si>
  <si>
    <t xml:space="preserve">Tranche 1</t>
  </si>
  <si>
    <t xml:space="preserve">BT force motrice, au-delà de 95 h</t>
  </si>
  <si>
    <t xml:space="preserve">BT mixte, 65 premières heures</t>
  </si>
  <si>
    <t xml:space="preserve">BT mixte, au-delà de 130 h</t>
  </si>
  <si>
    <t xml:space="preserve">MT actif nuit / jour (+ 2 749,50 F/kW)</t>
  </si>
  <si>
    <t xml:space="preserve">Énergie seule</t>
  </si>
  <si>
    <t xml:space="preserve">Centres secondaires (15 centres)</t>
  </si>
  <si>
    <t xml:space="preserve">Hors réseau de Bangui</t>
  </si>
  <si>
    <t xml:space="preserve">Rapport « BT éclairage, 50 premières heures » / « BT éclairage, au-delà de 100 h ». &lt; 1 = progressif.</t>
  </si>
  <si>
    <t xml:space="preserve">Accès national 2024</t>
  </si>
  <si>
    <t xml:space="preserve">Pacte RCA p.3</t>
  </si>
  <si>
    <t xml:space="preserve">Recouvrement des factures</t>
  </si>
  <si>
    <t xml:space="preserve">Pacte p.17 (contre 67 % en 2020, PAD)</t>
  </si>
  <si>
    <t xml:space="preserve">Pertes techniques et non techniques</t>
  </si>
  <si>
    <t xml:space="preserve">Pacte p.28 (contre &gt; 29 %, PAD)</t>
  </si>
  <si>
    <t xml:space="preserve">Recouvrement effectif des coûts</t>
  </si>
  <si>
    <t xml:space="preserve">Banque mondiale, ICR 2024 (https://documents1.worldbank.org/curated/en/099121924112038518/pdf/BOSIB1dbdb1cd801919df014221470797fa.pdf)</t>
  </si>
  <si>
    <t xml:space="preserve">Branchements directs non régularisés</t>
  </si>
  <si>
    <t xml:space="preserve">Pacte p.28</t>
  </si>
  <si>
    <t xml:space="preserve">Créances impayées fin 2024</t>
  </si>
  <si>
    <t xml:space="preserve">Inéquitable. Aucune tranche sociale. La progressivité ne porte que sur les heures d'utilisation. Les 15 centres secondaires (villes de province) paient 160,84 FCFA/kWh, soit près du double de Bangui. L'énergie MT (30 à 42 FCFA) est bien moins chère que la BT. Accès de 16,8 % : 83 % de la population ne reçoit rien.</t>
  </si>
  <si>
    <t xml:space="preserve">Guinée équatoriale — loi tarifaire du 21 mai 2002 (statut actuel inconnu)</t>
  </si>
  <si>
    <t xml:space="preserve">Loi du 21 mai 2002, art. 7 à 9 (numéro non lisible) (https://faolex.fao.org/docs/pdf/eqg199462.pdf). Elle abroge le décret-loi n°41/1994. Aucun texte postérieur trouvé. Pas de pacte Mission 300.</t>
  </si>
  <si>
    <t xml:space="preserve">Aucun coût publié trouvé : ratios non calculables.</t>
  </si>
  <si>
    <t xml:space="preserve">Urbain thermique 1–150 kWh/mois</t>
  </si>
  <si>
    <t xml:space="preserve">Art. 7</t>
  </si>
  <si>
    <t xml:space="preserve">Urbain thermique 151–250</t>
  </si>
  <si>
    <t xml:space="preserve">Urbain thermique 251–500</t>
  </si>
  <si>
    <t xml:space="preserve">Urbain thermique 501–2 500</t>
  </si>
  <si>
    <t xml:space="preserve">Urbain thermique 2 501–5 000</t>
  </si>
  <si>
    <t xml:space="preserve">Urbain thermique 5 001–25 000</t>
  </si>
  <si>
    <t xml:space="preserve">Urbain thermique &gt; 25 000</t>
  </si>
  <si>
    <t xml:space="preserve">Art. 7 (« Mayor que 2.5001 », coquille)</t>
  </si>
  <si>
    <t xml:space="preserve">Haute tension urbaine (+ 1 500 F/kW)</t>
  </si>
  <si>
    <t xml:space="preserve">Art. 8</t>
  </si>
  <si>
    <t xml:space="preserve">Rural, producteurs indépendants</t>
  </si>
  <si>
    <t xml:space="preserve">Art. 9a</t>
  </si>
  <si>
    <t xml:space="preserve">Rural, diesel</t>
  </si>
  <si>
    <t xml:space="preserve">Art. 9b</t>
  </si>
  <si>
    <t xml:space="preserve">Rural, hydraulique</t>
  </si>
  <si>
    <t xml:space="preserve">Art. 9c</t>
  </si>
  <si>
    <t xml:space="preserve">Rapport « Urbain thermique 1–150 kWh/mois » / « Urbain thermique 501–2 500 ». &lt; 1 = progressif.</t>
  </si>
  <si>
    <t xml:space="preserve">https://data.worldbank.org (WDI, EG.ELC.ACCS.ZS / .RU / .UR, mise à jour 08/10/2026)</t>
  </si>
  <si>
    <t xml:space="preserve">Accès urbain 2024</t>
  </si>
  <si>
    <t xml:space="preserve">Accès rural 2024</t>
  </si>
  <si>
    <t xml:space="preserve">Pertes de transport et distribution 2024</t>
  </si>
  <si>
    <t xml:space="preserve">Non jugeable faute de coût et de grille à jour. Sur le papier (2002), la grille est progressive jusqu'à 2 500 kWh/mois puis dégressive pour les très gros consommateurs, et prévoit des prix ruraux plus bas. Mais 95 % des ruraux n'ont pas accès au réseau.</t>
  </si>
</sst>
</file>

<file path=xl/styles.xml><?xml version="1.0" encoding="utf-8"?>
<styleSheet xmlns="http://schemas.openxmlformats.org/spreadsheetml/2006/main">
  <numFmts count="10">
    <numFmt numFmtId="164" formatCode="General"/>
    <numFmt numFmtId="165" formatCode="#,##0.0;\(#,##0.0\);\-"/>
    <numFmt numFmtId="166" formatCode="0.00\x"/>
    <numFmt numFmtId="167" formatCode="0.0%;\(0.0%\);\-"/>
    <numFmt numFmtId="168" formatCode="#,##0;\(#,##0\);\-"/>
    <numFmt numFmtId="169" formatCode="0.00&quot; USD/kWh&quot;"/>
    <numFmt numFmtId="170" formatCode="#,##0"/>
    <numFmt numFmtId="171" formatCode="0.000"/>
    <numFmt numFmtId="172" formatCode="#,##0&quot; M USD&quot;"/>
    <numFmt numFmtId="173" formatCode="#,##0&quot; Md FCFA&quot;"/>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rgb="FF000000"/>
      <name val="Arial"/>
      <family val="0"/>
      <charset val="1"/>
    </font>
    <font>
      <b val="true"/>
      <sz val="11"/>
      <name val="Arial"/>
      <family val="0"/>
      <charset val="1"/>
    </font>
    <font>
      <i val="true"/>
      <sz val="9"/>
      <color rgb="FF666666"/>
      <name val="Arial"/>
      <family val="0"/>
      <charset val="1"/>
    </font>
    <font>
      <sz val="11"/>
      <color rgb="FF008000"/>
      <name val="Arial"/>
      <family val="0"/>
      <charset val="1"/>
    </font>
    <font>
      <sz val="11"/>
      <color rgb="FF0000FF"/>
      <name val="Arial"/>
      <family val="0"/>
      <charset val="1"/>
    </font>
    <font>
      <b val="true"/>
      <sz val="11"/>
      <color rgb="FFFFFFFF"/>
      <name val="Arial"/>
      <family val="0"/>
      <charset val="1"/>
    </font>
  </fonts>
  <fills count="5">
    <fill>
      <patternFill patternType="none"/>
    </fill>
    <fill>
      <patternFill patternType="gray125"/>
    </fill>
    <fill>
      <patternFill patternType="solid">
        <fgColor rgb="FFD9E1F2"/>
        <bgColor rgb="FFCCFFFF"/>
      </patternFill>
    </fill>
    <fill>
      <patternFill patternType="solid">
        <fgColor rgb="FF1F3864"/>
        <bgColor rgb="FF333333"/>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5" fontId="5" fillId="4" borderId="0" xfId="0" applyFont="true" applyBorder="false" applyAlignment="false" applyProtection="false">
      <alignment horizontal="general" vertical="bottom" textRotation="0" wrapText="false" indent="0" shrinkToFit="false"/>
      <protection locked="true" hidden="false"/>
    </xf>
    <xf numFmtId="168" fontId="9" fillId="4" borderId="0" xfId="0" applyFont="true" applyBorder="false" applyAlignment="false" applyProtection="false">
      <alignment horizontal="general" vertical="bottom" textRotation="0" wrapText="false" indent="0" shrinkToFit="false"/>
      <protection locked="true" hidden="false"/>
    </xf>
    <xf numFmtId="165" fontId="6" fillId="4"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26.85" hidden="false" customHeight="false" outlineLevel="0" collapsed="false">
      <c r="A5" s="2" t="s">
        <v>3</v>
      </c>
    </row>
    <row r="6" customFormat="false" ht="26.85" hidden="false" customHeight="false" outlineLevel="0" collapsed="false">
      <c r="A6" s="2" t="s">
        <v>4</v>
      </c>
    </row>
    <row r="7" customFormat="false" ht="39.55" hidden="false" customHeight="false" outlineLevel="0" collapsed="false">
      <c r="A7" s="2" t="s">
        <v>5</v>
      </c>
    </row>
    <row r="8" customFormat="false" ht="39.55" hidden="false" customHeight="false" outlineLevel="0" collapsed="false">
      <c r="A8" s="2" t="s">
        <v>6</v>
      </c>
    </row>
    <row r="9" customFormat="false" ht="26.85" hidden="false" customHeight="false" outlineLevel="0" collapsed="false">
      <c r="A9" s="2" t="s">
        <v>7</v>
      </c>
    </row>
    <row r="10" customFormat="false" ht="15" hidden="false" customHeight="false" outlineLevel="0" collapsed="false">
      <c r="A10" s="2"/>
    </row>
    <row r="11" customFormat="false" ht="15" hidden="false" customHeight="false" outlineLevel="0" collapsed="false">
      <c r="A11" s="3" t="s">
        <v>8</v>
      </c>
    </row>
    <row r="12" customFormat="false" ht="39.55" hidden="false" customHeight="false" outlineLevel="0" collapsed="false">
      <c r="A12" s="2" t="s">
        <v>9</v>
      </c>
    </row>
    <row r="13" customFormat="false" ht="15" hidden="false" customHeight="false" outlineLevel="0" collapsed="false">
      <c r="A13" s="2"/>
    </row>
    <row r="14" customFormat="false" ht="15" hidden="false" customHeight="false" outlineLevel="0" collapsed="false">
      <c r="A14" s="3" t="s">
        <v>10</v>
      </c>
    </row>
    <row r="15" customFormat="false" ht="26.85" hidden="false" customHeight="false" outlineLevel="0" collapsed="false">
      <c r="A15" s="2" t="s">
        <v>11</v>
      </c>
    </row>
    <row r="17" customFormat="false" ht="15" hidden="false" customHeight="false" outlineLevel="0" collapsed="false">
      <c r="A17" s="4" t="s">
        <v>12</v>
      </c>
    </row>
    <row r="18" customFormat="false" ht="26.85" hidden="false" customHeight="false" outlineLevel="0" collapsed="false">
      <c r="A18" s="2"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 min="2" style="0" width="18"/>
  </cols>
  <sheetData>
    <row r="1" customFormat="false" ht="17.35" hidden="false" customHeight="false" outlineLevel="0" collapsed="false">
      <c r="A1" s="5" t="s">
        <v>14</v>
      </c>
    </row>
    <row r="2" customFormat="false" ht="15" hidden="false" customHeight="false" outlineLevel="0" collapsed="false">
      <c r="A2" s="6" t="s">
        <v>15</v>
      </c>
    </row>
    <row r="4" customFormat="false" ht="45" hidden="false" customHeight="true" outlineLevel="0" collapsed="false">
      <c r="A4" s="7" t="s">
        <v>16</v>
      </c>
      <c r="B4" s="7" t="s">
        <v>17</v>
      </c>
      <c r="C4" s="7" t="s">
        <v>18</v>
      </c>
      <c r="D4" s="7" t="s">
        <v>19</v>
      </c>
      <c r="E4" s="7" t="s">
        <v>20</v>
      </c>
      <c r="F4" s="7" t="s">
        <v>21</v>
      </c>
      <c r="G4" s="7" t="s">
        <v>22</v>
      </c>
    </row>
    <row r="5" customFormat="false" ht="48" hidden="false" customHeight="true" outlineLevel="0" collapsed="false">
      <c r="A5" s="3" t="s">
        <v>23</v>
      </c>
      <c r="B5" s="2" t="s">
        <v>24</v>
      </c>
      <c r="C5" s="2" t="s">
        <v>25</v>
      </c>
      <c r="D5" s="2" t="s">
        <v>26</v>
      </c>
      <c r="E5" s="2" t="s">
        <v>27</v>
      </c>
      <c r="F5" s="2" t="s">
        <v>28</v>
      </c>
      <c r="G5" s="2" t="s">
        <v>29</v>
      </c>
    </row>
    <row r="6" customFormat="false" ht="48" hidden="false" customHeight="true" outlineLevel="0" collapsed="false">
      <c r="A6" s="3" t="s">
        <v>30</v>
      </c>
      <c r="B6" s="2" t="s">
        <v>31</v>
      </c>
      <c r="C6" s="2" t="s">
        <v>32</v>
      </c>
      <c r="D6" s="2" t="s">
        <v>33</v>
      </c>
      <c r="E6" s="2" t="s">
        <v>34</v>
      </c>
      <c r="F6" s="2" t="s">
        <v>35</v>
      </c>
      <c r="G6" s="2" t="s">
        <v>36</v>
      </c>
    </row>
    <row r="7" customFormat="false" ht="48" hidden="false" customHeight="true" outlineLevel="0" collapsed="false">
      <c r="A7" s="3" t="s">
        <v>37</v>
      </c>
      <c r="B7" s="8" t="n">
        <f aca="false">CMR_Residentiel!C6</f>
        <v>50</v>
      </c>
      <c r="C7" s="8" t="n">
        <f aca="false">COG_Segments!B16</f>
        <v>49.08</v>
      </c>
      <c r="D7" s="8" t="n">
        <f aca="false">GAB!$B$14</f>
        <v>52.4</v>
      </c>
      <c r="E7" s="8" t="n">
        <f aca="false">TCD!$B$14</f>
        <v>85</v>
      </c>
      <c r="F7" s="8" t="n">
        <f aca="false">CAF!$B$14</f>
        <v>76.56</v>
      </c>
      <c r="G7" s="8" t="n">
        <f aca="false">GNQ!$B$14</f>
        <v>60</v>
      </c>
    </row>
    <row r="8" customFormat="false" ht="48" hidden="false" customHeight="true" outlineLevel="0" collapsed="false">
      <c r="A8" s="3" t="s">
        <v>38</v>
      </c>
      <c r="B8" s="8" t="n">
        <f aca="false">CMR_Residentiel!C9</f>
        <v>99</v>
      </c>
      <c r="C8" s="8" t="n">
        <f aca="false">COG_Segments!B19</f>
        <v>31.2</v>
      </c>
      <c r="D8" s="8" t="n">
        <f aca="false">GAB!$B$20</f>
        <v>129.58</v>
      </c>
      <c r="E8" s="8" t="n">
        <f aca="false">TCD!$B$15</f>
        <v>125</v>
      </c>
      <c r="F8" s="8" t="n">
        <f aca="false">CAF!$B$15</f>
        <v>89.31</v>
      </c>
      <c r="G8" s="8" t="n">
        <f aca="false">GNQ!$B$17</f>
        <v>160</v>
      </c>
    </row>
    <row r="9" customFormat="false" ht="48" hidden="false" customHeight="true" outlineLevel="0" collapsed="false">
      <c r="A9" s="3" t="s">
        <v>39</v>
      </c>
      <c r="B9" s="9" t="n">
        <f aca="false">CMR_Residentiel!C6/CMR_Residentiel!C9</f>
        <v>0.505050505050505</v>
      </c>
      <c r="C9" s="9" t="n">
        <f aca="false">COG_Segments!B16/COG_Segments!B19</f>
        <v>1.57307692307692</v>
      </c>
      <c r="D9" s="9" t="n">
        <f aca="false">GAB!$B$26</f>
        <v>0.404383392498842</v>
      </c>
      <c r="E9" s="9" t="n">
        <f aca="false">TCD!$B$19</f>
        <v>0.68</v>
      </c>
      <c r="F9" s="9" t="n">
        <f aca="false">CAF!$B$23</f>
        <v>0.857238831037958</v>
      </c>
      <c r="G9" s="9" t="n">
        <f aca="false">GNQ!$B$25</f>
        <v>0.375</v>
      </c>
    </row>
    <row r="10" customFormat="false" ht="48" hidden="false" customHeight="true" outlineLevel="0" collapsed="false">
      <c r="A10" s="3" t="s">
        <v>40</v>
      </c>
      <c r="B10" s="8" t="n">
        <f aca="false">CMR_Segments!B18</f>
        <v>69.8</v>
      </c>
      <c r="C10" s="8" t="n">
        <f aca="false">COG_Segments!B8</f>
        <v>97.7777777777778</v>
      </c>
      <c r="D10" s="8" t="n">
        <f aca="false">GAB!$E$10</f>
        <v>79.8</v>
      </c>
      <c r="E10" s="8" t="n">
        <f aca="false">TCD!$E$10</f>
        <v>200</v>
      </c>
      <c r="F10" s="8" t="n">
        <f aca="false">CAF!$E$10</f>
        <v>120</v>
      </c>
      <c r="G10" s="2" t="s">
        <v>41</v>
      </c>
    </row>
    <row r="11" customFormat="false" ht="48" hidden="false" customHeight="true" outlineLevel="0" collapsed="false">
      <c r="A11" s="3" t="s">
        <v>42</v>
      </c>
      <c r="B11" s="2" t="s">
        <v>43</v>
      </c>
      <c r="C11" s="2" t="s">
        <v>44</v>
      </c>
      <c r="D11" s="2" t="s">
        <v>45</v>
      </c>
      <c r="E11" s="2" t="s">
        <v>46</v>
      </c>
      <c r="F11" s="2" t="s">
        <v>47</v>
      </c>
      <c r="G11" s="2" t="s">
        <v>48</v>
      </c>
    </row>
    <row r="12" customFormat="false" ht="48" hidden="false" customHeight="true" outlineLevel="0" collapsed="false">
      <c r="A12" s="3" t="s">
        <v>49</v>
      </c>
      <c r="B12" s="9" t="n">
        <f aca="false">CMR_Residentiel!C6/CMR_Segments!B18</f>
        <v>0.716332378223496</v>
      </c>
      <c r="C12" s="9" t="n">
        <f aca="false">COG_Segments!D16</f>
        <v>0.501954545454545</v>
      </c>
      <c r="D12" s="9" t="n">
        <f aca="false">GAB!$E$14</f>
        <v>0.656641604010025</v>
      </c>
      <c r="E12" s="9" t="n">
        <f aca="false">TCD!$E$14</f>
        <v>0.425</v>
      </c>
      <c r="F12" s="9" t="n">
        <f aca="false">CAF!$E$14</f>
        <v>0.638</v>
      </c>
      <c r="G12" s="2" t="s">
        <v>41</v>
      </c>
    </row>
    <row r="13" customFormat="false" ht="48" hidden="false" customHeight="true" outlineLevel="0" collapsed="false">
      <c r="A13" s="3" t="s">
        <v>50</v>
      </c>
      <c r="B13" s="2" t="s">
        <v>51</v>
      </c>
      <c r="C13" s="2" t="s">
        <v>52</v>
      </c>
      <c r="D13" s="2" t="s">
        <v>53</v>
      </c>
      <c r="E13" s="2" t="s">
        <v>54</v>
      </c>
      <c r="F13" s="2" t="s">
        <v>52</v>
      </c>
      <c r="G13" s="2" t="s">
        <v>55</v>
      </c>
    </row>
    <row r="14" customFormat="false" ht="48" hidden="false" customHeight="true" outlineLevel="0" collapsed="false">
      <c r="A14" s="3" t="s">
        <v>56</v>
      </c>
      <c r="B14" s="10" t="n">
        <v>0.63</v>
      </c>
      <c r="C14" s="10" t="n">
        <v>0.31</v>
      </c>
      <c r="D14" s="10" t="n">
        <v>0.927</v>
      </c>
      <c r="E14" s="10" t="n">
        <v>0.11</v>
      </c>
      <c r="F14" s="10" t="n">
        <v>0.168</v>
      </c>
      <c r="G14" s="10" t="n">
        <v>0.651</v>
      </c>
    </row>
    <row r="15" customFormat="false" ht="48" hidden="false" customHeight="true" outlineLevel="0" collapsed="false">
      <c r="A15" s="3" t="s">
        <v>57</v>
      </c>
      <c r="B15" s="10" t="n">
        <v>0.23</v>
      </c>
      <c r="C15" s="2"/>
      <c r="D15" s="10" t="n">
        <v>0.536</v>
      </c>
      <c r="E15" s="10" t="n">
        <v>0.01</v>
      </c>
      <c r="F15" s="2"/>
      <c r="G15" s="10" t="n">
        <v>0.051</v>
      </c>
    </row>
    <row r="16" customFormat="false" ht="48" hidden="false" customHeight="true" outlineLevel="0" collapsed="false">
      <c r="A16" s="3" t="s">
        <v>58</v>
      </c>
      <c r="B16" s="2" t="s">
        <v>59</v>
      </c>
      <c r="C16" s="2" t="s">
        <v>60</v>
      </c>
      <c r="D16" s="2" t="s">
        <v>61</v>
      </c>
      <c r="E16" s="2" t="s">
        <v>62</v>
      </c>
      <c r="F16" s="2" t="s">
        <v>63</v>
      </c>
      <c r="G16" s="2" t="s">
        <v>64</v>
      </c>
    </row>
    <row r="17" customFormat="false" ht="48" hidden="false" customHeight="true" outlineLevel="0" collapsed="false">
      <c r="A17" s="3" t="s">
        <v>65</v>
      </c>
      <c r="B17" s="2" t="s">
        <v>66</v>
      </c>
      <c r="C17" s="2" t="s">
        <v>52</v>
      </c>
      <c r="D17" s="2" t="s">
        <v>52</v>
      </c>
      <c r="E17" s="2" t="s">
        <v>52</v>
      </c>
      <c r="F17" s="2" t="s">
        <v>67</v>
      </c>
      <c r="G17" s="2" t="s">
        <v>52</v>
      </c>
    </row>
    <row r="18" customFormat="false" ht="79.5" hidden="false" customHeight="true" outlineLevel="0" collapsed="false">
      <c r="A18" s="3" t="s">
        <v>68</v>
      </c>
      <c r="B18" s="2" t="s">
        <v>69</v>
      </c>
      <c r="C18" s="2" t="s">
        <v>70</v>
      </c>
      <c r="D18" s="2" t="s">
        <v>71</v>
      </c>
      <c r="E18" s="2" t="s">
        <v>72</v>
      </c>
      <c r="F18" s="2" t="s">
        <v>73</v>
      </c>
      <c r="G18" s="2" t="s">
        <v>74</v>
      </c>
    </row>
    <row r="20" customFormat="false" ht="15" hidden="false" customHeight="false" outlineLevel="0" collapsed="false">
      <c r="A20" s="6" t="s">
        <v>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3" min="2" style="0" width="22"/>
    <col collapsed="false" customWidth="true" hidden="false" outlineLevel="0" max="4" min="4" style="0" width="70"/>
  </cols>
  <sheetData>
    <row r="1" customFormat="false" ht="17.35" hidden="false" customHeight="false" outlineLevel="0" collapsed="false">
      <c r="A1" s="5" t="s">
        <v>76</v>
      </c>
    </row>
    <row r="3" customFormat="false" ht="45" hidden="false" customHeight="true" outlineLevel="0" collapsed="false">
      <c r="A3" s="7" t="s">
        <v>77</v>
      </c>
      <c r="B3" s="7" t="s">
        <v>17</v>
      </c>
      <c r="C3" s="7" t="s">
        <v>18</v>
      </c>
      <c r="D3" s="7" t="s">
        <v>78</v>
      </c>
    </row>
    <row r="4" customFormat="false" ht="22.35" hidden="false" customHeight="false" outlineLevel="0" collapsed="false">
      <c r="A4" s="2" t="s">
        <v>79</v>
      </c>
      <c r="B4" s="9" t="n">
        <f aca="false">IFERROR(CMR_Segments!B12/CMR_Segments!B18,0)</f>
        <v>0.927712973833004</v>
      </c>
      <c r="C4" s="9" t="n">
        <f aca="false">COG_Segments!B10</f>
        <v>0.5625</v>
      </c>
      <c r="D4" s="11" t="s">
        <v>80</v>
      </c>
    </row>
    <row r="5" customFormat="false" ht="15" hidden="false" customHeight="false" outlineLevel="0" collapsed="false">
      <c r="A5" s="2" t="s">
        <v>81</v>
      </c>
      <c r="B5" s="9" t="n">
        <f aca="false">CMR_Segments!E6</f>
        <v>0.853179190751445</v>
      </c>
      <c r="C5" s="9" t="n">
        <f aca="false">COG_Segments!D16</f>
        <v>0.501954545454545</v>
      </c>
      <c r="D5" s="11" t="s">
        <v>82</v>
      </c>
    </row>
    <row r="6" customFormat="false" ht="26.85" hidden="false" customHeight="false" outlineLevel="0" collapsed="false">
      <c r="A6" s="2" t="s">
        <v>83</v>
      </c>
      <c r="B6" s="9" t="n">
        <f aca="false">CMR_Segments!E9</f>
        <v>1.61020036429873</v>
      </c>
      <c r="C6" s="12" t="s">
        <v>41</v>
      </c>
      <c r="D6" s="11" t="s">
        <v>84</v>
      </c>
    </row>
    <row r="7" customFormat="false" ht="15" hidden="false" customHeight="false" outlineLevel="0" collapsed="false">
      <c r="A7" s="2" t="s">
        <v>85</v>
      </c>
      <c r="B7" s="9" t="n">
        <f aca="false">CMR_Segments!E10</f>
        <v>0.276470588235294</v>
      </c>
      <c r="C7" s="9" t="n">
        <f aca="false">COG_Segments!D19</f>
        <v>0.319090909090909</v>
      </c>
      <c r="D7" s="11" t="s">
        <v>86</v>
      </c>
    </row>
    <row r="8" customFormat="false" ht="26.85" hidden="false" customHeight="false" outlineLevel="0" collapsed="false">
      <c r="A8" s="2" t="s">
        <v>87</v>
      </c>
      <c r="B8" s="9" t="n">
        <f aca="false">MAX(CMR_Segments!E6:E11)/MIN(CMR_Segments!E6:E11)</f>
        <v>5.82412897725071</v>
      </c>
      <c r="C8" s="9" t="n">
        <f aca="false">MAX(COG_Segments!D16:D19)/MIN(COG_Segments!D16:D19)</f>
        <v>1.57307692307692</v>
      </c>
      <c r="D8" s="11" t="s">
        <v>88</v>
      </c>
    </row>
    <row r="9" customFormat="false" ht="26.85" hidden="false" customHeight="false" outlineLevel="0" collapsed="false">
      <c r="A9" s="2" t="s">
        <v>89</v>
      </c>
      <c r="B9" s="13" t="n">
        <f aca="false">CMR_Segments!I10</f>
        <v>0.457424916232658</v>
      </c>
      <c r="C9" s="14" t="s">
        <v>41</v>
      </c>
      <c r="D9" s="11" t="s">
        <v>90</v>
      </c>
    </row>
    <row r="10" customFormat="false" ht="26.85" hidden="false" customHeight="false" outlineLevel="0" collapsed="false">
      <c r="A10" s="2" t="s">
        <v>91</v>
      </c>
      <c r="B10" s="9" t="n">
        <f aca="false">CMR_Residentiel!C6/CMR_Residentiel!C9</f>
        <v>0.505050505050505</v>
      </c>
      <c r="C10" s="9" t="n">
        <f aca="false">COG_Segments!B16/COG_Segments!B19</f>
        <v>1.57307692307692</v>
      </c>
      <c r="D10" s="11" t="s">
        <v>92</v>
      </c>
    </row>
    <row r="11" customFormat="false" ht="26.85" hidden="false" customHeight="false" outlineLevel="0" collapsed="false">
      <c r="A11" s="2" t="s">
        <v>93</v>
      </c>
      <c r="B11" s="13" t="n">
        <f aca="false">CMR_Residentiel!H18</f>
        <v>0.768145614232673</v>
      </c>
      <c r="C11" s="14" t="s">
        <v>41</v>
      </c>
      <c r="D11" s="11" t="s">
        <v>94</v>
      </c>
    </row>
    <row r="12" customFormat="false" ht="15" hidden="false" customHeight="false" outlineLevel="0" collapsed="false">
      <c r="A12" s="2" t="s">
        <v>95</v>
      </c>
      <c r="B12" s="15" t="n">
        <f aca="false">CMR_Residentiel!E39</f>
        <v>3269</v>
      </c>
      <c r="C12" s="16" t="s">
        <v>41</v>
      </c>
      <c r="D12" s="11" t="s">
        <v>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6" min="2" style="0" width="13"/>
    <col collapsed="false" customWidth="true" hidden="false" outlineLevel="0" max="7" min="7" style="0" width="14"/>
    <col collapsed="false" customWidth="true" hidden="false" outlineLevel="0" max="9" min="8" style="0" width="13"/>
    <col collapsed="false" customWidth="true" hidden="false" outlineLevel="0" max="10" min="10" style="0" width="60"/>
  </cols>
  <sheetData>
    <row r="1" customFormat="false" ht="17.35" hidden="false" customHeight="false" outlineLevel="0" collapsed="false">
      <c r="A1" s="5" t="s">
        <v>97</v>
      </c>
    </row>
    <row r="2" customFormat="false" ht="15" hidden="false" customHeight="false" outlineLevel="0" collapsed="false">
      <c r="A2" s="6" t="s">
        <v>98</v>
      </c>
    </row>
    <row r="4" customFormat="false" ht="15" hidden="false" customHeight="false" outlineLevel="0" collapsed="false">
      <c r="A4" s="17" t="s">
        <v>99</v>
      </c>
      <c r="B4" s="18"/>
      <c r="C4" s="18"/>
      <c r="D4" s="18"/>
      <c r="E4" s="18"/>
      <c r="F4" s="18"/>
      <c r="G4" s="18"/>
      <c r="H4" s="18"/>
      <c r="I4" s="18"/>
      <c r="J4" s="18"/>
    </row>
    <row r="5" customFormat="false" ht="45" hidden="false" customHeight="true" outlineLevel="0" collapsed="false">
      <c r="A5" s="7" t="s">
        <v>100</v>
      </c>
      <c r="B5" s="7" t="s">
        <v>101</v>
      </c>
      <c r="C5" s="7" t="s">
        <v>102</v>
      </c>
      <c r="D5" s="7" t="s">
        <v>103</v>
      </c>
      <c r="E5" s="7" t="s">
        <v>104</v>
      </c>
      <c r="F5" s="7" t="s">
        <v>105</v>
      </c>
      <c r="G5" s="7" t="s">
        <v>106</v>
      </c>
      <c r="H5" s="7" t="s">
        <v>107</v>
      </c>
      <c r="I5" s="7" t="s">
        <v>108</v>
      </c>
      <c r="J5" s="7" t="s">
        <v>109</v>
      </c>
    </row>
    <row r="6" customFormat="false" ht="15" hidden="false" customHeight="false" outlineLevel="0" collapsed="false">
      <c r="A6" s="19" t="s">
        <v>110</v>
      </c>
      <c r="B6" s="20" t="n">
        <v>73.8</v>
      </c>
      <c r="C6" s="21" t="n">
        <f aca="false">$B$15</f>
        <v>86.5</v>
      </c>
      <c r="D6" s="22" t="n">
        <v>2620</v>
      </c>
      <c r="E6" s="23" t="n">
        <f aca="false">IFERROR(B6/C6,0)</f>
        <v>0.853179190751445</v>
      </c>
      <c r="F6" s="21" t="n">
        <f aca="false">C6-B6</f>
        <v>12.7</v>
      </c>
      <c r="G6" s="21" t="n">
        <f aca="false">F6*D6/1000</f>
        <v>33.274</v>
      </c>
      <c r="H6" s="21" t="n">
        <f aca="false">B6*D6/1000</f>
        <v>193.356</v>
      </c>
      <c r="I6" s="24" t="n">
        <f aca="false">IFERROR(MAX(0,G6)/SUMIF($G$6:$G$11,"&gt;0"),0)</f>
        <v>0.340326559668122</v>
      </c>
      <c r="J6" s="6" t="s">
        <v>111</v>
      </c>
    </row>
    <row r="7" customFormat="false" ht="15" hidden="false" customHeight="false" outlineLevel="0" collapsed="false">
      <c r="A7" s="19" t="s">
        <v>112</v>
      </c>
      <c r="B7" s="20" t="n">
        <v>95.6</v>
      </c>
      <c r="C7" s="21" t="n">
        <f aca="false">$B$15</f>
        <v>86.5</v>
      </c>
      <c r="D7" s="22" t="n">
        <v>814</v>
      </c>
      <c r="E7" s="23" t="n">
        <f aca="false">IFERROR(B7/C7,0)</f>
        <v>1.10520231213873</v>
      </c>
      <c r="F7" s="21" t="n">
        <f aca="false">C7-B7</f>
        <v>-9.09999999999999</v>
      </c>
      <c r="G7" s="21" t="n">
        <f aca="false">F7*D7/1000</f>
        <v>-7.4074</v>
      </c>
      <c r="H7" s="21" t="n">
        <f aca="false">B7*D7/1000</f>
        <v>77.8184</v>
      </c>
      <c r="I7" s="24" t="n">
        <f aca="false">IFERROR(MAX(0,G7)/SUMIF($G$6:$G$11,"&gt;0"),0)</f>
        <v>0</v>
      </c>
      <c r="J7" s="6" t="s">
        <v>113</v>
      </c>
    </row>
    <row r="8" customFormat="false" ht="15" hidden="false" customHeight="false" outlineLevel="0" collapsed="false">
      <c r="A8" s="19" t="s">
        <v>114</v>
      </c>
      <c r="B8" s="20" t="n">
        <v>66</v>
      </c>
      <c r="C8" s="21" t="n">
        <f aca="false">$B$15</f>
        <v>86.5</v>
      </c>
      <c r="D8" s="22" t="n">
        <v>228</v>
      </c>
      <c r="E8" s="23" t="n">
        <f aca="false">IFERROR(B8/C8,0)</f>
        <v>0.763005780346821</v>
      </c>
      <c r="F8" s="21" t="n">
        <f aca="false">C8-B8</f>
        <v>20.5</v>
      </c>
      <c r="G8" s="21" t="n">
        <f aca="false">F8*D8/1000</f>
        <v>4.674</v>
      </c>
      <c r="H8" s="21" t="n">
        <f aca="false">B8*D8/1000</f>
        <v>15.048</v>
      </c>
      <c r="I8" s="24" t="n">
        <f aca="false">IFERROR(MAX(0,G8)/SUMIF($G$6:$G$11,"&gt;0"),0)</f>
        <v>0.0478056843147443</v>
      </c>
      <c r="J8" s="6" t="s">
        <v>113</v>
      </c>
    </row>
    <row r="9" customFormat="false" ht="15" hidden="false" customHeight="false" outlineLevel="0" collapsed="false">
      <c r="A9" s="19" t="s">
        <v>115</v>
      </c>
      <c r="B9" s="20" t="n">
        <v>88.4</v>
      </c>
      <c r="C9" s="21" t="n">
        <f aca="false">$B$16</f>
        <v>54.9</v>
      </c>
      <c r="D9" s="22" t="n">
        <v>1598</v>
      </c>
      <c r="E9" s="23" t="n">
        <f aca="false">IFERROR(B9/C9,0)</f>
        <v>1.61020036429873</v>
      </c>
      <c r="F9" s="21" t="n">
        <f aca="false">C9-B9</f>
        <v>-33.5</v>
      </c>
      <c r="G9" s="21" t="n">
        <f aca="false">F9*D9/1000</f>
        <v>-53.533</v>
      </c>
      <c r="H9" s="21" t="n">
        <f aca="false">B9*D9/1000</f>
        <v>141.2632</v>
      </c>
      <c r="I9" s="24" t="n">
        <f aca="false">IFERROR(MAX(0,G9)/SUMIF($G$6:$G$11,"&gt;0"),0)</f>
        <v>0</v>
      </c>
      <c r="J9" s="6" t="s">
        <v>113</v>
      </c>
    </row>
    <row r="10" customFormat="false" ht="15" hidden="false" customHeight="false" outlineLevel="0" collapsed="false">
      <c r="A10" s="19" t="s">
        <v>116</v>
      </c>
      <c r="B10" s="20" t="n">
        <v>14.1</v>
      </c>
      <c r="C10" s="21" t="n">
        <f aca="false">$B$17</f>
        <v>51</v>
      </c>
      <c r="D10" s="22" t="n">
        <v>1212</v>
      </c>
      <c r="E10" s="23" t="n">
        <f aca="false">IFERROR(B10/C10,0)</f>
        <v>0.276470588235294</v>
      </c>
      <c r="F10" s="21" t="n">
        <f aca="false">C10-B10</f>
        <v>36.9</v>
      </c>
      <c r="G10" s="21" t="n">
        <f aca="false">F10*D10/1000</f>
        <v>44.7228</v>
      </c>
      <c r="H10" s="21" t="n">
        <f aca="false">B10*D10/1000</f>
        <v>17.0892</v>
      </c>
      <c r="I10" s="24" t="n">
        <f aca="false">IFERROR(MAX(0,G10)/SUMIF($G$6:$G$11,"&gt;0"),0)</f>
        <v>0.457424916232658</v>
      </c>
      <c r="J10" s="6" t="s">
        <v>117</v>
      </c>
    </row>
    <row r="11" customFormat="false" ht="15" hidden="false" customHeight="false" outlineLevel="0" collapsed="false">
      <c r="A11" s="19" t="s">
        <v>118</v>
      </c>
      <c r="B11" s="20" t="n">
        <v>31</v>
      </c>
      <c r="C11" s="21" t="n">
        <f aca="false">$B$17</f>
        <v>51</v>
      </c>
      <c r="D11" s="22" t="n">
        <v>755</v>
      </c>
      <c r="E11" s="23" t="n">
        <f aca="false">IFERROR(B11/C11,0)</f>
        <v>0.607843137254902</v>
      </c>
      <c r="F11" s="21" t="n">
        <f aca="false">C11-B11</f>
        <v>20</v>
      </c>
      <c r="G11" s="21" t="n">
        <f aca="false">F11*D11/1000</f>
        <v>15.1</v>
      </c>
      <c r="H11" s="21" t="n">
        <f aca="false">B11*D11/1000</f>
        <v>23.405</v>
      </c>
      <c r="I11" s="24" t="n">
        <f aca="false">IFERROR(MAX(0,G11)/SUMIF($G$6:$G$11,"&gt;0"),0)</f>
        <v>0.154442839784476</v>
      </c>
      <c r="J11" s="6" t="s">
        <v>119</v>
      </c>
    </row>
    <row r="12" customFormat="false" ht="15" hidden="false" customHeight="false" outlineLevel="0" collapsed="false">
      <c r="A12" s="4" t="s">
        <v>120</v>
      </c>
      <c r="B12" s="25" t="n">
        <f aca="false">IFERROR(H12/D12*1000,0)</f>
        <v>64.7543655735437</v>
      </c>
      <c r="D12" s="26" t="n">
        <f aca="false">SUM(D6:D11)</f>
        <v>7227</v>
      </c>
      <c r="G12" s="25" t="n">
        <f aca="false">SUM(G6:G11)</f>
        <v>36.8304</v>
      </c>
      <c r="H12" s="25" t="n">
        <f aca="false">SUM(H6:H11)</f>
        <v>467.9798</v>
      </c>
      <c r="J12" s="6" t="s">
        <v>121</v>
      </c>
    </row>
    <row r="14" customFormat="false" ht="15" hidden="false" customHeight="false" outlineLevel="0" collapsed="false">
      <c r="A14" s="4" t="s">
        <v>122</v>
      </c>
    </row>
    <row r="15" customFormat="false" ht="15" hidden="false" customHeight="false" outlineLevel="0" collapsed="false">
      <c r="A15" s="19" t="s">
        <v>123</v>
      </c>
      <c r="B15" s="20" t="n">
        <v>86.5</v>
      </c>
      <c r="J15" s="6" t="s">
        <v>124</v>
      </c>
    </row>
    <row r="16" customFormat="false" ht="15" hidden="false" customHeight="false" outlineLevel="0" collapsed="false">
      <c r="A16" s="19" t="s">
        <v>125</v>
      </c>
      <c r="B16" s="20" t="n">
        <v>54.9</v>
      </c>
      <c r="J16" s="6" t="s">
        <v>124</v>
      </c>
    </row>
    <row r="17" customFormat="false" ht="15" hidden="false" customHeight="false" outlineLevel="0" collapsed="false">
      <c r="A17" s="19" t="s">
        <v>126</v>
      </c>
      <c r="B17" s="20" t="n">
        <v>51</v>
      </c>
      <c r="J17" s="6" t="s">
        <v>124</v>
      </c>
    </row>
    <row r="18" customFormat="false" ht="15" hidden="false" customHeight="false" outlineLevel="0" collapsed="false">
      <c r="A18" s="19" t="s">
        <v>127</v>
      </c>
      <c r="B18" s="20" t="n">
        <v>69.8</v>
      </c>
      <c r="J18" s="6" t="s">
        <v>128</v>
      </c>
    </row>
    <row r="19" customFormat="false" ht="15" hidden="false" customHeight="false" outlineLevel="0" collapsed="false">
      <c r="A19" s="6" t="s">
        <v>129</v>
      </c>
    </row>
    <row r="21" customFormat="false" ht="15" hidden="false" customHeight="false" outlineLevel="0" collapsed="false">
      <c r="A21" s="17" t="s">
        <v>130</v>
      </c>
      <c r="B21" s="18"/>
      <c r="C21" s="18"/>
      <c r="D21" s="18"/>
      <c r="E21" s="18"/>
      <c r="F21" s="18"/>
      <c r="G21" s="18"/>
      <c r="H21" s="18"/>
      <c r="I21" s="18"/>
      <c r="J21" s="18"/>
    </row>
    <row r="22" customFormat="false" ht="15" hidden="false" customHeight="false" outlineLevel="0" collapsed="false">
      <c r="A22" s="4" t="s">
        <v>131</v>
      </c>
      <c r="B22" s="21" t="n">
        <f aca="false">SUMIF(G6:G11,"&gt;0")</f>
        <v>97.7708</v>
      </c>
      <c r="C22" s="6" t="s">
        <v>132</v>
      </c>
    </row>
    <row r="23" customFormat="false" ht="15" hidden="false" customHeight="false" outlineLevel="0" collapsed="false">
      <c r="A23" s="19" t="s">
        <v>133</v>
      </c>
      <c r="B23" s="21" t="n">
        <f aca="false">MAX(0,G10)</f>
        <v>44.7228</v>
      </c>
      <c r="C23" s="6" t="s">
        <v>132</v>
      </c>
    </row>
    <row r="24" customFormat="false" ht="15" hidden="false" customHeight="false" outlineLevel="0" collapsed="false">
      <c r="A24" s="19" t="s">
        <v>134</v>
      </c>
      <c r="B24" s="21" t="n">
        <f aca="false">MAX(0,G6)</f>
        <v>33.274</v>
      </c>
      <c r="C24" s="6" t="s">
        <v>132</v>
      </c>
    </row>
    <row r="25" customFormat="false" ht="15" hidden="false" customHeight="false" outlineLevel="0" collapsed="false">
      <c r="A25" s="4" t="s">
        <v>135</v>
      </c>
      <c r="B25" s="21" t="n">
        <f aca="false">-SUMIF(G6:G11,"&lt;0")</f>
        <v>60.9404</v>
      </c>
      <c r="C25" s="6" t="s">
        <v>132</v>
      </c>
    </row>
    <row r="26" customFormat="false" ht="15" hidden="false" customHeight="false" outlineLevel="0" collapsed="false">
      <c r="A26" s="19" t="s">
        <v>136</v>
      </c>
      <c r="B26" s="21" t="n">
        <f aca="false">-MIN(0,G9)</f>
        <v>53.533</v>
      </c>
      <c r="C26" s="6" t="s">
        <v>132</v>
      </c>
    </row>
    <row r="27" customFormat="false" ht="15" hidden="false" customHeight="false" outlineLevel="0" collapsed="false">
      <c r="A27" s="4" t="s">
        <v>137</v>
      </c>
      <c r="B27" s="21" t="n">
        <f aca="false">G12</f>
        <v>36.8304</v>
      </c>
      <c r="C27" s="6" t="s">
        <v>132</v>
      </c>
    </row>
    <row r="28" customFormat="false" ht="15" hidden="false" customHeight="false" outlineLevel="0" collapsed="false">
      <c r="A28" s="4" t="s">
        <v>138</v>
      </c>
      <c r="B28" s="24" t="n">
        <f aca="false">IFERROR(B23/B22,0)</f>
        <v>0.457424916232658</v>
      </c>
      <c r="C28" s="6"/>
    </row>
    <row r="29" customFormat="false" ht="15" hidden="false" customHeight="false" outlineLevel="0" collapsed="false">
      <c r="A29" s="4" t="s">
        <v>139</v>
      </c>
      <c r="B29" s="24" t="n">
        <f aca="false">IFERROR(B24/B22,0)</f>
        <v>0.340326559668122</v>
      </c>
      <c r="C29" s="6"/>
    </row>
    <row r="30" customFormat="false" ht="15" hidden="false" customHeight="false" outlineLevel="0" collapsed="false">
      <c r="A30" s="4" t="s">
        <v>140</v>
      </c>
      <c r="B30" s="23" t="n">
        <f aca="false">IFERROR(F10/F6,0)</f>
        <v>2.90551181102362</v>
      </c>
      <c r="C30" s="6"/>
    </row>
    <row r="33" customFormat="false" ht="15" hidden="false" customHeight="false" outlineLevel="0" collapsed="false">
      <c r="A33" s="17" t="s">
        <v>141</v>
      </c>
      <c r="B33" s="18"/>
      <c r="C33" s="18"/>
      <c r="D33" s="18"/>
      <c r="E33" s="18"/>
      <c r="F33" s="18"/>
      <c r="G33" s="18"/>
      <c r="H33" s="18"/>
      <c r="I33" s="18"/>
      <c r="J33" s="18"/>
    </row>
    <row r="34" customFormat="false" ht="15" hidden="false" customHeight="false" outlineLevel="0" collapsed="false">
      <c r="A34" s="19" t="s">
        <v>142</v>
      </c>
      <c r="B34" s="20" t="n">
        <v>102.56</v>
      </c>
      <c r="C34" s="6" t="s">
        <v>143</v>
      </c>
      <c r="J34" s="6" t="s">
        <v>144</v>
      </c>
    </row>
    <row r="35" customFormat="false" ht="15" hidden="false" customHeight="false" outlineLevel="0" collapsed="false">
      <c r="A35" s="19" t="s">
        <v>145</v>
      </c>
      <c r="B35" s="20" t="n">
        <v>102.65</v>
      </c>
      <c r="C35" s="6" t="s">
        <v>143</v>
      </c>
      <c r="J35" s="6" t="s">
        <v>146</v>
      </c>
    </row>
    <row r="36" customFormat="false" ht="15" hidden="false" customHeight="false" outlineLevel="0" collapsed="false">
      <c r="A36" s="19" t="s">
        <v>147</v>
      </c>
      <c r="B36" s="20" t="n">
        <v>67</v>
      </c>
      <c r="C36" s="6" t="s">
        <v>132</v>
      </c>
      <c r="J36" s="6" t="s">
        <v>148</v>
      </c>
    </row>
    <row r="37" customFormat="false" ht="15" hidden="false" customHeight="false" outlineLevel="0" collapsed="false">
      <c r="A37" s="19" t="s">
        <v>149</v>
      </c>
      <c r="B37" s="27" t="n">
        <v>0.72</v>
      </c>
      <c r="C37" s="6" t="s">
        <v>150</v>
      </c>
      <c r="J37" s="6" t="s">
        <v>151</v>
      </c>
    </row>
    <row r="38" customFormat="false" ht="15" hidden="false" customHeight="false" outlineLevel="0" collapsed="false">
      <c r="A38" s="19" t="s">
        <v>152</v>
      </c>
      <c r="B38" s="27" t="n">
        <v>0.15</v>
      </c>
      <c r="C38" s="6" t="s">
        <v>150</v>
      </c>
      <c r="J38" s="6" t="s">
        <v>153</v>
      </c>
    </row>
    <row r="39" customFormat="false" ht="15" hidden="false" customHeight="false" outlineLevel="0" collapsed="false">
      <c r="A39" s="19" t="s">
        <v>154</v>
      </c>
      <c r="B39" s="27" t="n">
        <v>0.15</v>
      </c>
      <c r="C39" s="6" t="s">
        <v>150</v>
      </c>
      <c r="J39" s="6" t="s">
        <v>153</v>
      </c>
    </row>
    <row r="40" customFormat="false" ht="15" hidden="false" customHeight="false" outlineLevel="0" collapsed="false">
      <c r="A40" s="4" t="s">
        <v>155</v>
      </c>
      <c r="B40" s="28" t="n">
        <f aca="false">IFERROR(B35/B34,0)</f>
        <v>1.0008775351014</v>
      </c>
    </row>
    <row r="41" customFormat="false" ht="15" hidden="false" customHeight="false" outlineLevel="0" collapsed="false">
      <c r="A41" s="6" t="s">
        <v>156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3" min="2" style="0" width="14"/>
    <col collapsed="false" customWidth="true" hidden="false" outlineLevel="0" max="8" min="4" style="0" width="15"/>
    <col collapsed="false" customWidth="true" hidden="false" outlineLevel="0" max="9" min="9" style="0" width="60"/>
  </cols>
  <sheetData>
    <row r="1" customFormat="false" ht="17.35" hidden="false" customHeight="false" outlineLevel="0" collapsed="false">
      <c r="A1" s="5" t="s">
        <v>157</v>
      </c>
    </row>
    <row r="2" customFormat="false" ht="15" hidden="false" customHeight="false" outlineLevel="0" collapsed="false">
      <c r="A2" s="6" t="s">
        <v>158</v>
      </c>
    </row>
    <row r="3" customFormat="false" ht="15" hidden="false" customHeight="false" outlineLevel="0" collapsed="false">
      <c r="D3" s="4" t="s">
        <v>159</v>
      </c>
      <c r="E3" s="8" t="n">
        <f aca="false">CMR_Segments!$B$15</f>
        <v>86.5</v>
      </c>
    </row>
    <row r="4" customFormat="false" ht="15" hidden="false" customHeight="false" outlineLevel="0" collapsed="false">
      <c r="A4" s="17" t="s">
        <v>160</v>
      </c>
      <c r="B4" s="18"/>
      <c r="C4" s="18"/>
      <c r="D4" s="18"/>
      <c r="E4" s="18"/>
      <c r="F4" s="18"/>
      <c r="G4" s="18"/>
      <c r="H4" s="18"/>
      <c r="I4" s="18"/>
      <c r="J4" s="18"/>
    </row>
    <row r="5" customFormat="false" ht="45" hidden="false" customHeight="true" outlineLevel="0" collapsed="false">
      <c r="A5" s="7" t="s">
        <v>161</v>
      </c>
      <c r="B5" s="7" t="s">
        <v>162</v>
      </c>
      <c r="C5" s="7" t="s">
        <v>163</v>
      </c>
      <c r="D5" s="7" t="s">
        <v>164</v>
      </c>
      <c r="E5" s="7" t="s">
        <v>104</v>
      </c>
      <c r="F5" s="7" t="s">
        <v>165</v>
      </c>
      <c r="G5" s="7"/>
      <c r="H5" s="7"/>
      <c r="I5" s="7" t="s">
        <v>109</v>
      </c>
    </row>
    <row r="6" customFormat="false" ht="15" hidden="false" customHeight="false" outlineLevel="0" collapsed="false">
      <c r="A6" s="19" t="s">
        <v>166</v>
      </c>
      <c r="B6" s="22" t="n">
        <v>110</v>
      </c>
      <c r="C6" s="20" t="n">
        <v>50</v>
      </c>
      <c r="D6" s="21" t="n">
        <f aca="false">$E$3</f>
        <v>86.5</v>
      </c>
      <c r="E6" s="23" t="n">
        <f aca="false">IFERROR(C6/D6,0)</f>
        <v>0.578034682080925</v>
      </c>
      <c r="F6" s="21" t="n">
        <f aca="false">D6-C6</f>
        <v>36.5</v>
      </c>
      <c r="I6" s="6" t="s">
        <v>167</v>
      </c>
    </row>
    <row r="7" customFormat="false" ht="15" hidden="false" customHeight="false" outlineLevel="0" collapsed="false">
      <c r="A7" s="19" t="s">
        <v>168</v>
      </c>
      <c r="B7" s="22" t="n">
        <v>400</v>
      </c>
      <c r="C7" s="20" t="n">
        <v>79</v>
      </c>
      <c r="D7" s="21" t="n">
        <f aca="false">$E$3</f>
        <v>86.5</v>
      </c>
      <c r="E7" s="23" t="n">
        <f aca="false">IFERROR(C7/D7,0)</f>
        <v>0.913294797687861</v>
      </c>
      <c r="F7" s="21" t="n">
        <f aca="false">D7-C7</f>
        <v>7.5</v>
      </c>
      <c r="I7" s="6" t="s">
        <v>169</v>
      </c>
    </row>
    <row r="8" customFormat="false" ht="15" hidden="false" customHeight="false" outlineLevel="0" collapsed="false">
      <c r="A8" s="19" t="s">
        <v>170</v>
      </c>
      <c r="B8" s="22" t="n">
        <v>800</v>
      </c>
      <c r="C8" s="20" t="n">
        <v>94</v>
      </c>
      <c r="D8" s="21" t="n">
        <f aca="false">$E$3</f>
        <v>86.5</v>
      </c>
      <c r="E8" s="23" t="n">
        <f aca="false">IFERROR(C8/D8,0)</f>
        <v>1.08670520231214</v>
      </c>
      <c r="F8" s="21" t="n">
        <f aca="false">D8-C8</f>
        <v>-7.5</v>
      </c>
      <c r="I8" s="6" t="s">
        <v>169</v>
      </c>
    </row>
    <row r="9" customFormat="false" ht="15" hidden="false" customHeight="false" outlineLevel="0" collapsed="false">
      <c r="A9" s="19" t="s">
        <v>171</v>
      </c>
      <c r="B9" s="22" t="n">
        <v>2000</v>
      </c>
      <c r="C9" s="20" t="n">
        <v>99</v>
      </c>
      <c r="D9" s="21" t="n">
        <f aca="false">$E$3</f>
        <v>86.5</v>
      </c>
      <c r="E9" s="23" t="n">
        <f aca="false">IFERROR(C9/D9,0)</f>
        <v>1.14450867052023</v>
      </c>
      <c r="F9" s="21" t="n">
        <f aca="false">D9-C9</f>
        <v>-12.5</v>
      </c>
      <c r="I9" s="6" t="s">
        <v>169</v>
      </c>
    </row>
    <row r="10" customFormat="false" ht="15" hidden="false" customHeight="false" outlineLevel="0" collapsed="false">
      <c r="A10" s="19" t="s">
        <v>172</v>
      </c>
      <c r="B10" s="22" t="n">
        <v>110</v>
      </c>
      <c r="C10" s="20" t="n">
        <v>84</v>
      </c>
      <c r="D10" s="21" t="n">
        <f aca="false">$E$3</f>
        <v>86.5</v>
      </c>
      <c r="E10" s="23" t="n">
        <f aca="false">IFERROR(C10/D10,0)</f>
        <v>0.971098265895954</v>
      </c>
      <c r="F10" s="21" t="n">
        <f aca="false">D10-C10</f>
        <v>2.5</v>
      </c>
      <c r="I10" s="6" t="s">
        <v>169</v>
      </c>
    </row>
    <row r="11" customFormat="false" ht="15" hidden="false" customHeight="false" outlineLevel="0" collapsed="false">
      <c r="A11" s="19" t="s">
        <v>173</v>
      </c>
      <c r="B11" s="22" t="n">
        <v>400</v>
      </c>
      <c r="C11" s="20" t="n">
        <v>92</v>
      </c>
      <c r="D11" s="21" t="n">
        <f aca="false">$E$3</f>
        <v>86.5</v>
      </c>
      <c r="E11" s="23" t="n">
        <f aca="false">IFERROR(C11/D11,0)</f>
        <v>1.0635838150289</v>
      </c>
      <c r="F11" s="21" t="n">
        <f aca="false">D11-C11</f>
        <v>-5.5</v>
      </c>
      <c r="I11" s="6" t="s">
        <v>169</v>
      </c>
    </row>
    <row r="12" customFormat="false" ht="15" hidden="false" customHeight="false" outlineLevel="0" collapsed="false">
      <c r="A12" s="19" t="s">
        <v>174</v>
      </c>
      <c r="B12" s="22" t="n">
        <v>1000</v>
      </c>
      <c r="C12" s="20" t="n">
        <v>99</v>
      </c>
      <c r="D12" s="21" t="n">
        <f aca="false">$E$3</f>
        <v>86.5</v>
      </c>
      <c r="E12" s="23" t="n">
        <f aca="false">IFERROR(C12/D12,0)</f>
        <v>1.14450867052023</v>
      </c>
      <c r="F12" s="21" t="n">
        <f aca="false">D12-C12</f>
        <v>-12.5</v>
      </c>
      <c r="I12" s="6" t="s">
        <v>169</v>
      </c>
    </row>
    <row r="13" customFormat="false" ht="15" hidden="false" customHeight="false" outlineLevel="0" collapsed="false">
      <c r="A13" s="19" t="s">
        <v>175</v>
      </c>
      <c r="C13" s="20" t="n">
        <v>66</v>
      </c>
      <c r="D13" s="21" t="n">
        <f aca="false">$E$3</f>
        <v>86.5</v>
      </c>
      <c r="E13" s="23" t="n">
        <f aca="false">IFERROR(C13/D13,0)</f>
        <v>0.763005780346821</v>
      </c>
      <c r="F13" s="21" t="n">
        <f aca="false">D13-C13</f>
        <v>20.5</v>
      </c>
      <c r="I13" s="6" t="s">
        <v>169</v>
      </c>
    </row>
    <row r="14" customFormat="false" ht="15" hidden="false" customHeight="false" outlineLevel="0" collapsed="false">
      <c r="A14" s="6" t="s">
        <v>176</v>
      </c>
    </row>
    <row r="16" customFormat="false" ht="15" hidden="false" customHeight="false" outlineLevel="0" collapsed="false">
      <c r="A16" s="17" t="s">
        <v>177</v>
      </c>
      <c r="B16" s="18"/>
      <c r="C16" s="18"/>
      <c r="D16" s="18"/>
      <c r="E16" s="18"/>
      <c r="F16" s="18"/>
      <c r="G16" s="18"/>
      <c r="H16" s="18"/>
      <c r="I16" s="18"/>
      <c r="J16" s="18"/>
    </row>
    <row r="17" customFormat="false" ht="45" hidden="false" customHeight="true" outlineLevel="0" collapsed="false">
      <c r="A17" s="7" t="s">
        <v>178</v>
      </c>
      <c r="B17" s="7" t="s">
        <v>179</v>
      </c>
      <c r="C17" s="7" t="s">
        <v>180</v>
      </c>
      <c r="D17" s="7" t="s">
        <v>181</v>
      </c>
      <c r="E17" s="7" t="s">
        <v>182</v>
      </c>
      <c r="F17" s="7" t="s">
        <v>183</v>
      </c>
      <c r="G17" s="7" t="s">
        <v>184</v>
      </c>
      <c r="H17" s="7" t="s">
        <v>185</v>
      </c>
      <c r="I17" s="7" t="s">
        <v>109</v>
      </c>
    </row>
    <row r="18" customFormat="false" ht="15" hidden="false" customHeight="false" outlineLevel="0" collapsed="false">
      <c r="A18" s="19" t="s">
        <v>186</v>
      </c>
      <c r="B18" s="22" t="n">
        <v>9350605</v>
      </c>
      <c r="C18" s="22" t="n">
        <v>375873</v>
      </c>
      <c r="D18" s="21" t="n">
        <f aca="false">IFERROR(C18*1000/B18,0)</f>
        <v>40.197719826685</v>
      </c>
      <c r="E18" s="24" t="n">
        <f aca="false">IFERROR(B18/SUM($B$18:$B$21),0)</f>
        <v>0.73904050138322</v>
      </c>
      <c r="F18" s="24" t="n">
        <f aca="false">IFERROR(C18/SUM($C$18:$C$21),0)</f>
        <v>0.292075399563604</v>
      </c>
      <c r="G18" s="21" t="n">
        <f aca="false">C18*$F$6/1000000</f>
        <v>13.7193645</v>
      </c>
      <c r="H18" s="24" t="n">
        <f aca="false">IFERROR(MAX(0,G18)/SUMIF($G$18:$G$21,"&gt;0"),0)</f>
        <v>0.768145614232673</v>
      </c>
      <c r="I18" s="6" t="s">
        <v>187</v>
      </c>
    </row>
    <row r="19" customFormat="false" ht="15" hidden="false" customHeight="false" outlineLevel="0" collapsed="false">
      <c r="A19" s="19" t="s">
        <v>188</v>
      </c>
      <c r="B19" s="22" t="n">
        <v>2956507</v>
      </c>
      <c r="C19" s="22" t="n">
        <v>552134</v>
      </c>
      <c r="D19" s="21" t="n">
        <f aca="false">IFERROR(C19*1000/B19,0)</f>
        <v>186.752136896682</v>
      </c>
      <c r="E19" s="24" t="n">
        <f aca="false">IFERROR(B19/SUM($B$18:$B$21),0)</f>
        <v>0.233672411103132</v>
      </c>
      <c r="F19" s="24" t="n">
        <f aca="false">IFERROR(C19/SUM($C$18:$C$21),0)</f>
        <v>0.429040550033258</v>
      </c>
      <c r="G19" s="21" t="n">
        <f aca="false">C19*$F$7/1000000</f>
        <v>4.141005</v>
      </c>
      <c r="H19" s="24" t="n">
        <f aca="false">IFERROR(MAX(0,G19)/SUMIF($G$18:$G$21,"&gt;0"),0)</f>
        <v>0.231854385767327</v>
      </c>
      <c r="I19" s="6" t="s">
        <v>169</v>
      </c>
    </row>
    <row r="20" customFormat="false" ht="15" hidden="false" customHeight="false" outlineLevel="0" collapsed="false">
      <c r="A20" s="19" t="s">
        <v>189</v>
      </c>
      <c r="B20" s="22" t="n">
        <v>246664</v>
      </c>
      <c r="C20" s="22" t="n">
        <v>131980</v>
      </c>
      <c r="D20" s="21" t="n">
        <f aca="false">IFERROR(C20*1000/B20,0)</f>
        <v>535.05983848474</v>
      </c>
      <c r="E20" s="24" t="n">
        <f aca="false">IFERROR(B20/SUM($B$18:$B$21),0)</f>
        <v>0.0194954964126055</v>
      </c>
      <c r="F20" s="24" t="n">
        <f aca="false">IFERROR(C20/SUM($C$18:$C$21),0)</f>
        <v>0.10255621242921</v>
      </c>
      <c r="G20" s="21" t="n">
        <f aca="false">C20*$F$8/1000000</f>
        <v>-0.98985</v>
      </c>
      <c r="H20" s="24" t="n">
        <f aca="false">IFERROR(MAX(0,G20)/SUMIF($G$18:$G$21,"&gt;0"),0)</f>
        <v>0</v>
      </c>
      <c r="I20" s="6" t="s">
        <v>169</v>
      </c>
    </row>
    <row r="21" customFormat="false" ht="15" hidden="false" customHeight="false" outlineLevel="0" collapsed="false">
      <c r="A21" s="19" t="s">
        <v>190</v>
      </c>
      <c r="B21" s="22" t="n">
        <v>98582</v>
      </c>
      <c r="C21" s="22" t="n">
        <v>226917</v>
      </c>
      <c r="D21" s="21" t="n">
        <f aca="false">IFERROR(C21*1000/B21,0)</f>
        <v>2301.80966099288</v>
      </c>
      <c r="E21" s="24" t="n">
        <f aca="false">IFERROR(B21/SUM($B$18:$B$21),0)</f>
        <v>0.00779159110104219</v>
      </c>
      <c r="F21" s="24" t="n">
        <f aca="false">IFERROR(C21/SUM($C$18:$C$21),0)</f>
        <v>0.176327837973928</v>
      </c>
      <c r="G21" s="21" t="n">
        <f aca="false">C21*$F$9/1000000</f>
        <v>-2.8364625</v>
      </c>
      <c r="H21" s="24" t="n">
        <f aca="false">IFERROR(MAX(0,G21)/SUMIF($G$18:$G$21,"&gt;0"),0)</f>
        <v>0</v>
      </c>
      <c r="I21" s="6" t="s">
        <v>169</v>
      </c>
    </row>
    <row r="22" customFormat="false" ht="15" hidden="false" customHeight="false" outlineLevel="0" collapsed="false">
      <c r="A22" s="4" t="s">
        <v>191</v>
      </c>
      <c r="B22" s="26" t="n">
        <f aca="false">SUM(B18:B21)</f>
        <v>12652358</v>
      </c>
      <c r="C22" s="26" t="n">
        <f aca="false">SUM(C18:C21)</f>
        <v>1286904</v>
      </c>
      <c r="D22" s="25" t="n">
        <f aca="false">IFERROR(C22*1000/B22,0)</f>
        <v>101.712581955079</v>
      </c>
      <c r="G22" s="25" t="n">
        <f aca="false">SUM(G18:G21)</f>
        <v>14.034057</v>
      </c>
    </row>
    <row r="23" customFormat="false" ht="15" hidden="false" customHeight="false" outlineLevel="0" collapsed="false">
      <c r="A23" s="6" t="s">
        <v>192</v>
      </c>
    </row>
    <row r="25" customFormat="false" ht="15" hidden="false" customHeight="false" outlineLevel="0" collapsed="false">
      <c r="A25" s="17" t="s">
        <v>193</v>
      </c>
      <c r="B25" s="18"/>
      <c r="C25" s="18"/>
      <c r="D25" s="18"/>
      <c r="E25" s="18"/>
      <c r="F25" s="18"/>
      <c r="G25" s="18"/>
      <c r="H25" s="18"/>
      <c r="I25" s="18"/>
      <c r="J25" s="18"/>
    </row>
    <row r="26" customFormat="false" ht="45" hidden="false" customHeight="true" outlineLevel="0" collapsed="false">
      <c r="A26" s="7" t="s">
        <v>194</v>
      </c>
      <c r="B26" s="7" t="s">
        <v>195</v>
      </c>
      <c r="C26" s="7" t="s">
        <v>196</v>
      </c>
      <c r="D26" s="7" t="s">
        <v>197</v>
      </c>
      <c r="E26" s="7" t="s">
        <v>198</v>
      </c>
      <c r="F26" s="7" t="s">
        <v>199</v>
      </c>
      <c r="G26" s="7"/>
      <c r="H26" s="7"/>
      <c r="I26" s="7" t="s">
        <v>200</v>
      </c>
    </row>
    <row r="27" customFormat="false" ht="15" hidden="false" customHeight="false" outlineLevel="0" collapsed="false">
      <c r="A27" s="22" t="n">
        <v>25</v>
      </c>
      <c r="B27" s="21" t="n">
        <f aca="false">IF(A27&lt;=$B$6,$C$6,IF(A27&lt;=$B$7,$C$7,IF(A27&lt;=$B$8,$C$8,$C$9)))</f>
        <v>50</v>
      </c>
      <c r="C27" s="29" t="n">
        <f aca="false">A27*B27</f>
        <v>1250</v>
      </c>
      <c r="D27" s="29" t="n">
        <f aca="false">A27*$E$3</f>
        <v>2162.5</v>
      </c>
      <c r="E27" s="29" t="n">
        <f aca="false">D27-C27</f>
        <v>912.5</v>
      </c>
      <c r="F27" s="23" t="n">
        <f aca="false">IFERROR(B27/$E$3,0)</f>
        <v>0.578034682080925</v>
      </c>
      <c r="I27" s="6" t="s">
        <v>201</v>
      </c>
    </row>
    <row r="28" customFormat="false" ht="15" hidden="false" customHeight="false" outlineLevel="0" collapsed="false">
      <c r="A28" s="22" t="n">
        <v>54</v>
      </c>
      <c r="B28" s="21" t="n">
        <f aca="false">IF(A28&lt;=$B$6,$C$6,IF(A28&lt;=$B$7,$C$7,IF(A28&lt;=$B$8,$C$8,$C$9)))</f>
        <v>50</v>
      </c>
      <c r="C28" s="29" t="n">
        <f aca="false">A28*B28</f>
        <v>2700</v>
      </c>
      <c r="D28" s="29" t="n">
        <f aca="false">A28*$E$3</f>
        <v>4671</v>
      </c>
      <c r="E28" s="29" t="n">
        <f aca="false">D28-C28</f>
        <v>1971</v>
      </c>
      <c r="F28" s="23" t="n">
        <f aca="false">IFERROR(B28/$E$3,0)</f>
        <v>0.578034682080925</v>
      </c>
      <c r="I28" s="6" t="s">
        <v>202</v>
      </c>
    </row>
    <row r="29" customFormat="false" ht="15" hidden="false" customHeight="false" outlineLevel="0" collapsed="false">
      <c r="A29" s="22" t="n">
        <v>102</v>
      </c>
      <c r="B29" s="21" t="n">
        <f aca="false">IF(A29&lt;=$B$6,$C$6,IF(A29&lt;=$B$7,$C$7,IF(A29&lt;=$B$8,$C$8,$C$9)))</f>
        <v>50</v>
      </c>
      <c r="C29" s="29" t="n">
        <f aca="false">A29*B29</f>
        <v>5100</v>
      </c>
      <c r="D29" s="29" t="n">
        <f aca="false">A29*$E$3</f>
        <v>8823</v>
      </c>
      <c r="E29" s="29" t="n">
        <f aca="false">D29-C29</f>
        <v>3723</v>
      </c>
      <c r="F29" s="23" t="n">
        <f aca="false">IFERROR(B29/$E$3,0)</f>
        <v>0.578034682080925</v>
      </c>
      <c r="I29" s="6" t="s">
        <v>203</v>
      </c>
    </row>
    <row r="30" customFormat="false" ht="15" hidden="false" customHeight="false" outlineLevel="0" collapsed="false">
      <c r="A30" s="22" t="n">
        <v>110</v>
      </c>
      <c r="B30" s="21" t="n">
        <f aca="false">IF(A30&lt;=$B$6,$C$6,IF(A30&lt;=$B$7,$C$7,IF(A30&lt;=$B$8,$C$8,$C$9)))</f>
        <v>50</v>
      </c>
      <c r="C30" s="29" t="n">
        <f aca="false">A30*B30</f>
        <v>5500</v>
      </c>
      <c r="D30" s="29" t="n">
        <f aca="false">A30*$E$3</f>
        <v>9515</v>
      </c>
      <c r="E30" s="29" t="n">
        <f aca="false">D30-C30</f>
        <v>4015</v>
      </c>
      <c r="F30" s="23" t="n">
        <f aca="false">IFERROR(B30/$E$3,0)</f>
        <v>0.578034682080925</v>
      </c>
      <c r="I30" s="6" t="s">
        <v>204</v>
      </c>
    </row>
    <row r="31" customFormat="false" ht="15" hidden="false" customHeight="false" outlineLevel="0" collapsed="false">
      <c r="A31" s="22" t="n">
        <v>111</v>
      </c>
      <c r="B31" s="21" t="n">
        <f aca="false">IF(A31&lt;=$B$6,$C$6,IF(A31&lt;=$B$7,$C$7,IF(A31&lt;=$B$8,$C$8,$C$9)))</f>
        <v>79</v>
      </c>
      <c r="C31" s="29" t="n">
        <f aca="false">A31*B31</f>
        <v>8769</v>
      </c>
      <c r="D31" s="29" t="n">
        <f aca="false">A31*$E$3</f>
        <v>9601.5</v>
      </c>
      <c r="E31" s="29" t="n">
        <f aca="false">D31-C31</f>
        <v>832.5</v>
      </c>
      <c r="F31" s="23" t="n">
        <f aca="false">IFERROR(B31/$E$3,0)</f>
        <v>0.913294797687861</v>
      </c>
      <c r="I31" s="6" t="s">
        <v>205</v>
      </c>
    </row>
    <row r="32" customFormat="false" ht="15" hidden="false" customHeight="false" outlineLevel="0" collapsed="false">
      <c r="A32" s="22" t="n">
        <v>204</v>
      </c>
      <c r="B32" s="21" t="n">
        <f aca="false">IF(A32&lt;=$B$6,$C$6,IF(A32&lt;=$B$7,$C$7,IF(A32&lt;=$B$8,$C$8,$C$9)))</f>
        <v>79</v>
      </c>
      <c r="C32" s="29" t="n">
        <f aca="false">A32*B32</f>
        <v>16116</v>
      </c>
      <c r="D32" s="29" t="n">
        <f aca="false">A32*$E$3</f>
        <v>17646</v>
      </c>
      <c r="E32" s="29" t="n">
        <f aca="false">D32-C32</f>
        <v>1530</v>
      </c>
      <c r="F32" s="23" t="n">
        <f aca="false">IFERROR(B32/$E$3,0)</f>
        <v>0.913294797687861</v>
      </c>
      <c r="I32" s="6" t="s">
        <v>206</v>
      </c>
    </row>
    <row r="33" customFormat="false" ht="15" hidden="false" customHeight="false" outlineLevel="0" collapsed="false">
      <c r="A33" s="22" t="n">
        <v>400</v>
      </c>
      <c r="B33" s="21" t="n">
        <f aca="false">IF(A33&lt;=$B$6,$C$6,IF(A33&lt;=$B$7,$C$7,IF(A33&lt;=$B$8,$C$8,$C$9)))</f>
        <v>79</v>
      </c>
      <c r="C33" s="29" t="n">
        <f aca="false">A33*B33</f>
        <v>31600</v>
      </c>
      <c r="D33" s="29" t="n">
        <f aca="false">A33*$E$3</f>
        <v>34600</v>
      </c>
      <c r="E33" s="29" t="n">
        <f aca="false">D33-C33</f>
        <v>3000</v>
      </c>
      <c r="F33" s="23" t="n">
        <f aca="false">IFERROR(B33/$E$3,0)</f>
        <v>0.913294797687861</v>
      </c>
      <c r="I33" s="6" t="s">
        <v>207</v>
      </c>
    </row>
    <row r="34" customFormat="false" ht="15" hidden="false" customHeight="false" outlineLevel="0" collapsed="false">
      <c r="A34" s="22" t="n">
        <v>401</v>
      </c>
      <c r="B34" s="21" t="n">
        <f aca="false">IF(A34&lt;=$B$6,$C$6,IF(A34&lt;=$B$7,$C$7,IF(A34&lt;=$B$8,$C$8,$C$9)))</f>
        <v>94</v>
      </c>
      <c r="C34" s="29" t="n">
        <f aca="false">A34*B34</f>
        <v>37694</v>
      </c>
      <c r="D34" s="29" t="n">
        <f aca="false">A34*$E$3</f>
        <v>34686.5</v>
      </c>
      <c r="E34" s="29" t="n">
        <f aca="false">D34-C34</f>
        <v>-3007.5</v>
      </c>
      <c r="F34" s="23" t="n">
        <f aca="false">IFERROR(B34/$E$3,0)</f>
        <v>1.08670520231214</v>
      </c>
      <c r="I34" s="6" t="s">
        <v>208</v>
      </c>
    </row>
    <row r="35" customFormat="false" ht="15" hidden="false" customHeight="false" outlineLevel="0" collapsed="false">
      <c r="A35" s="22" t="n">
        <v>800</v>
      </c>
      <c r="B35" s="21" t="n">
        <f aca="false">IF(A35&lt;=$B$6,$C$6,IF(A35&lt;=$B$7,$C$7,IF(A35&lt;=$B$8,$C$8,$C$9)))</f>
        <v>94</v>
      </c>
      <c r="C35" s="29" t="n">
        <f aca="false">A35*B35</f>
        <v>75200</v>
      </c>
      <c r="D35" s="29" t="n">
        <f aca="false">A35*$E$3</f>
        <v>69200</v>
      </c>
      <c r="E35" s="29" t="n">
        <f aca="false">D35-C35</f>
        <v>-6000</v>
      </c>
      <c r="F35" s="23" t="n">
        <f aca="false">IFERROR(B35/$E$3,0)</f>
        <v>1.08670520231214</v>
      </c>
      <c r="I35" s="6" t="s">
        <v>209</v>
      </c>
    </row>
    <row r="36" customFormat="false" ht="15" hidden="false" customHeight="false" outlineLevel="0" collapsed="false">
      <c r="A36" s="22" t="n">
        <v>801</v>
      </c>
      <c r="B36" s="21" t="n">
        <f aca="false">IF(A36&lt;=$B$6,$C$6,IF(A36&lt;=$B$7,$C$7,IF(A36&lt;=$B$8,$C$8,$C$9)))</f>
        <v>99</v>
      </c>
      <c r="C36" s="29" t="n">
        <f aca="false">A36*B36</f>
        <v>79299</v>
      </c>
      <c r="D36" s="29" t="n">
        <f aca="false">A36*$E$3</f>
        <v>69286.5</v>
      </c>
      <c r="E36" s="29" t="n">
        <f aca="false">D36-C36</f>
        <v>-10012.5</v>
      </c>
      <c r="F36" s="23" t="n">
        <f aca="false">IFERROR(B36/$E$3,0)</f>
        <v>1.14450867052023</v>
      </c>
      <c r="I36" s="6" t="s">
        <v>210</v>
      </c>
    </row>
    <row r="37" customFormat="false" ht="15" hidden="false" customHeight="false" outlineLevel="0" collapsed="false">
      <c r="A37" s="22" t="n">
        <v>1500</v>
      </c>
      <c r="B37" s="21" t="n">
        <f aca="false">IF(A37&lt;=$B$6,$C$6,IF(A37&lt;=$B$7,$C$7,IF(A37&lt;=$B$8,$C$8,$C$9)))</f>
        <v>99</v>
      </c>
      <c r="C37" s="29" t="n">
        <f aca="false">A37*B37</f>
        <v>148500</v>
      </c>
      <c r="D37" s="29" t="n">
        <f aca="false">A37*$E$3</f>
        <v>129750</v>
      </c>
      <c r="E37" s="29" t="n">
        <f aca="false">D37-C37</f>
        <v>-18750</v>
      </c>
      <c r="F37" s="23" t="n">
        <f aca="false">IFERROR(B37/$E$3,0)</f>
        <v>1.14450867052023</v>
      </c>
      <c r="I37" s="6" t="s">
        <v>211</v>
      </c>
    </row>
    <row r="39" customFormat="false" ht="15" hidden="false" customHeight="false" outlineLevel="0" collapsed="false">
      <c r="A39" s="4" t="s">
        <v>212</v>
      </c>
      <c r="E39" s="26" t="n">
        <f aca="false">C31-C30</f>
        <v>3269</v>
      </c>
    </row>
    <row r="41" customFormat="false" ht="15" hidden="false" customHeight="false" outlineLevel="0" collapsed="false">
      <c r="A41" s="17" t="s">
        <v>213</v>
      </c>
      <c r="B41" s="18"/>
      <c r="C41" s="18"/>
      <c r="D41" s="18"/>
      <c r="E41" s="18"/>
      <c r="F41" s="18"/>
      <c r="G41" s="18"/>
      <c r="H41" s="18"/>
      <c r="I41" s="18"/>
      <c r="J41" s="18"/>
    </row>
    <row r="42" customFormat="false" ht="45" hidden="false" customHeight="true" outlineLevel="0" collapsed="false">
      <c r="A42" s="7" t="s">
        <v>214</v>
      </c>
      <c r="B42" s="7" t="s">
        <v>215</v>
      </c>
      <c r="C42" s="7" t="s">
        <v>216</v>
      </c>
      <c r="D42" s="7" t="s">
        <v>217</v>
      </c>
      <c r="E42" s="7" t="s">
        <v>218</v>
      </c>
      <c r="F42" s="7"/>
      <c r="G42" s="7"/>
      <c r="H42" s="7"/>
      <c r="I42" s="7" t="s">
        <v>109</v>
      </c>
    </row>
    <row r="43" customFormat="false" ht="15" hidden="false" customHeight="false" outlineLevel="0" collapsed="false">
      <c r="A43" s="19" t="s">
        <v>219</v>
      </c>
      <c r="B43" s="20" t="n">
        <v>0.6</v>
      </c>
      <c r="C43" s="21" t="n">
        <f aca="false">IF(B43&lt;=$B$6,$C$6,IF(B43&lt;=$B$7,$C$7,IF(B43&lt;=$B$8,$C$8,$C$9)))</f>
        <v>50</v>
      </c>
      <c r="D43" s="29" t="n">
        <f aca="false">B43*($E$3-C43)</f>
        <v>21.9</v>
      </c>
      <c r="E43" s="23" t="n">
        <f aca="false">IFERROR(C43/$E$3,0)</f>
        <v>0.578034682080925</v>
      </c>
      <c r="I43" s="6" t="s">
        <v>220</v>
      </c>
    </row>
    <row r="44" customFormat="false" ht="15" hidden="false" customHeight="false" outlineLevel="0" collapsed="false">
      <c r="A44" s="19" t="s">
        <v>221</v>
      </c>
      <c r="B44" s="20" t="n">
        <v>7.5</v>
      </c>
      <c r="C44" s="21" t="n">
        <f aca="false">IF(B44&lt;=$B$6,$C$6,IF(B44&lt;=$B$7,$C$7,IF(B44&lt;=$B$8,$C$8,$C$9)))</f>
        <v>50</v>
      </c>
      <c r="D44" s="29" t="n">
        <f aca="false">B44*($E$3-C44)</f>
        <v>273.75</v>
      </c>
      <c r="E44" s="23" t="n">
        <f aca="false">IFERROR(C44/$E$3,0)</f>
        <v>0.578034682080925</v>
      </c>
      <c r="I44" s="6" t="s">
        <v>169</v>
      </c>
    </row>
    <row r="45" customFormat="false" ht="15" hidden="false" customHeight="false" outlineLevel="0" collapsed="false">
      <c r="A45" s="19" t="s">
        <v>222</v>
      </c>
      <c r="B45" s="20" t="n">
        <v>18.3</v>
      </c>
      <c r="C45" s="21" t="n">
        <f aca="false">IF(B45&lt;=$B$6,$C$6,IF(B45&lt;=$B$7,$C$7,IF(B45&lt;=$B$8,$C$8,$C$9)))</f>
        <v>50</v>
      </c>
      <c r="D45" s="29" t="n">
        <f aca="false">B45*($E$3-C45)</f>
        <v>667.95</v>
      </c>
      <c r="E45" s="23" t="n">
        <f aca="false">IFERROR(C45/$E$3,0)</f>
        <v>0.578034682080925</v>
      </c>
      <c r="I45" s="6" t="s">
        <v>169</v>
      </c>
    </row>
    <row r="46" customFormat="false" ht="15" hidden="false" customHeight="false" outlineLevel="0" collapsed="false">
      <c r="A46" s="19" t="s">
        <v>223</v>
      </c>
      <c r="B46" s="20" t="n">
        <v>30.8</v>
      </c>
      <c r="C46" s="21" t="n">
        <f aca="false">IF(B46&lt;=$B$6,$C$6,IF(B46&lt;=$B$7,$C$7,IF(B46&lt;=$B$8,$C$8,$C$9)))</f>
        <v>50</v>
      </c>
      <c r="D46" s="29" t="n">
        <f aca="false">B46*($E$3-C46)</f>
        <v>1124.2</v>
      </c>
      <c r="E46" s="23" t="n">
        <f aca="false">IFERROR(C46/$E$3,0)</f>
        <v>0.578034682080925</v>
      </c>
      <c r="I46" s="6" t="s">
        <v>169</v>
      </c>
    </row>
    <row r="47" customFormat="false" ht="15" hidden="false" customHeight="false" outlineLevel="0" collapsed="false">
      <c r="A47" s="19" t="s">
        <v>224</v>
      </c>
      <c r="B47" s="20" t="n">
        <v>45.7</v>
      </c>
      <c r="C47" s="21" t="n">
        <f aca="false">IF(B47&lt;=$B$6,$C$6,IF(B47&lt;=$B$7,$C$7,IF(B47&lt;=$B$8,$C$8,$C$9)))</f>
        <v>50</v>
      </c>
      <c r="D47" s="29" t="n">
        <f aca="false">B47*($E$3-C47)</f>
        <v>1668.05</v>
      </c>
      <c r="E47" s="23" t="n">
        <f aca="false">IFERROR(C47/$E$3,0)</f>
        <v>0.578034682080925</v>
      </c>
      <c r="I47" s="6" t="s">
        <v>169</v>
      </c>
    </row>
    <row r="48" customFormat="false" ht="15" hidden="false" customHeight="false" outlineLevel="0" collapsed="false">
      <c r="A48" s="19" t="s">
        <v>225</v>
      </c>
      <c r="B48" s="20" t="n">
        <v>64.2</v>
      </c>
      <c r="C48" s="21" t="n">
        <f aca="false">IF(B48&lt;=$B$6,$C$6,IF(B48&lt;=$B$7,$C$7,IF(B48&lt;=$B$8,$C$8,$C$9)))</f>
        <v>50</v>
      </c>
      <c r="D48" s="29" t="n">
        <f aca="false">B48*($E$3-C48)</f>
        <v>2343.3</v>
      </c>
      <c r="E48" s="23" t="n">
        <f aca="false">IFERROR(C48/$E$3,0)</f>
        <v>0.578034682080925</v>
      </c>
      <c r="I48" s="6" t="s">
        <v>169</v>
      </c>
    </row>
    <row r="49" customFormat="false" ht="15" hidden="false" customHeight="false" outlineLevel="0" collapsed="false">
      <c r="A49" s="19" t="s">
        <v>226</v>
      </c>
      <c r="B49" s="20" t="n">
        <v>86</v>
      </c>
      <c r="C49" s="21" t="n">
        <f aca="false">IF(B49&lt;=$B$6,$C$6,IF(B49&lt;=$B$7,$C$7,IF(B49&lt;=$B$8,$C$8,$C$9)))</f>
        <v>50</v>
      </c>
      <c r="D49" s="29" t="n">
        <f aca="false">B49*($E$3-C49)</f>
        <v>3139</v>
      </c>
      <c r="E49" s="23" t="n">
        <f aca="false">IFERROR(C49/$E$3,0)</f>
        <v>0.578034682080925</v>
      </c>
      <c r="I49" s="6" t="s">
        <v>169</v>
      </c>
    </row>
    <row r="50" customFormat="false" ht="15" hidden="false" customHeight="false" outlineLevel="0" collapsed="false">
      <c r="A50" s="19" t="s">
        <v>227</v>
      </c>
      <c r="B50" s="20" t="n">
        <v>114.2</v>
      </c>
      <c r="C50" s="21" t="n">
        <f aca="false">IF(B50&lt;=$B$6,$C$6,IF(B50&lt;=$B$7,$C$7,IF(B50&lt;=$B$8,$C$8,$C$9)))</f>
        <v>79</v>
      </c>
      <c r="D50" s="29" t="n">
        <f aca="false">B50*($E$3-C50)</f>
        <v>856.5</v>
      </c>
      <c r="E50" s="23" t="n">
        <f aca="false">IFERROR(C50/$E$3,0)</f>
        <v>0.913294797687861</v>
      </c>
      <c r="I50" s="6" t="s">
        <v>169</v>
      </c>
    </row>
    <row r="51" customFormat="false" ht="15" hidden="false" customHeight="false" outlineLevel="0" collapsed="false">
      <c r="A51" s="19" t="s">
        <v>228</v>
      </c>
      <c r="B51" s="20" t="n">
        <v>163.9</v>
      </c>
      <c r="C51" s="21" t="n">
        <f aca="false">IF(B51&lt;=$B$6,$C$6,IF(B51&lt;=$B$7,$C$7,IF(B51&lt;=$B$8,$C$8,$C$9)))</f>
        <v>79</v>
      </c>
      <c r="D51" s="29" t="n">
        <f aca="false">B51*($E$3-C51)</f>
        <v>1229.25</v>
      </c>
      <c r="E51" s="23" t="n">
        <f aca="false">IFERROR(C51/$E$3,0)</f>
        <v>0.913294797687861</v>
      </c>
      <c r="I51" s="6" t="s">
        <v>169</v>
      </c>
    </row>
    <row r="52" customFormat="false" ht="15" hidden="false" customHeight="false" outlineLevel="0" collapsed="false">
      <c r="A52" s="19" t="s">
        <v>229</v>
      </c>
      <c r="B52" s="20" t="n">
        <v>481.8</v>
      </c>
      <c r="C52" s="21" t="n">
        <f aca="false">IF(B52&lt;=$B$6,$C$6,IF(B52&lt;=$B$7,$C$7,IF(B52&lt;=$B$8,$C$8,$C$9)))</f>
        <v>94</v>
      </c>
      <c r="D52" s="29" t="n">
        <f aca="false">B52*($E$3-C52)</f>
        <v>-3613.5</v>
      </c>
      <c r="E52" s="23" t="n">
        <f aca="false">IFERROR(C52/$E$3,0)</f>
        <v>1.08670520231214</v>
      </c>
      <c r="I52" s="6" t="s">
        <v>169</v>
      </c>
    </row>
    <row r="53" customFormat="false" ht="15" hidden="false" customHeight="false" outlineLevel="0" collapsed="false">
      <c r="A53" s="6" t="s">
        <v>230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5" min="2" style="0" width="14"/>
    <col collapsed="false" customWidth="true" hidden="false" outlineLevel="0" max="8" min="6" style="0" width="15"/>
    <col collapsed="false" customWidth="true" hidden="false" outlineLevel="0" max="9" min="9" style="0" width="60"/>
  </cols>
  <sheetData>
    <row r="1" customFormat="false" ht="17.35" hidden="false" customHeight="false" outlineLevel="0" collapsed="false">
      <c r="A1" s="5" t="s">
        <v>231</v>
      </c>
    </row>
    <row r="2" customFormat="false" ht="15" hidden="false" customHeight="false" outlineLevel="0" collapsed="false">
      <c r="A2" s="6" t="s">
        <v>232</v>
      </c>
    </row>
    <row r="4" customFormat="false" ht="15" hidden="false" customHeight="false" outlineLevel="0" collapsed="false">
      <c r="A4" s="17" t="s">
        <v>233</v>
      </c>
      <c r="B4" s="18"/>
      <c r="C4" s="18"/>
      <c r="D4" s="18"/>
      <c r="E4" s="18"/>
      <c r="F4" s="18"/>
      <c r="G4" s="18"/>
      <c r="H4" s="18"/>
      <c r="I4" s="18"/>
      <c r="J4" s="18"/>
    </row>
    <row r="5" customFormat="false" ht="15" hidden="false" customHeight="false" outlineLevel="0" collapsed="false">
      <c r="A5" s="19" t="s">
        <v>234</v>
      </c>
      <c r="B5" s="30" t="n">
        <v>0.16</v>
      </c>
      <c r="I5" s="6" t="s">
        <v>235</v>
      </c>
    </row>
    <row r="6" customFormat="false" ht="15" hidden="false" customHeight="false" outlineLevel="0" collapsed="false">
      <c r="A6" s="19" t="s">
        <v>236</v>
      </c>
      <c r="B6" s="30" t="n">
        <v>0.09</v>
      </c>
      <c r="I6" s="6" t="s">
        <v>237</v>
      </c>
    </row>
    <row r="7" customFormat="false" ht="15" hidden="false" customHeight="false" outlineLevel="0" collapsed="false">
      <c r="A7" s="19" t="s">
        <v>238</v>
      </c>
      <c r="B7" s="31" t="n">
        <f aca="false">110000/180</f>
        <v>611.111111111111</v>
      </c>
      <c r="I7" s="6" t="s">
        <v>239</v>
      </c>
    </row>
    <row r="8" customFormat="false" ht="15" hidden="false" customHeight="false" outlineLevel="0" collapsed="false">
      <c r="A8" s="4" t="s">
        <v>240</v>
      </c>
      <c r="B8" s="25" t="n">
        <f aca="false">B5*B7</f>
        <v>97.7777777777778</v>
      </c>
    </row>
    <row r="9" customFormat="false" ht="15" hidden="false" customHeight="false" outlineLevel="0" collapsed="false">
      <c r="A9" s="19" t="s">
        <v>241</v>
      </c>
      <c r="B9" s="21" t="n">
        <f aca="false">B6*B7</f>
        <v>55</v>
      </c>
    </row>
    <row r="10" customFormat="false" ht="15" hidden="false" customHeight="false" outlineLevel="0" collapsed="false">
      <c r="A10" s="19" t="s">
        <v>242</v>
      </c>
      <c r="B10" s="24" t="n">
        <f aca="false">IFERROR(B6/B5,0)</f>
        <v>0.5625</v>
      </c>
    </row>
    <row r="11" customFormat="false" ht="15" hidden="false" customHeight="false" outlineLevel="0" collapsed="false">
      <c r="A11" s="6" t="s">
        <v>243</v>
      </c>
    </row>
    <row r="12" customFormat="false" ht="15" hidden="false" customHeight="false" outlineLevel="0" collapsed="false">
      <c r="A12" s="6" t="s">
        <v>244</v>
      </c>
    </row>
    <row r="14" customFormat="false" ht="15" hidden="false" customHeight="false" outlineLevel="0" collapsed="false">
      <c r="A14" s="17" t="s">
        <v>245</v>
      </c>
      <c r="B14" s="18"/>
      <c r="C14" s="18"/>
      <c r="D14" s="18"/>
      <c r="E14" s="18"/>
      <c r="F14" s="18"/>
      <c r="G14" s="18"/>
      <c r="H14" s="18"/>
      <c r="I14" s="18"/>
      <c r="J14" s="18"/>
    </row>
    <row r="15" customFormat="false" ht="45" hidden="false" customHeight="true" outlineLevel="0" collapsed="false">
      <c r="A15" s="7" t="s">
        <v>246</v>
      </c>
      <c r="B15" s="7" t="s">
        <v>247</v>
      </c>
      <c r="C15" s="7" t="s">
        <v>248</v>
      </c>
      <c r="D15" s="7" t="s">
        <v>104</v>
      </c>
      <c r="E15" s="7" t="s">
        <v>249</v>
      </c>
      <c r="F15" s="7" t="s">
        <v>250</v>
      </c>
      <c r="G15" s="7" t="s">
        <v>251</v>
      </c>
      <c r="H15" s="7" t="s">
        <v>252</v>
      </c>
      <c r="I15" s="7" t="s">
        <v>109</v>
      </c>
    </row>
    <row r="16" customFormat="false" ht="15" hidden="false" customHeight="false" outlineLevel="0" collapsed="false">
      <c r="A16" s="19" t="s">
        <v>253</v>
      </c>
      <c r="B16" s="20" t="n">
        <v>49.08</v>
      </c>
      <c r="C16" s="21" t="n">
        <f aca="false">$B$8</f>
        <v>97.7777777777778</v>
      </c>
      <c r="D16" s="23" t="n">
        <f aca="false">IFERROR(B16/C16,0)</f>
        <v>0.501954545454545</v>
      </c>
      <c r="E16" s="21" t="n">
        <f aca="false">C16-B16</f>
        <v>48.6977777777778</v>
      </c>
      <c r="F16" s="32" t="n">
        <v>100</v>
      </c>
      <c r="G16" s="29" t="n">
        <f aca="false">F16*E16</f>
        <v>4869.77777777778</v>
      </c>
      <c r="H16" s="24" t="n">
        <f aca="false">IFERROR(1-B16/$B$16,0)</f>
        <v>0</v>
      </c>
      <c r="I16" s="6" t="s">
        <v>254</v>
      </c>
    </row>
    <row r="17" customFormat="false" ht="15" hidden="false" customHeight="false" outlineLevel="0" collapsed="false">
      <c r="A17" s="19" t="s">
        <v>255</v>
      </c>
      <c r="B17" s="20" t="n">
        <v>44.64</v>
      </c>
      <c r="C17" s="21" t="n">
        <f aca="false">$B$8</f>
        <v>97.7777777777778</v>
      </c>
      <c r="D17" s="23" t="n">
        <f aca="false">IFERROR(B17/C17,0)</f>
        <v>0.456545454545455</v>
      </c>
      <c r="E17" s="21" t="n">
        <f aca="false">C17-B17</f>
        <v>53.1377777777778</v>
      </c>
      <c r="F17" s="32" t="n">
        <v>300</v>
      </c>
      <c r="G17" s="29" t="n">
        <f aca="false">F17*E17</f>
        <v>15941.3333333333</v>
      </c>
      <c r="H17" s="24" t="n">
        <f aca="false">IFERROR(1-B17/$B$16,0)</f>
        <v>0.0904645476772615</v>
      </c>
      <c r="I17" s="6" t="s">
        <v>169</v>
      </c>
    </row>
    <row r="18" customFormat="false" ht="15" hidden="false" customHeight="false" outlineLevel="0" collapsed="false">
      <c r="A18" s="19" t="s">
        <v>256</v>
      </c>
      <c r="B18" s="20" t="n">
        <v>43.56</v>
      </c>
      <c r="C18" s="21" t="n">
        <f aca="false">$B$8</f>
        <v>97.7777777777778</v>
      </c>
      <c r="D18" s="23" t="n">
        <f aca="false">IFERROR(B18/C18,0)</f>
        <v>0.4455</v>
      </c>
      <c r="E18" s="21" t="n">
        <f aca="false">C18-B18</f>
        <v>54.2177777777778</v>
      </c>
      <c r="F18" s="32" t="n">
        <v>600</v>
      </c>
      <c r="G18" s="29" t="n">
        <f aca="false">F18*E18</f>
        <v>32530.6666666667</v>
      </c>
      <c r="H18" s="24" t="n">
        <f aca="false">IFERROR(1-B18/$B$16,0)</f>
        <v>0.112469437652812</v>
      </c>
      <c r="I18" s="6" t="s">
        <v>169</v>
      </c>
    </row>
    <row r="19" customFormat="false" ht="15" hidden="false" customHeight="false" outlineLevel="0" collapsed="false">
      <c r="A19" s="19" t="s">
        <v>257</v>
      </c>
      <c r="B19" s="20" t="n">
        <v>31.2</v>
      </c>
      <c r="C19" s="21" t="n">
        <f aca="false">$B$8</f>
        <v>97.7777777777778</v>
      </c>
      <c r="D19" s="23" t="n">
        <f aca="false">IFERROR(B19/C19,0)</f>
        <v>0.319090909090909</v>
      </c>
      <c r="E19" s="21" t="n">
        <f aca="false">C19-B19</f>
        <v>66.5777777777778</v>
      </c>
      <c r="F19" s="32" t="n">
        <v>1200</v>
      </c>
      <c r="G19" s="29" t="n">
        <f aca="false">F19*E19</f>
        <v>79893.3333333333</v>
      </c>
      <c r="H19" s="24" t="n">
        <f aca="false">IFERROR(1-B19/$B$16,0)</f>
        <v>0.364303178484108</v>
      </c>
      <c r="I19" s="6" t="s">
        <v>169</v>
      </c>
    </row>
    <row r="20" customFormat="false" ht="15" hidden="false" customHeight="false" outlineLevel="0" collapsed="false">
      <c r="A20" s="19" t="s">
        <v>258</v>
      </c>
      <c r="B20" s="20" t="n">
        <v>43.56</v>
      </c>
      <c r="C20" s="21" t="n">
        <f aca="false">$B$8</f>
        <v>97.7777777777778</v>
      </c>
      <c r="D20" s="23" t="n">
        <f aca="false">IFERROR(B20/C20,0)</f>
        <v>0.4455</v>
      </c>
      <c r="E20" s="21" t="n">
        <f aca="false">C20-B20</f>
        <v>54.2177777777778</v>
      </c>
      <c r="H20" s="24" t="n">
        <f aca="false">IFERROR(1-B20/$B$16,0)</f>
        <v>0.112469437652812</v>
      </c>
      <c r="I20" s="6" t="s">
        <v>169</v>
      </c>
    </row>
    <row r="21" customFormat="false" ht="15" hidden="false" customHeight="false" outlineLevel="0" collapsed="false">
      <c r="A21" s="6" t="s">
        <v>259</v>
      </c>
    </row>
    <row r="22" customFormat="false" ht="15" hidden="false" customHeight="false" outlineLevel="0" collapsed="false">
      <c r="A22" s="4" t="s">
        <v>260</v>
      </c>
      <c r="G22" s="28" t="n">
        <f aca="false">IFERROR(G19/G16,0)</f>
        <v>16.4059505339053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8" min="6" style="0" width="13"/>
    <col collapsed="false" customWidth="true" hidden="false" outlineLevel="0" max="9" min="9" style="0" width="70"/>
  </cols>
  <sheetData>
    <row r="1" customFormat="false" ht="17.35" hidden="false" customHeight="false" outlineLevel="0" collapsed="false">
      <c r="A1" s="5" t="s">
        <v>261</v>
      </c>
    </row>
    <row r="2" customFormat="false" ht="15" hidden="false" customHeight="false" outlineLevel="0" collapsed="false">
      <c r="A2" s="6" t="s">
        <v>262</v>
      </c>
    </row>
    <row r="4" customFormat="false" ht="15" hidden="false" customHeight="false" outlineLevel="0" collapsed="false">
      <c r="A4" s="17" t="s">
        <v>263</v>
      </c>
      <c r="B4" s="18"/>
      <c r="C4" s="18"/>
      <c r="D4" s="18"/>
      <c r="E4" s="18"/>
      <c r="F4" s="18"/>
      <c r="G4" s="18"/>
      <c r="H4" s="18"/>
      <c r="I4" s="18"/>
      <c r="J4" s="18"/>
    </row>
    <row r="5" customFormat="false" ht="45" hidden="false" customHeight="true" outlineLevel="0" collapsed="false">
      <c r="A5" s="7" t="s">
        <v>264</v>
      </c>
      <c r="B5" s="7" t="s">
        <v>265</v>
      </c>
      <c r="C5" s="7" t="s">
        <v>266</v>
      </c>
      <c r="D5" s="7" t="s">
        <v>267</v>
      </c>
      <c r="E5" s="7" t="s">
        <v>268</v>
      </c>
      <c r="F5" s="7"/>
      <c r="G5" s="7"/>
      <c r="H5" s="7"/>
      <c r="I5" s="7" t="s">
        <v>109</v>
      </c>
    </row>
    <row r="6" customFormat="false" ht="15" hidden="false" customHeight="false" outlineLevel="0" collapsed="false">
      <c r="A6" s="19" t="s">
        <v>269</v>
      </c>
      <c r="B6" s="20" t="n">
        <v>79.8</v>
      </c>
      <c r="C6" s="6" t="s">
        <v>270</v>
      </c>
      <c r="E6" s="21" t="n">
        <f aca="false">B6</f>
        <v>79.8</v>
      </c>
      <c r="I6" s="6" t="s">
        <v>271</v>
      </c>
    </row>
    <row r="7" customFormat="false" ht="15" hidden="false" customHeight="false" outlineLevel="0" collapsed="false">
      <c r="A7" s="19" t="s">
        <v>272</v>
      </c>
      <c r="B7" s="20" t="n">
        <v>250</v>
      </c>
      <c r="C7" s="6" t="s">
        <v>270</v>
      </c>
      <c r="E7" s="21" t="n">
        <f aca="false">B7</f>
        <v>250</v>
      </c>
      <c r="I7" s="6" t="s">
        <v>273</v>
      </c>
    </row>
    <row r="10" customFormat="false" ht="15" hidden="false" customHeight="false" outlineLevel="0" collapsed="false">
      <c r="A10" s="4" t="s">
        <v>274</v>
      </c>
      <c r="E10" s="33" t="n">
        <f aca="false">E6</f>
        <v>79.8</v>
      </c>
      <c r="I10" s="6" t="s">
        <v>275</v>
      </c>
    </row>
    <row r="12" customFormat="false" ht="15" hidden="false" customHeight="false" outlineLevel="0" collapsed="false">
      <c r="A12" s="17" t="s">
        <v>276</v>
      </c>
      <c r="B12" s="18"/>
      <c r="C12" s="18"/>
      <c r="D12" s="18"/>
      <c r="E12" s="18"/>
      <c r="F12" s="18"/>
      <c r="G12" s="18"/>
      <c r="H12" s="18"/>
      <c r="I12" s="18"/>
      <c r="J12" s="18"/>
    </row>
    <row r="13" customFormat="false" ht="45" hidden="false" customHeight="true" outlineLevel="0" collapsed="false">
      <c r="A13" s="7" t="s">
        <v>277</v>
      </c>
      <c r="B13" s="7" t="s">
        <v>278</v>
      </c>
      <c r="C13" s="7"/>
      <c r="D13" s="7" t="s">
        <v>279</v>
      </c>
      <c r="E13" s="7" t="s">
        <v>280</v>
      </c>
      <c r="F13" s="7" t="s">
        <v>281</v>
      </c>
      <c r="G13" s="7" t="s">
        <v>282</v>
      </c>
      <c r="H13" s="7"/>
      <c r="I13" s="7" t="s">
        <v>283</v>
      </c>
    </row>
    <row r="14" customFormat="false" ht="15" hidden="false" customHeight="false" outlineLevel="0" collapsed="false">
      <c r="A14" s="19" t="s">
        <v>284</v>
      </c>
      <c r="B14" s="20" t="n">
        <v>52.4</v>
      </c>
      <c r="D14" s="20" t="n">
        <v>52.4</v>
      </c>
      <c r="E14" s="23" t="n">
        <f aca="false">IF($E$10="","n.d.",B14/$E$10)</f>
        <v>0.656641604010025</v>
      </c>
      <c r="F14" s="23" t="n">
        <f aca="false">IF($E$10="","n.d.",D14/$E$10)</f>
        <v>0.656641604010025</v>
      </c>
      <c r="G14" s="21" t="n">
        <f aca="false">IF($E$10="","n.d.",$E$10-B14)</f>
        <v>27.4</v>
      </c>
      <c r="I14" s="6" t="s">
        <v>285</v>
      </c>
    </row>
    <row r="15" customFormat="false" ht="15" hidden="false" customHeight="false" outlineLevel="0" collapsed="false">
      <c r="A15" s="19" t="s">
        <v>286</v>
      </c>
      <c r="B15" s="20" t="n">
        <v>84.68</v>
      </c>
      <c r="D15" s="20" t="n">
        <v>84.68</v>
      </c>
      <c r="E15" s="23" t="n">
        <f aca="false">IF($E$10="","n.d.",B15/$E$10)</f>
        <v>1.06115288220551</v>
      </c>
      <c r="F15" s="23" t="n">
        <f aca="false">IF($E$10="","n.d.",D15/$E$10)</f>
        <v>1.06115288220551</v>
      </c>
      <c r="G15" s="21" t="n">
        <f aca="false">IF($E$10="","n.d.",$E$10-B15)</f>
        <v>-4.88000000000001</v>
      </c>
      <c r="I15" s="6" t="s">
        <v>285</v>
      </c>
    </row>
    <row r="16" customFormat="false" ht="15" hidden="false" customHeight="false" outlineLevel="0" collapsed="false">
      <c r="A16" s="19" t="s">
        <v>287</v>
      </c>
      <c r="B16" s="20" t="n">
        <v>111.18</v>
      </c>
      <c r="D16" s="20" t="n">
        <v>111.18</v>
      </c>
      <c r="E16" s="23" t="n">
        <f aca="false">IF($E$10="","n.d.",B16/$E$10)</f>
        <v>1.39323308270677</v>
      </c>
      <c r="F16" s="23" t="n">
        <f aca="false">IF($E$10="","n.d.",D16/$E$10)</f>
        <v>1.39323308270677</v>
      </c>
      <c r="G16" s="21" t="n">
        <f aca="false">IF($E$10="","n.d.",$E$10-B16)</f>
        <v>-31.38</v>
      </c>
      <c r="I16" s="6" t="s">
        <v>288</v>
      </c>
    </row>
    <row r="17" customFormat="false" ht="15" hidden="false" customHeight="false" outlineLevel="0" collapsed="false">
      <c r="A17" s="19" t="s">
        <v>289</v>
      </c>
      <c r="B17" s="20" t="n">
        <v>117.36</v>
      </c>
      <c r="D17" s="20" t="n">
        <v>117.36</v>
      </c>
      <c r="E17" s="23" t="n">
        <f aca="false">IF($E$10="","n.d.",B17/$E$10)</f>
        <v>1.47067669172932</v>
      </c>
      <c r="F17" s="23" t="n">
        <f aca="false">IF($E$10="","n.d.",D17/$E$10)</f>
        <v>1.47067669172932</v>
      </c>
      <c r="G17" s="21" t="n">
        <f aca="false">IF($E$10="","n.d.",$E$10-B17)</f>
        <v>-37.56</v>
      </c>
      <c r="I17" s="6" t="s">
        <v>288</v>
      </c>
    </row>
    <row r="18" customFormat="false" ht="15" hidden="false" customHeight="false" outlineLevel="0" collapsed="false">
      <c r="A18" s="19" t="s">
        <v>290</v>
      </c>
      <c r="B18" s="20" t="n">
        <v>122.42</v>
      </c>
      <c r="D18" s="20" t="n">
        <v>122.42</v>
      </c>
      <c r="E18" s="23" t="n">
        <f aca="false">IF($E$10="","n.d.",B18/$E$10)</f>
        <v>1.53408521303258</v>
      </c>
      <c r="F18" s="23" t="n">
        <f aca="false">IF($E$10="","n.d.",D18/$E$10)</f>
        <v>1.53408521303258</v>
      </c>
      <c r="G18" s="21" t="n">
        <f aca="false">IF($E$10="","n.d.",$E$10-B18)</f>
        <v>-42.62</v>
      </c>
      <c r="I18" s="6" t="s">
        <v>288</v>
      </c>
    </row>
    <row r="19" customFormat="false" ht="15" hidden="false" customHeight="false" outlineLevel="0" collapsed="false">
      <c r="A19" s="19" t="s">
        <v>291</v>
      </c>
      <c r="B19" s="20" t="n">
        <v>126.63</v>
      </c>
      <c r="D19" s="20" t="n">
        <v>126.63</v>
      </c>
      <c r="E19" s="23" t="n">
        <f aca="false">IF($E$10="","n.d.",B19/$E$10)</f>
        <v>1.58684210526316</v>
      </c>
      <c r="F19" s="23" t="n">
        <f aca="false">IF($E$10="","n.d.",D19/$E$10)</f>
        <v>1.58684210526316</v>
      </c>
      <c r="G19" s="21" t="n">
        <f aca="false">IF($E$10="","n.d.",$E$10-B19)</f>
        <v>-46.83</v>
      </c>
      <c r="I19" s="6" t="s">
        <v>288</v>
      </c>
    </row>
    <row r="20" customFormat="false" ht="15" hidden="false" customHeight="false" outlineLevel="0" collapsed="false">
      <c r="A20" s="19" t="s">
        <v>292</v>
      </c>
      <c r="B20" s="20" t="n">
        <v>129.58</v>
      </c>
      <c r="D20" s="20" t="n">
        <v>129.58</v>
      </c>
      <c r="E20" s="23" t="n">
        <f aca="false">IF($E$10="","n.d.",B20/$E$10)</f>
        <v>1.62380952380952</v>
      </c>
      <c r="F20" s="23" t="n">
        <f aca="false">IF($E$10="","n.d.",D20/$E$10)</f>
        <v>1.62380952380952</v>
      </c>
      <c r="G20" s="21" t="n">
        <f aca="false">IF($E$10="","n.d.",$E$10-B20)</f>
        <v>-49.78</v>
      </c>
      <c r="I20" s="6" t="s">
        <v>288</v>
      </c>
    </row>
    <row r="21" customFormat="false" ht="15" hidden="false" customHeight="false" outlineLevel="0" collapsed="false">
      <c r="A21" s="19" t="s">
        <v>293</v>
      </c>
      <c r="B21" s="20" t="n">
        <v>71.59</v>
      </c>
      <c r="D21" s="20" t="n">
        <v>71.59</v>
      </c>
      <c r="E21" s="23" t="n">
        <f aca="false">IF($E$10="","n.d.",B21/$E$10)</f>
        <v>0.897117794486216</v>
      </c>
      <c r="F21" s="23" t="n">
        <f aca="false">IF($E$10="","n.d.",D21/$E$10)</f>
        <v>0.897117794486216</v>
      </c>
      <c r="G21" s="21" t="n">
        <f aca="false">IF($E$10="","n.d.",$E$10-B21)</f>
        <v>8.20999999999999</v>
      </c>
      <c r="I21" s="6" t="s">
        <v>288</v>
      </c>
    </row>
    <row r="22" customFormat="false" ht="15" hidden="false" customHeight="false" outlineLevel="0" collapsed="false">
      <c r="A22" s="19" t="s">
        <v>294</v>
      </c>
      <c r="B22" s="20" t="n">
        <v>90.19</v>
      </c>
      <c r="D22" s="20" t="n">
        <v>90.19</v>
      </c>
      <c r="E22" s="23" t="n">
        <f aca="false">IF($E$10="","n.d.",B22/$E$10)</f>
        <v>1.13020050125313</v>
      </c>
      <c r="F22" s="23" t="n">
        <f aca="false">IF($E$10="","n.d.",D22/$E$10)</f>
        <v>1.13020050125313</v>
      </c>
      <c r="G22" s="21" t="n">
        <f aca="false">IF($E$10="","n.d.",$E$10-B22)</f>
        <v>-10.39</v>
      </c>
      <c r="I22" s="6" t="s">
        <v>288</v>
      </c>
    </row>
    <row r="23" customFormat="false" ht="15" hidden="false" customHeight="false" outlineLevel="0" collapsed="false">
      <c r="A23" s="19" t="s">
        <v>295</v>
      </c>
      <c r="B23" s="20" t="n">
        <v>16.86</v>
      </c>
      <c r="D23" s="20" t="n">
        <v>54.98</v>
      </c>
      <c r="E23" s="23" t="n">
        <f aca="false">IF($E$10="","n.d.",B23/$E$10)</f>
        <v>0.211278195488722</v>
      </c>
      <c r="F23" s="23" t="n">
        <f aca="false">IF($E$10="","n.d.",D23/$E$10)</f>
        <v>0.688972431077694</v>
      </c>
      <c r="G23" s="21" t="n">
        <f aca="false">IF($E$10="","n.d.",$E$10-B23)</f>
        <v>62.94</v>
      </c>
      <c r="I23" s="6" t="s">
        <v>296</v>
      </c>
    </row>
    <row r="24" customFormat="false" ht="15" hidden="false" customHeight="false" outlineLevel="0" collapsed="false">
      <c r="A24" s="19" t="s">
        <v>297</v>
      </c>
      <c r="B24" s="20" t="n">
        <v>57.72</v>
      </c>
      <c r="D24" s="20" t="n">
        <v>248.12</v>
      </c>
      <c r="E24" s="23" t="n">
        <f aca="false">IF($E$10="","n.d.",B24/$E$10)</f>
        <v>0.723308270676692</v>
      </c>
      <c r="F24" s="23" t="n">
        <f aca="false">IF($E$10="","n.d.",D24/$E$10)</f>
        <v>3.10927318295739</v>
      </c>
      <c r="G24" s="21" t="n">
        <f aca="false">IF($E$10="","n.d.",$E$10-B24)</f>
        <v>22.08</v>
      </c>
      <c r="I24" s="6" t="s">
        <v>298</v>
      </c>
    </row>
    <row r="25" customFormat="false" ht="15" hidden="false" customHeight="false" outlineLevel="0" collapsed="false">
      <c r="A25" s="19" t="s">
        <v>299</v>
      </c>
      <c r="B25" s="20" t="n">
        <v>12.18</v>
      </c>
      <c r="D25" s="20" t="n">
        <v>38.42</v>
      </c>
      <c r="E25" s="23" t="n">
        <f aca="false">IF($E$10="","n.d.",B25/$E$10)</f>
        <v>0.152631578947368</v>
      </c>
      <c r="F25" s="23" t="n">
        <f aca="false">IF($E$10="","n.d.",D25/$E$10)</f>
        <v>0.481453634085213</v>
      </c>
      <c r="G25" s="21" t="n">
        <f aca="false">IF($E$10="","n.d.",$E$10-B25)</f>
        <v>67.62</v>
      </c>
      <c r="I25" s="6" t="s">
        <v>300</v>
      </c>
    </row>
    <row r="26" customFormat="false" ht="15" hidden="false" customHeight="false" outlineLevel="0" collapsed="false">
      <c r="A26" s="4" t="s">
        <v>301</v>
      </c>
      <c r="B26" s="28" t="n">
        <f aca="false">B14/B20</f>
        <v>0.404383392498842</v>
      </c>
      <c r="I26" s="6" t="s">
        <v>302</v>
      </c>
    </row>
    <row r="27" customFormat="false" ht="15" hidden="false" customHeight="false" outlineLevel="0" collapsed="false">
      <c r="A27" s="6" t="s">
        <v>303</v>
      </c>
    </row>
    <row r="29" customFormat="false" ht="15" hidden="false" customHeight="false" outlineLevel="0" collapsed="false">
      <c r="A29" s="17" t="s">
        <v>304</v>
      </c>
      <c r="B29" s="18"/>
      <c r="C29" s="18"/>
      <c r="D29" s="18"/>
      <c r="E29" s="18"/>
      <c r="F29" s="18"/>
      <c r="G29" s="18"/>
      <c r="H29" s="18"/>
      <c r="I29" s="18"/>
      <c r="J29" s="18"/>
    </row>
    <row r="30" customFormat="false" ht="15" hidden="false" customHeight="false" outlineLevel="0" collapsed="false">
      <c r="A30" s="19" t="s">
        <v>305</v>
      </c>
      <c r="B30" s="20" t="n">
        <v>103.2</v>
      </c>
      <c r="I30" s="6" t="s">
        <v>306</v>
      </c>
    </row>
    <row r="31" customFormat="false" ht="15" hidden="false" customHeight="false" outlineLevel="0" collapsed="false">
      <c r="A31" s="19" t="s">
        <v>307</v>
      </c>
      <c r="B31" s="27" t="n">
        <v>0.605</v>
      </c>
      <c r="I31" s="6" t="s">
        <v>308</v>
      </c>
    </row>
    <row r="32" customFormat="false" ht="15" hidden="false" customHeight="false" outlineLevel="0" collapsed="false">
      <c r="A32" s="19" t="s">
        <v>309</v>
      </c>
      <c r="B32" s="27" t="n">
        <v>0.29</v>
      </c>
      <c r="I32" s="6" t="s">
        <v>310</v>
      </c>
    </row>
    <row r="33" customFormat="false" ht="15" hidden="false" customHeight="false" outlineLevel="0" collapsed="false">
      <c r="A33" s="19" t="s">
        <v>311</v>
      </c>
      <c r="B33" s="27" t="n">
        <v>0.83</v>
      </c>
      <c r="I33" s="6" t="s">
        <v>312</v>
      </c>
    </row>
    <row r="34" customFormat="false" ht="15" hidden="false" customHeight="false" outlineLevel="0" collapsed="false">
      <c r="A34" s="19" t="s">
        <v>313</v>
      </c>
      <c r="B34" s="27" t="n">
        <v>0.927</v>
      </c>
      <c r="I34" s="6" t="s">
        <v>314</v>
      </c>
    </row>
    <row r="35" customFormat="false" ht="15" hidden="false" customHeight="false" outlineLevel="0" collapsed="false">
      <c r="A35" s="19" t="s">
        <v>57</v>
      </c>
      <c r="B35" s="27" t="n">
        <v>0.536</v>
      </c>
      <c r="I35" s="6" t="s">
        <v>61</v>
      </c>
    </row>
    <row r="36" customFormat="false" ht="15" hidden="false" customHeight="false" outlineLevel="0" collapsed="false">
      <c r="A36" s="19" t="s">
        <v>315</v>
      </c>
      <c r="B36" s="34" t="n">
        <v>500000</v>
      </c>
      <c r="I36" s="6" t="s">
        <v>316</v>
      </c>
    </row>
    <row r="38" customFormat="false" ht="15" hidden="false" customHeight="false" outlineLevel="0" collapsed="false">
      <c r="A38" s="4" t="s">
        <v>317</v>
      </c>
    </row>
    <row r="39" customFormat="false" ht="75" hidden="false" customHeight="true" outlineLevel="0" collapsed="false">
      <c r="A39" s="35" t="s">
        <v>318</v>
      </c>
      <c r="B39" s="35"/>
      <c r="C39" s="35"/>
      <c r="D39" s="35"/>
      <c r="E39" s="35"/>
      <c r="F39" s="35"/>
      <c r="G39" s="35"/>
      <c r="H39" s="35"/>
      <c r="I39" s="35"/>
    </row>
  </sheetData>
  <mergeCells count="1">
    <mergeCell ref="A39:I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8" min="6" style="0" width="13"/>
    <col collapsed="false" customWidth="true" hidden="false" outlineLevel="0" max="9" min="9" style="0" width="70"/>
  </cols>
  <sheetData>
    <row r="1" customFormat="false" ht="17.35" hidden="false" customHeight="false" outlineLevel="0" collapsed="false">
      <c r="A1" s="5" t="s">
        <v>319</v>
      </c>
    </row>
    <row r="2" customFormat="false" ht="15" hidden="false" customHeight="false" outlineLevel="0" collapsed="false">
      <c r="A2" s="6" t="s">
        <v>320</v>
      </c>
    </row>
    <row r="4" customFormat="false" ht="15" hidden="false" customHeight="false" outlineLevel="0" collapsed="false">
      <c r="A4" s="17" t="s">
        <v>263</v>
      </c>
      <c r="B4" s="18"/>
      <c r="C4" s="18"/>
      <c r="D4" s="18"/>
      <c r="E4" s="18"/>
      <c r="F4" s="18"/>
      <c r="G4" s="18"/>
      <c r="H4" s="18"/>
      <c r="I4" s="18"/>
      <c r="J4" s="18"/>
    </row>
    <row r="5" customFormat="false" ht="45" hidden="false" customHeight="true" outlineLevel="0" collapsed="false">
      <c r="A5" s="7" t="s">
        <v>264</v>
      </c>
      <c r="B5" s="7" t="s">
        <v>265</v>
      </c>
      <c r="C5" s="7" t="s">
        <v>266</v>
      </c>
      <c r="D5" s="7" t="s">
        <v>267</v>
      </c>
      <c r="E5" s="7" t="s">
        <v>268</v>
      </c>
      <c r="F5" s="7"/>
      <c r="G5" s="7"/>
      <c r="H5" s="7"/>
      <c r="I5" s="7" t="s">
        <v>109</v>
      </c>
    </row>
    <row r="6" customFormat="false" ht="15" hidden="false" customHeight="false" outlineLevel="0" collapsed="false">
      <c r="A6" s="19" t="s">
        <v>321</v>
      </c>
      <c r="B6" s="20" t="n">
        <v>200</v>
      </c>
      <c r="C6" s="6" t="s">
        <v>270</v>
      </c>
      <c r="E6" s="21" t="n">
        <f aca="false">B6</f>
        <v>200</v>
      </c>
      <c r="I6" s="6" t="s">
        <v>322</v>
      </c>
    </row>
    <row r="7" customFormat="false" ht="15" hidden="false" customHeight="false" outlineLevel="0" collapsed="false">
      <c r="A7" s="19" t="s">
        <v>323</v>
      </c>
      <c r="B7" s="36" t="n">
        <v>0.22</v>
      </c>
      <c r="C7" s="6" t="s">
        <v>324</v>
      </c>
      <c r="D7" s="20" t="n">
        <v>574.4</v>
      </c>
      <c r="E7" s="21" t="n">
        <f aca="false">B7*D7</f>
        <v>126.368</v>
      </c>
      <c r="I7" s="6" t="s">
        <v>325</v>
      </c>
    </row>
    <row r="8" customFormat="false" ht="15" hidden="false" customHeight="false" outlineLevel="0" collapsed="false">
      <c r="A8" s="19" t="s">
        <v>326</v>
      </c>
      <c r="B8" s="36" t="n">
        <v>0.175</v>
      </c>
      <c r="C8" s="6" t="s">
        <v>324</v>
      </c>
      <c r="D8" s="20" t="n">
        <v>574.4</v>
      </c>
      <c r="E8" s="21" t="n">
        <f aca="false">B8*D8</f>
        <v>100.52</v>
      </c>
      <c r="I8" s="6" t="s">
        <v>327</v>
      </c>
    </row>
    <row r="10" customFormat="false" ht="15" hidden="false" customHeight="false" outlineLevel="0" collapsed="false">
      <c r="A10" s="4" t="s">
        <v>274</v>
      </c>
      <c r="E10" s="33" t="n">
        <f aca="false">E6</f>
        <v>200</v>
      </c>
      <c r="I10" s="6" t="s">
        <v>275</v>
      </c>
    </row>
    <row r="12" customFormat="false" ht="15" hidden="false" customHeight="false" outlineLevel="0" collapsed="false">
      <c r="A12" s="17" t="s">
        <v>276</v>
      </c>
      <c r="B12" s="18"/>
      <c r="C12" s="18"/>
      <c r="D12" s="18"/>
      <c r="E12" s="18"/>
      <c r="F12" s="18"/>
      <c r="G12" s="18"/>
      <c r="H12" s="18"/>
      <c r="I12" s="18"/>
      <c r="J12" s="18"/>
    </row>
    <row r="13" customFormat="false" ht="45" hidden="false" customHeight="true" outlineLevel="0" collapsed="false">
      <c r="A13" s="7" t="s">
        <v>277</v>
      </c>
      <c r="B13" s="7" t="s">
        <v>278</v>
      </c>
      <c r="C13" s="7"/>
      <c r="D13" s="7" t="s">
        <v>279</v>
      </c>
      <c r="E13" s="7" t="s">
        <v>280</v>
      </c>
      <c r="F13" s="7" t="s">
        <v>281</v>
      </c>
      <c r="G13" s="7" t="s">
        <v>282</v>
      </c>
      <c r="H13" s="7"/>
      <c r="I13" s="7" t="s">
        <v>283</v>
      </c>
    </row>
    <row r="14" customFormat="false" ht="15" hidden="false" customHeight="false" outlineLevel="0" collapsed="false">
      <c r="A14" s="19" t="s">
        <v>328</v>
      </c>
      <c r="B14" s="20" t="n">
        <v>85</v>
      </c>
      <c r="D14" s="20" t="n">
        <v>85</v>
      </c>
      <c r="E14" s="23" t="n">
        <f aca="false">IF($E$10="","n.d.",B14/$E$10)</f>
        <v>0.425</v>
      </c>
      <c r="F14" s="23" t="n">
        <f aca="false">IF($E$10="","n.d.",D14/$E$10)</f>
        <v>0.425</v>
      </c>
      <c r="G14" s="21" t="n">
        <f aca="false">IF($E$10="","n.d.",$E$10-B14)</f>
        <v>115</v>
      </c>
      <c r="I14" s="6" t="s">
        <v>329</v>
      </c>
    </row>
    <row r="15" customFormat="false" ht="15" hidden="false" customHeight="false" outlineLevel="0" collapsed="false">
      <c r="A15" s="19" t="s">
        <v>330</v>
      </c>
      <c r="B15" s="20" t="n">
        <v>125</v>
      </c>
      <c r="D15" s="20" t="n">
        <v>125</v>
      </c>
      <c r="E15" s="23" t="n">
        <f aca="false">IF($E$10="","n.d.",B15/$E$10)</f>
        <v>0.625</v>
      </c>
      <c r="F15" s="23" t="n">
        <f aca="false">IF($E$10="","n.d.",D15/$E$10)</f>
        <v>0.625</v>
      </c>
      <c r="G15" s="21" t="n">
        <f aca="false">IF($E$10="","n.d.",$E$10-B15)</f>
        <v>75</v>
      </c>
      <c r="I15" s="6" t="s">
        <v>169</v>
      </c>
    </row>
    <row r="16" customFormat="false" ht="15" hidden="false" customHeight="false" outlineLevel="0" collapsed="false">
      <c r="A16" s="19" t="s">
        <v>331</v>
      </c>
      <c r="B16" s="20" t="n">
        <v>125</v>
      </c>
      <c r="D16" s="20" t="n">
        <v>125</v>
      </c>
      <c r="E16" s="23" t="n">
        <f aca="false">IF($E$10="","n.d.",B16/$E$10)</f>
        <v>0.625</v>
      </c>
      <c r="F16" s="23" t="n">
        <f aca="false">IF($E$10="","n.d.",D16/$E$10)</f>
        <v>0.625</v>
      </c>
      <c r="G16" s="21" t="n">
        <f aca="false">IF($E$10="","n.d.",$E$10-B16)</f>
        <v>75</v>
      </c>
      <c r="I16" s="6" t="s">
        <v>169</v>
      </c>
    </row>
    <row r="17" customFormat="false" ht="15" hidden="false" customHeight="false" outlineLevel="0" collapsed="false">
      <c r="A17" s="19" t="s">
        <v>332</v>
      </c>
      <c r="B17" s="20" t="n">
        <v>125</v>
      </c>
      <c r="D17" s="20" t="n">
        <v>125</v>
      </c>
      <c r="E17" s="23" t="n">
        <f aca="false">IF($E$10="","n.d.",B17/$E$10)</f>
        <v>0.625</v>
      </c>
      <c r="F17" s="23" t="n">
        <f aca="false">IF($E$10="","n.d.",D17/$E$10)</f>
        <v>0.625</v>
      </c>
      <c r="G17" s="21" t="n">
        <f aca="false">IF($E$10="","n.d.",$E$10-B17)</f>
        <v>75</v>
      </c>
      <c r="I17" s="6" t="s">
        <v>169</v>
      </c>
    </row>
    <row r="18" customFormat="false" ht="15" hidden="false" customHeight="false" outlineLevel="0" collapsed="false">
      <c r="A18" s="19" t="s">
        <v>333</v>
      </c>
      <c r="B18" s="20" t="n">
        <v>125</v>
      </c>
      <c r="D18" s="20" t="n">
        <v>125</v>
      </c>
      <c r="E18" s="23" t="n">
        <f aca="false">IF($E$10="","n.d.",B18/$E$10)</f>
        <v>0.625</v>
      </c>
      <c r="F18" s="23" t="n">
        <f aca="false">IF($E$10="","n.d.",D18/$E$10)</f>
        <v>0.625</v>
      </c>
      <c r="G18" s="21" t="n">
        <f aca="false">IF($E$10="","n.d.",$E$10-B18)</f>
        <v>75</v>
      </c>
      <c r="I18" s="6" t="s">
        <v>169</v>
      </c>
    </row>
    <row r="19" customFormat="false" ht="15" hidden="false" customHeight="false" outlineLevel="0" collapsed="false">
      <c r="A19" s="4" t="s">
        <v>301</v>
      </c>
      <c r="B19" s="28" t="n">
        <f aca="false">B14/B15</f>
        <v>0.68</v>
      </c>
      <c r="I19" s="6" t="s">
        <v>334</v>
      </c>
    </row>
    <row r="20" customFormat="false" ht="15" hidden="false" customHeight="false" outlineLevel="0" collapsed="false">
      <c r="A20" s="6" t="s">
        <v>303</v>
      </c>
    </row>
    <row r="22" customFormat="false" ht="15" hidden="false" customHeight="false" outlineLevel="0" collapsed="false">
      <c r="A22" s="17" t="s">
        <v>304</v>
      </c>
      <c r="B22" s="18"/>
      <c r="C22" s="18"/>
      <c r="D22" s="18"/>
      <c r="E22" s="18"/>
      <c r="F22" s="18"/>
      <c r="G22" s="18"/>
      <c r="H22" s="18"/>
      <c r="I22" s="18"/>
      <c r="J22" s="18"/>
    </row>
    <row r="23" customFormat="false" ht="15" hidden="false" customHeight="false" outlineLevel="0" collapsed="false">
      <c r="A23" s="19" t="s">
        <v>335</v>
      </c>
      <c r="B23" s="37" t="n">
        <v>84</v>
      </c>
      <c r="I23" s="6" t="s">
        <v>336</v>
      </c>
    </row>
    <row r="24" customFormat="false" ht="15" hidden="false" customHeight="false" outlineLevel="0" collapsed="false">
      <c r="A24" s="19" t="s">
        <v>337</v>
      </c>
      <c r="B24" s="27" t="n">
        <v>0.11</v>
      </c>
      <c r="I24" s="6" t="s">
        <v>338</v>
      </c>
    </row>
    <row r="25" customFormat="false" ht="15" hidden="false" customHeight="false" outlineLevel="0" collapsed="false">
      <c r="A25" s="19" t="s">
        <v>339</v>
      </c>
      <c r="B25" s="27" t="n">
        <v>0.064</v>
      </c>
      <c r="I25" s="6" t="s">
        <v>340</v>
      </c>
    </row>
    <row r="26" customFormat="false" ht="15" hidden="false" customHeight="false" outlineLevel="0" collapsed="false">
      <c r="A26" s="19" t="s">
        <v>341</v>
      </c>
      <c r="B26" s="27" t="n">
        <v>0.39</v>
      </c>
      <c r="I26" s="6" t="s">
        <v>342</v>
      </c>
    </row>
    <row r="27" customFormat="false" ht="15" hidden="false" customHeight="false" outlineLevel="0" collapsed="false">
      <c r="A27" s="19" t="s">
        <v>343</v>
      </c>
      <c r="B27" s="27" t="n">
        <v>0.51</v>
      </c>
      <c r="I27" s="6" t="s">
        <v>342</v>
      </c>
    </row>
    <row r="28" customFormat="false" ht="15" hidden="false" customHeight="false" outlineLevel="0" collapsed="false">
      <c r="A28" s="19" t="s">
        <v>344</v>
      </c>
      <c r="B28" s="27" t="n">
        <v>0.6</v>
      </c>
      <c r="I28" s="6" t="s">
        <v>345</v>
      </c>
    </row>
    <row r="29" customFormat="false" ht="15" hidden="false" customHeight="false" outlineLevel="0" collapsed="false">
      <c r="A29" s="19" t="s">
        <v>346</v>
      </c>
      <c r="B29" s="27" t="n">
        <v>0.7</v>
      </c>
      <c r="I29" s="6" t="s">
        <v>347</v>
      </c>
    </row>
    <row r="31" customFormat="false" ht="15" hidden="false" customHeight="false" outlineLevel="0" collapsed="false">
      <c r="A31" s="4" t="s">
        <v>317</v>
      </c>
    </row>
    <row r="32" customFormat="false" ht="75" hidden="false" customHeight="true" outlineLevel="0" collapsed="false">
      <c r="A32" s="35" t="s">
        <v>348</v>
      </c>
      <c r="B32" s="35"/>
      <c r="C32" s="35"/>
      <c r="D32" s="35"/>
      <c r="E32" s="35"/>
      <c r="F32" s="35"/>
      <c r="G32" s="35"/>
      <c r="H32" s="35"/>
      <c r="I32" s="35"/>
    </row>
  </sheetData>
  <mergeCells count="1">
    <mergeCell ref="A32:I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8" min="6" style="0" width="13"/>
    <col collapsed="false" customWidth="true" hidden="false" outlineLevel="0" max="9" min="9" style="0" width="70"/>
  </cols>
  <sheetData>
    <row r="1" customFormat="false" ht="17.35" hidden="false" customHeight="false" outlineLevel="0" collapsed="false">
      <c r="A1" s="5" t="s">
        <v>349</v>
      </c>
    </row>
    <row r="2" customFormat="false" ht="15" hidden="false" customHeight="false" outlineLevel="0" collapsed="false">
      <c r="A2" s="6" t="s">
        <v>350</v>
      </c>
    </row>
    <row r="4" customFormat="false" ht="15" hidden="false" customHeight="false" outlineLevel="0" collapsed="false">
      <c r="A4" s="17" t="s">
        <v>263</v>
      </c>
      <c r="B4" s="18"/>
      <c r="C4" s="18"/>
      <c r="D4" s="18"/>
      <c r="E4" s="18"/>
      <c r="F4" s="18"/>
      <c r="G4" s="18"/>
      <c r="H4" s="18"/>
      <c r="I4" s="18"/>
      <c r="J4" s="18"/>
    </row>
    <row r="5" customFormat="false" ht="45" hidden="false" customHeight="true" outlineLevel="0" collapsed="false">
      <c r="A5" s="7" t="s">
        <v>264</v>
      </c>
      <c r="B5" s="7" t="s">
        <v>265</v>
      </c>
      <c r="C5" s="7" t="s">
        <v>266</v>
      </c>
      <c r="D5" s="7" t="s">
        <v>267</v>
      </c>
      <c r="E5" s="7" t="s">
        <v>268</v>
      </c>
      <c r="F5" s="7"/>
      <c r="G5" s="7"/>
      <c r="H5" s="7"/>
      <c r="I5" s="7" t="s">
        <v>109</v>
      </c>
    </row>
    <row r="6" customFormat="false" ht="15" hidden="false" customHeight="false" outlineLevel="0" collapsed="false">
      <c r="A6" s="19" t="s">
        <v>351</v>
      </c>
      <c r="B6" s="36" t="n">
        <v>0.2</v>
      </c>
      <c r="C6" s="6" t="s">
        <v>324</v>
      </c>
      <c r="D6" s="20" t="n">
        <v>600</v>
      </c>
      <c r="E6" s="21" t="n">
        <f aca="false">B6*D6</f>
        <v>120</v>
      </c>
      <c r="I6" s="6" t="s">
        <v>352</v>
      </c>
    </row>
    <row r="10" customFormat="false" ht="15" hidden="false" customHeight="false" outlineLevel="0" collapsed="false">
      <c r="A10" s="4" t="s">
        <v>274</v>
      </c>
      <c r="E10" s="33" t="n">
        <f aca="false">E6</f>
        <v>120</v>
      </c>
      <c r="I10" s="6" t="s">
        <v>275</v>
      </c>
    </row>
    <row r="12" customFormat="false" ht="15" hidden="false" customHeight="false" outlineLevel="0" collapsed="false">
      <c r="A12" s="17" t="s">
        <v>276</v>
      </c>
      <c r="B12" s="18"/>
      <c r="C12" s="18"/>
      <c r="D12" s="18"/>
      <c r="E12" s="18"/>
      <c r="F12" s="18"/>
      <c r="G12" s="18"/>
      <c r="H12" s="18"/>
      <c r="I12" s="18"/>
      <c r="J12" s="18"/>
    </row>
    <row r="13" customFormat="false" ht="45" hidden="false" customHeight="true" outlineLevel="0" collapsed="false">
      <c r="A13" s="7" t="s">
        <v>277</v>
      </c>
      <c r="B13" s="7" t="s">
        <v>278</v>
      </c>
      <c r="C13" s="7"/>
      <c r="D13" s="7" t="s">
        <v>279</v>
      </c>
      <c r="E13" s="7" t="s">
        <v>280</v>
      </c>
      <c r="F13" s="7" t="s">
        <v>281</v>
      </c>
      <c r="G13" s="7" t="s">
        <v>282</v>
      </c>
      <c r="H13" s="7"/>
      <c r="I13" s="7" t="s">
        <v>283</v>
      </c>
    </row>
    <row r="14" customFormat="false" ht="15" hidden="false" customHeight="false" outlineLevel="0" collapsed="false">
      <c r="A14" s="19" t="s">
        <v>353</v>
      </c>
      <c r="B14" s="20" t="n">
        <v>76.56</v>
      </c>
      <c r="D14" s="20" t="n">
        <v>76.56</v>
      </c>
      <c r="E14" s="23" t="n">
        <f aca="false">IF($E$10="","n.d.",B14/$E$10)</f>
        <v>0.638</v>
      </c>
      <c r="F14" s="23" t="n">
        <f aca="false">IF($E$10="","n.d.",D14/$E$10)</f>
        <v>0.638</v>
      </c>
      <c r="G14" s="21" t="n">
        <f aca="false">IF($E$10="","n.d.",$E$10-B14)</f>
        <v>43.44</v>
      </c>
      <c r="I14" s="6" t="s">
        <v>354</v>
      </c>
    </row>
    <row r="15" customFormat="false" ht="15" hidden="false" customHeight="false" outlineLevel="0" collapsed="false">
      <c r="A15" s="19" t="s">
        <v>355</v>
      </c>
      <c r="B15" s="20" t="n">
        <v>89.31</v>
      </c>
      <c r="D15" s="20" t="n">
        <v>89.31</v>
      </c>
      <c r="E15" s="23" t="n">
        <f aca="false">IF($E$10="","n.d.",B15/$E$10)</f>
        <v>0.74425</v>
      </c>
      <c r="F15" s="23" t="n">
        <f aca="false">IF($E$10="","n.d.",D15/$E$10)</f>
        <v>0.74425</v>
      </c>
      <c r="G15" s="21" t="n">
        <f aca="false">IF($E$10="","n.d.",$E$10-B15)</f>
        <v>30.69</v>
      </c>
      <c r="I15" s="6" t="s">
        <v>356</v>
      </c>
    </row>
    <row r="16" customFormat="false" ht="15" hidden="false" customHeight="false" outlineLevel="0" collapsed="false">
      <c r="A16" s="19" t="s">
        <v>357</v>
      </c>
      <c r="B16" s="20" t="n">
        <v>64.6</v>
      </c>
      <c r="D16" s="20" t="n">
        <v>64.6</v>
      </c>
      <c r="E16" s="23" t="n">
        <f aca="false">IF($E$10="","n.d.",B16/$E$10)</f>
        <v>0.538333333333333</v>
      </c>
      <c r="F16" s="23" t="n">
        <f aca="false">IF($E$10="","n.d.",D16/$E$10)</f>
        <v>0.538333333333333</v>
      </c>
      <c r="G16" s="21" t="n">
        <f aca="false">IF($E$10="","n.d.",$E$10-B16)</f>
        <v>55.4</v>
      </c>
      <c r="I16" s="6" t="s">
        <v>358</v>
      </c>
    </row>
    <row r="17" customFormat="false" ht="15" hidden="false" customHeight="false" outlineLevel="0" collapsed="false">
      <c r="A17" s="19" t="s">
        <v>359</v>
      </c>
      <c r="B17" s="20" t="n">
        <v>75.35</v>
      </c>
      <c r="D17" s="20" t="n">
        <v>75.35</v>
      </c>
      <c r="E17" s="23" t="n">
        <f aca="false">IF($E$10="","n.d.",B17/$E$10)</f>
        <v>0.627916666666667</v>
      </c>
      <c r="F17" s="23" t="n">
        <f aca="false">IF($E$10="","n.d.",D17/$E$10)</f>
        <v>0.627916666666667</v>
      </c>
      <c r="G17" s="21" t="n">
        <f aca="false">IF($E$10="","n.d.",$E$10-B17)</f>
        <v>44.65</v>
      </c>
      <c r="I17" s="6" t="s">
        <v>356</v>
      </c>
    </row>
    <row r="18" customFormat="false" ht="15" hidden="false" customHeight="false" outlineLevel="0" collapsed="false">
      <c r="A18" s="19" t="s">
        <v>360</v>
      </c>
      <c r="B18" s="20" t="n">
        <v>75.53</v>
      </c>
      <c r="D18" s="20" t="n">
        <v>75.53</v>
      </c>
      <c r="E18" s="23" t="n">
        <f aca="false">IF($E$10="","n.d.",B18/$E$10)</f>
        <v>0.629416666666667</v>
      </c>
      <c r="F18" s="23" t="n">
        <f aca="false">IF($E$10="","n.d.",D18/$E$10)</f>
        <v>0.629416666666667</v>
      </c>
      <c r="G18" s="21" t="n">
        <f aca="false">IF($E$10="","n.d.",$E$10-B18)</f>
        <v>44.47</v>
      </c>
      <c r="I18" s="6" t="s">
        <v>358</v>
      </c>
    </row>
    <row r="19" customFormat="false" ht="15" hidden="false" customHeight="false" outlineLevel="0" collapsed="false">
      <c r="A19" s="19" t="s">
        <v>361</v>
      </c>
      <c r="B19" s="20" t="n">
        <v>88.1</v>
      </c>
      <c r="D19" s="20" t="n">
        <v>88.1</v>
      </c>
      <c r="E19" s="23" t="n">
        <f aca="false">IF($E$10="","n.d.",B19/$E$10)</f>
        <v>0.734166666666667</v>
      </c>
      <c r="F19" s="23" t="n">
        <f aca="false">IF($E$10="","n.d.",D19/$E$10)</f>
        <v>0.734166666666667</v>
      </c>
      <c r="G19" s="21" t="n">
        <f aca="false">IF($E$10="","n.d.",$E$10-B19)</f>
        <v>31.9</v>
      </c>
      <c r="I19" s="6" t="s">
        <v>356</v>
      </c>
    </row>
    <row r="20" customFormat="false" ht="15" hidden="false" customHeight="false" outlineLevel="0" collapsed="false">
      <c r="A20" s="19" t="s">
        <v>332</v>
      </c>
      <c r="B20" s="20" t="n">
        <v>69.92</v>
      </c>
      <c r="D20" s="20" t="n">
        <v>69.92</v>
      </c>
      <c r="E20" s="23" t="n">
        <f aca="false">IF($E$10="","n.d.",B20/$E$10)</f>
        <v>0.582666666666667</v>
      </c>
      <c r="F20" s="23" t="n">
        <f aca="false">IF($E$10="","n.d.",D20/$E$10)</f>
        <v>0.582666666666667</v>
      </c>
      <c r="G20" s="21" t="n">
        <f aca="false">IF($E$10="","n.d.",$E$10-B20)</f>
        <v>50.08</v>
      </c>
      <c r="I20" s="6"/>
    </row>
    <row r="21" customFormat="false" ht="15" hidden="false" customHeight="false" outlineLevel="0" collapsed="false">
      <c r="A21" s="19" t="s">
        <v>362</v>
      </c>
      <c r="B21" s="20" t="n">
        <v>30.38</v>
      </c>
      <c r="D21" s="20" t="n">
        <v>42.3</v>
      </c>
      <c r="E21" s="23" t="n">
        <f aca="false">IF($E$10="","n.d.",B21/$E$10)</f>
        <v>0.253166666666667</v>
      </c>
      <c r="F21" s="23" t="n">
        <f aca="false">IF($E$10="","n.d.",D21/$E$10)</f>
        <v>0.3525</v>
      </c>
      <c r="G21" s="21" t="n">
        <f aca="false">IF($E$10="","n.d.",$E$10-B21)</f>
        <v>89.62</v>
      </c>
      <c r="I21" s="6" t="s">
        <v>363</v>
      </c>
    </row>
    <row r="22" customFormat="false" ht="15" hidden="false" customHeight="false" outlineLevel="0" collapsed="false">
      <c r="A22" s="19" t="s">
        <v>364</v>
      </c>
      <c r="B22" s="20" t="n">
        <v>160.84</v>
      </c>
      <c r="D22" s="20" t="n">
        <v>160.84</v>
      </c>
      <c r="E22" s="23" t="n">
        <f aca="false">IF($E$10="","n.d.",B22/$E$10)</f>
        <v>1.34033333333333</v>
      </c>
      <c r="F22" s="23" t="n">
        <f aca="false">IF($E$10="","n.d.",D22/$E$10)</f>
        <v>1.34033333333333</v>
      </c>
      <c r="G22" s="21" t="n">
        <f aca="false">IF($E$10="","n.d.",$E$10-B22)</f>
        <v>-40.84</v>
      </c>
      <c r="I22" s="6" t="s">
        <v>365</v>
      </c>
    </row>
    <row r="23" customFormat="false" ht="15" hidden="false" customHeight="false" outlineLevel="0" collapsed="false">
      <c r="A23" s="4" t="s">
        <v>301</v>
      </c>
      <c r="B23" s="28" t="n">
        <f aca="false">B14/B15</f>
        <v>0.857238831037958</v>
      </c>
      <c r="I23" s="6" t="s">
        <v>366</v>
      </c>
    </row>
    <row r="24" customFormat="false" ht="15" hidden="false" customHeight="false" outlineLevel="0" collapsed="false">
      <c r="A24" s="6" t="s">
        <v>303</v>
      </c>
    </row>
    <row r="26" customFormat="false" ht="15" hidden="false" customHeight="false" outlineLevel="0" collapsed="false">
      <c r="A26" s="17" t="s">
        <v>304</v>
      </c>
      <c r="B26" s="18"/>
      <c r="C26" s="18"/>
      <c r="D26" s="18"/>
      <c r="E26" s="18"/>
      <c r="F26" s="18"/>
      <c r="G26" s="18"/>
      <c r="H26" s="18"/>
      <c r="I26" s="18"/>
      <c r="J26" s="18"/>
    </row>
    <row r="27" customFormat="false" ht="15" hidden="false" customHeight="false" outlineLevel="0" collapsed="false">
      <c r="A27" s="19" t="s">
        <v>367</v>
      </c>
      <c r="B27" s="27" t="n">
        <v>0.168</v>
      </c>
      <c r="I27" s="6" t="s">
        <v>368</v>
      </c>
    </row>
    <row r="28" customFormat="false" ht="15" hidden="false" customHeight="false" outlineLevel="0" collapsed="false">
      <c r="A28" s="19" t="s">
        <v>369</v>
      </c>
      <c r="B28" s="27" t="n">
        <v>0.862</v>
      </c>
      <c r="I28" s="6" t="s">
        <v>370</v>
      </c>
    </row>
    <row r="29" customFormat="false" ht="15" hidden="false" customHeight="false" outlineLevel="0" collapsed="false">
      <c r="A29" s="19" t="s">
        <v>371</v>
      </c>
      <c r="B29" s="27" t="n">
        <v>0.2</v>
      </c>
      <c r="I29" s="6" t="s">
        <v>372</v>
      </c>
    </row>
    <row r="30" customFormat="false" ht="15" hidden="false" customHeight="false" outlineLevel="0" collapsed="false">
      <c r="A30" s="19" t="s">
        <v>373</v>
      </c>
      <c r="B30" s="27" t="n">
        <v>0.55</v>
      </c>
      <c r="I30" s="6" t="s">
        <v>374</v>
      </c>
    </row>
    <row r="31" customFormat="false" ht="15" hidden="false" customHeight="false" outlineLevel="0" collapsed="false">
      <c r="A31" s="19" t="s">
        <v>375</v>
      </c>
      <c r="B31" s="34" t="n">
        <v>21000</v>
      </c>
      <c r="I31" s="6" t="s">
        <v>376</v>
      </c>
    </row>
    <row r="32" customFormat="false" ht="15" hidden="false" customHeight="false" outlineLevel="0" collapsed="false">
      <c r="A32" s="19" t="s">
        <v>377</v>
      </c>
      <c r="B32" s="38" t="n">
        <v>52</v>
      </c>
      <c r="I32" s="6" t="s">
        <v>376</v>
      </c>
    </row>
    <row r="34" customFormat="false" ht="15" hidden="false" customHeight="false" outlineLevel="0" collapsed="false">
      <c r="A34" s="4" t="s">
        <v>317</v>
      </c>
    </row>
    <row r="35" customFormat="false" ht="75" hidden="false" customHeight="true" outlineLevel="0" collapsed="false">
      <c r="A35" s="35" t="s">
        <v>378</v>
      </c>
      <c r="B35" s="35"/>
      <c r="C35" s="35"/>
      <c r="D35" s="35"/>
      <c r="E35" s="35"/>
      <c r="F35" s="35"/>
      <c r="G35" s="35"/>
      <c r="H35" s="35"/>
      <c r="I35" s="35"/>
    </row>
  </sheetData>
  <mergeCells count="1">
    <mergeCell ref="A35:I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8" min="6" style="0" width="13"/>
    <col collapsed="false" customWidth="true" hidden="false" outlineLevel="0" max="9" min="9" style="0" width="70"/>
  </cols>
  <sheetData>
    <row r="1" customFormat="false" ht="17.35" hidden="false" customHeight="false" outlineLevel="0" collapsed="false">
      <c r="A1" s="5" t="s">
        <v>379</v>
      </c>
    </row>
    <row r="2" customFormat="false" ht="15" hidden="false" customHeight="false" outlineLevel="0" collapsed="false">
      <c r="A2" s="6" t="s">
        <v>380</v>
      </c>
    </row>
    <row r="4" customFormat="false" ht="15" hidden="false" customHeight="false" outlineLevel="0" collapsed="false">
      <c r="A4" s="17" t="s">
        <v>263</v>
      </c>
      <c r="B4" s="18"/>
      <c r="C4" s="18"/>
      <c r="D4" s="18"/>
      <c r="E4" s="18"/>
      <c r="F4" s="18"/>
      <c r="G4" s="18"/>
      <c r="H4" s="18"/>
      <c r="I4" s="18"/>
      <c r="J4" s="18"/>
    </row>
    <row r="5" customFormat="false" ht="45" hidden="false" customHeight="true" outlineLevel="0" collapsed="false">
      <c r="A5" s="7" t="s">
        <v>264</v>
      </c>
      <c r="B5" s="7" t="s">
        <v>265</v>
      </c>
      <c r="C5" s="7" t="s">
        <v>266</v>
      </c>
      <c r="D5" s="7" t="s">
        <v>267</v>
      </c>
      <c r="E5" s="7" t="s">
        <v>268</v>
      </c>
      <c r="F5" s="7"/>
      <c r="G5" s="7"/>
      <c r="H5" s="7"/>
      <c r="I5" s="7" t="s">
        <v>109</v>
      </c>
    </row>
    <row r="10" customFormat="false" ht="15" hidden="false" customHeight="false" outlineLevel="0" collapsed="false">
      <c r="A10" s="4" t="s">
        <v>274</v>
      </c>
      <c r="E10" s="31"/>
      <c r="I10" s="6" t="s">
        <v>381</v>
      </c>
    </row>
    <row r="12" customFormat="false" ht="15" hidden="false" customHeight="false" outlineLevel="0" collapsed="false">
      <c r="A12" s="17" t="s">
        <v>276</v>
      </c>
      <c r="B12" s="18"/>
      <c r="C12" s="18"/>
      <c r="D12" s="18"/>
      <c r="E12" s="18"/>
      <c r="F12" s="18"/>
      <c r="G12" s="18"/>
      <c r="H12" s="18"/>
      <c r="I12" s="18"/>
      <c r="J12" s="18"/>
    </row>
    <row r="13" customFormat="false" ht="45" hidden="false" customHeight="true" outlineLevel="0" collapsed="false">
      <c r="A13" s="7" t="s">
        <v>277</v>
      </c>
      <c r="B13" s="7" t="s">
        <v>278</v>
      </c>
      <c r="C13" s="7"/>
      <c r="D13" s="7" t="s">
        <v>279</v>
      </c>
      <c r="E13" s="7" t="s">
        <v>280</v>
      </c>
      <c r="F13" s="7" t="s">
        <v>281</v>
      </c>
      <c r="G13" s="7" t="s">
        <v>282</v>
      </c>
      <c r="H13" s="7"/>
      <c r="I13" s="7" t="s">
        <v>283</v>
      </c>
    </row>
    <row r="14" customFormat="false" ht="15" hidden="false" customHeight="false" outlineLevel="0" collapsed="false">
      <c r="A14" s="19" t="s">
        <v>382</v>
      </c>
      <c r="B14" s="20" t="n">
        <v>60</v>
      </c>
      <c r="D14" s="20" t="n">
        <v>60</v>
      </c>
      <c r="E14" s="23" t="str">
        <f aca="false">IF($E$10="","n.d.",B14/$E$10)</f>
        <v>n.d.</v>
      </c>
      <c r="F14" s="23" t="str">
        <f aca="false">IF($E$10="","n.d.",D14/$E$10)</f>
        <v>n.d.</v>
      </c>
      <c r="G14" s="21" t="str">
        <f aca="false">IF($E$10="","n.d.",$E$10-B14)</f>
        <v>n.d.</v>
      </c>
      <c r="I14" s="6" t="s">
        <v>383</v>
      </c>
    </row>
    <row r="15" customFormat="false" ht="15" hidden="false" customHeight="false" outlineLevel="0" collapsed="false">
      <c r="A15" s="19" t="s">
        <v>384</v>
      </c>
      <c r="B15" s="20" t="n">
        <v>90</v>
      </c>
      <c r="D15" s="20" t="n">
        <v>90</v>
      </c>
      <c r="E15" s="23" t="str">
        <f aca="false">IF($E$10="","n.d.",B15/$E$10)</f>
        <v>n.d.</v>
      </c>
      <c r="F15" s="23" t="str">
        <f aca="false">IF($E$10="","n.d.",D15/$E$10)</f>
        <v>n.d.</v>
      </c>
      <c r="G15" s="21" t="str">
        <f aca="false">IF($E$10="","n.d.",$E$10-B15)</f>
        <v>n.d.</v>
      </c>
      <c r="I15" s="6" t="s">
        <v>383</v>
      </c>
    </row>
    <row r="16" customFormat="false" ht="15" hidden="false" customHeight="false" outlineLevel="0" collapsed="false">
      <c r="A16" s="19" t="s">
        <v>385</v>
      </c>
      <c r="B16" s="20" t="n">
        <v>115</v>
      </c>
      <c r="D16" s="20" t="n">
        <v>115</v>
      </c>
      <c r="E16" s="23" t="str">
        <f aca="false">IF($E$10="","n.d.",B16/$E$10)</f>
        <v>n.d.</v>
      </c>
      <c r="F16" s="23" t="str">
        <f aca="false">IF($E$10="","n.d.",D16/$E$10)</f>
        <v>n.d.</v>
      </c>
      <c r="G16" s="21" t="str">
        <f aca="false">IF($E$10="","n.d.",$E$10-B16)</f>
        <v>n.d.</v>
      </c>
      <c r="I16" s="6" t="s">
        <v>383</v>
      </c>
    </row>
    <row r="17" customFormat="false" ht="15" hidden="false" customHeight="false" outlineLevel="0" collapsed="false">
      <c r="A17" s="19" t="s">
        <v>386</v>
      </c>
      <c r="B17" s="20" t="n">
        <v>160</v>
      </c>
      <c r="D17" s="20" t="n">
        <v>160</v>
      </c>
      <c r="E17" s="23" t="str">
        <f aca="false">IF($E$10="","n.d.",B17/$E$10)</f>
        <v>n.d.</v>
      </c>
      <c r="F17" s="23" t="str">
        <f aca="false">IF($E$10="","n.d.",D17/$E$10)</f>
        <v>n.d.</v>
      </c>
      <c r="G17" s="21" t="str">
        <f aca="false">IF($E$10="","n.d.",$E$10-B17)</f>
        <v>n.d.</v>
      </c>
      <c r="I17" s="6" t="s">
        <v>383</v>
      </c>
    </row>
    <row r="18" customFormat="false" ht="15" hidden="false" customHeight="false" outlineLevel="0" collapsed="false">
      <c r="A18" s="19" t="s">
        <v>387</v>
      </c>
      <c r="B18" s="20" t="n">
        <v>150</v>
      </c>
      <c r="D18" s="20" t="n">
        <v>150</v>
      </c>
      <c r="E18" s="23" t="str">
        <f aca="false">IF($E$10="","n.d.",B18/$E$10)</f>
        <v>n.d.</v>
      </c>
      <c r="F18" s="23" t="str">
        <f aca="false">IF($E$10="","n.d.",D18/$E$10)</f>
        <v>n.d.</v>
      </c>
      <c r="G18" s="21" t="str">
        <f aca="false">IF($E$10="","n.d.",$E$10-B18)</f>
        <v>n.d.</v>
      </c>
      <c r="I18" s="6" t="s">
        <v>383</v>
      </c>
    </row>
    <row r="19" customFormat="false" ht="15" hidden="false" customHeight="false" outlineLevel="0" collapsed="false">
      <c r="A19" s="19" t="s">
        <v>388</v>
      </c>
      <c r="B19" s="20" t="n">
        <v>140</v>
      </c>
      <c r="D19" s="20" t="n">
        <v>140</v>
      </c>
      <c r="E19" s="23" t="str">
        <f aca="false">IF($E$10="","n.d.",B19/$E$10)</f>
        <v>n.d.</v>
      </c>
      <c r="F19" s="23" t="str">
        <f aca="false">IF($E$10="","n.d.",D19/$E$10)</f>
        <v>n.d.</v>
      </c>
      <c r="G19" s="21" t="str">
        <f aca="false">IF($E$10="","n.d.",$E$10-B19)</f>
        <v>n.d.</v>
      </c>
      <c r="I19" s="6" t="s">
        <v>383</v>
      </c>
    </row>
    <row r="20" customFormat="false" ht="15" hidden="false" customHeight="false" outlineLevel="0" collapsed="false">
      <c r="A20" s="19" t="s">
        <v>389</v>
      </c>
      <c r="B20" s="20" t="n">
        <v>120</v>
      </c>
      <c r="D20" s="20" t="n">
        <v>120</v>
      </c>
      <c r="E20" s="23" t="str">
        <f aca="false">IF($E$10="","n.d.",B20/$E$10)</f>
        <v>n.d.</v>
      </c>
      <c r="F20" s="23" t="str">
        <f aca="false">IF($E$10="","n.d.",D20/$E$10)</f>
        <v>n.d.</v>
      </c>
      <c r="G20" s="21" t="str">
        <f aca="false">IF($E$10="","n.d.",$E$10-B20)</f>
        <v>n.d.</v>
      </c>
      <c r="I20" s="6" t="s">
        <v>390</v>
      </c>
    </row>
    <row r="21" customFormat="false" ht="15" hidden="false" customHeight="false" outlineLevel="0" collapsed="false">
      <c r="A21" s="19" t="s">
        <v>391</v>
      </c>
      <c r="B21" s="20" t="n">
        <v>100</v>
      </c>
      <c r="D21" s="20" t="n">
        <v>100</v>
      </c>
      <c r="E21" s="23" t="str">
        <f aca="false">IF($E$10="","n.d.",B21/$E$10)</f>
        <v>n.d.</v>
      </c>
      <c r="F21" s="23" t="str">
        <f aca="false">IF($E$10="","n.d.",D21/$E$10)</f>
        <v>n.d.</v>
      </c>
      <c r="G21" s="21" t="str">
        <f aca="false">IF($E$10="","n.d.",$E$10-B21)</f>
        <v>n.d.</v>
      </c>
      <c r="I21" s="6" t="s">
        <v>392</v>
      </c>
    </row>
    <row r="22" customFormat="false" ht="15" hidden="false" customHeight="false" outlineLevel="0" collapsed="false">
      <c r="A22" s="19" t="s">
        <v>393</v>
      </c>
      <c r="B22" s="20" t="n">
        <v>55</v>
      </c>
      <c r="D22" s="20" t="n">
        <v>55</v>
      </c>
      <c r="E22" s="23" t="str">
        <f aca="false">IF($E$10="","n.d.",B22/$E$10)</f>
        <v>n.d.</v>
      </c>
      <c r="F22" s="23" t="str">
        <f aca="false">IF($E$10="","n.d.",D22/$E$10)</f>
        <v>n.d.</v>
      </c>
      <c r="G22" s="21" t="str">
        <f aca="false">IF($E$10="","n.d.",$E$10-B22)</f>
        <v>n.d.</v>
      </c>
      <c r="I22" s="6" t="s">
        <v>394</v>
      </c>
    </row>
    <row r="23" customFormat="false" ht="15" hidden="false" customHeight="false" outlineLevel="0" collapsed="false">
      <c r="A23" s="19" t="s">
        <v>395</v>
      </c>
      <c r="B23" s="20" t="n">
        <v>80</v>
      </c>
      <c r="D23" s="20" t="n">
        <v>80</v>
      </c>
      <c r="E23" s="23" t="str">
        <f aca="false">IF($E$10="","n.d.",B23/$E$10)</f>
        <v>n.d.</v>
      </c>
      <c r="F23" s="23" t="str">
        <f aca="false">IF($E$10="","n.d.",D23/$E$10)</f>
        <v>n.d.</v>
      </c>
      <c r="G23" s="21" t="str">
        <f aca="false">IF($E$10="","n.d.",$E$10-B23)</f>
        <v>n.d.</v>
      </c>
      <c r="I23" s="6" t="s">
        <v>396</v>
      </c>
    </row>
    <row r="24" customFormat="false" ht="15" hidden="false" customHeight="false" outlineLevel="0" collapsed="false">
      <c r="A24" s="19" t="s">
        <v>397</v>
      </c>
      <c r="B24" s="20" t="n">
        <v>60</v>
      </c>
      <c r="D24" s="20" t="n">
        <v>60</v>
      </c>
      <c r="E24" s="23" t="str">
        <f aca="false">IF($E$10="","n.d.",B24/$E$10)</f>
        <v>n.d.</v>
      </c>
      <c r="F24" s="23" t="str">
        <f aca="false">IF($E$10="","n.d.",D24/$E$10)</f>
        <v>n.d.</v>
      </c>
      <c r="G24" s="21" t="str">
        <f aca="false">IF($E$10="","n.d.",$E$10-B24)</f>
        <v>n.d.</v>
      </c>
      <c r="I24" s="6" t="s">
        <v>398</v>
      </c>
    </row>
    <row r="25" customFormat="false" ht="15" hidden="false" customHeight="false" outlineLevel="0" collapsed="false">
      <c r="A25" s="4" t="s">
        <v>301</v>
      </c>
      <c r="B25" s="28" t="n">
        <f aca="false">B14/B17</f>
        <v>0.375</v>
      </c>
      <c r="I25" s="6" t="s">
        <v>399</v>
      </c>
    </row>
    <row r="26" customFormat="false" ht="15" hidden="false" customHeight="false" outlineLevel="0" collapsed="false">
      <c r="A26" s="6" t="s">
        <v>303</v>
      </c>
    </row>
    <row r="28" customFormat="false" ht="15" hidden="false" customHeight="false" outlineLevel="0" collapsed="false">
      <c r="A28" s="17" t="s">
        <v>304</v>
      </c>
      <c r="B28" s="18"/>
      <c r="C28" s="18"/>
      <c r="D28" s="18"/>
      <c r="E28" s="18"/>
      <c r="F28" s="18"/>
      <c r="G28" s="18"/>
      <c r="H28" s="18"/>
      <c r="I28" s="18"/>
      <c r="J28" s="18"/>
    </row>
    <row r="29" customFormat="false" ht="15" hidden="false" customHeight="false" outlineLevel="0" collapsed="false">
      <c r="A29" s="19" t="s">
        <v>367</v>
      </c>
      <c r="B29" s="27" t="n">
        <v>0.651</v>
      </c>
      <c r="I29" s="6" t="s">
        <v>400</v>
      </c>
    </row>
    <row r="30" customFormat="false" ht="15" hidden="false" customHeight="false" outlineLevel="0" collapsed="false">
      <c r="A30" s="19" t="s">
        <v>401</v>
      </c>
      <c r="B30" s="27" t="n">
        <v>0.893</v>
      </c>
      <c r="I30" s="6" t="s">
        <v>400</v>
      </c>
    </row>
    <row r="31" customFormat="false" ht="15" hidden="false" customHeight="false" outlineLevel="0" collapsed="false">
      <c r="A31" s="19" t="s">
        <v>402</v>
      </c>
      <c r="B31" s="27" t="n">
        <v>0.051</v>
      </c>
      <c r="I31" s="6" t="s">
        <v>400</v>
      </c>
    </row>
    <row r="32" customFormat="false" ht="15" hidden="false" customHeight="false" outlineLevel="0" collapsed="false">
      <c r="A32" s="19" t="s">
        <v>403</v>
      </c>
      <c r="B32" s="27" t="n">
        <v>0.1066</v>
      </c>
      <c r="I32" s="6" t="s">
        <v>400</v>
      </c>
    </row>
    <row r="34" customFormat="false" ht="15" hidden="false" customHeight="false" outlineLevel="0" collapsed="false">
      <c r="A34" s="4" t="s">
        <v>317</v>
      </c>
    </row>
    <row r="35" customFormat="false" ht="75" hidden="false" customHeight="true" outlineLevel="0" collapsed="false">
      <c r="A35" s="35" t="s">
        <v>404</v>
      </c>
      <c r="B35" s="35"/>
      <c r="C35" s="35"/>
      <c r="D35" s="35"/>
      <c r="E35" s="35"/>
      <c r="F35" s="35"/>
      <c r="G35" s="35"/>
      <c r="H35" s="35"/>
      <c r="I35" s="35"/>
    </row>
  </sheetData>
  <mergeCells count="1">
    <mergeCell ref="A35:I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2026-10-17T18:38:14Z</dcterms:created>
  <dc:creator>openpyxl</dc:creator>
  <dc:description/>
  <dc:language>en-US</dc:language>
  <cp:lastModifiedBy/>
  <dcterms:modified xsi:type="dcterms:W3CDTF">2026-10-17T18:38:14Z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