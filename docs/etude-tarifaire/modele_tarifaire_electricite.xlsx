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ynthese" sheetId="2" state="visible" r:id="rId4"/>
    <sheet name="Cameroun" sheetId="3" state="visible" r:id="rId5"/>
    <sheet name="Congo" sheetId="4" state="visible" r:id="rId6"/>
    <sheet name="Exemple_fictif" sheetId="5" state="visible" r:id="rId7"/>
    <sheet name="Equite_H2" sheetId="6" state="visible" r:id="rId8"/>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D30" authorId="0">
      <text>
        <r>
          <rPr>
            <sz val="10"/>
            <rFont val="Arial"/>
            <family val="2"/>
          </rPr>
          <t xml:space="preserve">Tarif moyen effectif = recettes facturées / kWh (abonnements et primes fixes inclus, taxes exclues).</t>
        </r>
      </text>
    </comment>
    <comment ref="D31" authorId="0">
      <text>
        <r>
          <rPr>
            <sz val="10"/>
            <rFont val="Arial"/>
            <family val="2"/>
          </rPr>
          <t xml:space="preserve">Tarif moyen effectif = recettes facturées / kWh (abonnements et primes fixes inclus, taxes exclues).</t>
        </r>
      </text>
    </comment>
    <comment ref="D32" authorId="0">
      <text>
        <r>
          <rPr>
            <sz val="10"/>
            <rFont val="Arial"/>
            <family val="2"/>
          </rPr>
          <t xml:space="preserve">Tarif moyen effectif = recettes facturées / kWh (abonnements et primes fixes inclus, taxes exclues).</t>
        </r>
      </text>
    </comment>
    <comment ref="D33" authorId="0">
      <text>
        <r>
          <rPr>
            <sz val="10"/>
            <rFont val="Arial"/>
            <family val="2"/>
          </rPr>
          <t xml:space="preserve">Tarif moyen effectif = recettes facturées / kWh (abonnements et primes fixes inclus, taxes exclues).</t>
        </r>
      </text>
    </comment>
    <comment ref="D34" authorId="0">
      <text>
        <r>
          <rPr>
            <sz val="10"/>
            <rFont val="Arial"/>
            <family val="2"/>
          </rPr>
          <t xml:space="preserve">Tarif moyen effectif = recettes facturées / kWh (abonnements et primes fixes inclus, taxes exclues).</t>
        </r>
      </text>
    </comment>
    <comment ref="E30" authorId="0">
      <text>
        <r>
          <rPr>
            <sz val="10"/>
            <rFont val="Arial"/>
            <family val="2"/>
          </rPr>
          <t xml:space="preserve">Coût efficace alloué à la catégorie (étude de coût de service), pertes réglementaires incluses.</t>
        </r>
      </text>
    </comment>
    <comment ref="E31" authorId="0">
      <text>
        <r>
          <rPr>
            <sz val="10"/>
            <rFont val="Arial"/>
            <family val="2"/>
          </rPr>
          <t xml:space="preserve">Coût efficace alloué à la catégorie (étude de coût de service), pertes réglementaires incluses.</t>
        </r>
      </text>
    </comment>
    <comment ref="E32" authorId="0">
      <text>
        <r>
          <rPr>
            <sz val="10"/>
            <rFont val="Arial"/>
            <family val="2"/>
          </rPr>
          <t xml:space="preserve">Coût efficace alloué à la catégorie (étude de coût de service), pertes réglementaires incluses.</t>
        </r>
      </text>
    </comment>
    <comment ref="E33" authorId="0">
      <text>
        <r>
          <rPr>
            <sz val="10"/>
            <rFont val="Arial"/>
            <family val="2"/>
          </rPr>
          <t xml:space="preserve">Coût efficace alloué à la catégorie (étude de coût de service), pertes réglementaires incluses.</t>
        </r>
      </text>
    </comment>
    <comment ref="E34" authorId="0">
      <text>
        <r>
          <rPr>
            <sz val="10"/>
            <rFont val="Arial"/>
            <family val="2"/>
          </rPr>
          <t xml:space="preserve">Coût efficace alloué à la catégorie (étude de coût de service), pertes réglementaires incluses.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30" authorId="0">
      <text>
        <r>
          <rPr>
            <sz val="10"/>
            <rFont val="Arial"/>
            <family val="2"/>
          </rPr>
          <t xml:space="preserve">Tarif moyen effectif = recettes facturées / kWh (abonnements et primes fixes inclus, taxes exclues).</t>
        </r>
      </text>
    </comment>
    <comment ref="D31" authorId="0">
      <text>
        <r>
          <rPr>
            <sz val="10"/>
            <rFont val="Arial"/>
            <family val="2"/>
          </rPr>
          <t xml:space="preserve">Tarif moyen effectif = recettes facturées / kWh (abonnements et primes fixes inclus, taxes exclues).</t>
        </r>
      </text>
    </comment>
    <comment ref="D32" authorId="0">
      <text>
        <r>
          <rPr>
            <sz val="10"/>
            <rFont val="Arial"/>
            <family val="2"/>
          </rPr>
          <t xml:space="preserve">Tarif moyen effectif = recettes facturées / kWh (abonnements et primes fixes inclus, taxes exclues).</t>
        </r>
      </text>
    </comment>
    <comment ref="D33" authorId="0">
      <text>
        <r>
          <rPr>
            <sz val="10"/>
            <rFont val="Arial"/>
            <family val="2"/>
          </rPr>
          <t xml:space="preserve">Tarif moyen effectif = recettes facturées / kWh (abonnements et primes fixes inclus, taxes exclues).</t>
        </r>
      </text>
    </comment>
    <comment ref="D34" authorId="0">
      <text>
        <r>
          <rPr>
            <sz val="10"/>
            <rFont val="Arial"/>
            <family val="2"/>
          </rPr>
          <t xml:space="preserve">Tarif moyen effectif = recettes facturées / kWh (abonnements et primes fixes inclus, taxes exclues).</t>
        </r>
      </text>
    </comment>
    <comment ref="E30" authorId="0">
      <text>
        <r>
          <rPr>
            <sz val="10"/>
            <rFont val="Arial"/>
            <family val="2"/>
          </rPr>
          <t xml:space="preserve">Coût efficace alloué à la catégorie (étude de coût de service), pertes réglementaires incluses.</t>
        </r>
      </text>
    </comment>
    <comment ref="E31" authorId="0">
      <text>
        <r>
          <rPr>
            <sz val="10"/>
            <rFont val="Arial"/>
            <family val="2"/>
          </rPr>
          <t xml:space="preserve">Coût efficace alloué à la catégorie (étude de coût de service), pertes réglementaires incluses.</t>
        </r>
      </text>
    </comment>
    <comment ref="E32" authorId="0">
      <text>
        <r>
          <rPr>
            <sz val="10"/>
            <rFont val="Arial"/>
            <family val="2"/>
          </rPr>
          <t xml:space="preserve">Coût efficace alloué à la catégorie (étude de coût de service), pertes réglementaires incluses.</t>
        </r>
      </text>
    </comment>
    <comment ref="E33" authorId="0">
      <text>
        <r>
          <rPr>
            <sz val="10"/>
            <rFont val="Arial"/>
            <family val="2"/>
          </rPr>
          <t xml:space="preserve">Coût efficace alloué à la catégorie (étude de coût de service), pertes réglementaires incluses.</t>
        </r>
      </text>
    </comment>
    <comment ref="E34" authorId="0">
      <text>
        <r>
          <rPr>
            <sz val="10"/>
            <rFont val="Arial"/>
            <family val="2"/>
          </rPr>
          <t xml:space="preserve">Coût efficace alloué à la catégorie (étude de coût de service), pertes réglementaires incluses.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30" authorId="0">
      <text>
        <r>
          <rPr>
            <sz val="10"/>
            <rFont val="Arial"/>
            <family val="2"/>
          </rPr>
          <t xml:space="preserve">Tarif moyen effectif = recettes facturées / kWh (abonnements et primes fixes inclus, taxes exclues).</t>
        </r>
      </text>
    </comment>
    <comment ref="D31" authorId="0">
      <text>
        <r>
          <rPr>
            <sz val="10"/>
            <rFont val="Arial"/>
            <family val="2"/>
          </rPr>
          <t xml:space="preserve">Tarif moyen effectif = recettes facturées / kWh (abonnements et primes fixes inclus, taxes exclues).</t>
        </r>
      </text>
    </comment>
    <comment ref="D32" authorId="0">
      <text>
        <r>
          <rPr>
            <sz val="10"/>
            <rFont val="Arial"/>
            <family val="2"/>
          </rPr>
          <t xml:space="preserve">Tarif moyen effectif = recettes facturées / kWh (abonnements et primes fixes inclus, taxes exclues).</t>
        </r>
      </text>
    </comment>
    <comment ref="D33" authorId="0">
      <text>
        <r>
          <rPr>
            <sz val="10"/>
            <rFont val="Arial"/>
            <family val="2"/>
          </rPr>
          <t xml:space="preserve">Tarif moyen effectif = recettes facturées / kWh (abonnements et primes fixes inclus, taxes exclues).</t>
        </r>
      </text>
    </comment>
    <comment ref="D34" authorId="0">
      <text>
        <r>
          <rPr>
            <sz val="10"/>
            <rFont val="Arial"/>
            <family val="2"/>
          </rPr>
          <t xml:space="preserve">Tarif moyen effectif = recettes facturées / kWh (abonnements et primes fixes inclus, taxes exclues).</t>
        </r>
      </text>
    </comment>
    <comment ref="E30" authorId="0">
      <text>
        <r>
          <rPr>
            <sz val="10"/>
            <rFont val="Arial"/>
            <family val="2"/>
          </rPr>
          <t xml:space="preserve">Coût efficace alloué à la catégorie (étude de coût de service), pertes réglementaires incluses.</t>
        </r>
      </text>
    </comment>
    <comment ref="E31" authorId="0">
      <text>
        <r>
          <rPr>
            <sz val="10"/>
            <rFont val="Arial"/>
            <family val="2"/>
          </rPr>
          <t xml:space="preserve">Coût efficace alloué à la catégorie (étude de coût de service), pertes réglementaires incluses.</t>
        </r>
      </text>
    </comment>
    <comment ref="E32" authorId="0">
      <text>
        <r>
          <rPr>
            <sz val="10"/>
            <rFont val="Arial"/>
            <family val="2"/>
          </rPr>
          <t xml:space="preserve">Coût efficace alloué à la catégorie (étude de coût de service), pertes réglementaires incluses.</t>
        </r>
      </text>
    </comment>
    <comment ref="E33" authorId="0">
      <text>
        <r>
          <rPr>
            <sz val="10"/>
            <rFont val="Arial"/>
            <family val="2"/>
          </rPr>
          <t xml:space="preserve">Coût efficace alloué à la catégorie (étude de coût de service), pertes réglementaires incluses.</t>
        </r>
      </text>
    </comment>
    <comment ref="E34" authorId="0">
      <text>
        <r>
          <rPr>
            <sz val="10"/>
            <rFont val="Arial"/>
            <family val="2"/>
          </rPr>
          <t xml:space="preserve">Coût efficace alloué à la catégorie (étude de coût de service), pertes réglementaires incluses.</t>
        </r>
      </text>
    </comment>
  </commentList>
</comments>
</file>

<file path=xl/sharedStrings.xml><?xml version="1.0" encoding="utf-8"?>
<sst xmlns="http://schemas.openxmlformats.org/spreadsheetml/2006/main" count="770" uniqueCount="213">
  <si>
    <t xml:space="preserve">Modèle financier et tarifaire — électricité (Livrable 2, version de structure)</t>
  </si>
  <si>
    <t xml:space="preserve">Étude : Le paradoxe des subventions tarifaires en Afrique — Cameroun, République du Congo et pays dotés d'un pacte national de l'énergie (Mission 300).</t>
  </si>
  <si>
    <t xml:space="preserve">STATUT DES DONNÉES</t>
  </si>
  <si>
    <t xml:space="preserve">• Feuilles « Cameroun » et « Congo » : AUCUNE donnée saisie. Les cellules jaunes sont à renseigner depuis des sources officielles, avec la source en colonne D.</t>
  </si>
  <si>
    <t xml:space="preserve">• Feuille « Exemple_fictif » : valeurs INVENTÉES servant uniquement à vérifier les formules. Ne jamais citer ses résultats.</t>
  </si>
  <si>
    <t xml:space="preserve">CODE COULEUR</t>
  </si>
  <si>
    <t xml:space="preserve">• Texte bleu : saisie / levier de scénario.  • Fond jaune : saisie à documenter.  • Texte noir : formule.  • Texte vert : lien vers une autre feuille.</t>
  </si>
  <si>
    <t xml:space="preserve">STRUCTURE (5 modules de la note de cadrage)</t>
  </si>
  <si>
    <t xml:space="preserve">Module 1 Coûts et Module 2 Tarifs : sections 1–2 des feuilles pays (coût efficace et tarif moyen par catégorie, écarts).</t>
  </si>
  <si>
    <t xml:space="preserve">Module 3 Équité : feuille Equite_H2 (incidence par quintile) + ligne « ménages sociaux exclus du ciblage ».</t>
  </si>
  <si>
    <t xml:space="preserve">Module 4 Industrie : indice du tarif HT, effet sur le coût de production, CE.</t>
  </si>
  <si>
    <t xml:space="preserve">Module 5 Réforme : section 3 (S0–S3) et section 4 (trajectoire 2027–2035, CTPT).</t>
  </si>
  <si>
    <t xml:space="preserve">LIMITES CONNUES DE CETTE VERSION</t>
  </si>
  <si>
    <t xml:space="preserve">• Pas d'élasticité-prix : une hausse de tarif ne réduit pas la demande ni n'augmente l'autoproduction.</t>
  </si>
  <si>
    <t xml:space="preserve">• Coûts efficaces constants en termes réels ; pas de programme d'investissement explicite (H4 non testée quantitativement).</t>
  </si>
  <si>
    <t xml:space="preserve">• Trajectoires linéaires ; un seul scénario actif par feuille à la fois.</t>
  </si>
  <si>
    <t xml:space="preserve">• Le secteur de l'eau n'est pas modélisé (périmètre retenu : électricité).</t>
  </si>
  <si>
    <t xml:space="preserve">• CI et CE sont des estimations exogènes ; leur méthode doit éviter les doubles comptages.</t>
  </si>
  <si>
    <t xml:space="preserve">Synthèse comparative (scénario actif de chaque feuille pays)</t>
  </si>
  <si>
    <t xml:space="preserve">Liens verts vers les feuilles pays. Pour comparer les scénarios, changer le scénario actif dans chaque feuille pays et relever les résultats.</t>
  </si>
  <si>
    <t xml:space="preserve">Indicateur</t>
  </si>
  <si>
    <t xml:space="preserve">Unité</t>
  </si>
  <si>
    <t xml:space="preserve">Cameroun</t>
  </si>
  <si>
    <t xml:space="preserve">Congo</t>
  </si>
  <si>
    <t xml:space="preserve">Exemple_fictif</t>
  </si>
  <si>
    <t xml:space="preserve">Scénario actif</t>
  </si>
  <si>
    <t xml:space="preserve">Contrôle : somme des parts de ventes (doit = 100 %)</t>
  </si>
  <si>
    <t xml:space="preserve">%</t>
  </si>
  <si>
    <t xml:space="preserve">Recettes facturées / coût efficace (base)</t>
  </si>
  <si>
    <t xml:space="preserve">Écart de sous-tarification (base)</t>
  </si>
  <si>
    <t xml:space="preserve">Mds FCFA</t>
  </si>
  <si>
    <t xml:space="preserve">Écart de sur-tarification (base)</t>
  </si>
  <si>
    <t xml:space="preserve">Résultat d'exploitation opérateur (base)</t>
  </si>
  <si>
    <t xml:space="preserve">Résultat d'exploitation opérateur (2035)</t>
  </si>
  <si>
    <t xml:space="preserve">Coût d'inefficience opérateur (2035)</t>
  </si>
  <si>
    <t xml:space="preserve">SB cumulées 2027–2035</t>
  </si>
  <si>
    <t xml:space="preserve">DC cumulé 2027–2035</t>
  </si>
  <si>
    <t xml:space="preserve">CTPT cumulé 2027–2035</t>
  </si>
  <si>
    <t xml:space="preserve">CTPT 2035 / CTPT base</t>
  </si>
  <si>
    <t xml:space="preserve">Aide sociale due cumulée 2027–2035</t>
  </si>
  <si>
    <t xml:space="preserve">Hausse non compensée des ménages sociaux exclus, cumul</t>
  </si>
  <si>
    <t xml:space="preserve">Indice tarif industriel HT 2035 (base 100)</t>
  </si>
  <si>
    <t xml:space="preserve">indice</t>
  </si>
  <si>
    <t xml:space="preserve">Effet sur le coût de production industriel 2035</t>
  </si>
  <si>
    <t xml:space="preserve">% coût</t>
  </si>
  <si>
    <t xml:space="preserve">Modèle tarifaire électricité — Cameroun</t>
  </si>
  <si>
    <t xml:space="preserve">Cellules jaunes à renseigner depuis des sources officielles (régulateur, opérateur, ministère des Finances). Citer la source en colonne D.</t>
  </si>
  <si>
    <t xml:space="preserve">Unités : énergie en GWh ; tarifs et coûts en FCFA/kWh ; montants en milliards de FCFA constants de l'année de base (termes réels).</t>
  </si>
  <si>
    <t xml:space="preserve">1. HYPOTHÈSES GÉNÉRALES (année de base)</t>
  </si>
  <si>
    <t xml:space="preserve">Paramètre</t>
  </si>
  <si>
    <t xml:space="preserve">Valeur</t>
  </si>
  <si>
    <t xml:space="preserve">Source / note</t>
  </si>
  <si>
    <t xml:space="preserve">Année de base des données</t>
  </si>
  <si>
    <t xml:space="preserve">année</t>
  </si>
  <si>
    <t xml:space="preserve">Dernière année avec données vérifiées (période d'analyse 2020–2026).</t>
  </si>
  <si>
    <t xml:space="preserve">Énergie injectée dans le réseau</t>
  </si>
  <si>
    <t xml:space="preserve">GWh</t>
  </si>
  <si>
    <t xml:space="preserve">Croissance annuelle de l'énergie injectée</t>
  </si>
  <si>
    <t xml:space="preserve">%/an</t>
  </si>
  <si>
    <t xml:space="preserve">Hypothèse de demande ; pas d'élasticité-prix dans cette version.</t>
  </si>
  <si>
    <t xml:space="preserve">Pertes techniques</t>
  </si>
  <si>
    <t xml:space="preserve">% injectée</t>
  </si>
  <si>
    <t xml:space="preserve">Pertes commerciales (non techniques)</t>
  </si>
  <si>
    <t xml:space="preserve">Pertes totales admises par le régulateur</t>
  </si>
  <si>
    <t xml:space="preserve">Au-delà : coût d'inefficience, non imputé à la politique tarifaire.</t>
  </si>
  <si>
    <t xml:space="preserve">Taux de recouvrement des factures</t>
  </si>
  <si>
    <t xml:space="preserve">% facturé</t>
  </si>
  <si>
    <t xml:space="preserve">Coût marginal de production / achat</t>
  </si>
  <si>
    <t xml:space="preserve">FCFA/kWh</t>
  </si>
  <si>
    <t xml:space="preserve">Valorise les pertes excédentaires.</t>
  </si>
  <si>
    <t xml:space="preserve">Part de l'écart de sous-tarification que l'État s'engage à compenser</t>
  </si>
  <si>
    <t xml:space="preserve">Selon textes réglementaires / contrat de concession.</t>
  </si>
  <si>
    <t xml:space="preserve">Fiabilité de paiement des engagements budgétaires</t>
  </si>
  <si>
    <t xml:space="preserve">% versé</t>
  </si>
  <si>
    <t xml:space="preserve">Versé / dû ; s'applique aux compensations, aides sociales et raccordements.</t>
  </si>
  <si>
    <t xml:space="preserve">Canal de l'aide sociale (1 = tarif social compensé via la facture ; 0 = transfert direct aux ménages)</t>
  </si>
  <si>
    <t xml:space="preserve">1/0</t>
  </si>
  <si>
    <t xml:space="preserve">Ménages bénéficiaires de l'aide ciblée</t>
  </si>
  <si>
    <t xml:space="preserve">nombre</t>
  </si>
  <si>
    <t xml:space="preserve">Coût administratif du ciblage par bénéficiaire</t>
  </si>
  <si>
    <t xml:space="preserve">FCFA/an</t>
  </si>
  <si>
    <t xml:space="preserve">Erreur d'inclusion (part de l'aide versée à des non-éligibles)</t>
  </si>
  <si>
    <t xml:space="preserve">Part de la consommation de la tranche sociale couverte par l'aide</t>
  </si>
  <si>
    <t xml:space="preserve">Les ménages non couverts (erreur d'exclusion) subissent la hausse.</t>
  </si>
  <si>
    <t xml:space="preserve">Subvention par nouveau raccordement</t>
  </si>
  <si>
    <t xml:space="preserve">FCFA</t>
  </si>
  <si>
    <t xml:space="preserve">CI — coûts indirects liés à la dégradation du service (base)</t>
  </si>
  <si>
    <t xml:space="preserve">Estimation à documenter ; ne pas inclure ce qui figure déjà dans CE.</t>
  </si>
  <si>
    <t xml:space="preserve">CE — surcoûts des entreprises (autoproduction, délestages) (base)</t>
  </si>
  <si>
    <t xml:space="preserve">Estimation à documenter (enquêtes entreprises).</t>
  </si>
  <si>
    <t xml:space="preserve">Part de l'électricité dans les coûts de production industriels</t>
  </si>
  <si>
    <t xml:space="preserve">2. CATÉGORIES TARIFAIRES (année de base)</t>
  </si>
  <si>
    <t xml:space="preserve">Catégorie</t>
  </si>
  <si>
    <t xml:space="preserve">Sociale (1/0)</t>
  </si>
  <si>
    <t xml:space="preserve">Part des ventes</t>
  </si>
  <si>
    <t xml:space="preserve">Tarif moyen</t>
  </si>
  <si>
    <t xml:space="preserve">Coût efficace</t>
  </si>
  <si>
    <t xml:space="preserve">Ventes</t>
  </si>
  <si>
    <t xml:space="preserve">Recettes</t>
  </si>
  <si>
    <t xml:space="preserve">Coût de desserte</t>
  </si>
  <si>
    <t xml:space="preserve">Écart tarif–coût</t>
  </si>
  <si>
    <t xml:space="preserve">Écart / coût</t>
  </si>
  <si>
    <t xml:space="preserve">% ventes</t>
  </si>
  <si>
    <t xml:space="preserve">Ménages BT — tranche sociale</t>
  </si>
  <si>
    <t xml:space="preserve">Ménages BT — autres tranches</t>
  </si>
  <si>
    <t xml:space="preserve">Professionnels BT</t>
  </si>
  <si>
    <t xml:space="preserve">Moyenne tension (MT)</t>
  </si>
  <si>
    <t xml:space="preserve">Haute tension — industrie (HT)</t>
  </si>
  <si>
    <t xml:space="preserve">Total / contrôle (la somme des parts doit faire 100 %)</t>
  </si>
  <si>
    <t xml:space="preserve">Avertissement : un écart positif n'est une subvention croisée que si le coût efficace par catégorie est établi par une étude d'allocation des coûts (tension, pointe, pertes). Sinon, c'est un simple écart non démontré.</t>
  </si>
  <si>
    <t xml:space="preserve">3. SCÉNARIOS DE RÉFORME (paramètres atteints en 2035, trajectoire linéaire)</t>
  </si>
  <si>
    <t xml:space="preserve">Scénario actif (choisir dans la liste)</t>
  </si>
  <si>
    <t xml:space="preserve">S0 Statu quo</t>
  </si>
  <si>
    <t xml:space="preserve">S1 Tarifs aux coûts</t>
  </si>
  <si>
    <t xml:space="preserve">S2 Aides ciblées</t>
  </si>
  <si>
    <t xml:space="preserve">S3 Réforme intégrée</t>
  </si>
  <si>
    <t xml:space="preserve">Actif</t>
  </si>
  <si>
    <t xml:space="preserve">Résorption de l'écart — catégories sous-tarifées non sociales</t>
  </si>
  <si>
    <t xml:space="preserve">fraction</t>
  </si>
  <si>
    <t xml:space="preserve">Résorption de l'écart — tranche sociale</t>
  </si>
  <si>
    <t xml:space="preserve">Résorption de l'écart — catégories sur-tarifées</t>
  </si>
  <si>
    <t xml:space="preserve">Aide sociale ciblée active</t>
  </si>
  <si>
    <t xml:space="preserve">Pertes techniques en 2035</t>
  </si>
  <si>
    <t xml:space="preserve">Pertes commerciales en 2035</t>
  </si>
  <si>
    <t xml:space="preserve">Recouvrement en 2035</t>
  </si>
  <si>
    <t xml:space="preserve">Raccordements subventionnés par an</t>
  </si>
  <si>
    <t xml:space="preserve">Réduction de CI atteinte en 2035</t>
  </si>
  <si>
    <t xml:space="preserve">Réduction de CE atteinte en 2035</t>
  </si>
  <si>
    <t xml:space="preserve">Les valeurs 0/1 de résorption et d'aide définissent les scénarios ; elles sont modifiables (ex. S3 : ne résorber que les écarts sans justification de coût). Pertes et recouvrement de S0–S2 = niveau de base (aucune amélioration supposée).</t>
  </si>
  <si>
    <t xml:space="preserve">4. TRAJECTOIRE 2027–2035 (scénario actif)</t>
  </si>
  <si>
    <t xml:space="preserve">Base</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</si>
  <si>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</si>
  <si>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</si>
  <si>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</si>
  <si>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</si>
  <si>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</si>
  <si>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</si>
  <si>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</si>
  <si>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</si>
  <si>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</si>
  <si>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Cumul 2027–35</t>
  </si>
  <si>
    <t xml:space="preserve">Avancement de la réforme</t>
  </si>
  <si>
    <t xml:space="preserve">Énergie injectée</t>
  </si>
  <si>
    <t xml:space="preserve">Pertes commerciales</t>
  </si>
  <si>
    <t xml:space="preserve">Taux de recouvrement</t>
  </si>
  <si>
    <t xml:space="preserve">Ventes facturées</t>
  </si>
  <si>
    <t xml:space="preserve">Tarif — Ménages BT — tranche sociale</t>
  </si>
  <si>
    <t xml:space="preserve">Tarif — Ménages BT — autres tranches</t>
  </si>
  <si>
    <t xml:space="preserve">Tarif — Professionnels BT</t>
  </si>
  <si>
    <t xml:space="preserve">Tarif — Moyenne tension (MT)</t>
  </si>
  <si>
    <t xml:space="preserve">Tarif — Haute tension — industrie (HT)</t>
  </si>
  <si>
    <t xml:space="preserve">Ventes — Ménages BT — tranche sociale</t>
  </si>
  <si>
    <t xml:space="preserve">Ventes — Ménages BT — autres tranches</t>
  </si>
  <si>
    <t xml:space="preserve">Ventes — Professionnels BT</t>
  </si>
  <si>
    <t xml:space="preserve">Ventes — Moyenne tension (MT)</t>
  </si>
  <si>
    <t xml:space="preserve">Ventes — Haute tension — industrie (HT)</t>
  </si>
  <si>
    <t xml:space="preserve">Recettes facturées</t>
  </si>
  <si>
    <t xml:space="preserve">Coût efficace de desserte</t>
  </si>
  <si>
    <t xml:space="preserve">Coût des pertes au-delà du niveau admis</t>
  </si>
  <si>
    <t xml:space="preserve">Écart de sous-tarification (Σ coût &gt; tarif)</t>
  </si>
  <si>
    <t xml:space="preserve">Écart de sur-tarification (Σ tarif &gt; coût)</t>
  </si>
  <si>
    <t xml:space="preserve">Aide sociale aux éligibles (hausse du tarif social compensée)</t>
  </si>
  <si>
    <t xml:space="preserve">Fuites (erreur d'inclusion)</t>
  </si>
  <si>
    <t xml:space="preserve">Coût administratif du ciblage</t>
  </si>
  <si>
    <t xml:space="preserve">Aide sociale due (total)</t>
  </si>
  <si>
    <t xml:space="preserve">Aide sociale versée</t>
  </si>
  <si>
    <t xml:space="preserve">Compensation tarifaire due à l'opérateur</t>
  </si>
  <si>
    <t xml:space="preserve">Compensation tarifaire versée</t>
  </si>
  <si>
    <t xml:space="preserve">Subventions au raccordement versées</t>
  </si>
  <si>
    <t xml:space="preserve">Part de l'aide transitant par la facture</t>
  </si>
  <si>
    <t xml:space="preserve">Recettes encaissées par l'opérateur (hors compensations)</t>
  </si>
  <si>
    <t xml:space="preserve">Résultat d'exploitation de l'opérateur</t>
  </si>
  <si>
    <t xml:space="preserve">  dont coût d'inefficience (pertes excédentaires + non-recouvrement)</t>
  </si>
  <si>
    <t xml:space="preserve">Coût total de la politique tarifaire : CTPT = SB + DC + CI + CE</t>
  </si>
  <si>
    <t xml:space="preserve">SB — subventions budgétaires versées</t>
  </si>
  <si>
    <t xml:space="preserve">DC — déficit de compensation non financé</t>
  </si>
  <si>
    <t xml:space="preserve">CI — coûts indirects (dégradation du service)</t>
  </si>
  <si>
    <t xml:space="preserve">CE — surcoûts des entreprises</t>
  </si>
  <si>
    <t xml:space="preserve">CTPT — coût total de la politique tarifaire</t>
  </si>
  <si>
    <t xml:space="preserve">Anti-double comptage : DC ne contient que la sous-tarification non compensée et l'aide due non versée. Les pertes excédentaires et le non-recouvrement relèvent de la performance de l'opérateur (ligne « inefficience »), pas du CTPT. CI et CE doivent être estimés sur des périmètres disjoints.</t>
  </si>
  <si>
    <t xml:space="preserve">Indice du tarif industriel HT (base = 100)</t>
  </si>
  <si>
    <t xml:space="preserve">Effet sur le coût de production industriel</t>
  </si>
  <si>
    <t xml:space="preserve">Indice du tarif de la tranche sociale (base = 100)</t>
  </si>
  <si>
    <t xml:space="preserve">Hausse non compensée pour les ménages sociaux exclus du ciblage</t>
  </si>
  <si>
    <t xml:space="preserve">Modèle tarifaire électricité — Congo</t>
  </si>
  <si>
    <t xml:space="preserve">Modèle tarifaire électricité — Exemple_fictif</t>
  </si>
  <si>
    <t xml:space="preserve">VALEURS FICTIVES — test des formules uniquement, aucune donnée réelle.</t>
  </si>
  <si>
    <t xml:space="preserve">2025</t>
  </si>
  <si>
    <t xml:space="preserve">Incidence distributive de la subvention résidentielle (test de H2)</t>
  </si>
  <si>
    <t xml:space="preserve">Source attendue : enquête ménages représentative (consommation, raccordement, quintile de revenu ou de dépenses). Les ménages non raccordés reçoivent 0.</t>
  </si>
  <si>
    <t xml:space="preserve">Seuil de la tranche sociale</t>
  </si>
  <si>
    <t xml:space="preserve">kWh/mois</t>
  </si>
  <si>
    <t xml:space="preserve">Structure (1 = progressive : chacun paie la 1re tranche au tarif social ; 0 = tarif social seulement si conso ≤ seuil)</t>
  </si>
  <si>
    <t xml:space="preserve">Tarif social / tarif autres tranches / coût BT résidentiel</t>
  </si>
  <si>
    <t xml:space="preserve">Liés à la feuille pays (base).</t>
  </si>
  <si>
    <t xml:space="preserve">Quintile</t>
  </si>
  <si>
    <t xml:space="preserve">Ménages</t>
  </si>
  <si>
    <t xml:space="preserve">Taux de raccordement</t>
  </si>
  <si>
    <t xml:space="preserve">Conso. raccordés (kWh/mois)</t>
  </si>
  <si>
    <t xml:space="preserve">Subvention / ménage raccordé (FCFA/an)</t>
  </si>
  <si>
    <t xml:space="preserve">Subvention totale (Mds FCFA)</t>
  </si>
  <si>
    <t xml:space="preserve">Part de la subvention</t>
  </si>
  <si>
    <t xml:space="preserve">Part des ménages</t>
  </si>
  <si>
    <t xml:space="preserve">Q1 (plus pauvres)</t>
  </si>
  <si>
    <t xml:space="preserve">Q2</t>
  </si>
  <si>
    <t xml:space="preserve">Q3</t>
  </si>
  <si>
    <t xml:space="preserve">Q4</t>
  </si>
  <si>
    <t xml:space="preserve">Q5 (plus riches)</t>
  </si>
  <si>
    <t xml:space="preserve">Total</t>
  </si>
  <si>
    <t xml:space="preserve">Part de la subvention captée par Q1+Q2 (40 % les plus pauvres)</t>
  </si>
  <si>
    <t xml:space="preserve">Part captée par Q5 (20 % les plus riches)</t>
  </si>
  <si>
    <t xml:space="preserve">H2 soutenue si la part de Q5 dépasse celle de Q1+Q2 (1 = oui)</t>
  </si>
  <si>
    <t xml:space="preserve">Lecture : subvention négative = la catégorie paie plus que le coût BT retenu. Test indicatif, à compléter par des intervalles de confiance d'enquête.</t>
  </si>
</sst>
</file>

<file path=xl/styles.xml><?xml version="1.0" encoding="utf-8"?>
<styleSheet xmlns="http://schemas.openxmlformats.org/spreadsheetml/2006/main">
  <numFmts count="7">
    <numFmt numFmtId="164" formatCode="General"/>
    <numFmt numFmtId="165" formatCode="0.0%;\(0.0%\);\-"/>
    <numFmt numFmtId="166" formatCode="#,##0.0;\(#,##0.0\);\-"/>
    <numFmt numFmtId="167" formatCode="0.0;\(0.0\);\-"/>
    <numFmt numFmtId="168" formatCode="@"/>
    <numFmt numFmtId="169" formatCode="#,##0;\(#,##0\);\-"/>
    <numFmt numFmtId="170"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rgb="FF000000"/>
      <name val="Arial"/>
      <family val="0"/>
      <charset val="1"/>
    </font>
    <font>
      <b val="true"/>
      <sz val="11"/>
      <name val="Arial"/>
      <family val="0"/>
      <charset val="1"/>
    </font>
    <font>
      <i val="true"/>
      <sz val="9"/>
      <color rgb="FF666666"/>
      <name val="Arial"/>
      <family val="0"/>
      <charset val="1"/>
    </font>
    <font>
      <sz val="11"/>
      <color rgb="FF008000"/>
      <name val="Arial"/>
      <family val="0"/>
      <charset val="1"/>
    </font>
    <font>
      <b val="true"/>
      <sz val="11"/>
      <color rgb="FFFFFFFF"/>
      <name val="Arial"/>
      <family val="0"/>
      <charset val="1"/>
    </font>
    <font>
      <sz val="11"/>
      <color rgb="FF0000FF"/>
      <name val="Arial"/>
      <family val="0"/>
      <charset val="1"/>
    </font>
    <font>
      <sz val="10"/>
      <name val="Arial"/>
      <family val="2"/>
    </font>
    <font>
      <b val="true"/>
      <sz val="11"/>
      <color rgb="FFC00000"/>
      <name val="Arial"/>
      <family val="0"/>
      <charset val="1"/>
    </font>
  </fonts>
  <fills count="6">
    <fill>
      <patternFill patternType="none"/>
    </fill>
    <fill>
      <patternFill patternType="gray125"/>
    </fill>
    <fill>
      <patternFill patternType="solid">
        <fgColor rgb="FFD9E1F2"/>
        <bgColor rgb="FFCCFFFF"/>
      </patternFill>
    </fill>
    <fill>
      <patternFill patternType="solid">
        <fgColor rgb="FF1F3864"/>
        <bgColor rgb="FF333333"/>
      </patternFill>
    </fill>
    <fill>
      <patternFill patternType="solid">
        <fgColor rgb="FFFFFF00"/>
        <bgColor rgb="FFFFFF00"/>
      </patternFill>
    </fill>
    <fill>
      <patternFill patternType="solid">
        <fgColor rgb="FFF8CBAD"/>
        <bgColor rgb="FFD9E1F2"/>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8" fontId="10" fillId="4" borderId="0" xfId="0" applyFont="true" applyBorder="false" applyAlignment="false" applyProtection="false">
      <alignment horizontal="general" vertical="bottom" textRotation="0" wrapText="false" indent="0"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70" fontId="10" fillId="4"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right"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6.8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5" min="3" style="0" width="20"/>
  </cols>
  <sheetData>
    <row r="1" customFormat="false" ht="17.35" hidden="false" customHeight="false" outlineLevel="0" collapsed="false">
      <c r="A1" s="4" t="s">
        <v>18</v>
      </c>
    </row>
    <row r="2" customFormat="false" ht="15" hidden="false" customHeight="false" outlineLevel="0" collapsed="false">
      <c r="A2" s="5" t="s">
        <v>19</v>
      </c>
    </row>
    <row r="4" customFormat="false" ht="15" hidden="false" customHeight="false" outlineLevel="0" collapsed="false">
      <c r="A4" s="6" t="s">
        <v>20</v>
      </c>
      <c r="B4" s="6" t="s">
        <v>21</v>
      </c>
      <c r="C4" s="6" t="s">
        <v>22</v>
      </c>
      <c r="D4" s="6" t="s">
        <v>23</v>
      </c>
      <c r="E4" s="6" t="s">
        <v>24</v>
      </c>
    </row>
    <row r="5" customFormat="false" ht="15" hidden="false" customHeight="false" outlineLevel="0" collapsed="false">
      <c r="A5" s="7" t="s">
        <v>25</v>
      </c>
      <c r="B5" s="5"/>
      <c r="C5" s="8" t="str">
        <f aca="false">Cameroun!$C$39</f>
        <v>S0 Statu quo</v>
      </c>
      <c r="D5" s="8" t="str">
        <f aca="false">Congo!$C$39</f>
        <v>S0 Statu quo</v>
      </c>
      <c r="E5" s="8" t="str">
        <f aca="false">Exemple_fictif!$C$39</f>
        <v>S3 Réforme intégrée</v>
      </c>
    </row>
    <row r="6" customFormat="false" ht="15" hidden="false" customHeight="false" outlineLevel="0" collapsed="false">
      <c r="A6" s="7" t="s">
        <v>26</v>
      </c>
      <c r="B6" s="5" t="s">
        <v>27</v>
      </c>
      <c r="C6" s="9" t="n">
        <f aca="false">Cameroun!$C$35</f>
        <v>0</v>
      </c>
      <c r="D6" s="9" t="n">
        <f aca="false">Congo!$C$35</f>
        <v>0</v>
      </c>
      <c r="E6" s="9" t="n">
        <f aca="false">Exemple_fictif!$C$35</f>
        <v>1</v>
      </c>
    </row>
    <row r="7" customFormat="false" ht="15" hidden="false" customHeight="false" outlineLevel="0" collapsed="false">
      <c r="A7" s="7" t="s">
        <v>28</v>
      </c>
      <c r="B7" s="5" t="s">
        <v>27</v>
      </c>
      <c r="C7" s="9" t="n">
        <f aca="false">IFERROR(Cameroun!C71/Cameroun!C72,0)</f>
        <v>0</v>
      </c>
      <c r="D7" s="9" t="n">
        <f aca="false">IFERROR(Congo!C71/Congo!C72,0)</f>
        <v>0</v>
      </c>
      <c r="E7" s="9" t="n">
        <f aca="false">IFERROR(Exemple_fictif!C71/Exemple_fictif!C72,0)</f>
        <v>0.843501326259947</v>
      </c>
    </row>
    <row r="8" customFormat="false" ht="15" hidden="false" customHeight="false" outlineLevel="0" collapsed="false">
      <c r="A8" s="7" t="s">
        <v>29</v>
      </c>
      <c r="B8" s="5" t="s">
        <v>30</v>
      </c>
      <c r="C8" s="10" t="n">
        <f aca="false">Cameroun!C74</f>
        <v>0</v>
      </c>
      <c r="D8" s="10" t="n">
        <f aca="false">Congo!C74</f>
        <v>0</v>
      </c>
      <c r="E8" s="10" t="n">
        <f aca="false">Exemple_fictif!C74</f>
        <v>56.25</v>
      </c>
    </row>
    <row r="9" customFormat="false" ht="15" hidden="false" customHeight="false" outlineLevel="0" collapsed="false">
      <c r="A9" s="7" t="s">
        <v>31</v>
      </c>
      <c r="B9" s="5" t="s">
        <v>30</v>
      </c>
      <c r="C9" s="10" t="n">
        <f aca="false">Cameroun!C75</f>
        <v>0</v>
      </c>
      <c r="D9" s="10" t="n">
        <f aca="false">Congo!C75</f>
        <v>0</v>
      </c>
      <c r="E9" s="10" t="n">
        <f aca="false">Exemple_fictif!C75</f>
        <v>12</v>
      </c>
    </row>
    <row r="10" customFormat="false" ht="15" hidden="false" customHeight="false" outlineLevel="0" collapsed="false">
      <c r="A10" s="7" t="s">
        <v>32</v>
      </c>
      <c r="B10" s="5" t="s">
        <v>30</v>
      </c>
      <c r="C10" s="10" t="n">
        <f aca="false">Cameroun!C86</f>
        <v>0</v>
      </c>
      <c r="D10" s="10" t="n">
        <f aca="false">Congo!C86</f>
        <v>0</v>
      </c>
      <c r="E10" s="10" t="n">
        <f aca="false">Exemple_fictif!C86</f>
        <v>-84.3375</v>
      </c>
    </row>
    <row r="11" customFormat="false" ht="15" hidden="false" customHeight="false" outlineLevel="0" collapsed="false">
      <c r="A11" s="7" t="s">
        <v>33</v>
      </c>
      <c r="B11" s="5" t="s">
        <v>30</v>
      </c>
      <c r="C11" s="10" t="n">
        <f aca="false">Cameroun!L86</f>
        <v>0</v>
      </c>
      <c r="D11" s="10" t="n">
        <f aca="false">Congo!L86</f>
        <v>0</v>
      </c>
      <c r="E11" s="10" t="n">
        <f aca="false">Exemple_fictif!L86</f>
        <v>-35.9326398026024</v>
      </c>
    </row>
    <row r="12" customFormat="false" ht="15" hidden="false" customHeight="false" outlineLevel="0" collapsed="false">
      <c r="A12" s="7" t="s">
        <v>34</v>
      </c>
      <c r="B12" s="5" t="s">
        <v>30</v>
      </c>
      <c r="C12" s="10" t="n">
        <f aca="false">Cameroun!L87</f>
        <v>0</v>
      </c>
      <c r="D12" s="10" t="n">
        <f aca="false">Congo!L87</f>
        <v>0</v>
      </c>
      <c r="E12" s="10" t="n">
        <f aca="false">Exemple_fictif!L87</f>
        <v>22.6408596480985</v>
      </c>
    </row>
    <row r="13" customFormat="false" ht="15" hidden="false" customHeight="false" outlineLevel="0" collapsed="false">
      <c r="A13" s="7" t="s">
        <v>35</v>
      </c>
      <c r="B13" s="5" t="s">
        <v>30</v>
      </c>
      <c r="C13" s="10" t="n">
        <f aca="false">Cameroun!M90</f>
        <v>0</v>
      </c>
      <c r="D13" s="10" t="n">
        <f aca="false">Congo!M90</f>
        <v>0</v>
      </c>
      <c r="E13" s="10" t="n">
        <f aca="false">Exemple_fictif!M90</f>
        <v>313.691410611624</v>
      </c>
    </row>
    <row r="14" customFormat="false" ht="15" hidden="false" customHeight="false" outlineLevel="0" collapsed="false">
      <c r="A14" s="7" t="s">
        <v>36</v>
      </c>
      <c r="B14" s="5" t="s">
        <v>30</v>
      </c>
      <c r="C14" s="10" t="n">
        <f aca="false">Cameroun!M91</f>
        <v>0</v>
      </c>
      <c r="D14" s="10" t="n">
        <f aca="false">Congo!M91</f>
        <v>0</v>
      </c>
      <c r="E14" s="10" t="n">
        <f aca="false">Exemple_fictif!M91</f>
        <v>238.743791728247</v>
      </c>
    </row>
    <row r="15" customFormat="false" ht="15" hidden="false" customHeight="false" outlineLevel="0" collapsed="false">
      <c r="A15" s="7" t="s">
        <v>37</v>
      </c>
      <c r="B15" s="5" t="s">
        <v>30</v>
      </c>
      <c r="C15" s="10" t="n">
        <f aca="false">Cameroun!M94</f>
        <v>0</v>
      </c>
      <c r="D15" s="10" t="n">
        <f aca="false">Congo!M94</f>
        <v>0</v>
      </c>
      <c r="E15" s="10" t="n">
        <f aca="false">Exemple_fictif!M94</f>
        <v>1357.43520233987</v>
      </c>
    </row>
    <row r="16" customFormat="false" ht="15" hidden="false" customHeight="false" outlineLevel="0" collapsed="false">
      <c r="A16" s="7" t="s">
        <v>38</v>
      </c>
      <c r="B16" s="5" t="s">
        <v>27</v>
      </c>
      <c r="C16" s="9" t="n">
        <f aca="false">IFERROR(Cameroun!L94/Cameroun!C94,0)</f>
        <v>0</v>
      </c>
      <c r="D16" s="9" t="n">
        <f aca="false">IFERROR(Congo!L94/Congo!C94,0)</f>
        <v>0</v>
      </c>
      <c r="E16" s="9" t="n">
        <f aca="false">IFERROR(Exemple_fictif!L94/Exemple_fictif!C94,0)</f>
        <v>0.593535215293135</v>
      </c>
    </row>
    <row r="17" customFormat="false" ht="15" hidden="false" customHeight="false" outlineLevel="0" collapsed="false">
      <c r="A17" s="7" t="s">
        <v>39</v>
      </c>
      <c r="B17" s="5" t="s">
        <v>30</v>
      </c>
      <c r="C17" s="10" t="n">
        <f aca="false">Cameroun!M79</f>
        <v>0</v>
      </c>
      <c r="D17" s="10" t="n">
        <f aca="false">Congo!M79</f>
        <v>0</v>
      </c>
      <c r="E17" s="10" t="n">
        <f aca="false">Exemple_fictif!M79</f>
        <v>200.185970836198</v>
      </c>
    </row>
    <row r="18" customFormat="false" ht="15" hidden="false" customHeight="false" outlineLevel="0" collapsed="false">
      <c r="A18" s="7" t="s">
        <v>40</v>
      </c>
      <c r="B18" s="5" t="s">
        <v>30</v>
      </c>
      <c r="C18" s="10" t="n">
        <f aca="false">Cameroun!M100</f>
        <v>0</v>
      </c>
      <c r="D18" s="10" t="n">
        <f aca="false">Congo!M100</f>
        <v>0</v>
      </c>
      <c r="E18" s="10" t="n">
        <f aca="false">Exemple_fictif!M100</f>
        <v>60.8740620544922</v>
      </c>
    </row>
    <row r="19" customFormat="false" ht="15" hidden="false" customHeight="false" outlineLevel="0" collapsed="false">
      <c r="A19" s="7" t="s">
        <v>41</v>
      </c>
      <c r="B19" s="5" t="s">
        <v>42</v>
      </c>
      <c r="C19" s="11" t="n">
        <f aca="false">Cameroun!L97</f>
        <v>0</v>
      </c>
      <c r="D19" s="11" t="n">
        <f aca="false">Congo!L97</f>
        <v>0</v>
      </c>
      <c r="E19" s="11" t="n">
        <f aca="false">Exemple_fictif!L97</f>
        <v>85.7142857142857</v>
      </c>
    </row>
    <row r="20" customFormat="false" ht="15" hidden="false" customHeight="false" outlineLevel="0" collapsed="false">
      <c r="A20" s="7" t="s">
        <v>43</v>
      </c>
      <c r="B20" s="5" t="s">
        <v>44</v>
      </c>
      <c r="C20" s="9" t="n">
        <f aca="false">Cameroun!L98</f>
        <v>-0</v>
      </c>
      <c r="D20" s="9" t="n">
        <f aca="false">Congo!L98</f>
        <v>-0</v>
      </c>
      <c r="E20" s="9" t="n">
        <f aca="false">Exemple_fictif!L98</f>
        <v>-0.0214285714285714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14" min="3" style="0" width="13"/>
  </cols>
  <sheetData>
    <row r="1" customFormat="false" ht="17.35" hidden="false" customHeight="false" outlineLevel="0" collapsed="false">
      <c r="A1" s="4" t="s">
        <v>45</v>
      </c>
    </row>
    <row r="2" customFormat="false" ht="15" hidden="false" customHeight="false" outlineLevel="0" collapsed="false">
      <c r="A2" s="5" t="s">
        <v>46</v>
      </c>
    </row>
    <row r="3" customFormat="false" ht="15" hidden="false" customHeight="false" outlineLevel="0" collapsed="false">
      <c r="A3" s="5" t="s">
        <v>47</v>
      </c>
    </row>
    <row r="5" customFormat="false" ht="15" hidden="false" customHeight="false" outlineLevel="0" collapsed="false">
      <c r="A5" s="12" t="s">
        <v>48</v>
      </c>
      <c r="B5" s="13"/>
      <c r="C5" s="13"/>
      <c r="D5" s="13"/>
      <c r="E5" s="13"/>
      <c r="F5" s="13"/>
      <c r="G5" s="13"/>
      <c r="H5" s="13"/>
      <c r="I5" s="13"/>
      <c r="J5" s="13"/>
      <c r="K5" s="13"/>
      <c r="L5" s="13"/>
      <c r="M5" s="13"/>
      <c r="N5" s="13"/>
    </row>
    <row r="6" customFormat="false" ht="15" hidden="false" customHeight="false" outlineLevel="0" collapsed="false">
      <c r="A6" s="6" t="s">
        <v>49</v>
      </c>
      <c r="B6" s="6" t="s">
        <v>21</v>
      </c>
      <c r="C6" s="6" t="s">
        <v>50</v>
      </c>
      <c r="D6" s="6" t="s">
        <v>51</v>
      </c>
    </row>
    <row r="7" customFormat="false" ht="15" hidden="false" customHeight="false" outlineLevel="0" collapsed="false">
      <c r="A7" s="7" t="s">
        <v>52</v>
      </c>
      <c r="B7" s="5" t="s">
        <v>53</v>
      </c>
      <c r="C7" s="14"/>
      <c r="D7" s="5" t="s">
        <v>54</v>
      </c>
    </row>
    <row r="8" customFormat="false" ht="15" hidden="false" customHeight="false" outlineLevel="0" collapsed="false">
      <c r="A8" s="7" t="s">
        <v>55</v>
      </c>
      <c r="B8" s="5" t="s">
        <v>56</v>
      </c>
      <c r="C8" s="15"/>
    </row>
    <row r="9" customFormat="false" ht="15" hidden="false" customHeight="false" outlineLevel="0" collapsed="false">
      <c r="A9" s="7" t="s">
        <v>57</v>
      </c>
      <c r="B9" s="5" t="s">
        <v>58</v>
      </c>
      <c r="C9" s="16"/>
      <c r="D9" s="5" t="s">
        <v>59</v>
      </c>
    </row>
    <row r="10" customFormat="false" ht="15" hidden="false" customHeight="false" outlineLevel="0" collapsed="false">
      <c r="A10" s="7" t="s">
        <v>60</v>
      </c>
      <c r="B10" s="5" t="s">
        <v>61</v>
      </c>
      <c r="C10" s="16"/>
    </row>
    <row r="11" customFormat="false" ht="15" hidden="false" customHeight="false" outlineLevel="0" collapsed="false">
      <c r="A11" s="7" t="s">
        <v>62</v>
      </c>
      <c r="B11" s="5" t="s">
        <v>61</v>
      </c>
      <c r="C11" s="16"/>
    </row>
    <row r="12" customFormat="false" ht="15" hidden="false" customHeight="false" outlineLevel="0" collapsed="false">
      <c r="A12" s="7" t="s">
        <v>63</v>
      </c>
      <c r="B12" s="5" t="s">
        <v>61</v>
      </c>
      <c r="C12" s="16"/>
      <c r="D12" s="5" t="s">
        <v>64</v>
      </c>
    </row>
    <row r="13" customFormat="false" ht="15" hidden="false" customHeight="false" outlineLevel="0" collapsed="false">
      <c r="A13" s="7" t="s">
        <v>65</v>
      </c>
      <c r="B13" s="5" t="s">
        <v>66</v>
      </c>
      <c r="C13" s="16"/>
    </row>
    <row r="14" customFormat="false" ht="15" hidden="false" customHeight="false" outlineLevel="0" collapsed="false">
      <c r="A14" s="7" t="s">
        <v>67</v>
      </c>
      <c r="B14" s="5" t="s">
        <v>68</v>
      </c>
      <c r="C14" s="17"/>
      <c r="D14" s="5" t="s">
        <v>69</v>
      </c>
    </row>
    <row r="15" customFormat="false" ht="15" hidden="false" customHeight="false" outlineLevel="0" collapsed="false">
      <c r="A15" s="7" t="s">
        <v>70</v>
      </c>
      <c r="B15" s="5" t="s">
        <v>27</v>
      </c>
      <c r="C15" s="16"/>
      <c r="D15" s="5" t="s">
        <v>71</v>
      </c>
    </row>
    <row r="16" customFormat="false" ht="15" hidden="false" customHeight="false" outlineLevel="0" collapsed="false">
      <c r="A16" s="7" t="s">
        <v>72</v>
      </c>
      <c r="B16" s="5" t="s">
        <v>73</v>
      </c>
      <c r="C16" s="16"/>
      <c r="D16" s="5" t="s">
        <v>74</v>
      </c>
    </row>
    <row r="17" customFormat="false" ht="15" hidden="false" customHeight="false" outlineLevel="0" collapsed="false">
      <c r="A17" s="7" t="s">
        <v>75</v>
      </c>
      <c r="B17" s="5" t="s">
        <v>76</v>
      </c>
      <c r="C17" s="18"/>
    </row>
    <row r="18" customFormat="false" ht="15" hidden="false" customHeight="false" outlineLevel="0" collapsed="false">
      <c r="A18" s="7" t="s">
        <v>77</v>
      </c>
      <c r="B18" s="5" t="s">
        <v>78</v>
      </c>
      <c r="C18" s="15"/>
    </row>
    <row r="19" customFormat="false" ht="15" hidden="false" customHeight="false" outlineLevel="0" collapsed="false">
      <c r="A19" s="7" t="s">
        <v>79</v>
      </c>
      <c r="B19" s="5" t="s">
        <v>80</v>
      </c>
      <c r="C19" s="15"/>
    </row>
    <row r="20" customFormat="false" ht="15" hidden="false" customHeight="false" outlineLevel="0" collapsed="false">
      <c r="A20" s="7" t="s">
        <v>81</v>
      </c>
      <c r="B20" s="5" t="s">
        <v>27</v>
      </c>
      <c r="C20" s="16"/>
    </row>
    <row r="21" customFormat="false" ht="15" hidden="false" customHeight="false" outlineLevel="0" collapsed="false">
      <c r="A21" s="7" t="s">
        <v>82</v>
      </c>
      <c r="B21" s="5" t="s">
        <v>27</v>
      </c>
      <c r="C21" s="16"/>
      <c r="D21" s="5" t="s">
        <v>83</v>
      </c>
    </row>
    <row r="22" customFormat="false" ht="15" hidden="false" customHeight="false" outlineLevel="0" collapsed="false">
      <c r="A22" s="7" t="s">
        <v>84</v>
      </c>
      <c r="B22" s="5" t="s">
        <v>85</v>
      </c>
      <c r="C22" s="15"/>
    </row>
    <row r="23" customFormat="false" ht="15" hidden="false" customHeight="false" outlineLevel="0" collapsed="false">
      <c r="A23" s="7" t="s">
        <v>86</v>
      </c>
      <c r="B23" s="5" t="s">
        <v>30</v>
      </c>
      <c r="C23" s="17"/>
      <c r="D23" s="5" t="s">
        <v>87</v>
      </c>
    </row>
    <row r="24" customFormat="false" ht="15" hidden="false" customHeight="false" outlineLevel="0" collapsed="false">
      <c r="A24" s="7" t="s">
        <v>88</v>
      </c>
      <c r="B24" s="5" t="s">
        <v>30</v>
      </c>
      <c r="C24" s="17"/>
      <c r="D24" s="5" t="s">
        <v>89</v>
      </c>
    </row>
    <row r="25" customFormat="false" ht="15" hidden="false" customHeight="false" outlineLevel="0" collapsed="false">
      <c r="A25" s="7" t="s">
        <v>90</v>
      </c>
      <c r="B25" s="5" t="s">
        <v>27</v>
      </c>
      <c r="C25" s="16"/>
    </row>
    <row r="27" customFormat="false" ht="15" hidden="false" customHeight="false" outlineLevel="0" collapsed="false">
      <c r="A27" s="12" t="s">
        <v>91</v>
      </c>
      <c r="B27" s="13"/>
      <c r="C27" s="13"/>
      <c r="D27" s="13"/>
      <c r="E27" s="13"/>
      <c r="F27" s="13"/>
      <c r="G27" s="13"/>
      <c r="H27" s="13"/>
      <c r="I27" s="13"/>
      <c r="J27" s="13"/>
      <c r="K27" s="13"/>
      <c r="L27" s="13"/>
      <c r="M27" s="13"/>
      <c r="N27" s="13"/>
    </row>
    <row r="28" customFormat="false" ht="15" hidden="false" customHeight="false" outlineLevel="0" collapsed="false">
      <c r="A28" s="6" t="s">
        <v>92</v>
      </c>
      <c r="B28" s="6" t="s">
        <v>93</v>
      </c>
      <c r="C28" s="6" t="s">
        <v>94</v>
      </c>
      <c r="D28" s="6" t="s">
        <v>95</v>
      </c>
      <c r="E28" s="6" t="s">
        <v>96</v>
      </c>
      <c r="F28" s="6" t="s">
        <v>97</v>
      </c>
      <c r="G28" s="6" t="s">
        <v>98</v>
      </c>
      <c r="H28" s="6" t="s">
        <v>99</v>
      </c>
      <c r="I28" s="6" t="s">
        <v>100</v>
      </c>
      <c r="J28" s="6" t="s">
        <v>101</v>
      </c>
    </row>
    <row r="29" customFormat="false" ht="15" hidden="false" customHeight="false" outlineLevel="0" collapsed="false">
      <c r="A29" s="5"/>
      <c r="B29" s="5"/>
      <c r="C29" s="5" t="s">
        <v>102</v>
      </c>
      <c r="D29" s="5" t="s">
        <v>68</v>
      </c>
      <c r="E29" s="5" t="s">
        <v>68</v>
      </c>
      <c r="F29" s="5" t="s">
        <v>56</v>
      </c>
      <c r="G29" s="5" t="s">
        <v>30</v>
      </c>
      <c r="H29" s="5" t="s">
        <v>30</v>
      </c>
      <c r="I29" s="5" t="s">
        <v>30</v>
      </c>
      <c r="J29" s="5" t="s">
        <v>27</v>
      </c>
    </row>
    <row r="30" customFormat="false" ht="15" hidden="false" customHeight="false" outlineLevel="0" collapsed="false">
      <c r="A30" s="7" t="s">
        <v>103</v>
      </c>
      <c r="B30" s="19" t="n">
        <v>1</v>
      </c>
      <c r="C30" s="16"/>
      <c r="D30" s="17"/>
      <c r="E30" s="17"/>
      <c r="F30" s="20" t="n">
        <f aca="false">$C$8*(1-$C$10-$C$11)*C30</f>
        <v>0</v>
      </c>
      <c r="G30" s="21" t="n">
        <f aca="false">F30*D30/1000</f>
        <v>0</v>
      </c>
      <c r="H30" s="21" t="n">
        <f aca="false">F30*E30/1000</f>
        <v>0</v>
      </c>
      <c r="I30" s="21" t="n">
        <f aca="false">G30-H30</f>
        <v>0</v>
      </c>
      <c r="J30" s="22" t="n">
        <f aca="false">IFERROR(D30/E30-1,0)</f>
        <v>0</v>
      </c>
    </row>
    <row r="31" customFormat="false" ht="15" hidden="false" customHeight="false" outlineLevel="0" collapsed="false">
      <c r="A31" s="7" t="s">
        <v>104</v>
      </c>
      <c r="B31" s="19" t="n">
        <v>0</v>
      </c>
      <c r="C31" s="16"/>
      <c r="D31" s="17"/>
      <c r="E31" s="17"/>
      <c r="F31" s="20" t="n">
        <f aca="false">$C$8*(1-$C$10-$C$11)*C31</f>
        <v>0</v>
      </c>
      <c r="G31" s="21" t="n">
        <f aca="false">F31*D31/1000</f>
        <v>0</v>
      </c>
      <c r="H31" s="21" t="n">
        <f aca="false">F31*E31/1000</f>
        <v>0</v>
      </c>
      <c r="I31" s="21" t="n">
        <f aca="false">G31-H31</f>
        <v>0</v>
      </c>
      <c r="J31" s="22" t="n">
        <f aca="false">IFERROR(D31/E31-1,0)</f>
        <v>0</v>
      </c>
    </row>
    <row r="32" customFormat="false" ht="15" hidden="false" customHeight="false" outlineLevel="0" collapsed="false">
      <c r="A32" s="7" t="s">
        <v>105</v>
      </c>
      <c r="B32" s="19" t="n">
        <v>0</v>
      </c>
      <c r="C32" s="16"/>
      <c r="D32" s="17"/>
      <c r="E32" s="17"/>
      <c r="F32" s="20" t="n">
        <f aca="false">$C$8*(1-$C$10-$C$11)*C32</f>
        <v>0</v>
      </c>
      <c r="G32" s="21" t="n">
        <f aca="false">F32*D32/1000</f>
        <v>0</v>
      </c>
      <c r="H32" s="21" t="n">
        <f aca="false">F32*E32/1000</f>
        <v>0</v>
      </c>
      <c r="I32" s="21" t="n">
        <f aca="false">G32-H32</f>
        <v>0</v>
      </c>
      <c r="J32" s="22" t="n">
        <f aca="false">IFERROR(D32/E32-1,0)</f>
        <v>0</v>
      </c>
    </row>
    <row r="33" customFormat="false" ht="15" hidden="false" customHeight="false" outlineLevel="0" collapsed="false">
      <c r="A33" s="7" t="s">
        <v>106</v>
      </c>
      <c r="B33" s="19" t="n">
        <v>0</v>
      </c>
      <c r="C33" s="16"/>
      <c r="D33" s="17"/>
      <c r="E33" s="17"/>
      <c r="F33" s="20" t="n">
        <f aca="false">$C$8*(1-$C$10-$C$11)*C33</f>
        <v>0</v>
      </c>
      <c r="G33" s="21" t="n">
        <f aca="false">F33*D33/1000</f>
        <v>0</v>
      </c>
      <c r="H33" s="21" t="n">
        <f aca="false">F33*E33/1000</f>
        <v>0</v>
      </c>
      <c r="I33" s="21" t="n">
        <f aca="false">G33-H33</f>
        <v>0</v>
      </c>
      <c r="J33" s="22" t="n">
        <f aca="false">IFERROR(D33/E33-1,0)</f>
        <v>0</v>
      </c>
    </row>
    <row r="34" customFormat="false" ht="15" hidden="false" customHeight="false" outlineLevel="0" collapsed="false">
      <c r="A34" s="7" t="s">
        <v>107</v>
      </c>
      <c r="B34" s="19" t="n">
        <v>0</v>
      </c>
      <c r="C34" s="16"/>
      <c r="D34" s="17"/>
      <c r="E34" s="17"/>
      <c r="F34" s="20" t="n">
        <f aca="false">$C$8*(1-$C$10-$C$11)*C34</f>
        <v>0</v>
      </c>
      <c r="G34" s="21" t="n">
        <f aca="false">F34*D34/1000</f>
        <v>0</v>
      </c>
      <c r="H34" s="21" t="n">
        <f aca="false">F34*E34/1000</f>
        <v>0</v>
      </c>
      <c r="I34" s="21" t="n">
        <f aca="false">G34-H34</f>
        <v>0</v>
      </c>
      <c r="J34" s="22" t="n">
        <f aca="false">IFERROR(D34/E34-1,0)</f>
        <v>0</v>
      </c>
    </row>
    <row r="35" customFormat="false" ht="15" hidden="false" customHeight="false" outlineLevel="0" collapsed="false">
      <c r="A35" s="23" t="s">
        <v>108</v>
      </c>
      <c r="C35" s="24" t="n">
        <f aca="false">SUM(C30:C34)</f>
        <v>0</v>
      </c>
      <c r="F35" s="25" t="n">
        <f aca="false">SUM(F30:F34)</f>
        <v>0</v>
      </c>
      <c r="G35" s="26" t="n">
        <f aca="false">SUM(G30:G34)</f>
        <v>0</v>
      </c>
      <c r="H35" s="26" t="n">
        <f aca="false">SUM(H30:H34)</f>
        <v>0</v>
      </c>
      <c r="I35" s="26" t="n">
        <f aca="false">SUM(I30:I34)</f>
        <v>0</v>
      </c>
      <c r="J35" s="24" t="n">
        <f aca="false">IFERROR(G35/H35-1,0)</f>
        <v>0</v>
      </c>
    </row>
    <row r="36" customFormat="false" ht="15" hidden="false" customHeight="false" outlineLevel="0" collapsed="false">
      <c r="A36" s="5" t="s">
        <v>109</v>
      </c>
    </row>
    <row r="38" customFormat="false" ht="15" hidden="false" customHeight="false" outlineLevel="0" collapsed="false">
      <c r="A38" s="12" t="s">
        <v>110</v>
      </c>
      <c r="B38" s="13"/>
      <c r="C38" s="13"/>
      <c r="D38" s="13"/>
      <c r="E38" s="13"/>
      <c r="F38" s="13"/>
      <c r="G38" s="13"/>
      <c r="H38" s="13"/>
      <c r="I38" s="13"/>
      <c r="J38" s="13"/>
      <c r="K38" s="13"/>
      <c r="L38" s="13"/>
      <c r="M38" s="13"/>
      <c r="N38" s="13"/>
    </row>
    <row r="39" customFormat="false" ht="15" hidden="false" customHeight="false" outlineLevel="0" collapsed="false">
      <c r="A39" s="23" t="s">
        <v>111</v>
      </c>
      <c r="C39" s="27" t="s">
        <v>112</v>
      </c>
      <c r="D39" s="27"/>
    </row>
    <row r="40" customFormat="false" ht="15" hidden="false" customHeight="false" outlineLevel="0" collapsed="false">
      <c r="A40" s="6" t="s">
        <v>49</v>
      </c>
      <c r="B40" s="6" t="s">
        <v>21</v>
      </c>
      <c r="C40" s="6" t="s">
        <v>112</v>
      </c>
      <c r="D40" s="6" t="s">
        <v>113</v>
      </c>
      <c r="E40" s="6" t="s">
        <v>114</v>
      </c>
      <c r="F40" s="6" t="s">
        <v>115</v>
      </c>
      <c r="G40" s="6" t="s">
        <v>116</v>
      </c>
    </row>
    <row r="41" customFormat="false" ht="15" hidden="false" customHeight="false" outlineLevel="0" collapsed="false">
      <c r="A41" s="7" t="s">
        <v>117</v>
      </c>
      <c r="B41" s="5" t="s">
        <v>118</v>
      </c>
      <c r="C41" s="28" t="n">
        <v>0</v>
      </c>
      <c r="D41" s="28" t="n">
        <v>1</v>
      </c>
      <c r="E41" s="28" t="n">
        <v>1</v>
      </c>
      <c r="F41" s="28" t="n">
        <v>1</v>
      </c>
      <c r="G41" s="22" t="n">
        <f aca="false">INDEX(C41:F41,MATCH($C$39,$C$40:$F$40,0))</f>
        <v>0</v>
      </c>
    </row>
    <row r="42" customFormat="false" ht="15" hidden="false" customHeight="false" outlineLevel="0" collapsed="false">
      <c r="A42" s="7" t="s">
        <v>119</v>
      </c>
      <c r="B42" s="5" t="s">
        <v>118</v>
      </c>
      <c r="C42" s="28" t="n">
        <v>0</v>
      </c>
      <c r="D42" s="28" t="n">
        <v>1</v>
      </c>
      <c r="E42" s="28" t="n">
        <v>1</v>
      </c>
      <c r="F42" s="28" t="n">
        <v>1</v>
      </c>
      <c r="G42" s="22" t="n">
        <f aca="false">INDEX(C42:F42,MATCH($C$39,$C$40:$F$40,0))</f>
        <v>0</v>
      </c>
    </row>
    <row r="43" customFormat="false" ht="15" hidden="false" customHeight="false" outlineLevel="0" collapsed="false">
      <c r="A43" s="7" t="s">
        <v>120</v>
      </c>
      <c r="B43" s="5" t="s">
        <v>118</v>
      </c>
      <c r="C43" s="28" t="n">
        <v>0</v>
      </c>
      <c r="D43" s="28" t="n">
        <v>1</v>
      </c>
      <c r="E43" s="28" t="n">
        <v>1</v>
      </c>
      <c r="F43" s="28" t="n">
        <v>1</v>
      </c>
      <c r="G43" s="22" t="n">
        <f aca="false">INDEX(C43:F43,MATCH($C$39,$C$40:$F$40,0))</f>
        <v>0</v>
      </c>
    </row>
    <row r="44" customFormat="false" ht="15" hidden="false" customHeight="false" outlineLevel="0" collapsed="false">
      <c r="A44" s="7" t="s">
        <v>121</v>
      </c>
      <c r="B44" s="5" t="s">
        <v>76</v>
      </c>
      <c r="C44" s="19" t="n">
        <v>0</v>
      </c>
      <c r="D44" s="19" t="n">
        <v>0</v>
      </c>
      <c r="E44" s="19" t="n">
        <v>1</v>
      </c>
      <c r="F44" s="19" t="n">
        <v>1</v>
      </c>
      <c r="G44" s="29" t="n">
        <f aca="false">INDEX(C44:F44,MATCH($C$39,$C$40:$F$40,0))</f>
        <v>0</v>
      </c>
    </row>
    <row r="45" customFormat="false" ht="15" hidden="false" customHeight="false" outlineLevel="0" collapsed="false">
      <c r="A45" s="7" t="s">
        <v>122</v>
      </c>
      <c r="B45" s="5" t="s">
        <v>61</v>
      </c>
      <c r="C45" s="22" t="n">
        <f aca="false">$C$10</f>
        <v>0</v>
      </c>
      <c r="D45" s="22" t="n">
        <f aca="false">$C$10</f>
        <v>0</v>
      </c>
      <c r="E45" s="22" t="n">
        <f aca="false">$C$10</f>
        <v>0</v>
      </c>
      <c r="F45" s="16"/>
      <c r="G45" s="22" t="n">
        <f aca="false">INDEX(C45:F45,MATCH($C$39,$C$40:$F$40,0))</f>
        <v>0</v>
      </c>
    </row>
    <row r="46" customFormat="false" ht="15" hidden="false" customHeight="false" outlineLevel="0" collapsed="false">
      <c r="A46" s="7" t="s">
        <v>123</v>
      </c>
      <c r="B46" s="5" t="s">
        <v>61</v>
      </c>
      <c r="C46" s="22" t="n">
        <f aca="false">$C$11</f>
        <v>0</v>
      </c>
      <c r="D46" s="22" t="n">
        <f aca="false">$C$11</f>
        <v>0</v>
      </c>
      <c r="E46" s="22" t="n">
        <f aca="false">$C$11</f>
        <v>0</v>
      </c>
      <c r="F46" s="16"/>
      <c r="G46" s="22" t="n">
        <f aca="false">INDEX(C46:F46,MATCH($C$39,$C$40:$F$40,0))</f>
        <v>0</v>
      </c>
    </row>
    <row r="47" customFormat="false" ht="15" hidden="false" customHeight="false" outlineLevel="0" collapsed="false">
      <c r="A47" s="7" t="s">
        <v>124</v>
      </c>
      <c r="B47" s="5" t="s">
        <v>66</v>
      </c>
      <c r="C47" s="22" t="n">
        <f aca="false">$C$13</f>
        <v>0</v>
      </c>
      <c r="D47" s="22" t="n">
        <f aca="false">$C$13</f>
        <v>0</v>
      </c>
      <c r="E47" s="22" t="n">
        <f aca="false">$C$13</f>
        <v>0</v>
      </c>
      <c r="F47" s="16"/>
      <c r="G47" s="22" t="n">
        <f aca="false">INDEX(C47:F47,MATCH($C$39,$C$40:$F$40,0))</f>
        <v>0</v>
      </c>
    </row>
    <row r="48" customFormat="false" ht="15" hidden="false" customHeight="false" outlineLevel="0" collapsed="false">
      <c r="A48" s="7" t="s">
        <v>125</v>
      </c>
      <c r="B48" s="5" t="s">
        <v>78</v>
      </c>
      <c r="C48" s="15"/>
      <c r="D48" s="15"/>
      <c r="E48" s="15"/>
      <c r="F48" s="15"/>
      <c r="G48" s="20" t="n">
        <f aca="false">INDEX(C48:F48,MATCH($C$39,$C$40:$F$40,0))</f>
        <v>0</v>
      </c>
    </row>
    <row r="49" customFormat="false" ht="15" hidden="false" customHeight="false" outlineLevel="0" collapsed="false">
      <c r="A49" s="7" t="s">
        <v>126</v>
      </c>
      <c r="B49" s="5" t="s">
        <v>27</v>
      </c>
      <c r="C49" s="28" t="n">
        <v>0</v>
      </c>
      <c r="D49" s="28" t="n">
        <v>0</v>
      </c>
      <c r="E49" s="28" t="n">
        <v>0</v>
      </c>
      <c r="F49" s="16"/>
      <c r="G49" s="22" t="n">
        <f aca="false">INDEX(C49:F49,MATCH($C$39,$C$40:$F$40,0))</f>
        <v>0</v>
      </c>
    </row>
    <row r="50" customFormat="false" ht="15" hidden="false" customHeight="false" outlineLevel="0" collapsed="false">
      <c r="A50" s="7" t="s">
        <v>127</v>
      </c>
      <c r="B50" s="5" t="s">
        <v>27</v>
      </c>
      <c r="C50" s="28" t="n">
        <v>0</v>
      </c>
      <c r="D50" s="28" t="n">
        <v>0</v>
      </c>
      <c r="E50" s="28" t="n">
        <v>0</v>
      </c>
      <c r="F50" s="16"/>
      <c r="G50" s="22" t="n">
        <f aca="false">INDEX(C50:F50,MATCH($C$39,$C$40:$F$40,0))</f>
        <v>0</v>
      </c>
    </row>
    <row r="51" customFormat="false" ht="15" hidden="false" customHeight="false" outlineLevel="0" collapsed="false">
      <c r="A51" s="5" t="s">
        <v>128</v>
      </c>
    </row>
    <row r="53" customFormat="false" ht="15" hidden="false" customHeight="false" outlineLevel="0" collapsed="false">
      <c r="A53" s="12" t="s">
        <v>129</v>
      </c>
      <c r="B53" s="13"/>
      <c r="C53" s="13"/>
      <c r="D53" s="13"/>
      <c r="E53" s="13"/>
      <c r="F53" s="13"/>
      <c r="G53" s="13"/>
      <c r="H53" s="13"/>
      <c r="I53" s="13"/>
      <c r="J53" s="13"/>
      <c r="K53" s="13"/>
      <c r="L53" s="13"/>
      <c r="M53" s="13"/>
      <c r="N53" s="13"/>
    </row>
    <row r="54" customFormat="false" ht="15" hidden="false" customHeight="false" outlineLevel="0" collapsed="false">
      <c r="A54" s="6" t="s">
        <v>20</v>
      </c>
      <c r="B54" s="6" t="s">
        <v>21</v>
      </c>
      <c r="C54" s="30" t="s">
        <v>130</v>
      </c>
      <c r="D54" s="30" t="s">
        <v>131</v>
      </c>
      <c r="E54" s="30" t="s">
        <v>132</v>
      </c>
      <c r="F54" s="30" t="s">
        <v>133</v>
      </c>
      <c r="G54" s="30" t="s">
        <v>134</v>
      </c>
      <c r="H54" s="30" t="s">
        <v>135</v>
      </c>
      <c r="I54" s="30" t="s">
        <v>136</v>
      </c>
      <c r="J54" s="30" t="s">
        <v>137</v>
      </c>
      <c r="K54" s="30" t="s">
        <v>138</v>
      </c>
      <c r="L54" s="30" t="s">
        <v>139</v>
      </c>
      <c r="M54" s="6" t="s">
        <v>140</v>
      </c>
    </row>
    <row r="55" customFormat="false" ht="15" hidden="false" customHeight="false" outlineLevel="0" collapsed="false">
      <c r="A55" s="7" t="s">
        <v>141</v>
      </c>
      <c r="B55" s="5" t="s">
        <v>118</v>
      </c>
      <c r="C55" s="31" t="n">
        <f aca="false">0/9</f>
        <v>0</v>
      </c>
      <c r="D55" s="31" t="n">
        <f aca="false">1/9</f>
        <v>0.111111111111111</v>
      </c>
      <c r="E55" s="31" t="n">
        <f aca="false">2/9</f>
        <v>0.222222222222222</v>
      </c>
      <c r="F55" s="31" t="n">
        <f aca="false">3/9</f>
        <v>0.333333333333333</v>
      </c>
      <c r="G55" s="31" t="n">
        <f aca="false">4/9</f>
        <v>0.444444444444444</v>
      </c>
      <c r="H55" s="31" t="n">
        <f aca="false">5/9</f>
        <v>0.555555555555556</v>
      </c>
      <c r="I55" s="31" t="n">
        <f aca="false">6/9</f>
        <v>0.666666666666667</v>
      </c>
      <c r="J55" s="31" t="n">
        <f aca="false">7/9</f>
        <v>0.777777777777778</v>
      </c>
      <c r="K55" s="31" t="n">
        <f aca="false">8/9</f>
        <v>0.888888888888889</v>
      </c>
      <c r="L55" s="31" t="n">
        <f aca="false">9/9</f>
        <v>1</v>
      </c>
    </row>
    <row r="56" customFormat="false" ht="15" hidden="false" customHeight="false" outlineLevel="0" collapsed="false">
      <c r="A56" s="7" t="s">
        <v>142</v>
      </c>
      <c r="B56" s="5" t="s">
        <v>56</v>
      </c>
      <c r="C56" s="32" t="n">
        <f aca="false">$C$8</f>
        <v>0</v>
      </c>
      <c r="D56" s="32" t="n">
        <f aca="false">C56*(1+$C$9)</f>
        <v>0</v>
      </c>
      <c r="E56" s="32" t="n">
        <f aca="false">D56*(1+$C$9)</f>
        <v>0</v>
      </c>
      <c r="F56" s="32" t="n">
        <f aca="false">E56*(1+$C$9)</f>
        <v>0</v>
      </c>
      <c r="G56" s="32" t="n">
        <f aca="false">F56*(1+$C$9)</f>
        <v>0</v>
      </c>
      <c r="H56" s="32" t="n">
        <f aca="false">G56*(1+$C$9)</f>
        <v>0</v>
      </c>
      <c r="I56" s="32" t="n">
        <f aca="false">H56*(1+$C$9)</f>
        <v>0</v>
      </c>
      <c r="J56" s="32" t="n">
        <f aca="false">I56*(1+$C$9)</f>
        <v>0</v>
      </c>
      <c r="K56" s="32" t="n">
        <f aca="false">J56*(1+$C$9)</f>
        <v>0</v>
      </c>
      <c r="L56" s="32" t="n">
        <f aca="false">K56*(1+$C$9)</f>
        <v>0</v>
      </c>
    </row>
    <row r="57" customFormat="false" ht="15" hidden="false" customHeight="false" outlineLevel="0" collapsed="false">
      <c r="A57" s="7" t="s">
        <v>60</v>
      </c>
      <c r="B57" s="5" t="s">
        <v>27</v>
      </c>
      <c r="C57" s="31" t="n">
        <f aca="false">$C$10+($G$45-$C$10)*C$55</f>
        <v>0</v>
      </c>
      <c r="D57" s="31" t="n">
        <f aca="false">$C$10+($G$45-$C$10)*D$55</f>
        <v>0</v>
      </c>
      <c r="E57" s="31" t="n">
        <f aca="false">$C$10+($G$45-$C$10)*E$55</f>
        <v>0</v>
      </c>
      <c r="F57" s="31" t="n">
        <f aca="false">$C$10+($G$45-$C$10)*F$55</f>
        <v>0</v>
      </c>
      <c r="G57" s="31" t="n">
        <f aca="false">$C$10+($G$45-$C$10)*G$55</f>
        <v>0</v>
      </c>
      <c r="H57" s="31" t="n">
        <f aca="false">$C$10+($G$45-$C$10)*H$55</f>
        <v>0</v>
      </c>
      <c r="I57" s="31" t="n">
        <f aca="false">$C$10+($G$45-$C$10)*I$55</f>
        <v>0</v>
      </c>
      <c r="J57" s="31" t="n">
        <f aca="false">$C$10+($G$45-$C$10)*J$55</f>
        <v>0</v>
      </c>
      <c r="K57" s="31" t="n">
        <f aca="false">$C$10+($G$45-$C$10)*K$55</f>
        <v>0</v>
      </c>
      <c r="L57" s="31" t="n">
        <f aca="false">$C$10+($G$45-$C$10)*L$55</f>
        <v>0</v>
      </c>
    </row>
    <row r="58" customFormat="false" ht="15" hidden="false" customHeight="false" outlineLevel="0" collapsed="false">
      <c r="A58" s="7" t="s">
        <v>143</v>
      </c>
      <c r="B58" s="5" t="s">
        <v>27</v>
      </c>
      <c r="C58" s="31" t="n">
        <f aca="false">$C$11+($G$46-$C$11)*C$55</f>
        <v>0</v>
      </c>
      <c r="D58" s="31" t="n">
        <f aca="false">$C$11+($G$46-$C$11)*D$55</f>
        <v>0</v>
      </c>
      <c r="E58" s="31" t="n">
        <f aca="false">$C$11+($G$46-$C$11)*E$55</f>
        <v>0</v>
      </c>
      <c r="F58" s="31" t="n">
        <f aca="false">$C$11+($G$46-$C$11)*F$55</f>
        <v>0</v>
      </c>
      <c r="G58" s="31" t="n">
        <f aca="false">$C$11+($G$46-$C$11)*G$55</f>
        <v>0</v>
      </c>
      <c r="H58" s="31" t="n">
        <f aca="false">$C$11+($G$46-$C$11)*H$55</f>
        <v>0</v>
      </c>
      <c r="I58" s="31" t="n">
        <f aca="false">$C$11+($G$46-$C$11)*I$55</f>
        <v>0</v>
      </c>
      <c r="J58" s="31" t="n">
        <f aca="false">$C$11+($G$46-$C$11)*J$55</f>
        <v>0</v>
      </c>
      <c r="K58" s="31" t="n">
        <f aca="false">$C$11+($G$46-$C$11)*K$55</f>
        <v>0</v>
      </c>
      <c r="L58" s="31" t="n">
        <f aca="false">$C$11+($G$46-$C$11)*L$55</f>
        <v>0</v>
      </c>
    </row>
    <row r="59" customFormat="false" ht="15" hidden="false" customHeight="false" outlineLevel="0" collapsed="false">
      <c r="A59" s="7" t="s">
        <v>144</v>
      </c>
      <c r="B59" s="5" t="s">
        <v>27</v>
      </c>
      <c r="C59" s="31" t="n">
        <f aca="false">$C$13+($G$47-$C$13)*C$55</f>
        <v>0</v>
      </c>
      <c r="D59" s="31" t="n">
        <f aca="false">$C$13+($G$47-$C$13)*D$55</f>
        <v>0</v>
      </c>
      <c r="E59" s="31" t="n">
        <f aca="false">$C$13+($G$47-$C$13)*E$55</f>
        <v>0</v>
      </c>
      <c r="F59" s="31" t="n">
        <f aca="false">$C$13+($G$47-$C$13)*F$55</f>
        <v>0</v>
      </c>
      <c r="G59" s="31" t="n">
        <f aca="false">$C$13+($G$47-$C$13)*G$55</f>
        <v>0</v>
      </c>
      <c r="H59" s="31" t="n">
        <f aca="false">$C$13+($G$47-$C$13)*H$55</f>
        <v>0</v>
      </c>
      <c r="I59" s="31" t="n">
        <f aca="false">$C$13+($G$47-$C$13)*I$55</f>
        <v>0</v>
      </c>
      <c r="J59" s="31" t="n">
        <f aca="false">$C$13+($G$47-$C$13)*J$55</f>
        <v>0</v>
      </c>
      <c r="K59" s="31" t="n">
        <f aca="false">$C$13+($G$47-$C$13)*K$55</f>
        <v>0</v>
      </c>
      <c r="L59" s="31" t="n">
        <f aca="false">$C$13+($G$47-$C$13)*L$55</f>
        <v>0</v>
      </c>
    </row>
    <row r="60" customFormat="false" ht="15" hidden="false" customHeight="false" outlineLevel="0" collapsed="false">
      <c r="A60" s="7" t="s">
        <v>145</v>
      </c>
      <c r="B60" s="5" t="s">
        <v>56</v>
      </c>
      <c r="C60" s="32" t="n">
        <f aca="false">C56*(1-C57-C58)</f>
        <v>0</v>
      </c>
      <c r="D60" s="32" t="n">
        <f aca="false">D56*(1-D57-D58)</f>
        <v>0</v>
      </c>
      <c r="E60" s="32" t="n">
        <f aca="false">E56*(1-E57-E58)</f>
        <v>0</v>
      </c>
      <c r="F60" s="32" t="n">
        <f aca="false">F56*(1-F57-F58)</f>
        <v>0</v>
      </c>
      <c r="G60" s="32" t="n">
        <f aca="false">G56*(1-G57-G58)</f>
        <v>0</v>
      </c>
      <c r="H60" s="32" t="n">
        <f aca="false">H56*(1-H57-H58)</f>
        <v>0</v>
      </c>
      <c r="I60" s="32" t="n">
        <f aca="false">I56*(1-I57-I58)</f>
        <v>0</v>
      </c>
      <c r="J60" s="32" t="n">
        <f aca="false">J56*(1-J57-J58)</f>
        <v>0</v>
      </c>
      <c r="K60" s="32" t="n">
        <f aca="false">K56*(1-K57-K58)</f>
        <v>0</v>
      </c>
      <c r="L60" s="32" t="n">
        <f aca="false">L56*(1-L57-L58)</f>
        <v>0</v>
      </c>
    </row>
    <row r="61" customFormat="false" ht="15" hidden="false" customHeight="false" outlineLevel="0" collapsed="false">
      <c r="A61" s="7" t="s">
        <v>146</v>
      </c>
      <c r="B61" s="5" t="s">
        <v>68</v>
      </c>
      <c r="C61" s="33" t="n">
        <f aca="false">$D$30+($E$30-$D$30)*IF($B$30=1,$G$42,IF($D$30&lt;$E$30,$G$41,$G$43))*C$55</f>
        <v>0</v>
      </c>
      <c r="D61" s="33" t="n">
        <f aca="false">$D$30+($E$30-$D$30)*IF($B$30=1,$G$42,IF($D$30&lt;$E$30,$G$41,$G$43))*D$55</f>
        <v>0</v>
      </c>
      <c r="E61" s="33" t="n">
        <f aca="false">$D$30+($E$30-$D$30)*IF($B$30=1,$G$42,IF($D$30&lt;$E$30,$G$41,$G$43))*E$55</f>
        <v>0</v>
      </c>
      <c r="F61" s="33" t="n">
        <f aca="false">$D$30+($E$30-$D$30)*IF($B$30=1,$G$42,IF($D$30&lt;$E$30,$G$41,$G$43))*F$55</f>
        <v>0</v>
      </c>
      <c r="G61" s="33" t="n">
        <f aca="false">$D$30+($E$30-$D$30)*IF($B$30=1,$G$42,IF($D$30&lt;$E$30,$G$41,$G$43))*G$55</f>
        <v>0</v>
      </c>
      <c r="H61" s="33" t="n">
        <f aca="false">$D$30+($E$30-$D$30)*IF($B$30=1,$G$42,IF($D$30&lt;$E$30,$G$41,$G$43))*H$55</f>
        <v>0</v>
      </c>
      <c r="I61" s="33" t="n">
        <f aca="false">$D$30+($E$30-$D$30)*IF($B$30=1,$G$42,IF($D$30&lt;$E$30,$G$41,$G$43))*I$55</f>
        <v>0</v>
      </c>
      <c r="J61" s="33" t="n">
        <f aca="false">$D$30+($E$30-$D$30)*IF($B$30=1,$G$42,IF($D$30&lt;$E$30,$G$41,$G$43))*J$55</f>
        <v>0</v>
      </c>
      <c r="K61" s="33" t="n">
        <f aca="false">$D$30+($E$30-$D$30)*IF($B$30=1,$G$42,IF($D$30&lt;$E$30,$G$41,$G$43))*K$55</f>
        <v>0</v>
      </c>
      <c r="L61" s="33" t="n">
        <f aca="false">$D$30+($E$30-$D$30)*IF($B$30=1,$G$42,IF($D$30&lt;$E$30,$G$41,$G$43))*L$55</f>
        <v>0</v>
      </c>
    </row>
    <row r="62" customFormat="false" ht="15" hidden="false" customHeight="false" outlineLevel="0" collapsed="false">
      <c r="A62" s="7" t="s">
        <v>147</v>
      </c>
      <c r="B62" s="5" t="s">
        <v>68</v>
      </c>
      <c r="C62" s="33" t="n">
        <f aca="false">$D$31+($E$31-$D$31)*IF($B$31=1,$G$42,IF($D$31&lt;$E$31,$G$41,$G$43))*C$55</f>
        <v>0</v>
      </c>
      <c r="D62" s="33" t="n">
        <f aca="false">$D$31+($E$31-$D$31)*IF($B$31=1,$G$42,IF($D$31&lt;$E$31,$G$41,$G$43))*D$55</f>
        <v>0</v>
      </c>
      <c r="E62" s="33" t="n">
        <f aca="false">$D$31+($E$31-$D$31)*IF($B$31=1,$G$42,IF($D$31&lt;$E$31,$G$41,$G$43))*E$55</f>
        <v>0</v>
      </c>
      <c r="F62" s="33" t="n">
        <f aca="false">$D$31+($E$31-$D$31)*IF($B$31=1,$G$42,IF($D$31&lt;$E$31,$G$41,$G$43))*F$55</f>
        <v>0</v>
      </c>
      <c r="G62" s="33" t="n">
        <f aca="false">$D$31+($E$31-$D$31)*IF($B$31=1,$G$42,IF($D$31&lt;$E$31,$G$41,$G$43))*G$55</f>
        <v>0</v>
      </c>
      <c r="H62" s="33" t="n">
        <f aca="false">$D$31+($E$31-$D$31)*IF($B$31=1,$G$42,IF($D$31&lt;$E$31,$G$41,$G$43))*H$55</f>
        <v>0</v>
      </c>
      <c r="I62" s="33" t="n">
        <f aca="false">$D$31+($E$31-$D$31)*IF($B$31=1,$G$42,IF($D$31&lt;$E$31,$G$41,$G$43))*I$55</f>
        <v>0</v>
      </c>
      <c r="J62" s="33" t="n">
        <f aca="false">$D$31+($E$31-$D$31)*IF($B$31=1,$G$42,IF($D$31&lt;$E$31,$G$41,$G$43))*J$55</f>
        <v>0</v>
      </c>
      <c r="K62" s="33" t="n">
        <f aca="false">$D$31+($E$31-$D$31)*IF($B$31=1,$G$42,IF($D$31&lt;$E$31,$G$41,$G$43))*K$55</f>
        <v>0</v>
      </c>
      <c r="L62" s="33" t="n">
        <f aca="false">$D$31+($E$31-$D$31)*IF($B$31=1,$G$42,IF($D$31&lt;$E$31,$G$41,$G$43))*L$55</f>
        <v>0</v>
      </c>
    </row>
    <row r="63" customFormat="false" ht="15" hidden="false" customHeight="false" outlineLevel="0" collapsed="false">
      <c r="A63" s="7" t="s">
        <v>148</v>
      </c>
      <c r="B63" s="5" t="s">
        <v>68</v>
      </c>
      <c r="C63" s="33" t="n">
        <f aca="false">$D$32+($E$32-$D$32)*IF($B$32=1,$G$42,IF($D$32&lt;$E$32,$G$41,$G$43))*C$55</f>
        <v>0</v>
      </c>
      <c r="D63" s="33" t="n">
        <f aca="false">$D$32+($E$32-$D$32)*IF($B$32=1,$G$42,IF($D$32&lt;$E$32,$G$41,$G$43))*D$55</f>
        <v>0</v>
      </c>
      <c r="E63" s="33" t="n">
        <f aca="false">$D$32+($E$32-$D$32)*IF($B$32=1,$G$42,IF($D$32&lt;$E$32,$G$41,$G$43))*E$55</f>
        <v>0</v>
      </c>
      <c r="F63" s="33" t="n">
        <f aca="false">$D$32+($E$32-$D$32)*IF($B$32=1,$G$42,IF($D$32&lt;$E$32,$G$41,$G$43))*F$55</f>
        <v>0</v>
      </c>
      <c r="G63" s="33" t="n">
        <f aca="false">$D$32+($E$32-$D$32)*IF($B$32=1,$G$42,IF($D$32&lt;$E$32,$G$41,$G$43))*G$55</f>
        <v>0</v>
      </c>
      <c r="H63" s="33" t="n">
        <f aca="false">$D$32+($E$32-$D$32)*IF($B$32=1,$G$42,IF($D$32&lt;$E$32,$G$41,$G$43))*H$55</f>
        <v>0</v>
      </c>
      <c r="I63" s="33" t="n">
        <f aca="false">$D$32+($E$32-$D$32)*IF($B$32=1,$G$42,IF($D$32&lt;$E$32,$G$41,$G$43))*I$55</f>
        <v>0</v>
      </c>
      <c r="J63" s="33" t="n">
        <f aca="false">$D$32+($E$32-$D$32)*IF($B$32=1,$G$42,IF($D$32&lt;$E$32,$G$41,$G$43))*J$55</f>
        <v>0</v>
      </c>
      <c r="K63" s="33" t="n">
        <f aca="false">$D$32+($E$32-$D$32)*IF($B$32=1,$G$42,IF($D$32&lt;$E$32,$G$41,$G$43))*K$55</f>
        <v>0</v>
      </c>
      <c r="L63" s="33" t="n">
        <f aca="false">$D$32+($E$32-$D$32)*IF($B$32=1,$G$42,IF($D$32&lt;$E$32,$G$41,$G$43))*L$55</f>
        <v>0</v>
      </c>
    </row>
    <row r="64" customFormat="false" ht="15" hidden="false" customHeight="false" outlineLevel="0" collapsed="false">
      <c r="A64" s="7" t="s">
        <v>149</v>
      </c>
      <c r="B64" s="5" t="s">
        <v>68</v>
      </c>
      <c r="C64" s="33" t="n">
        <f aca="false">$D$33+($E$33-$D$33)*IF($B$33=1,$G$42,IF($D$33&lt;$E$33,$G$41,$G$43))*C$55</f>
        <v>0</v>
      </c>
      <c r="D64" s="33" t="n">
        <f aca="false">$D$33+($E$33-$D$33)*IF($B$33=1,$G$42,IF($D$33&lt;$E$33,$G$41,$G$43))*D$55</f>
        <v>0</v>
      </c>
      <c r="E64" s="33" t="n">
        <f aca="false">$D$33+($E$33-$D$33)*IF($B$33=1,$G$42,IF($D$33&lt;$E$33,$G$41,$G$43))*E$55</f>
        <v>0</v>
      </c>
      <c r="F64" s="33" t="n">
        <f aca="false">$D$33+($E$33-$D$33)*IF($B$33=1,$G$42,IF($D$33&lt;$E$33,$G$41,$G$43))*F$55</f>
        <v>0</v>
      </c>
      <c r="G64" s="33" t="n">
        <f aca="false">$D$33+($E$33-$D$33)*IF($B$33=1,$G$42,IF($D$33&lt;$E$33,$G$41,$G$43))*G$55</f>
        <v>0</v>
      </c>
      <c r="H64" s="33" t="n">
        <f aca="false">$D$33+($E$33-$D$33)*IF($B$33=1,$G$42,IF($D$33&lt;$E$33,$G$41,$G$43))*H$55</f>
        <v>0</v>
      </c>
      <c r="I64" s="33" t="n">
        <f aca="false">$D$33+($E$33-$D$33)*IF($B$33=1,$G$42,IF($D$33&lt;$E$33,$G$41,$G$43))*I$55</f>
        <v>0</v>
      </c>
      <c r="J64" s="33" t="n">
        <f aca="false">$D$33+($E$33-$D$33)*IF($B$33=1,$G$42,IF($D$33&lt;$E$33,$G$41,$G$43))*J$55</f>
        <v>0</v>
      </c>
      <c r="K64" s="33" t="n">
        <f aca="false">$D$33+($E$33-$D$33)*IF($B$33=1,$G$42,IF($D$33&lt;$E$33,$G$41,$G$43))*K$55</f>
        <v>0</v>
      </c>
      <c r="L64" s="33" t="n">
        <f aca="false">$D$33+($E$33-$D$33)*IF($B$33=1,$G$42,IF($D$33&lt;$E$33,$G$41,$G$43))*L$55</f>
        <v>0</v>
      </c>
    </row>
    <row r="65" customFormat="false" ht="15" hidden="false" customHeight="false" outlineLevel="0" collapsed="false">
      <c r="A65" s="7" t="s">
        <v>150</v>
      </c>
      <c r="B65" s="5" t="s">
        <v>68</v>
      </c>
      <c r="C65" s="33" t="n">
        <f aca="false">$D$34+($E$34-$D$34)*IF($B$34=1,$G$42,IF($D$34&lt;$E$34,$G$41,$G$43))*C$55</f>
        <v>0</v>
      </c>
      <c r="D65" s="33" t="n">
        <f aca="false">$D$34+($E$34-$D$34)*IF($B$34=1,$G$42,IF($D$34&lt;$E$34,$G$41,$G$43))*D$55</f>
        <v>0</v>
      </c>
      <c r="E65" s="33" t="n">
        <f aca="false">$D$34+($E$34-$D$34)*IF($B$34=1,$G$42,IF($D$34&lt;$E$34,$G$41,$G$43))*E$55</f>
        <v>0</v>
      </c>
      <c r="F65" s="33" t="n">
        <f aca="false">$D$34+($E$34-$D$34)*IF($B$34=1,$G$42,IF($D$34&lt;$E$34,$G$41,$G$43))*F$55</f>
        <v>0</v>
      </c>
      <c r="G65" s="33" t="n">
        <f aca="false">$D$34+($E$34-$D$34)*IF($B$34=1,$G$42,IF($D$34&lt;$E$34,$G$41,$G$43))*G$55</f>
        <v>0</v>
      </c>
      <c r="H65" s="33" t="n">
        <f aca="false">$D$34+($E$34-$D$34)*IF($B$34=1,$G$42,IF($D$34&lt;$E$34,$G$41,$G$43))*H$55</f>
        <v>0</v>
      </c>
      <c r="I65" s="33" t="n">
        <f aca="false">$D$34+($E$34-$D$34)*IF($B$34=1,$G$42,IF($D$34&lt;$E$34,$G$41,$G$43))*I$55</f>
        <v>0</v>
      </c>
      <c r="J65" s="33" t="n">
        <f aca="false">$D$34+($E$34-$D$34)*IF($B$34=1,$G$42,IF($D$34&lt;$E$34,$G$41,$G$43))*J$55</f>
        <v>0</v>
      </c>
      <c r="K65" s="33" t="n">
        <f aca="false">$D$34+($E$34-$D$34)*IF($B$34=1,$G$42,IF($D$34&lt;$E$34,$G$41,$G$43))*K$55</f>
        <v>0</v>
      </c>
      <c r="L65" s="33" t="n">
        <f aca="false">$D$34+($E$34-$D$34)*IF($B$34=1,$G$42,IF($D$34&lt;$E$34,$G$41,$G$43))*L$55</f>
        <v>0</v>
      </c>
    </row>
    <row r="66" customFormat="false" ht="15" hidden="false" customHeight="false" outlineLevel="0" collapsed="false">
      <c r="A66" s="7" t="s">
        <v>151</v>
      </c>
      <c r="B66" s="5" t="s">
        <v>56</v>
      </c>
      <c r="C66" s="32" t="n">
        <f aca="false">C60*$C$30</f>
        <v>0</v>
      </c>
      <c r="D66" s="32" t="n">
        <f aca="false">D60*$C$30</f>
        <v>0</v>
      </c>
      <c r="E66" s="32" t="n">
        <f aca="false">E60*$C$30</f>
        <v>0</v>
      </c>
      <c r="F66" s="32" t="n">
        <f aca="false">F60*$C$30</f>
        <v>0</v>
      </c>
      <c r="G66" s="32" t="n">
        <f aca="false">G60*$C$30</f>
        <v>0</v>
      </c>
      <c r="H66" s="32" t="n">
        <f aca="false">H60*$C$30</f>
        <v>0</v>
      </c>
      <c r="I66" s="32" t="n">
        <f aca="false">I60*$C$30</f>
        <v>0</v>
      </c>
      <c r="J66" s="32" t="n">
        <f aca="false">J60*$C$30</f>
        <v>0</v>
      </c>
      <c r="K66" s="32" t="n">
        <f aca="false">K60*$C$30</f>
        <v>0</v>
      </c>
      <c r="L66" s="32" t="n">
        <f aca="false">L60*$C$30</f>
        <v>0</v>
      </c>
    </row>
    <row r="67" customFormat="false" ht="15" hidden="false" customHeight="false" outlineLevel="0" collapsed="false">
      <c r="A67" s="7" t="s">
        <v>152</v>
      </c>
      <c r="B67" s="5" t="s">
        <v>56</v>
      </c>
      <c r="C67" s="32" t="n">
        <f aca="false">C60*$C$31</f>
        <v>0</v>
      </c>
      <c r="D67" s="32" t="n">
        <f aca="false">D60*$C$31</f>
        <v>0</v>
      </c>
      <c r="E67" s="32" t="n">
        <f aca="false">E60*$C$31</f>
        <v>0</v>
      </c>
      <c r="F67" s="32" t="n">
        <f aca="false">F60*$C$31</f>
        <v>0</v>
      </c>
      <c r="G67" s="32" t="n">
        <f aca="false">G60*$C$31</f>
        <v>0</v>
      </c>
      <c r="H67" s="32" t="n">
        <f aca="false">H60*$C$31</f>
        <v>0</v>
      </c>
      <c r="I67" s="32" t="n">
        <f aca="false">I60*$C$31</f>
        <v>0</v>
      </c>
      <c r="J67" s="32" t="n">
        <f aca="false">J60*$C$31</f>
        <v>0</v>
      </c>
      <c r="K67" s="32" t="n">
        <f aca="false">K60*$C$31</f>
        <v>0</v>
      </c>
      <c r="L67" s="32" t="n">
        <f aca="false">L60*$C$31</f>
        <v>0</v>
      </c>
    </row>
    <row r="68" customFormat="false" ht="15" hidden="false" customHeight="false" outlineLevel="0" collapsed="false">
      <c r="A68" s="7" t="s">
        <v>153</v>
      </c>
      <c r="B68" s="5" t="s">
        <v>56</v>
      </c>
      <c r="C68" s="32" t="n">
        <f aca="false">C60*$C$32</f>
        <v>0</v>
      </c>
      <c r="D68" s="32" t="n">
        <f aca="false">D60*$C$32</f>
        <v>0</v>
      </c>
      <c r="E68" s="32" t="n">
        <f aca="false">E60*$C$32</f>
        <v>0</v>
      </c>
      <c r="F68" s="32" t="n">
        <f aca="false">F60*$C$32</f>
        <v>0</v>
      </c>
      <c r="G68" s="32" t="n">
        <f aca="false">G60*$C$32</f>
        <v>0</v>
      </c>
      <c r="H68" s="32" t="n">
        <f aca="false">H60*$C$32</f>
        <v>0</v>
      </c>
      <c r="I68" s="32" t="n">
        <f aca="false">I60*$C$32</f>
        <v>0</v>
      </c>
      <c r="J68" s="32" t="n">
        <f aca="false">J60*$C$32</f>
        <v>0</v>
      </c>
      <c r="K68" s="32" t="n">
        <f aca="false">K60*$C$32</f>
        <v>0</v>
      </c>
      <c r="L68" s="32" t="n">
        <f aca="false">L60*$C$32</f>
        <v>0</v>
      </c>
    </row>
    <row r="69" customFormat="false" ht="15" hidden="false" customHeight="false" outlineLevel="0" collapsed="false">
      <c r="A69" s="7" t="s">
        <v>154</v>
      </c>
      <c r="B69" s="5" t="s">
        <v>56</v>
      </c>
      <c r="C69" s="32" t="n">
        <f aca="false">C60*$C$33</f>
        <v>0</v>
      </c>
      <c r="D69" s="32" t="n">
        <f aca="false">D60*$C$33</f>
        <v>0</v>
      </c>
      <c r="E69" s="32" t="n">
        <f aca="false">E60*$C$33</f>
        <v>0</v>
      </c>
      <c r="F69" s="32" t="n">
        <f aca="false">F60*$C$33</f>
        <v>0</v>
      </c>
      <c r="G69" s="32" t="n">
        <f aca="false">G60*$C$33</f>
        <v>0</v>
      </c>
      <c r="H69" s="32" t="n">
        <f aca="false">H60*$C$33</f>
        <v>0</v>
      </c>
      <c r="I69" s="32" t="n">
        <f aca="false">I60*$C$33</f>
        <v>0</v>
      </c>
      <c r="J69" s="32" t="n">
        <f aca="false">J60*$C$33</f>
        <v>0</v>
      </c>
      <c r="K69" s="32" t="n">
        <f aca="false">K60*$C$33</f>
        <v>0</v>
      </c>
      <c r="L69" s="32" t="n">
        <f aca="false">L60*$C$33</f>
        <v>0</v>
      </c>
    </row>
    <row r="70" customFormat="false" ht="15" hidden="false" customHeight="false" outlineLevel="0" collapsed="false">
      <c r="A70" s="7" t="s">
        <v>155</v>
      </c>
      <c r="B70" s="5" t="s">
        <v>56</v>
      </c>
      <c r="C70" s="32" t="n">
        <f aca="false">C60*$C$34</f>
        <v>0</v>
      </c>
      <c r="D70" s="32" t="n">
        <f aca="false">D60*$C$34</f>
        <v>0</v>
      </c>
      <c r="E70" s="32" t="n">
        <f aca="false">E60*$C$34</f>
        <v>0</v>
      </c>
      <c r="F70" s="32" t="n">
        <f aca="false">F60*$C$34</f>
        <v>0</v>
      </c>
      <c r="G70" s="32" t="n">
        <f aca="false">G60*$C$34</f>
        <v>0</v>
      </c>
      <c r="H70" s="32" t="n">
        <f aca="false">H60*$C$34</f>
        <v>0</v>
      </c>
      <c r="I70" s="32" t="n">
        <f aca="false">I60*$C$34</f>
        <v>0</v>
      </c>
      <c r="J70" s="32" t="n">
        <f aca="false">J60*$C$34</f>
        <v>0</v>
      </c>
      <c r="K70" s="32" t="n">
        <f aca="false">K60*$C$34</f>
        <v>0</v>
      </c>
      <c r="L70" s="32" t="n">
        <f aca="false">L60*$C$34</f>
        <v>0</v>
      </c>
    </row>
    <row r="71" customFormat="false" ht="15" hidden="false" customHeight="false" outlineLevel="0" collapsed="false">
      <c r="A71" s="7" t="s">
        <v>156</v>
      </c>
      <c r="B71" s="5" t="s">
        <v>30</v>
      </c>
      <c r="C71" s="33" t="n">
        <f aca="false">(C61*C66+C62*C67+C63*C68+C64*C69+C65*C70)/1000</f>
        <v>0</v>
      </c>
      <c r="D71" s="33" t="n">
        <f aca="false">(D61*D66+D62*D67+D63*D68+D64*D69+D65*D70)/1000</f>
        <v>0</v>
      </c>
      <c r="E71" s="33" t="n">
        <f aca="false">(E61*E66+E62*E67+E63*E68+E64*E69+E65*E70)/1000</f>
        <v>0</v>
      </c>
      <c r="F71" s="33" t="n">
        <f aca="false">(F61*F66+F62*F67+F63*F68+F64*F69+F65*F70)/1000</f>
        <v>0</v>
      </c>
      <c r="G71" s="33" t="n">
        <f aca="false">(G61*G66+G62*G67+G63*G68+G64*G69+G65*G70)/1000</f>
        <v>0</v>
      </c>
      <c r="H71" s="33" t="n">
        <f aca="false">(H61*H66+H62*H67+H63*H68+H64*H69+H65*H70)/1000</f>
        <v>0</v>
      </c>
      <c r="I71" s="33" t="n">
        <f aca="false">(I61*I66+I62*I67+I63*I68+I64*I69+I65*I70)/1000</f>
        <v>0</v>
      </c>
      <c r="J71" s="33" t="n">
        <f aca="false">(J61*J66+J62*J67+J63*J68+J64*J69+J65*J70)/1000</f>
        <v>0</v>
      </c>
      <c r="K71" s="33" t="n">
        <f aca="false">(K61*K66+K62*K67+K63*K68+K64*K69+K65*K70)/1000</f>
        <v>0</v>
      </c>
      <c r="L71" s="33" t="n">
        <f aca="false">(L61*L66+L62*L67+L63*L68+L64*L69+L65*L70)/1000</f>
        <v>0</v>
      </c>
      <c r="M71" s="26" t="n">
        <f aca="false">SUM(D71:L71)</f>
        <v>0</v>
      </c>
    </row>
    <row r="72" customFormat="false" ht="15" hidden="false" customHeight="false" outlineLevel="0" collapsed="false">
      <c r="A72" s="7" t="s">
        <v>157</v>
      </c>
      <c r="B72" s="5" t="s">
        <v>30</v>
      </c>
      <c r="C72" s="33" t="n">
        <f aca="false">($E$30*C66+$E$31*C67+$E$32*C68+$E$33*C69+$E$34*C70)/1000</f>
        <v>0</v>
      </c>
      <c r="D72" s="33" t="n">
        <f aca="false">($E$30*D66+$E$31*D67+$E$32*D68+$E$33*D69+$E$34*D70)/1000</f>
        <v>0</v>
      </c>
      <c r="E72" s="33" t="n">
        <f aca="false">($E$30*E66+$E$31*E67+$E$32*E68+$E$33*E69+$E$34*E70)/1000</f>
        <v>0</v>
      </c>
      <c r="F72" s="33" t="n">
        <f aca="false">($E$30*F66+$E$31*F67+$E$32*F68+$E$33*F69+$E$34*F70)/1000</f>
        <v>0</v>
      </c>
      <c r="G72" s="33" t="n">
        <f aca="false">($E$30*G66+$E$31*G67+$E$32*G68+$E$33*G69+$E$34*G70)/1000</f>
        <v>0</v>
      </c>
      <c r="H72" s="33" t="n">
        <f aca="false">($E$30*H66+$E$31*H67+$E$32*H68+$E$33*H69+$E$34*H70)/1000</f>
        <v>0</v>
      </c>
      <c r="I72" s="33" t="n">
        <f aca="false">($E$30*I66+$E$31*I67+$E$32*I68+$E$33*I69+$E$34*I70)/1000</f>
        <v>0</v>
      </c>
      <c r="J72" s="33" t="n">
        <f aca="false">($E$30*J66+$E$31*J67+$E$32*J68+$E$33*J69+$E$34*J70)/1000</f>
        <v>0</v>
      </c>
      <c r="K72" s="33" t="n">
        <f aca="false">($E$30*K66+$E$31*K67+$E$32*K68+$E$33*K69+$E$34*K70)/1000</f>
        <v>0</v>
      </c>
      <c r="L72" s="33" t="n">
        <f aca="false">($E$30*L66+$E$31*L67+$E$32*L68+$E$33*L69+$E$34*L70)/1000</f>
        <v>0</v>
      </c>
      <c r="M72" s="26" t="n">
        <f aca="false">SUM(D72:L72)</f>
        <v>0</v>
      </c>
    </row>
    <row r="73" customFormat="false" ht="15" hidden="false" customHeight="false" outlineLevel="0" collapsed="false">
      <c r="A73" s="7" t="s">
        <v>158</v>
      </c>
      <c r="B73" s="5" t="s">
        <v>30</v>
      </c>
      <c r="C73" s="33" t="n">
        <f aca="false">C56*MAX(0,C57+C58-$C$12)*$C$14/1000</f>
        <v>0</v>
      </c>
      <c r="D73" s="33" t="n">
        <f aca="false">D56*MAX(0,D57+D58-$C$12)*$C$14/1000</f>
        <v>0</v>
      </c>
      <c r="E73" s="33" t="n">
        <f aca="false">E56*MAX(0,E57+E58-$C$12)*$C$14/1000</f>
        <v>0</v>
      </c>
      <c r="F73" s="33" t="n">
        <f aca="false">F56*MAX(0,F57+F58-$C$12)*$C$14/1000</f>
        <v>0</v>
      </c>
      <c r="G73" s="33" t="n">
        <f aca="false">G56*MAX(0,G57+G58-$C$12)*$C$14/1000</f>
        <v>0</v>
      </c>
      <c r="H73" s="33" t="n">
        <f aca="false">H56*MAX(0,H57+H58-$C$12)*$C$14/1000</f>
        <v>0</v>
      </c>
      <c r="I73" s="33" t="n">
        <f aca="false">I56*MAX(0,I57+I58-$C$12)*$C$14/1000</f>
        <v>0</v>
      </c>
      <c r="J73" s="33" t="n">
        <f aca="false">J56*MAX(0,J57+J58-$C$12)*$C$14/1000</f>
        <v>0</v>
      </c>
      <c r="K73" s="33" t="n">
        <f aca="false">K56*MAX(0,K57+K58-$C$12)*$C$14/1000</f>
        <v>0</v>
      </c>
      <c r="L73" s="33" t="n">
        <f aca="false">L56*MAX(0,L57+L58-$C$12)*$C$14/1000</f>
        <v>0</v>
      </c>
      <c r="M73" s="26" t="n">
        <f aca="false">SUM(D73:L73)</f>
        <v>0</v>
      </c>
    </row>
    <row r="74" customFormat="false" ht="15" hidden="false" customHeight="false" outlineLevel="0" collapsed="false">
      <c r="A74" s="7" t="s">
        <v>159</v>
      </c>
      <c r="B74" s="5" t="s">
        <v>30</v>
      </c>
      <c r="C74" s="33" t="n">
        <f aca="false">(MAX(0,$E$30-C61)*C66+MAX(0,$E$31-C62)*C67+MAX(0,$E$32-C63)*C68+MAX(0,$E$33-C64)*C69+MAX(0,$E$34-C65)*C70)/1000</f>
        <v>0</v>
      </c>
      <c r="D74" s="33" t="n">
        <f aca="false">(MAX(0,$E$30-D61)*D66+MAX(0,$E$31-D62)*D67+MAX(0,$E$32-D63)*D68+MAX(0,$E$33-D64)*D69+MAX(0,$E$34-D65)*D70)/1000</f>
        <v>0</v>
      </c>
      <c r="E74" s="33" t="n">
        <f aca="false">(MAX(0,$E$30-E61)*E66+MAX(0,$E$31-E62)*E67+MAX(0,$E$32-E63)*E68+MAX(0,$E$33-E64)*E69+MAX(0,$E$34-E65)*E70)/1000</f>
        <v>0</v>
      </c>
      <c r="F74" s="33" t="n">
        <f aca="false">(MAX(0,$E$30-F61)*F66+MAX(0,$E$31-F62)*F67+MAX(0,$E$32-F63)*F68+MAX(0,$E$33-F64)*F69+MAX(0,$E$34-F65)*F70)/1000</f>
        <v>0</v>
      </c>
      <c r="G74" s="33" t="n">
        <f aca="false">(MAX(0,$E$30-G61)*G66+MAX(0,$E$31-G62)*G67+MAX(0,$E$32-G63)*G68+MAX(0,$E$33-G64)*G69+MAX(0,$E$34-G65)*G70)/1000</f>
        <v>0</v>
      </c>
      <c r="H74" s="33" t="n">
        <f aca="false">(MAX(0,$E$30-H61)*H66+MAX(0,$E$31-H62)*H67+MAX(0,$E$32-H63)*H68+MAX(0,$E$33-H64)*H69+MAX(0,$E$34-H65)*H70)/1000</f>
        <v>0</v>
      </c>
      <c r="I74" s="33" t="n">
        <f aca="false">(MAX(0,$E$30-I61)*I66+MAX(0,$E$31-I62)*I67+MAX(0,$E$32-I63)*I68+MAX(0,$E$33-I64)*I69+MAX(0,$E$34-I65)*I70)/1000</f>
        <v>0</v>
      </c>
      <c r="J74" s="33" t="n">
        <f aca="false">(MAX(0,$E$30-J61)*J66+MAX(0,$E$31-J62)*J67+MAX(0,$E$32-J63)*J68+MAX(0,$E$33-J64)*J69+MAX(0,$E$34-J65)*J70)/1000</f>
        <v>0</v>
      </c>
      <c r="K74" s="33" t="n">
        <f aca="false">(MAX(0,$E$30-K61)*K66+MAX(0,$E$31-K62)*K67+MAX(0,$E$32-K63)*K68+MAX(0,$E$33-K64)*K69+MAX(0,$E$34-K65)*K70)/1000</f>
        <v>0</v>
      </c>
      <c r="L74" s="33" t="n">
        <f aca="false">(MAX(0,$E$30-L61)*L66+MAX(0,$E$31-L62)*L67+MAX(0,$E$32-L63)*L68+MAX(0,$E$33-L64)*L69+MAX(0,$E$34-L65)*L70)/1000</f>
        <v>0</v>
      </c>
      <c r="M74" s="26" t="n">
        <f aca="false">SUM(D74:L74)</f>
        <v>0</v>
      </c>
    </row>
    <row r="75" customFormat="false" ht="15" hidden="false" customHeight="false" outlineLevel="0" collapsed="false">
      <c r="A75" s="7" t="s">
        <v>160</v>
      </c>
      <c r="B75" s="5" t="s">
        <v>30</v>
      </c>
      <c r="C75" s="33" t="n">
        <f aca="false">(MAX(0,C61-$E$30)*C66+MAX(0,C62-$E$31)*C67+MAX(0,C63-$E$32)*C68+MAX(0,C64-$E$33)*C69+MAX(0,C65-$E$34)*C70)/1000</f>
        <v>0</v>
      </c>
      <c r="D75" s="33" t="n">
        <f aca="false">(MAX(0,D61-$E$30)*D66+MAX(0,D62-$E$31)*D67+MAX(0,D63-$E$32)*D68+MAX(0,D64-$E$33)*D69+MAX(0,D65-$E$34)*D70)/1000</f>
        <v>0</v>
      </c>
      <c r="E75" s="33" t="n">
        <f aca="false">(MAX(0,E61-$E$30)*E66+MAX(0,E62-$E$31)*E67+MAX(0,E63-$E$32)*E68+MAX(0,E64-$E$33)*E69+MAX(0,E65-$E$34)*E70)/1000</f>
        <v>0</v>
      </c>
      <c r="F75" s="33" t="n">
        <f aca="false">(MAX(0,F61-$E$30)*F66+MAX(0,F62-$E$31)*F67+MAX(0,F63-$E$32)*F68+MAX(0,F64-$E$33)*F69+MAX(0,F65-$E$34)*F70)/1000</f>
        <v>0</v>
      </c>
      <c r="G75" s="33" t="n">
        <f aca="false">(MAX(0,G61-$E$30)*G66+MAX(0,G62-$E$31)*G67+MAX(0,G63-$E$32)*G68+MAX(0,G64-$E$33)*G69+MAX(0,G65-$E$34)*G70)/1000</f>
        <v>0</v>
      </c>
      <c r="H75" s="33" t="n">
        <f aca="false">(MAX(0,H61-$E$30)*H66+MAX(0,H62-$E$31)*H67+MAX(0,H63-$E$32)*H68+MAX(0,H64-$E$33)*H69+MAX(0,H65-$E$34)*H70)/1000</f>
        <v>0</v>
      </c>
      <c r="I75" s="33" t="n">
        <f aca="false">(MAX(0,I61-$E$30)*I66+MAX(0,I62-$E$31)*I67+MAX(0,I63-$E$32)*I68+MAX(0,I64-$E$33)*I69+MAX(0,I65-$E$34)*I70)/1000</f>
        <v>0</v>
      </c>
      <c r="J75" s="33" t="n">
        <f aca="false">(MAX(0,J61-$E$30)*J66+MAX(0,J62-$E$31)*J67+MAX(0,J63-$E$32)*J68+MAX(0,J64-$E$33)*J69+MAX(0,J65-$E$34)*J70)/1000</f>
        <v>0</v>
      </c>
      <c r="K75" s="33" t="n">
        <f aca="false">(MAX(0,K61-$E$30)*K66+MAX(0,K62-$E$31)*K67+MAX(0,K63-$E$32)*K68+MAX(0,K64-$E$33)*K69+MAX(0,K65-$E$34)*K70)/1000</f>
        <v>0</v>
      </c>
      <c r="L75" s="33" t="n">
        <f aca="false">(MAX(0,L61-$E$30)*L66+MAX(0,L62-$E$31)*L67+MAX(0,L63-$E$32)*L68+MAX(0,L64-$E$33)*L69+MAX(0,L65-$E$34)*L70)/1000</f>
        <v>0</v>
      </c>
      <c r="M75" s="26" t="n">
        <f aca="false">SUM(D75:L75)</f>
        <v>0</v>
      </c>
    </row>
    <row r="76" customFormat="false" ht="15" hidden="false" customHeight="false" outlineLevel="0" collapsed="false">
      <c r="A76" s="7" t="s">
        <v>161</v>
      </c>
      <c r="B76" s="5" t="s">
        <v>30</v>
      </c>
      <c r="C76" s="33" t="n">
        <f aca="false">$G$44*$C$21*($B$30*MAX(0,C61-$D$30)*C66+$B$31*MAX(0,C62-$D$31)*C67+$B$32*MAX(0,C63-$D$32)*C68+$B$33*MAX(0,C64-$D$33)*C69+$B$34*MAX(0,C65-$D$34)*C70)/1000</f>
        <v>0</v>
      </c>
      <c r="D76" s="33" t="n">
        <f aca="false">$G$44*$C$21*($B$30*MAX(0,D61-$D$30)*D66+$B$31*MAX(0,D62-$D$31)*D67+$B$32*MAX(0,D63-$D$32)*D68+$B$33*MAX(0,D64-$D$33)*D69+$B$34*MAX(0,D65-$D$34)*D70)/1000</f>
        <v>0</v>
      </c>
      <c r="E76" s="33" t="n">
        <f aca="false">$G$44*$C$21*($B$30*MAX(0,E61-$D$30)*E66+$B$31*MAX(0,E62-$D$31)*E67+$B$32*MAX(0,E63-$D$32)*E68+$B$33*MAX(0,E64-$D$33)*E69+$B$34*MAX(0,E65-$D$34)*E70)/1000</f>
        <v>0</v>
      </c>
      <c r="F76" s="33" t="n">
        <f aca="false">$G$44*$C$21*($B$30*MAX(0,F61-$D$30)*F66+$B$31*MAX(0,F62-$D$31)*F67+$B$32*MAX(0,F63-$D$32)*F68+$B$33*MAX(0,F64-$D$33)*F69+$B$34*MAX(0,F65-$D$34)*F70)/1000</f>
        <v>0</v>
      </c>
      <c r="G76" s="33" t="n">
        <f aca="false">$G$44*$C$21*($B$30*MAX(0,G61-$D$30)*G66+$B$31*MAX(0,G62-$D$31)*G67+$B$32*MAX(0,G63-$D$32)*G68+$B$33*MAX(0,G64-$D$33)*G69+$B$34*MAX(0,G65-$D$34)*G70)/1000</f>
        <v>0</v>
      </c>
      <c r="H76" s="33" t="n">
        <f aca="false">$G$44*$C$21*($B$30*MAX(0,H61-$D$30)*H66+$B$31*MAX(0,H62-$D$31)*H67+$B$32*MAX(0,H63-$D$32)*H68+$B$33*MAX(0,H64-$D$33)*H69+$B$34*MAX(0,H65-$D$34)*H70)/1000</f>
        <v>0</v>
      </c>
      <c r="I76" s="33" t="n">
        <f aca="false">$G$44*$C$21*($B$30*MAX(0,I61-$D$30)*I66+$B$31*MAX(0,I62-$D$31)*I67+$B$32*MAX(0,I63-$D$32)*I68+$B$33*MAX(0,I64-$D$33)*I69+$B$34*MAX(0,I65-$D$34)*I70)/1000</f>
        <v>0</v>
      </c>
      <c r="J76" s="33" t="n">
        <f aca="false">$G$44*$C$21*($B$30*MAX(0,J61-$D$30)*J66+$B$31*MAX(0,J62-$D$31)*J67+$B$32*MAX(0,J63-$D$32)*J68+$B$33*MAX(0,J64-$D$33)*J69+$B$34*MAX(0,J65-$D$34)*J70)/1000</f>
        <v>0</v>
      </c>
      <c r="K76" s="33" t="n">
        <f aca="false">$G$44*$C$21*($B$30*MAX(0,K61-$D$30)*K66+$B$31*MAX(0,K62-$D$31)*K67+$B$32*MAX(0,K63-$D$32)*K68+$B$33*MAX(0,K64-$D$33)*K69+$B$34*MAX(0,K65-$D$34)*K70)/1000</f>
        <v>0</v>
      </c>
      <c r="L76" s="33" t="n">
        <f aca="false">$G$44*$C$21*($B$30*MAX(0,L61-$D$30)*L66+$B$31*MAX(0,L62-$D$31)*L67+$B$32*MAX(0,L63-$D$32)*L68+$B$33*MAX(0,L64-$D$33)*L69+$B$34*MAX(0,L65-$D$34)*L70)/1000</f>
        <v>0</v>
      </c>
      <c r="M76" s="26" t="n">
        <f aca="false">SUM(D76:L76)</f>
        <v>0</v>
      </c>
    </row>
    <row r="77" customFormat="false" ht="15" hidden="false" customHeight="false" outlineLevel="0" collapsed="false">
      <c r="A77" s="7" t="s">
        <v>162</v>
      </c>
      <c r="B77" s="5" t="s">
        <v>30</v>
      </c>
      <c r="C77" s="33" t="n">
        <f aca="false">IFERROR(C76*$C$20/(1-$C$20),0)</f>
        <v>0</v>
      </c>
      <c r="D77" s="33" t="n">
        <f aca="false">IFERROR(D76*$C$20/(1-$C$20),0)</f>
        <v>0</v>
      </c>
      <c r="E77" s="33" t="n">
        <f aca="false">IFERROR(E76*$C$20/(1-$C$20),0)</f>
        <v>0</v>
      </c>
      <c r="F77" s="33" t="n">
        <f aca="false">IFERROR(F76*$C$20/(1-$C$20),0)</f>
        <v>0</v>
      </c>
      <c r="G77" s="33" t="n">
        <f aca="false">IFERROR(G76*$C$20/(1-$C$20),0)</f>
        <v>0</v>
      </c>
      <c r="H77" s="33" t="n">
        <f aca="false">IFERROR(H76*$C$20/(1-$C$20),0)</f>
        <v>0</v>
      </c>
      <c r="I77" s="33" t="n">
        <f aca="false">IFERROR(I76*$C$20/(1-$C$20),0)</f>
        <v>0</v>
      </c>
      <c r="J77" s="33" t="n">
        <f aca="false">IFERROR(J76*$C$20/(1-$C$20),0)</f>
        <v>0</v>
      </c>
      <c r="K77" s="33" t="n">
        <f aca="false">IFERROR(K76*$C$20/(1-$C$20),0)</f>
        <v>0</v>
      </c>
      <c r="L77" s="33" t="n">
        <f aca="false">IFERROR(L76*$C$20/(1-$C$20),0)</f>
        <v>0</v>
      </c>
      <c r="M77" s="26" t="n">
        <f aca="false">SUM(D77:L77)</f>
        <v>0</v>
      </c>
    </row>
    <row r="78" customFormat="false" ht="15" hidden="false" customHeight="false" outlineLevel="0" collapsed="false">
      <c r="A78" s="7" t="s">
        <v>163</v>
      </c>
      <c r="B78" s="5" t="s">
        <v>30</v>
      </c>
      <c r="C78" s="33" t="n">
        <f aca="false">IF(0=0,0,$G$44*$C$18*$C$19/1000000000)</f>
        <v>0</v>
      </c>
      <c r="D78" s="33" t="n">
        <f aca="false">IF(1=0,0,$G$44*$C$18*$C$19/1000000000)</f>
        <v>0</v>
      </c>
      <c r="E78" s="33" t="n">
        <f aca="false">IF(2=0,0,$G$44*$C$18*$C$19/1000000000)</f>
        <v>0</v>
      </c>
      <c r="F78" s="33" t="n">
        <f aca="false">IF(3=0,0,$G$44*$C$18*$C$19/1000000000)</f>
        <v>0</v>
      </c>
      <c r="G78" s="33" t="n">
        <f aca="false">IF(4=0,0,$G$44*$C$18*$C$19/1000000000)</f>
        <v>0</v>
      </c>
      <c r="H78" s="33" t="n">
        <f aca="false">IF(5=0,0,$G$44*$C$18*$C$19/1000000000)</f>
        <v>0</v>
      </c>
      <c r="I78" s="33" t="n">
        <f aca="false">IF(6=0,0,$G$44*$C$18*$C$19/1000000000)</f>
        <v>0</v>
      </c>
      <c r="J78" s="33" t="n">
        <f aca="false">IF(7=0,0,$G$44*$C$18*$C$19/1000000000)</f>
        <v>0</v>
      </c>
      <c r="K78" s="33" t="n">
        <f aca="false">IF(8=0,0,$G$44*$C$18*$C$19/1000000000)</f>
        <v>0</v>
      </c>
      <c r="L78" s="33" t="n">
        <f aca="false">IF(9=0,0,$G$44*$C$18*$C$19/1000000000)</f>
        <v>0</v>
      </c>
      <c r="M78" s="26" t="n">
        <f aca="false">SUM(D78:L78)</f>
        <v>0</v>
      </c>
    </row>
    <row r="79" customFormat="false" ht="15" hidden="false" customHeight="false" outlineLevel="0" collapsed="false">
      <c r="A79" s="7" t="s">
        <v>164</v>
      </c>
      <c r="B79" s="5" t="s">
        <v>30</v>
      </c>
      <c r="C79" s="33" t="n">
        <f aca="false">C76+C77+C78</f>
        <v>0</v>
      </c>
      <c r="D79" s="33" t="n">
        <f aca="false">D76+D77+D78</f>
        <v>0</v>
      </c>
      <c r="E79" s="33" t="n">
        <f aca="false">E76+E77+E78</f>
        <v>0</v>
      </c>
      <c r="F79" s="33" t="n">
        <f aca="false">F76+F77+F78</f>
        <v>0</v>
      </c>
      <c r="G79" s="33" t="n">
        <f aca="false">G76+G77+G78</f>
        <v>0</v>
      </c>
      <c r="H79" s="33" t="n">
        <f aca="false">H76+H77+H78</f>
        <v>0</v>
      </c>
      <c r="I79" s="33" t="n">
        <f aca="false">I76+I77+I78</f>
        <v>0</v>
      </c>
      <c r="J79" s="33" t="n">
        <f aca="false">J76+J77+J78</f>
        <v>0</v>
      </c>
      <c r="K79" s="33" t="n">
        <f aca="false">K76+K77+K78</f>
        <v>0</v>
      </c>
      <c r="L79" s="33" t="n">
        <f aca="false">L76+L77+L78</f>
        <v>0</v>
      </c>
      <c r="M79" s="26" t="n">
        <f aca="false">SUM(D79:L79)</f>
        <v>0</v>
      </c>
    </row>
    <row r="80" customFormat="false" ht="15" hidden="false" customHeight="false" outlineLevel="0" collapsed="false">
      <c r="A80" s="7" t="s">
        <v>165</v>
      </c>
      <c r="B80" s="5" t="s">
        <v>30</v>
      </c>
      <c r="C80" s="33" t="n">
        <f aca="false">C79*$C$16</f>
        <v>0</v>
      </c>
      <c r="D80" s="33" t="n">
        <f aca="false">D79*$C$16</f>
        <v>0</v>
      </c>
      <c r="E80" s="33" t="n">
        <f aca="false">E79*$C$16</f>
        <v>0</v>
      </c>
      <c r="F80" s="33" t="n">
        <f aca="false">F79*$C$16</f>
        <v>0</v>
      </c>
      <c r="G80" s="33" t="n">
        <f aca="false">G79*$C$16</f>
        <v>0</v>
      </c>
      <c r="H80" s="33" t="n">
        <f aca="false">H79*$C$16</f>
        <v>0</v>
      </c>
      <c r="I80" s="33" t="n">
        <f aca="false">I79*$C$16</f>
        <v>0</v>
      </c>
      <c r="J80" s="33" t="n">
        <f aca="false">J79*$C$16</f>
        <v>0</v>
      </c>
      <c r="K80" s="33" t="n">
        <f aca="false">K79*$C$16</f>
        <v>0</v>
      </c>
      <c r="L80" s="33" t="n">
        <f aca="false">L79*$C$16</f>
        <v>0</v>
      </c>
      <c r="M80" s="26" t="n">
        <f aca="false">SUM(D80:L80)</f>
        <v>0</v>
      </c>
    </row>
    <row r="81" customFormat="false" ht="15" hidden="false" customHeight="false" outlineLevel="0" collapsed="false">
      <c r="A81" s="7" t="s">
        <v>166</v>
      </c>
      <c r="B81" s="5" t="s">
        <v>30</v>
      </c>
      <c r="C81" s="33" t="n">
        <f aca="false">C74*$C$15</f>
        <v>0</v>
      </c>
      <c r="D81" s="33" t="n">
        <f aca="false">D74*$C$15</f>
        <v>0</v>
      </c>
      <c r="E81" s="33" t="n">
        <f aca="false">E74*$C$15</f>
        <v>0</v>
      </c>
      <c r="F81" s="33" t="n">
        <f aca="false">F74*$C$15</f>
        <v>0</v>
      </c>
      <c r="G81" s="33" t="n">
        <f aca="false">G74*$C$15</f>
        <v>0</v>
      </c>
      <c r="H81" s="33" t="n">
        <f aca="false">H74*$C$15</f>
        <v>0</v>
      </c>
      <c r="I81" s="33" t="n">
        <f aca="false">I74*$C$15</f>
        <v>0</v>
      </c>
      <c r="J81" s="33" t="n">
        <f aca="false">J74*$C$15</f>
        <v>0</v>
      </c>
      <c r="K81" s="33" t="n">
        <f aca="false">K74*$C$15</f>
        <v>0</v>
      </c>
      <c r="L81" s="33" t="n">
        <f aca="false">L74*$C$15</f>
        <v>0</v>
      </c>
      <c r="M81" s="26" t="n">
        <f aca="false">SUM(D81:L81)</f>
        <v>0</v>
      </c>
    </row>
    <row r="82" customFormat="false" ht="15" hidden="false" customHeight="false" outlineLevel="0" collapsed="false">
      <c r="A82" s="7" t="s">
        <v>167</v>
      </c>
      <c r="B82" s="5" t="s">
        <v>30</v>
      </c>
      <c r="C82" s="33" t="n">
        <f aca="false">C81*$C$16</f>
        <v>0</v>
      </c>
      <c r="D82" s="33" t="n">
        <f aca="false">D81*$C$16</f>
        <v>0</v>
      </c>
      <c r="E82" s="33" t="n">
        <f aca="false">E81*$C$16</f>
        <v>0</v>
      </c>
      <c r="F82" s="33" t="n">
        <f aca="false">F81*$C$16</f>
        <v>0</v>
      </c>
      <c r="G82" s="33" t="n">
        <f aca="false">G81*$C$16</f>
        <v>0</v>
      </c>
      <c r="H82" s="33" t="n">
        <f aca="false">H81*$C$16</f>
        <v>0</v>
      </c>
      <c r="I82" s="33" t="n">
        <f aca="false">I81*$C$16</f>
        <v>0</v>
      </c>
      <c r="J82" s="33" t="n">
        <f aca="false">J81*$C$16</f>
        <v>0</v>
      </c>
      <c r="K82" s="33" t="n">
        <f aca="false">K81*$C$16</f>
        <v>0</v>
      </c>
      <c r="L82" s="33" t="n">
        <f aca="false">L81*$C$16</f>
        <v>0</v>
      </c>
      <c r="M82" s="26" t="n">
        <f aca="false">SUM(D82:L82)</f>
        <v>0</v>
      </c>
    </row>
    <row r="83" customFormat="false" ht="15" hidden="false" customHeight="false" outlineLevel="0" collapsed="false">
      <c r="A83" s="7" t="s">
        <v>168</v>
      </c>
      <c r="B83" s="5" t="s">
        <v>30</v>
      </c>
      <c r="C83" s="33" t="n">
        <f aca="false">IF(0=0,0,$G$48*$C$22/1000000000*$C$16)</f>
        <v>0</v>
      </c>
      <c r="D83" s="33" t="n">
        <f aca="false">IF(1=0,0,$G$48*$C$22/1000000000*$C$16)</f>
        <v>0</v>
      </c>
      <c r="E83" s="33" t="n">
        <f aca="false">IF(2=0,0,$G$48*$C$22/1000000000*$C$16)</f>
        <v>0</v>
      </c>
      <c r="F83" s="33" t="n">
        <f aca="false">IF(3=0,0,$G$48*$C$22/1000000000*$C$16)</f>
        <v>0</v>
      </c>
      <c r="G83" s="33" t="n">
        <f aca="false">IF(4=0,0,$G$48*$C$22/1000000000*$C$16)</f>
        <v>0</v>
      </c>
      <c r="H83" s="33" t="n">
        <f aca="false">IF(5=0,0,$G$48*$C$22/1000000000*$C$16)</f>
        <v>0</v>
      </c>
      <c r="I83" s="33" t="n">
        <f aca="false">IF(6=0,0,$G$48*$C$22/1000000000*$C$16)</f>
        <v>0</v>
      </c>
      <c r="J83" s="33" t="n">
        <f aca="false">IF(7=0,0,$G$48*$C$22/1000000000*$C$16)</f>
        <v>0</v>
      </c>
      <c r="K83" s="33" t="n">
        <f aca="false">IF(8=0,0,$G$48*$C$22/1000000000*$C$16)</f>
        <v>0</v>
      </c>
      <c r="L83" s="33" t="n">
        <f aca="false">IF(9=0,0,$G$48*$C$22/1000000000*$C$16)</f>
        <v>0</v>
      </c>
      <c r="M83" s="26" t="n">
        <f aca="false">SUM(D83:L83)</f>
        <v>0</v>
      </c>
    </row>
    <row r="84" customFormat="false" ht="15" hidden="false" customHeight="false" outlineLevel="0" collapsed="false">
      <c r="A84" s="7" t="s">
        <v>169</v>
      </c>
      <c r="B84" s="5" t="s">
        <v>30</v>
      </c>
      <c r="C84" s="33" t="n">
        <f aca="false">(C76+C77)*$C$17</f>
        <v>0</v>
      </c>
      <c r="D84" s="33" t="n">
        <f aca="false">(D76+D77)*$C$17</f>
        <v>0</v>
      </c>
      <c r="E84" s="33" t="n">
        <f aca="false">(E76+E77)*$C$17</f>
        <v>0</v>
      </c>
      <c r="F84" s="33" t="n">
        <f aca="false">(F76+F77)*$C$17</f>
        <v>0</v>
      </c>
      <c r="G84" s="33" t="n">
        <f aca="false">(G76+G77)*$C$17</f>
        <v>0</v>
      </c>
      <c r="H84" s="33" t="n">
        <f aca="false">(H76+H77)*$C$17</f>
        <v>0</v>
      </c>
      <c r="I84" s="33" t="n">
        <f aca="false">(I76+I77)*$C$17</f>
        <v>0</v>
      </c>
      <c r="J84" s="33" t="n">
        <f aca="false">(J76+J77)*$C$17</f>
        <v>0</v>
      </c>
      <c r="K84" s="33" t="n">
        <f aca="false">(K76+K77)*$C$17</f>
        <v>0</v>
      </c>
      <c r="L84" s="33" t="n">
        <f aca="false">(L76+L77)*$C$17</f>
        <v>0</v>
      </c>
      <c r="M84" s="26" t="n">
        <f aca="false">SUM(D84:L84)</f>
        <v>0</v>
      </c>
    </row>
    <row r="85" customFormat="false" ht="15" hidden="false" customHeight="false" outlineLevel="0" collapsed="false">
      <c r="A85" s="7" t="s">
        <v>170</v>
      </c>
      <c r="B85" s="5" t="s">
        <v>30</v>
      </c>
      <c r="C85" s="33" t="n">
        <f aca="false">(C71-C84)*C59+C84*$C$16</f>
        <v>0</v>
      </c>
      <c r="D85" s="33" t="n">
        <f aca="false">(D71-D84)*D59+D84*$C$16</f>
        <v>0</v>
      </c>
      <c r="E85" s="33" t="n">
        <f aca="false">(E71-E84)*E59+E84*$C$16</f>
        <v>0</v>
      </c>
      <c r="F85" s="33" t="n">
        <f aca="false">(F71-F84)*F59+F84*$C$16</f>
        <v>0</v>
      </c>
      <c r="G85" s="33" t="n">
        <f aca="false">(G71-G84)*G59+G84*$C$16</f>
        <v>0</v>
      </c>
      <c r="H85" s="33" t="n">
        <f aca="false">(H71-H84)*H59+H84*$C$16</f>
        <v>0</v>
      </c>
      <c r="I85" s="33" t="n">
        <f aca="false">(I71-I84)*I59+I84*$C$16</f>
        <v>0</v>
      </c>
      <c r="J85" s="33" t="n">
        <f aca="false">(J71-J84)*J59+J84*$C$16</f>
        <v>0</v>
      </c>
      <c r="K85" s="33" t="n">
        <f aca="false">(K71-K84)*K59+K84*$C$16</f>
        <v>0</v>
      </c>
      <c r="L85" s="33" t="n">
        <f aca="false">(L71-L84)*L59+L84*$C$16</f>
        <v>0</v>
      </c>
      <c r="M85" s="26" t="n">
        <f aca="false">SUM(D85:L85)</f>
        <v>0</v>
      </c>
    </row>
    <row r="86" customFormat="false" ht="15" hidden="false" customHeight="false" outlineLevel="0" collapsed="false">
      <c r="A86" s="23" t="s">
        <v>171</v>
      </c>
      <c r="B86" s="5" t="s">
        <v>30</v>
      </c>
      <c r="C86" s="34" t="n">
        <f aca="false">C85+C82-C72-C73</f>
        <v>0</v>
      </c>
      <c r="D86" s="34" t="n">
        <f aca="false">D85+D82-D72-D73</f>
        <v>0</v>
      </c>
      <c r="E86" s="34" t="n">
        <f aca="false">E85+E82-E72-E73</f>
        <v>0</v>
      </c>
      <c r="F86" s="34" t="n">
        <f aca="false">F85+F82-F72-F73</f>
        <v>0</v>
      </c>
      <c r="G86" s="34" t="n">
        <f aca="false">G85+G82-G72-G73</f>
        <v>0</v>
      </c>
      <c r="H86" s="34" t="n">
        <f aca="false">H85+H82-H72-H73</f>
        <v>0</v>
      </c>
      <c r="I86" s="34" t="n">
        <f aca="false">I85+I82-I72-I73</f>
        <v>0</v>
      </c>
      <c r="J86" s="34" t="n">
        <f aca="false">J85+J82-J72-J73</f>
        <v>0</v>
      </c>
      <c r="K86" s="34" t="n">
        <f aca="false">K85+K82-K72-K73</f>
        <v>0</v>
      </c>
      <c r="L86" s="34" t="n">
        <f aca="false">L85+L82-L72-L73</f>
        <v>0</v>
      </c>
      <c r="M86" s="26" t="n">
        <f aca="false">SUM(D86:L86)</f>
        <v>0</v>
      </c>
    </row>
    <row r="87" customFormat="false" ht="15" hidden="false" customHeight="false" outlineLevel="0" collapsed="false">
      <c r="A87" s="7" t="s">
        <v>172</v>
      </c>
      <c r="B87" s="5" t="s">
        <v>30</v>
      </c>
      <c r="C87" s="33" t="n">
        <f aca="false">C73+(C71-C84)*(1-C59)</f>
        <v>0</v>
      </c>
      <c r="D87" s="33" t="n">
        <f aca="false">D73+(D71-D84)*(1-D59)</f>
        <v>0</v>
      </c>
      <c r="E87" s="33" t="n">
        <f aca="false">E73+(E71-E84)*(1-E59)</f>
        <v>0</v>
      </c>
      <c r="F87" s="33" t="n">
        <f aca="false">F73+(F71-F84)*(1-F59)</f>
        <v>0</v>
      </c>
      <c r="G87" s="33" t="n">
        <f aca="false">G73+(G71-G84)*(1-G59)</f>
        <v>0</v>
      </c>
      <c r="H87" s="33" t="n">
        <f aca="false">H73+(H71-H84)*(1-H59)</f>
        <v>0</v>
      </c>
      <c r="I87" s="33" t="n">
        <f aca="false">I73+(I71-I84)*(1-I59)</f>
        <v>0</v>
      </c>
      <c r="J87" s="33" t="n">
        <f aca="false">J73+(J71-J84)*(1-J59)</f>
        <v>0</v>
      </c>
      <c r="K87" s="33" t="n">
        <f aca="false">K73+(K71-K84)*(1-K59)</f>
        <v>0</v>
      </c>
      <c r="L87" s="33" t="n">
        <f aca="false">L73+(L71-L84)*(1-L59)</f>
        <v>0</v>
      </c>
      <c r="M87" s="26" t="n">
        <f aca="false">SUM(D87:L87)</f>
        <v>0</v>
      </c>
    </row>
    <row r="89" customFormat="false" ht="15" hidden="false" customHeight="false" outlineLevel="0" collapsed="false">
      <c r="A89" s="23" t="s">
        <v>173</v>
      </c>
    </row>
    <row r="90" customFormat="false" ht="15" hidden="false" customHeight="false" outlineLevel="0" collapsed="false">
      <c r="A90" s="7" t="s">
        <v>174</v>
      </c>
      <c r="B90" s="5" t="s">
        <v>30</v>
      </c>
      <c r="C90" s="33" t="n">
        <f aca="false">C82+C80+C83</f>
        <v>0</v>
      </c>
      <c r="D90" s="33" t="n">
        <f aca="false">D82+D80+D83</f>
        <v>0</v>
      </c>
      <c r="E90" s="33" t="n">
        <f aca="false">E82+E80+E83</f>
        <v>0</v>
      </c>
      <c r="F90" s="33" t="n">
        <f aca="false">F82+F80+F83</f>
        <v>0</v>
      </c>
      <c r="G90" s="33" t="n">
        <f aca="false">G82+G80+G83</f>
        <v>0</v>
      </c>
      <c r="H90" s="33" t="n">
        <f aca="false">H82+H80+H83</f>
        <v>0</v>
      </c>
      <c r="I90" s="33" t="n">
        <f aca="false">I82+I80+I83</f>
        <v>0</v>
      </c>
      <c r="J90" s="33" t="n">
        <f aca="false">J82+J80+J83</f>
        <v>0</v>
      </c>
      <c r="K90" s="33" t="n">
        <f aca="false">K82+K80+K83</f>
        <v>0</v>
      </c>
      <c r="L90" s="33" t="n">
        <f aca="false">L82+L80+L83</f>
        <v>0</v>
      </c>
      <c r="M90" s="26" t="n">
        <f aca="false">SUM(D90:L90)</f>
        <v>0</v>
      </c>
    </row>
    <row r="91" customFormat="false" ht="15" hidden="false" customHeight="false" outlineLevel="0" collapsed="false">
      <c r="A91" s="7" t="s">
        <v>175</v>
      </c>
      <c r="B91" s="5" t="s">
        <v>30</v>
      </c>
      <c r="C91" s="33" t="n">
        <f aca="false">MAX(0,C74-C82)+(C76+C77)*$C$17*(1-$C$16)</f>
        <v>0</v>
      </c>
      <c r="D91" s="33" t="n">
        <f aca="false">MAX(0,D74-D82)+(D76+D77)*$C$17*(1-$C$16)</f>
        <v>0</v>
      </c>
      <c r="E91" s="33" t="n">
        <f aca="false">MAX(0,E74-E82)+(E76+E77)*$C$17*(1-$C$16)</f>
        <v>0</v>
      </c>
      <c r="F91" s="33" t="n">
        <f aca="false">MAX(0,F74-F82)+(F76+F77)*$C$17*(1-$C$16)</f>
        <v>0</v>
      </c>
      <c r="G91" s="33" t="n">
        <f aca="false">MAX(0,G74-G82)+(G76+G77)*$C$17*(1-$C$16)</f>
        <v>0</v>
      </c>
      <c r="H91" s="33" t="n">
        <f aca="false">MAX(0,H74-H82)+(H76+H77)*$C$17*(1-$C$16)</f>
        <v>0</v>
      </c>
      <c r="I91" s="33" t="n">
        <f aca="false">MAX(0,I74-I82)+(I76+I77)*$C$17*(1-$C$16)</f>
        <v>0</v>
      </c>
      <c r="J91" s="33" t="n">
        <f aca="false">MAX(0,J74-J82)+(J76+J77)*$C$17*(1-$C$16)</f>
        <v>0</v>
      </c>
      <c r="K91" s="33" t="n">
        <f aca="false">MAX(0,K74-K82)+(K76+K77)*$C$17*(1-$C$16)</f>
        <v>0</v>
      </c>
      <c r="L91" s="33" t="n">
        <f aca="false">MAX(0,L74-L82)+(L76+L77)*$C$17*(1-$C$16)</f>
        <v>0</v>
      </c>
      <c r="M91" s="26" t="n">
        <f aca="false">SUM(D91:L91)</f>
        <v>0</v>
      </c>
    </row>
    <row r="92" customFormat="false" ht="15" hidden="false" customHeight="false" outlineLevel="0" collapsed="false">
      <c r="A92" s="7" t="s">
        <v>176</v>
      </c>
      <c r="B92" s="5" t="s">
        <v>30</v>
      </c>
      <c r="C92" s="33" t="n">
        <f aca="false">$C$23*(1-$G$49*C$55)</f>
        <v>0</v>
      </c>
      <c r="D92" s="33" t="n">
        <f aca="false">$C$23*(1-$G$49*D$55)</f>
        <v>0</v>
      </c>
      <c r="E92" s="33" t="n">
        <f aca="false">$C$23*(1-$G$49*E$55)</f>
        <v>0</v>
      </c>
      <c r="F92" s="33" t="n">
        <f aca="false">$C$23*(1-$G$49*F$55)</f>
        <v>0</v>
      </c>
      <c r="G92" s="33" t="n">
        <f aca="false">$C$23*(1-$G$49*G$55)</f>
        <v>0</v>
      </c>
      <c r="H92" s="33" t="n">
        <f aca="false">$C$23*(1-$G$49*H$55)</f>
        <v>0</v>
      </c>
      <c r="I92" s="33" t="n">
        <f aca="false">$C$23*(1-$G$49*I$55)</f>
        <v>0</v>
      </c>
      <c r="J92" s="33" t="n">
        <f aca="false">$C$23*(1-$G$49*J$55)</f>
        <v>0</v>
      </c>
      <c r="K92" s="33" t="n">
        <f aca="false">$C$23*(1-$G$49*K$55)</f>
        <v>0</v>
      </c>
      <c r="L92" s="33" t="n">
        <f aca="false">$C$23*(1-$G$49*L$55)</f>
        <v>0</v>
      </c>
      <c r="M92" s="26" t="n">
        <f aca="false">SUM(D92:L92)</f>
        <v>0</v>
      </c>
    </row>
    <row r="93" customFormat="false" ht="15" hidden="false" customHeight="false" outlineLevel="0" collapsed="false">
      <c r="A93" s="7" t="s">
        <v>177</v>
      </c>
      <c r="B93" s="5" t="s">
        <v>30</v>
      </c>
      <c r="C93" s="33" t="n">
        <f aca="false">$C$24*(1-$G$50*C$55)</f>
        <v>0</v>
      </c>
      <c r="D93" s="33" t="n">
        <f aca="false">$C$24*(1-$G$50*D$55)</f>
        <v>0</v>
      </c>
      <c r="E93" s="33" t="n">
        <f aca="false">$C$24*(1-$G$50*E$55)</f>
        <v>0</v>
      </c>
      <c r="F93" s="33" t="n">
        <f aca="false">$C$24*(1-$G$50*F$55)</f>
        <v>0</v>
      </c>
      <c r="G93" s="33" t="n">
        <f aca="false">$C$24*(1-$G$50*G$55)</f>
        <v>0</v>
      </c>
      <c r="H93" s="33" t="n">
        <f aca="false">$C$24*(1-$G$50*H$55)</f>
        <v>0</v>
      </c>
      <c r="I93" s="33" t="n">
        <f aca="false">$C$24*(1-$G$50*I$55)</f>
        <v>0</v>
      </c>
      <c r="J93" s="33" t="n">
        <f aca="false">$C$24*(1-$G$50*J$55)</f>
        <v>0</v>
      </c>
      <c r="K93" s="33" t="n">
        <f aca="false">$C$24*(1-$G$50*K$55)</f>
        <v>0</v>
      </c>
      <c r="L93" s="33" t="n">
        <f aca="false">$C$24*(1-$G$50*L$55)</f>
        <v>0</v>
      </c>
      <c r="M93" s="26" t="n">
        <f aca="false">SUM(D93:L93)</f>
        <v>0</v>
      </c>
    </row>
    <row r="94" customFormat="false" ht="15" hidden="false" customHeight="false" outlineLevel="0" collapsed="false">
      <c r="A94" s="23" t="s">
        <v>178</v>
      </c>
      <c r="B94" s="5" t="s">
        <v>30</v>
      </c>
      <c r="C94" s="34" t="n">
        <f aca="false">C90+C91+C92+C93</f>
        <v>0</v>
      </c>
      <c r="D94" s="34" t="n">
        <f aca="false">D90+D91+D92+D93</f>
        <v>0</v>
      </c>
      <c r="E94" s="34" t="n">
        <f aca="false">E90+E91+E92+E93</f>
        <v>0</v>
      </c>
      <c r="F94" s="34" t="n">
        <f aca="false">F90+F91+F92+F93</f>
        <v>0</v>
      </c>
      <c r="G94" s="34" t="n">
        <f aca="false">G90+G91+G92+G93</f>
        <v>0</v>
      </c>
      <c r="H94" s="34" t="n">
        <f aca="false">H90+H91+H92+H93</f>
        <v>0</v>
      </c>
      <c r="I94" s="34" t="n">
        <f aca="false">I90+I91+I92+I93</f>
        <v>0</v>
      </c>
      <c r="J94" s="34" t="n">
        <f aca="false">J90+J91+J92+J93</f>
        <v>0</v>
      </c>
      <c r="K94" s="34" t="n">
        <f aca="false">K90+K91+K92+K93</f>
        <v>0</v>
      </c>
      <c r="L94" s="34" t="n">
        <f aca="false">L90+L91+L92+L93</f>
        <v>0</v>
      </c>
      <c r="M94" s="26" t="n">
        <f aca="false">SUM(D94:L94)</f>
        <v>0</v>
      </c>
    </row>
    <row r="95" customFormat="false" ht="15" hidden="false" customHeight="false" outlineLevel="0" collapsed="false">
      <c r="A95" s="5" t="s">
        <v>179</v>
      </c>
    </row>
    <row r="97" customFormat="false" ht="15" hidden="false" customHeight="false" outlineLevel="0" collapsed="false">
      <c r="A97" s="7" t="s">
        <v>180</v>
      </c>
      <c r="B97" s="5" t="s">
        <v>42</v>
      </c>
      <c r="C97" s="35" t="n">
        <f aca="false">IFERROR(C65/$C$65*100,0)</f>
        <v>0</v>
      </c>
      <c r="D97" s="35" t="n">
        <f aca="false">IFERROR(D65/$C$65*100,0)</f>
        <v>0</v>
      </c>
      <c r="E97" s="35" t="n">
        <f aca="false">IFERROR(E65/$C$65*100,0)</f>
        <v>0</v>
      </c>
      <c r="F97" s="35" t="n">
        <f aca="false">IFERROR(F65/$C$65*100,0)</f>
        <v>0</v>
      </c>
      <c r="G97" s="35" t="n">
        <f aca="false">IFERROR(G65/$C$65*100,0)</f>
        <v>0</v>
      </c>
      <c r="H97" s="35" t="n">
        <f aca="false">IFERROR(H65/$C$65*100,0)</f>
        <v>0</v>
      </c>
      <c r="I97" s="35" t="n">
        <f aca="false">IFERROR(I65/$C$65*100,0)</f>
        <v>0</v>
      </c>
      <c r="J97" s="35" t="n">
        <f aca="false">IFERROR(J65/$C$65*100,0)</f>
        <v>0</v>
      </c>
      <c r="K97" s="35" t="n">
        <f aca="false">IFERROR(K65/$C$65*100,0)</f>
        <v>0</v>
      </c>
      <c r="L97" s="35" t="n">
        <f aca="false">IFERROR(L65/$C$65*100,0)</f>
        <v>0</v>
      </c>
    </row>
    <row r="98" customFormat="false" ht="15" hidden="false" customHeight="false" outlineLevel="0" collapsed="false">
      <c r="A98" s="7" t="s">
        <v>181</v>
      </c>
      <c r="B98" s="5" t="s">
        <v>44</v>
      </c>
      <c r="C98" s="31" t="n">
        <f aca="false">$C$25*(C97/100-1)</f>
        <v>-0</v>
      </c>
      <c r="D98" s="31" t="n">
        <f aca="false">$C$25*(D97/100-1)</f>
        <v>-0</v>
      </c>
      <c r="E98" s="31" t="n">
        <f aca="false">$C$25*(E97/100-1)</f>
        <v>-0</v>
      </c>
      <c r="F98" s="31" t="n">
        <f aca="false">$C$25*(F97/100-1)</f>
        <v>-0</v>
      </c>
      <c r="G98" s="31" t="n">
        <f aca="false">$C$25*(G97/100-1)</f>
        <v>-0</v>
      </c>
      <c r="H98" s="31" t="n">
        <f aca="false">$C$25*(H97/100-1)</f>
        <v>-0</v>
      </c>
      <c r="I98" s="31" t="n">
        <f aca="false">$C$25*(I97/100-1)</f>
        <v>-0</v>
      </c>
      <c r="J98" s="31" t="n">
        <f aca="false">$C$25*(J97/100-1)</f>
        <v>-0</v>
      </c>
      <c r="K98" s="31" t="n">
        <f aca="false">$C$25*(K97/100-1)</f>
        <v>-0</v>
      </c>
      <c r="L98" s="31" t="n">
        <f aca="false">$C$25*(L97/100-1)</f>
        <v>-0</v>
      </c>
    </row>
    <row r="99" customFormat="false" ht="15" hidden="false" customHeight="false" outlineLevel="0" collapsed="false">
      <c r="A99" s="7" t="s">
        <v>182</v>
      </c>
      <c r="B99" s="5" t="s">
        <v>42</v>
      </c>
      <c r="C99" s="35" t="n">
        <f aca="false">IFERROR(C61/$C$61*100,0)</f>
        <v>0</v>
      </c>
      <c r="D99" s="35" t="n">
        <f aca="false">IFERROR(D61/$C$61*100,0)</f>
        <v>0</v>
      </c>
      <c r="E99" s="35" t="n">
        <f aca="false">IFERROR(E61/$C$61*100,0)</f>
        <v>0</v>
      </c>
      <c r="F99" s="35" t="n">
        <f aca="false">IFERROR(F61/$C$61*100,0)</f>
        <v>0</v>
      </c>
      <c r="G99" s="35" t="n">
        <f aca="false">IFERROR(G61/$C$61*100,0)</f>
        <v>0</v>
      </c>
      <c r="H99" s="35" t="n">
        <f aca="false">IFERROR(H61/$C$61*100,0)</f>
        <v>0</v>
      </c>
      <c r="I99" s="35" t="n">
        <f aca="false">IFERROR(I61/$C$61*100,0)</f>
        <v>0</v>
      </c>
      <c r="J99" s="35" t="n">
        <f aca="false">IFERROR(J61/$C$61*100,0)</f>
        <v>0</v>
      </c>
      <c r="K99" s="35" t="n">
        <f aca="false">IFERROR(K61/$C$61*100,0)</f>
        <v>0</v>
      </c>
      <c r="L99" s="35" t="n">
        <f aca="false">IFERROR(L61/$C$61*100,0)</f>
        <v>0</v>
      </c>
    </row>
    <row r="100" customFormat="false" ht="15" hidden="false" customHeight="false" outlineLevel="0" collapsed="false">
      <c r="A100" s="7" t="s">
        <v>183</v>
      </c>
      <c r="B100" s="5" t="s">
        <v>30</v>
      </c>
      <c r="C100" s="33" t="n">
        <f aca="false">(1-$G$44*$C$21)*MAX(0,C61-$D$30)*C66/1000</f>
        <v>0</v>
      </c>
      <c r="D100" s="33" t="n">
        <f aca="false">(1-$G$44*$C$21)*MAX(0,D61-$D$30)*D66/1000</f>
        <v>0</v>
      </c>
      <c r="E100" s="33" t="n">
        <f aca="false">(1-$G$44*$C$21)*MAX(0,E61-$D$30)*E66/1000</f>
        <v>0</v>
      </c>
      <c r="F100" s="33" t="n">
        <f aca="false">(1-$G$44*$C$21)*MAX(0,F61-$D$30)*F66/1000</f>
        <v>0</v>
      </c>
      <c r="G100" s="33" t="n">
        <f aca="false">(1-$G$44*$C$21)*MAX(0,G61-$D$30)*G66/1000</f>
        <v>0</v>
      </c>
      <c r="H100" s="33" t="n">
        <f aca="false">(1-$G$44*$C$21)*MAX(0,H61-$D$30)*H66/1000</f>
        <v>0</v>
      </c>
      <c r="I100" s="33" t="n">
        <f aca="false">(1-$G$44*$C$21)*MAX(0,I61-$D$30)*I66/1000</f>
        <v>0</v>
      </c>
      <c r="J100" s="33" t="n">
        <f aca="false">(1-$G$44*$C$21)*MAX(0,J61-$D$30)*J66/1000</f>
        <v>0</v>
      </c>
      <c r="K100" s="33" t="n">
        <f aca="false">(1-$G$44*$C$21)*MAX(0,K61-$D$30)*K66/1000</f>
        <v>0</v>
      </c>
      <c r="L100" s="33" t="n">
        <f aca="false">(1-$G$44*$C$21)*MAX(0,L61-$D$30)*L66/1000</f>
        <v>0</v>
      </c>
      <c r="M100" s="26" t="n">
        <f aca="false">SUM(D100:L100)</f>
        <v>0</v>
      </c>
    </row>
  </sheetData>
  <mergeCells count="1">
    <mergeCell ref="C39:D39"/>
  </mergeCells>
  <dataValidations count="1">
    <dataValidation allowBlank="false" errorStyle="stop" operator="between" showDropDown="false" showErrorMessage="false" showInputMessage="false" sqref="C39" type="list">
      <formula1>"S0 Statu quo,S1 Tarifs aux coûts,S2 Aides ciblées,S3 Réforme intégrée"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14" min="3" style="0" width="13"/>
  </cols>
  <sheetData>
    <row r="1" customFormat="false" ht="17.35" hidden="false" customHeight="false" outlineLevel="0" collapsed="false">
      <c r="A1" s="4" t="s">
        <v>184</v>
      </c>
    </row>
    <row r="2" customFormat="false" ht="15" hidden="false" customHeight="false" outlineLevel="0" collapsed="false">
      <c r="A2" s="5" t="s">
        <v>46</v>
      </c>
    </row>
    <row r="3" customFormat="false" ht="15" hidden="false" customHeight="false" outlineLevel="0" collapsed="false">
      <c r="A3" s="5" t="s">
        <v>47</v>
      </c>
    </row>
    <row r="5" customFormat="false" ht="15" hidden="false" customHeight="false" outlineLevel="0" collapsed="false">
      <c r="A5" s="12" t="s">
        <v>48</v>
      </c>
      <c r="B5" s="13"/>
      <c r="C5" s="13"/>
      <c r="D5" s="13"/>
      <c r="E5" s="13"/>
      <c r="F5" s="13"/>
      <c r="G5" s="13"/>
      <c r="H5" s="13"/>
      <c r="I5" s="13"/>
      <c r="J5" s="13"/>
      <c r="K5" s="13"/>
      <c r="L5" s="13"/>
      <c r="M5" s="13"/>
      <c r="N5" s="13"/>
    </row>
    <row r="6" customFormat="false" ht="15" hidden="false" customHeight="false" outlineLevel="0" collapsed="false">
      <c r="A6" s="6" t="s">
        <v>49</v>
      </c>
      <c r="B6" s="6" t="s">
        <v>21</v>
      </c>
      <c r="C6" s="6" t="s">
        <v>50</v>
      </c>
      <c r="D6" s="6" t="s">
        <v>51</v>
      </c>
    </row>
    <row r="7" customFormat="false" ht="15" hidden="false" customHeight="false" outlineLevel="0" collapsed="false">
      <c r="A7" s="7" t="s">
        <v>52</v>
      </c>
      <c r="B7" s="5" t="s">
        <v>53</v>
      </c>
      <c r="C7" s="14"/>
      <c r="D7" s="5" t="s">
        <v>54</v>
      </c>
    </row>
    <row r="8" customFormat="false" ht="15" hidden="false" customHeight="false" outlineLevel="0" collapsed="false">
      <c r="A8" s="7" t="s">
        <v>55</v>
      </c>
      <c r="B8" s="5" t="s">
        <v>56</v>
      </c>
      <c r="C8" s="15"/>
    </row>
    <row r="9" customFormat="false" ht="15" hidden="false" customHeight="false" outlineLevel="0" collapsed="false">
      <c r="A9" s="7" t="s">
        <v>57</v>
      </c>
      <c r="B9" s="5" t="s">
        <v>58</v>
      </c>
      <c r="C9" s="16"/>
      <c r="D9" s="5" t="s">
        <v>59</v>
      </c>
    </row>
    <row r="10" customFormat="false" ht="15" hidden="false" customHeight="false" outlineLevel="0" collapsed="false">
      <c r="A10" s="7" t="s">
        <v>60</v>
      </c>
      <c r="B10" s="5" t="s">
        <v>61</v>
      </c>
      <c r="C10" s="16"/>
    </row>
    <row r="11" customFormat="false" ht="15" hidden="false" customHeight="false" outlineLevel="0" collapsed="false">
      <c r="A11" s="7" t="s">
        <v>62</v>
      </c>
      <c r="B11" s="5" t="s">
        <v>61</v>
      </c>
      <c r="C11" s="16"/>
    </row>
    <row r="12" customFormat="false" ht="15" hidden="false" customHeight="false" outlineLevel="0" collapsed="false">
      <c r="A12" s="7" t="s">
        <v>63</v>
      </c>
      <c r="B12" s="5" t="s">
        <v>61</v>
      </c>
      <c r="C12" s="16"/>
      <c r="D12" s="5" t="s">
        <v>64</v>
      </c>
    </row>
    <row r="13" customFormat="false" ht="15" hidden="false" customHeight="false" outlineLevel="0" collapsed="false">
      <c r="A13" s="7" t="s">
        <v>65</v>
      </c>
      <c r="B13" s="5" t="s">
        <v>66</v>
      </c>
      <c r="C13" s="16"/>
    </row>
    <row r="14" customFormat="false" ht="15" hidden="false" customHeight="false" outlineLevel="0" collapsed="false">
      <c r="A14" s="7" t="s">
        <v>67</v>
      </c>
      <c r="B14" s="5" t="s">
        <v>68</v>
      </c>
      <c r="C14" s="17"/>
      <c r="D14" s="5" t="s">
        <v>69</v>
      </c>
    </row>
    <row r="15" customFormat="false" ht="15" hidden="false" customHeight="false" outlineLevel="0" collapsed="false">
      <c r="A15" s="7" t="s">
        <v>70</v>
      </c>
      <c r="B15" s="5" t="s">
        <v>27</v>
      </c>
      <c r="C15" s="16"/>
      <c r="D15" s="5" t="s">
        <v>71</v>
      </c>
    </row>
    <row r="16" customFormat="false" ht="15" hidden="false" customHeight="false" outlineLevel="0" collapsed="false">
      <c r="A16" s="7" t="s">
        <v>72</v>
      </c>
      <c r="B16" s="5" t="s">
        <v>73</v>
      </c>
      <c r="C16" s="16"/>
      <c r="D16" s="5" t="s">
        <v>74</v>
      </c>
    </row>
    <row r="17" customFormat="false" ht="15" hidden="false" customHeight="false" outlineLevel="0" collapsed="false">
      <c r="A17" s="7" t="s">
        <v>75</v>
      </c>
      <c r="B17" s="5" t="s">
        <v>76</v>
      </c>
      <c r="C17" s="18"/>
    </row>
    <row r="18" customFormat="false" ht="15" hidden="false" customHeight="false" outlineLevel="0" collapsed="false">
      <c r="A18" s="7" t="s">
        <v>77</v>
      </c>
      <c r="B18" s="5" t="s">
        <v>78</v>
      </c>
      <c r="C18" s="15"/>
    </row>
    <row r="19" customFormat="false" ht="15" hidden="false" customHeight="false" outlineLevel="0" collapsed="false">
      <c r="A19" s="7" t="s">
        <v>79</v>
      </c>
      <c r="B19" s="5" t="s">
        <v>80</v>
      </c>
      <c r="C19" s="15"/>
    </row>
    <row r="20" customFormat="false" ht="15" hidden="false" customHeight="false" outlineLevel="0" collapsed="false">
      <c r="A20" s="7" t="s">
        <v>81</v>
      </c>
      <c r="B20" s="5" t="s">
        <v>27</v>
      </c>
      <c r="C20" s="16"/>
    </row>
    <row r="21" customFormat="false" ht="15" hidden="false" customHeight="false" outlineLevel="0" collapsed="false">
      <c r="A21" s="7" t="s">
        <v>82</v>
      </c>
      <c r="B21" s="5" t="s">
        <v>27</v>
      </c>
      <c r="C21" s="16"/>
      <c r="D21" s="5" t="s">
        <v>83</v>
      </c>
    </row>
    <row r="22" customFormat="false" ht="15" hidden="false" customHeight="false" outlineLevel="0" collapsed="false">
      <c r="A22" s="7" t="s">
        <v>84</v>
      </c>
      <c r="B22" s="5" t="s">
        <v>85</v>
      </c>
      <c r="C22" s="15"/>
    </row>
    <row r="23" customFormat="false" ht="15" hidden="false" customHeight="false" outlineLevel="0" collapsed="false">
      <c r="A23" s="7" t="s">
        <v>86</v>
      </c>
      <c r="B23" s="5" t="s">
        <v>30</v>
      </c>
      <c r="C23" s="17"/>
      <c r="D23" s="5" t="s">
        <v>87</v>
      </c>
    </row>
    <row r="24" customFormat="false" ht="15" hidden="false" customHeight="false" outlineLevel="0" collapsed="false">
      <c r="A24" s="7" t="s">
        <v>88</v>
      </c>
      <c r="B24" s="5" t="s">
        <v>30</v>
      </c>
      <c r="C24" s="17"/>
      <c r="D24" s="5" t="s">
        <v>89</v>
      </c>
    </row>
    <row r="25" customFormat="false" ht="15" hidden="false" customHeight="false" outlineLevel="0" collapsed="false">
      <c r="A25" s="7" t="s">
        <v>90</v>
      </c>
      <c r="B25" s="5" t="s">
        <v>27</v>
      </c>
      <c r="C25" s="16"/>
    </row>
    <row r="27" customFormat="false" ht="15" hidden="false" customHeight="false" outlineLevel="0" collapsed="false">
      <c r="A27" s="12" t="s">
        <v>91</v>
      </c>
      <c r="B27" s="13"/>
      <c r="C27" s="13"/>
      <c r="D27" s="13"/>
      <c r="E27" s="13"/>
      <c r="F27" s="13"/>
      <c r="G27" s="13"/>
      <c r="H27" s="13"/>
      <c r="I27" s="13"/>
      <c r="J27" s="13"/>
      <c r="K27" s="13"/>
      <c r="L27" s="13"/>
      <c r="M27" s="13"/>
      <c r="N27" s="13"/>
    </row>
    <row r="28" customFormat="false" ht="15" hidden="false" customHeight="false" outlineLevel="0" collapsed="false">
      <c r="A28" s="6" t="s">
        <v>92</v>
      </c>
      <c r="B28" s="6" t="s">
        <v>93</v>
      </c>
      <c r="C28" s="6" t="s">
        <v>94</v>
      </c>
      <c r="D28" s="6" t="s">
        <v>95</v>
      </c>
      <c r="E28" s="6" t="s">
        <v>96</v>
      </c>
      <c r="F28" s="6" t="s">
        <v>97</v>
      </c>
      <c r="G28" s="6" t="s">
        <v>98</v>
      </c>
      <c r="H28" s="6" t="s">
        <v>99</v>
      </c>
      <c r="I28" s="6" t="s">
        <v>100</v>
      </c>
      <c r="J28" s="6" t="s">
        <v>101</v>
      </c>
    </row>
    <row r="29" customFormat="false" ht="15" hidden="false" customHeight="false" outlineLevel="0" collapsed="false">
      <c r="A29" s="5"/>
      <c r="B29" s="5"/>
      <c r="C29" s="5" t="s">
        <v>102</v>
      </c>
      <c r="D29" s="5" t="s">
        <v>68</v>
      </c>
      <c r="E29" s="5" t="s">
        <v>68</v>
      </c>
      <c r="F29" s="5" t="s">
        <v>56</v>
      </c>
      <c r="G29" s="5" t="s">
        <v>30</v>
      </c>
      <c r="H29" s="5" t="s">
        <v>30</v>
      </c>
      <c r="I29" s="5" t="s">
        <v>30</v>
      </c>
      <c r="J29" s="5" t="s">
        <v>27</v>
      </c>
    </row>
    <row r="30" customFormat="false" ht="15" hidden="false" customHeight="false" outlineLevel="0" collapsed="false">
      <c r="A30" s="7" t="s">
        <v>103</v>
      </c>
      <c r="B30" s="19" t="n">
        <v>1</v>
      </c>
      <c r="C30" s="16"/>
      <c r="D30" s="17"/>
      <c r="E30" s="17"/>
      <c r="F30" s="20" t="n">
        <f aca="false">$C$8*(1-$C$10-$C$11)*C30</f>
        <v>0</v>
      </c>
      <c r="G30" s="21" t="n">
        <f aca="false">F30*D30/1000</f>
        <v>0</v>
      </c>
      <c r="H30" s="21" t="n">
        <f aca="false">F30*E30/1000</f>
        <v>0</v>
      </c>
      <c r="I30" s="21" t="n">
        <f aca="false">G30-H30</f>
        <v>0</v>
      </c>
      <c r="J30" s="22" t="n">
        <f aca="false">IFERROR(D30/E30-1,0)</f>
        <v>0</v>
      </c>
    </row>
    <row r="31" customFormat="false" ht="15" hidden="false" customHeight="false" outlineLevel="0" collapsed="false">
      <c r="A31" s="7" t="s">
        <v>104</v>
      </c>
      <c r="B31" s="19" t="n">
        <v>0</v>
      </c>
      <c r="C31" s="16"/>
      <c r="D31" s="17"/>
      <c r="E31" s="17"/>
      <c r="F31" s="20" t="n">
        <f aca="false">$C$8*(1-$C$10-$C$11)*C31</f>
        <v>0</v>
      </c>
      <c r="G31" s="21" t="n">
        <f aca="false">F31*D31/1000</f>
        <v>0</v>
      </c>
      <c r="H31" s="21" t="n">
        <f aca="false">F31*E31/1000</f>
        <v>0</v>
      </c>
      <c r="I31" s="21" t="n">
        <f aca="false">G31-H31</f>
        <v>0</v>
      </c>
      <c r="J31" s="22" t="n">
        <f aca="false">IFERROR(D31/E31-1,0)</f>
        <v>0</v>
      </c>
    </row>
    <row r="32" customFormat="false" ht="15" hidden="false" customHeight="false" outlineLevel="0" collapsed="false">
      <c r="A32" s="7" t="s">
        <v>105</v>
      </c>
      <c r="B32" s="19" t="n">
        <v>0</v>
      </c>
      <c r="C32" s="16"/>
      <c r="D32" s="17"/>
      <c r="E32" s="17"/>
      <c r="F32" s="20" t="n">
        <f aca="false">$C$8*(1-$C$10-$C$11)*C32</f>
        <v>0</v>
      </c>
      <c r="G32" s="21" t="n">
        <f aca="false">F32*D32/1000</f>
        <v>0</v>
      </c>
      <c r="H32" s="21" t="n">
        <f aca="false">F32*E32/1000</f>
        <v>0</v>
      </c>
      <c r="I32" s="21" t="n">
        <f aca="false">G32-H32</f>
        <v>0</v>
      </c>
      <c r="J32" s="22" t="n">
        <f aca="false">IFERROR(D32/E32-1,0)</f>
        <v>0</v>
      </c>
    </row>
    <row r="33" customFormat="false" ht="15" hidden="false" customHeight="false" outlineLevel="0" collapsed="false">
      <c r="A33" s="7" t="s">
        <v>106</v>
      </c>
      <c r="B33" s="19" t="n">
        <v>0</v>
      </c>
      <c r="C33" s="16"/>
      <c r="D33" s="17"/>
      <c r="E33" s="17"/>
      <c r="F33" s="20" t="n">
        <f aca="false">$C$8*(1-$C$10-$C$11)*C33</f>
        <v>0</v>
      </c>
      <c r="G33" s="21" t="n">
        <f aca="false">F33*D33/1000</f>
        <v>0</v>
      </c>
      <c r="H33" s="21" t="n">
        <f aca="false">F33*E33/1000</f>
        <v>0</v>
      </c>
      <c r="I33" s="21" t="n">
        <f aca="false">G33-H33</f>
        <v>0</v>
      </c>
      <c r="J33" s="22" t="n">
        <f aca="false">IFERROR(D33/E33-1,0)</f>
        <v>0</v>
      </c>
    </row>
    <row r="34" customFormat="false" ht="15" hidden="false" customHeight="false" outlineLevel="0" collapsed="false">
      <c r="A34" s="7" t="s">
        <v>107</v>
      </c>
      <c r="B34" s="19" t="n">
        <v>0</v>
      </c>
      <c r="C34" s="16"/>
      <c r="D34" s="17"/>
      <c r="E34" s="17"/>
      <c r="F34" s="20" t="n">
        <f aca="false">$C$8*(1-$C$10-$C$11)*C34</f>
        <v>0</v>
      </c>
      <c r="G34" s="21" t="n">
        <f aca="false">F34*D34/1000</f>
        <v>0</v>
      </c>
      <c r="H34" s="21" t="n">
        <f aca="false">F34*E34/1000</f>
        <v>0</v>
      </c>
      <c r="I34" s="21" t="n">
        <f aca="false">G34-H34</f>
        <v>0</v>
      </c>
      <c r="J34" s="22" t="n">
        <f aca="false">IFERROR(D34/E34-1,0)</f>
        <v>0</v>
      </c>
    </row>
    <row r="35" customFormat="false" ht="15" hidden="false" customHeight="false" outlineLevel="0" collapsed="false">
      <c r="A35" s="23" t="s">
        <v>108</v>
      </c>
      <c r="C35" s="24" t="n">
        <f aca="false">SUM(C30:C34)</f>
        <v>0</v>
      </c>
      <c r="F35" s="25" t="n">
        <f aca="false">SUM(F30:F34)</f>
        <v>0</v>
      </c>
      <c r="G35" s="26" t="n">
        <f aca="false">SUM(G30:G34)</f>
        <v>0</v>
      </c>
      <c r="H35" s="26" t="n">
        <f aca="false">SUM(H30:H34)</f>
        <v>0</v>
      </c>
      <c r="I35" s="26" t="n">
        <f aca="false">SUM(I30:I34)</f>
        <v>0</v>
      </c>
      <c r="J35" s="24" t="n">
        <f aca="false">IFERROR(G35/H35-1,0)</f>
        <v>0</v>
      </c>
    </row>
    <row r="36" customFormat="false" ht="15" hidden="false" customHeight="false" outlineLevel="0" collapsed="false">
      <c r="A36" s="5" t="s">
        <v>109</v>
      </c>
    </row>
    <row r="38" customFormat="false" ht="15" hidden="false" customHeight="false" outlineLevel="0" collapsed="false">
      <c r="A38" s="12" t="s">
        <v>110</v>
      </c>
      <c r="B38" s="13"/>
      <c r="C38" s="13"/>
      <c r="D38" s="13"/>
      <c r="E38" s="13"/>
      <c r="F38" s="13"/>
      <c r="G38" s="13"/>
      <c r="H38" s="13"/>
      <c r="I38" s="13"/>
      <c r="J38" s="13"/>
      <c r="K38" s="13"/>
      <c r="L38" s="13"/>
      <c r="M38" s="13"/>
      <c r="N38" s="13"/>
    </row>
    <row r="39" customFormat="false" ht="15" hidden="false" customHeight="false" outlineLevel="0" collapsed="false">
      <c r="A39" s="23" t="s">
        <v>111</v>
      </c>
      <c r="C39" s="27" t="s">
        <v>112</v>
      </c>
      <c r="D39" s="27"/>
    </row>
    <row r="40" customFormat="false" ht="15" hidden="false" customHeight="false" outlineLevel="0" collapsed="false">
      <c r="A40" s="6" t="s">
        <v>49</v>
      </c>
      <c r="B40" s="6" t="s">
        <v>21</v>
      </c>
      <c r="C40" s="6" t="s">
        <v>112</v>
      </c>
      <c r="D40" s="6" t="s">
        <v>113</v>
      </c>
      <c r="E40" s="6" t="s">
        <v>114</v>
      </c>
      <c r="F40" s="6" t="s">
        <v>115</v>
      </c>
      <c r="G40" s="6" t="s">
        <v>116</v>
      </c>
    </row>
    <row r="41" customFormat="false" ht="15" hidden="false" customHeight="false" outlineLevel="0" collapsed="false">
      <c r="A41" s="7" t="s">
        <v>117</v>
      </c>
      <c r="B41" s="5" t="s">
        <v>118</v>
      </c>
      <c r="C41" s="28" t="n">
        <v>0</v>
      </c>
      <c r="D41" s="28" t="n">
        <v>1</v>
      </c>
      <c r="E41" s="28" t="n">
        <v>1</v>
      </c>
      <c r="F41" s="28" t="n">
        <v>1</v>
      </c>
      <c r="G41" s="22" t="n">
        <f aca="false">INDEX(C41:F41,MATCH($C$39,$C$40:$F$40,0))</f>
        <v>0</v>
      </c>
    </row>
    <row r="42" customFormat="false" ht="15" hidden="false" customHeight="false" outlineLevel="0" collapsed="false">
      <c r="A42" s="7" t="s">
        <v>119</v>
      </c>
      <c r="B42" s="5" t="s">
        <v>118</v>
      </c>
      <c r="C42" s="28" t="n">
        <v>0</v>
      </c>
      <c r="D42" s="28" t="n">
        <v>1</v>
      </c>
      <c r="E42" s="28" t="n">
        <v>1</v>
      </c>
      <c r="F42" s="28" t="n">
        <v>1</v>
      </c>
      <c r="G42" s="22" t="n">
        <f aca="false">INDEX(C42:F42,MATCH($C$39,$C$40:$F$40,0))</f>
        <v>0</v>
      </c>
    </row>
    <row r="43" customFormat="false" ht="15" hidden="false" customHeight="false" outlineLevel="0" collapsed="false">
      <c r="A43" s="7" t="s">
        <v>120</v>
      </c>
      <c r="B43" s="5" t="s">
        <v>118</v>
      </c>
      <c r="C43" s="28" t="n">
        <v>0</v>
      </c>
      <c r="D43" s="28" t="n">
        <v>1</v>
      </c>
      <c r="E43" s="28" t="n">
        <v>1</v>
      </c>
      <c r="F43" s="28" t="n">
        <v>1</v>
      </c>
      <c r="G43" s="22" t="n">
        <f aca="false">INDEX(C43:F43,MATCH($C$39,$C$40:$F$40,0))</f>
        <v>0</v>
      </c>
    </row>
    <row r="44" customFormat="false" ht="15" hidden="false" customHeight="false" outlineLevel="0" collapsed="false">
      <c r="A44" s="7" t="s">
        <v>121</v>
      </c>
      <c r="B44" s="5" t="s">
        <v>76</v>
      </c>
      <c r="C44" s="19" t="n">
        <v>0</v>
      </c>
      <c r="D44" s="19" t="n">
        <v>0</v>
      </c>
      <c r="E44" s="19" t="n">
        <v>1</v>
      </c>
      <c r="F44" s="19" t="n">
        <v>1</v>
      </c>
      <c r="G44" s="29" t="n">
        <f aca="false">INDEX(C44:F44,MATCH($C$39,$C$40:$F$40,0))</f>
        <v>0</v>
      </c>
    </row>
    <row r="45" customFormat="false" ht="15" hidden="false" customHeight="false" outlineLevel="0" collapsed="false">
      <c r="A45" s="7" t="s">
        <v>122</v>
      </c>
      <c r="B45" s="5" t="s">
        <v>61</v>
      </c>
      <c r="C45" s="22" t="n">
        <f aca="false">$C$10</f>
        <v>0</v>
      </c>
      <c r="D45" s="22" t="n">
        <f aca="false">$C$10</f>
        <v>0</v>
      </c>
      <c r="E45" s="22" t="n">
        <f aca="false">$C$10</f>
        <v>0</v>
      </c>
      <c r="F45" s="16"/>
      <c r="G45" s="22" t="n">
        <f aca="false">INDEX(C45:F45,MATCH($C$39,$C$40:$F$40,0))</f>
        <v>0</v>
      </c>
    </row>
    <row r="46" customFormat="false" ht="15" hidden="false" customHeight="false" outlineLevel="0" collapsed="false">
      <c r="A46" s="7" t="s">
        <v>123</v>
      </c>
      <c r="B46" s="5" t="s">
        <v>61</v>
      </c>
      <c r="C46" s="22" t="n">
        <f aca="false">$C$11</f>
        <v>0</v>
      </c>
      <c r="D46" s="22" t="n">
        <f aca="false">$C$11</f>
        <v>0</v>
      </c>
      <c r="E46" s="22" t="n">
        <f aca="false">$C$11</f>
        <v>0</v>
      </c>
      <c r="F46" s="16"/>
      <c r="G46" s="22" t="n">
        <f aca="false">INDEX(C46:F46,MATCH($C$39,$C$40:$F$40,0))</f>
        <v>0</v>
      </c>
    </row>
    <row r="47" customFormat="false" ht="15" hidden="false" customHeight="false" outlineLevel="0" collapsed="false">
      <c r="A47" s="7" t="s">
        <v>124</v>
      </c>
      <c r="B47" s="5" t="s">
        <v>66</v>
      </c>
      <c r="C47" s="22" t="n">
        <f aca="false">$C$13</f>
        <v>0</v>
      </c>
      <c r="D47" s="22" t="n">
        <f aca="false">$C$13</f>
        <v>0</v>
      </c>
      <c r="E47" s="22" t="n">
        <f aca="false">$C$13</f>
        <v>0</v>
      </c>
      <c r="F47" s="16"/>
      <c r="G47" s="22" t="n">
        <f aca="false">INDEX(C47:F47,MATCH($C$39,$C$40:$F$40,0))</f>
        <v>0</v>
      </c>
    </row>
    <row r="48" customFormat="false" ht="15" hidden="false" customHeight="false" outlineLevel="0" collapsed="false">
      <c r="A48" s="7" t="s">
        <v>125</v>
      </c>
      <c r="B48" s="5" t="s">
        <v>78</v>
      </c>
      <c r="C48" s="15"/>
      <c r="D48" s="15"/>
      <c r="E48" s="15"/>
      <c r="F48" s="15"/>
      <c r="G48" s="20" t="n">
        <f aca="false">INDEX(C48:F48,MATCH($C$39,$C$40:$F$40,0))</f>
        <v>0</v>
      </c>
    </row>
    <row r="49" customFormat="false" ht="15" hidden="false" customHeight="false" outlineLevel="0" collapsed="false">
      <c r="A49" s="7" t="s">
        <v>126</v>
      </c>
      <c r="B49" s="5" t="s">
        <v>27</v>
      </c>
      <c r="C49" s="28" t="n">
        <v>0</v>
      </c>
      <c r="D49" s="28" t="n">
        <v>0</v>
      </c>
      <c r="E49" s="28" t="n">
        <v>0</v>
      </c>
      <c r="F49" s="16"/>
      <c r="G49" s="22" t="n">
        <f aca="false">INDEX(C49:F49,MATCH($C$39,$C$40:$F$40,0))</f>
        <v>0</v>
      </c>
    </row>
    <row r="50" customFormat="false" ht="15" hidden="false" customHeight="false" outlineLevel="0" collapsed="false">
      <c r="A50" s="7" t="s">
        <v>127</v>
      </c>
      <c r="B50" s="5" t="s">
        <v>27</v>
      </c>
      <c r="C50" s="28" t="n">
        <v>0</v>
      </c>
      <c r="D50" s="28" t="n">
        <v>0</v>
      </c>
      <c r="E50" s="28" t="n">
        <v>0</v>
      </c>
      <c r="F50" s="16"/>
      <c r="G50" s="22" t="n">
        <f aca="false">INDEX(C50:F50,MATCH($C$39,$C$40:$F$40,0))</f>
        <v>0</v>
      </c>
    </row>
    <row r="51" customFormat="false" ht="15" hidden="false" customHeight="false" outlineLevel="0" collapsed="false">
      <c r="A51" s="5" t="s">
        <v>128</v>
      </c>
    </row>
    <row r="53" customFormat="false" ht="15" hidden="false" customHeight="false" outlineLevel="0" collapsed="false">
      <c r="A53" s="12" t="s">
        <v>129</v>
      </c>
      <c r="B53" s="13"/>
      <c r="C53" s="13"/>
      <c r="D53" s="13"/>
      <c r="E53" s="13"/>
      <c r="F53" s="13"/>
      <c r="G53" s="13"/>
      <c r="H53" s="13"/>
      <c r="I53" s="13"/>
      <c r="J53" s="13"/>
      <c r="K53" s="13"/>
      <c r="L53" s="13"/>
      <c r="M53" s="13"/>
      <c r="N53" s="13"/>
    </row>
    <row r="54" customFormat="false" ht="15" hidden="false" customHeight="false" outlineLevel="0" collapsed="false">
      <c r="A54" s="6" t="s">
        <v>20</v>
      </c>
      <c r="B54" s="6" t="s">
        <v>21</v>
      </c>
      <c r="C54" s="30" t="s">
        <v>130</v>
      </c>
      <c r="D54" s="30" t="s">
        <v>131</v>
      </c>
      <c r="E54" s="30" t="s">
        <v>132</v>
      </c>
      <c r="F54" s="30" t="s">
        <v>133</v>
      </c>
      <c r="G54" s="30" t="s">
        <v>134</v>
      </c>
      <c r="H54" s="30" t="s">
        <v>135</v>
      </c>
      <c r="I54" s="30" t="s">
        <v>136</v>
      </c>
      <c r="J54" s="30" t="s">
        <v>137</v>
      </c>
      <c r="K54" s="30" t="s">
        <v>138</v>
      </c>
      <c r="L54" s="30" t="s">
        <v>139</v>
      </c>
      <c r="M54" s="6" t="s">
        <v>140</v>
      </c>
    </row>
    <row r="55" customFormat="false" ht="15" hidden="false" customHeight="false" outlineLevel="0" collapsed="false">
      <c r="A55" s="7" t="s">
        <v>141</v>
      </c>
      <c r="B55" s="5" t="s">
        <v>118</v>
      </c>
      <c r="C55" s="31" t="n">
        <f aca="false">0/9</f>
        <v>0</v>
      </c>
      <c r="D55" s="31" t="n">
        <f aca="false">1/9</f>
        <v>0.111111111111111</v>
      </c>
      <c r="E55" s="31" t="n">
        <f aca="false">2/9</f>
        <v>0.222222222222222</v>
      </c>
      <c r="F55" s="31" t="n">
        <f aca="false">3/9</f>
        <v>0.333333333333333</v>
      </c>
      <c r="G55" s="31" t="n">
        <f aca="false">4/9</f>
        <v>0.444444444444444</v>
      </c>
      <c r="H55" s="31" t="n">
        <f aca="false">5/9</f>
        <v>0.555555555555556</v>
      </c>
      <c r="I55" s="31" t="n">
        <f aca="false">6/9</f>
        <v>0.666666666666667</v>
      </c>
      <c r="J55" s="31" t="n">
        <f aca="false">7/9</f>
        <v>0.777777777777778</v>
      </c>
      <c r="K55" s="31" t="n">
        <f aca="false">8/9</f>
        <v>0.888888888888889</v>
      </c>
      <c r="L55" s="31" t="n">
        <f aca="false">9/9</f>
        <v>1</v>
      </c>
    </row>
    <row r="56" customFormat="false" ht="15" hidden="false" customHeight="false" outlineLevel="0" collapsed="false">
      <c r="A56" s="7" t="s">
        <v>142</v>
      </c>
      <c r="B56" s="5" t="s">
        <v>56</v>
      </c>
      <c r="C56" s="32" t="n">
        <f aca="false">$C$8</f>
        <v>0</v>
      </c>
      <c r="D56" s="32" t="n">
        <f aca="false">C56*(1+$C$9)</f>
        <v>0</v>
      </c>
      <c r="E56" s="32" t="n">
        <f aca="false">D56*(1+$C$9)</f>
        <v>0</v>
      </c>
      <c r="F56" s="32" t="n">
        <f aca="false">E56*(1+$C$9)</f>
        <v>0</v>
      </c>
      <c r="G56" s="32" t="n">
        <f aca="false">F56*(1+$C$9)</f>
        <v>0</v>
      </c>
      <c r="H56" s="32" t="n">
        <f aca="false">G56*(1+$C$9)</f>
        <v>0</v>
      </c>
      <c r="I56" s="32" t="n">
        <f aca="false">H56*(1+$C$9)</f>
        <v>0</v>
      </c>
      <c r="J56" s="32" t="n">
        <f aca="false">I56*(1+$C$9)</f>
        <v>0</v>
      </c>
      <c r="K56" s="32" t="n">
        <f aca="false">J56*(1+$C$9)</f>
        <v>0</v>
      </c>
      <c r="L56" s="32" t="n">
        <f aca="false">K56*(1+$C$9)</f>
        <v>0</v>
      </c>
    </row>
    <row r="57" customFormat="false" ht="15" hidden="false" customHeight="false" outlineLevel="0" collapsed="false">
      <c r="A57" s="7" t="s">
        <v>60</v>
      </c>
      <c r="B57" s="5" t="s">
        <v>27</v>
      </c>
      <c r="C57" s="31" t="n">
        <f aca="false">$C$10+($G$45-$C$10)*C$55</f>
        <v>0</v>
      </c>
      <c r="D57" s="31" t="n">
        <f aca="false">$C$10+($G$45-$C$10)*D$55</f>
        <v>0</v>
      </c>
      <c r="E57" s="31" t="n">
        <f aca="false">$C$10+($G$45-$C$10)*E$55</f>
        <v>0</v>
      </c>
      <c r="F57" s="31" t="n">
        <f aca="false">$C$10+($G$45-$C$10)*F$55</f>
        <v>0</v>
      </c>
      <c r="G57" s="31" t="n">
        <f aca="false">$C$10+($G$45-$C$10)*G$55</f>
        <v>0</v>
      </c>
      <c r="H57" s="31" t="n">
        <f aca="false">$C$10+($G$45-$C$10)*H$55</f>
        <v>0</v>
      </c>
      <c r="I57" s="31" t="n">
        <f aca="false">$C$10+($G$45-$C$10)*I$55</f>
        <v>0</v>
      </c>
      <c r="J57" s="31" t="n">
        <f aca="false">$C$10+($G$45-$C$10)*J$55</f>
        <v>0</v>
      </c>
      <c r="K57" s="31" t="n">
        <f aca="false">$C$10+($G$45-$C$10)*K$55</f>
        <v>0</v>
      </c>
      <c r="L57" s="31" t="n">
        <f aca="false">$C$10+($G$45-$C$10)*L$55</f>
        <v>0</v>
      </c>
    </row>
    <row r="58" customFormat="false" ht="15" hidden="false" customHeight="false" outlineLevel="0" collapsed="false">
      <c r="A58" s="7" t="s">
        <v>143</v>
      </c>
      <c r="B58" s="5" t="s">
        <v>27</v>
      </c>
      <c r="C58" s="31" t="n">
        <f aca="false">$C$11+($G$46-$C$11)*C$55</f>
        <v>0</v>
      </c>
      <c r="D58" s="31" t="n">
        <f aca="false">$C$11+($G$46-$C$11)*D$55</f>
        <v>0</v>
      </c>
      <c r="E58" s="31" t="n">
        <f aca="false">$C$11+($G$46-$C$11)*E$55</f>
        <v>0</v>
      </c>
      <c r="F58" s="31" t="n">
        <f aca="false">$C$11+($G$46-$C$11)*F$55</f>
        <v>0</v>
      </c>
      <c r="G58" s="31" t="n">
        <f aca="false">$C$11+($G$46-$C$11)*G$55</f>
        <v>0</v>
      </c>
      <c r="H58" s="31" t="n">
        <f aca="false">$C$11+($G$46-$C$11)*H$55</f>
        <v>0</v>
      </c>
      <c r="I58" s="31" t="n">
        <f aca="false">$C$11+($G$46-$C$11)*I$55</f>
        <v>0</v>
      </c>
      <c r="J58" s="31" t="n">
        <f aca="false">$C$11+($G$46-$C$11)*J$55</f>
        <v>0</v>
      </c>
      <c r="K58" s="31" t="n">
        <f aca="false">$C$11+($G$46-$C$11)*K$55</f>
        <v>0</v>
      </c>
      <c r="L58" s="31" t="n">
        <f aca="false">$C$11+($G$46-$C$11)*L$55</f>
        <v>0</v>
      </c>
    </row>
    <row r="59" customFormat="false" ht="15" hidden="false" customHeight="false" outlineLevel="0" collapsed="false">
      <c r="A59" s="7" t="s">
        <v>144</v>
      </c>
      <c r="B59" s="5" t="s">
        <v>27</v>
      </c>
      <c r="C59" s="31" t="n">
        <f aca="false">$C$13+($G$47-$C$13)*C$55</f>
        <v>0</v>
      </c>
      <c r="D59" s="31" t="n">
        <f aca="false">$C$13+($G$47-$C$13)*D$55</f>
        <v>0</v>
      </c>
      <c r="E59" s="31" t="n">
        <f aca="false">$C$13+($G$47-$C$13)*E$55</f>
        <v>0</v>
      </c>
      <c r="F59" s="31" t="n">
        <f aca="false">$C$13+($G$47-$C$13)*F$55</f>
        <v>0</v>
      </c>
      <c r="G59" s="31" t="n">
        <f aca="false">$C$13+($G$47-$C$13)*G$55</f>
        <v>0</v>
      </c>
      <c r="H59" s="31" t="n">
        <f aca="false">$C$13+($G$47-$C$13)*H$55</f>
        <v>0</v>
      </c>
      <c r="I59" s="31" t="n">
        <f aca="false">$C$13+($G$47-$C$13)*I$55</f>
        <v>0</v>
      </c>
      <c r="J59" s="31" t="n">
        <f aca="false">$C$13+($G$47-$C$13)*J$55</f>
        <v>0</v>
      </c>
      <c r="K59" s="31" t="n">
        <f aca="false">$C$13+($G$47-$C$13)*K$55</f>
        <v>0</v>
      </c>
      <c r="L59" s="31" t="n">
        <f aca="false">$C$13+($G$47-$C$13)*L$55</f>
        <v>0</v>
      </c>
    </row>
    <row r="60" customFormat="false" ht="15" hidden="false" customHeight="false" outlineLevel="0" collapsed="false">
      <c r="A60" s="7" t="s">
        <v>145</v>
      </c>
      <c r="B60" s="5" t="s">
        <v>56</v>
      </c>
      <c r="C60" s="32" t="n">
        <f aca="false">C56*(1-C57-C58)</f>
        <v>0</v>
      </c>
      <c r="D60" s="32" t="n">
        <f aca="false">D56*(1-D57-D58)</f>
        <v>0</v>
      </c>
      <c r="E60" s="32" t="n">
        <f aca="false">E56*(1-E57-E58)</f>
        <v>0</v>
      </c>
      <c r="F60" s="32" t="n">
        <f aca="false">F56*(1-F57-F58)</f>
        <v>0</v>
      </c>
      <c r="G60" s="32" t="n">
        <f aca="false">G56*(1-G57-G58)</f>
        <v>0</v>
      </c>
      <c r="H60" s="32" t="n">
        <f aca="false">H56*(1-H57-H58)</f>
        <v>0</v>
      </c>
      <c r="I60" s="32" t="n">
        <f aca="false">I56*(1-I57-I58)</f>
        <v>0</v>
      </c>
      <c r="J60" s="32" t="n">
        <f aca="false">J56*(1-J57-J58)</f>
        <v>0</v>
      </c>
      <c r="K60" s="32" t="n">
        <f aca="false">K56*(1-K57-K58)</f>
        <v>0</v>
      </c>
      <c r="L60" s="32" t="n">
        <f aca="false">L56*(1-L57-L58)</f>
        <v>0</v>
      </c>
    </row>
    <row r="61" customFormat="false" ht="15" hidden="false" customHeight="false" outlineLevel="0" collapsed="false">
      <c r="A61" s="7" t="s">
        <v>146</v>
      </c>
      <c r="B61" s="5" t="s">
        <v>68</v>
      </c>
      <c r="C61" s="33" t="n">
        <f aca="false">$D$30+($E$30-$D$30)*IF($B$30=1,$G$42,IF($D$30&lt;$E$30,$G$41,$G$43))*C$55</f>
        <v>0</v>
      </c>
      <c r="D61" s="33" t="n">
        <f aca="false">$D$30+($E$30-$D$30)*IF($B$30=1,$G$42,IF($D$30&lt;$E$30,$G$41,$G$43))*D$55</f>
        <v>0</v>
      </c>
      <c r="E61" s="33" t="n">
        <f aca="false">$D$30+($E$30-$D$30)*IF($B$30=1,$G$42,IF($D$30&lt;$E$30,$G$41,$G$43))*E$55</f>
        <v>0</v>
      </c>
      <c r="F61" s="33" t="n">
        <f aca="false">$D$30+($E$30-$D$30)*IF($B$30=1,$G$42,IF($D$30&lt;$E$30,$G$41,$G$43))*F$55</f>
        <v>0</v>
      </c>
      <c r="G61" s="33" t="n">
        <f aca="false">$D$30+($E$30-$D$30)*IF($B$30=1,$G$42,IF($D$30&lt;$E$30,$G$41,$G$43))*G$55</f>
        <v>0</v>
      </c>
      <c r="H61" s="33" t="n">
        <f aca="false">$D$30+($E$30-$D$30)*IF($B$30=1,$G$42,IF($D$30&lt;$E$30,$G$41,$G$43))*H$55</f>
        <v>0</v>
      </c>
      <c r="I61" s="33" t="n">
        <f aca="false">$D$30+($E$30-$D$30)*IF($B$30=1,$G$42,IF($D$30&lt;$E$30,$G$41,$G$43))*I$55</f>
        <v>0</v>
      </c>
      <c r="J61" s="33" t="n">
        <f aca="false">$D$30+($E$30-$D$30)*IF($B$30=1,$G$42,IF($D$30&lt;$E$30,$G$41,$G$43))*J$55</f>
        <v>0</v>
      </c>
      <c r="K61" s="33" t="n">
        <f aca="false">$D$30+($E$30-$D$30)*IF($B$30=1,$G$42,IF($D$30&lt;$E$30,$G$41,$G$43))*K$55</f>
        <v>0</v>
      </c>
      <c r="L61" s="33" t="n">
        <f aca="false">$D$30+($E$30-$D$30)*IF($B$30=1,$G$42,IF($D$30&lt;$E$30,$G$41,$G$43))*L$55</f>
        <v>0</v>
      </c>
    </row>
    <row r="62" customFormat="false" ht="15" hidden="false" customHeight="false" outlineLevel="0" collapsed="false">
      <c r="A62" s="7" t="s">
        <v>147</v>
      </c>
      <c r="B62" s="5" t="s">
        <v>68</v>
      </c>
      <c r="C62" s="33" t="n">
        <f aca="false">$D$31+($E$31-$D$31)*IF($B$31=1,$G$42,IF($D$31&lt;$E$31,$G$41,$G$43))*C$55</f>
        <v>0</v>
      </c>
      <c r="D62" s="33" t="n">
        <f aca="false">$D$31+($E$31-$D$31)*IF($B$31=1,$G$42,IF($D$31&lt;$E$31,$G$41,$G$43))*D$55</f>
        <v>0</v>
      </c>
      <c r="E62" s="33" t="n">
        <f aca="false">$D$31+($E$31-$D$31)*IF($B$31=1,$G$42,IF($D$31&lt;$E$31,$G$41,$G$43))*E$55</f>
        <v>0</v>
      </c>
      <c r="F62" s="33" t="n">
        <f aca="false">$D$31+($E$31-$D$31)*IF($B$31=1,$G$42,IF($D$31&lt;$E$31,$G$41,$G$43))*F$55</f>
        <v>0</v>
      </c>
      <c r="G62" s="33" t="n">
        <f aca="false">$D$31+($E$31-$D$31)*IF($B$31=1,$G$42,IF($D$31&lt;$E$31,$G$41,$G$43))*G$55</f>
        <v>0</v>
      </c>
      <c r="H62" s="33" t="n">
        <f aca="false">$D$31+($E$31-$D$31)*IF($B$31=1,$G$42,IF($D$31&lt;$E$31,$G$41,$G$43))*H$55</f>
        <v>0</v>
      </c>
      <c r="I62" s="33" t="n">
        <f aca="false">$D$31+($E$31-$D$31)*IF($B$31=1,$G$42,IF($D$31&lt;$E$31,$G$41,$G$43))*I$55</f>
        <v>0</v>
      </c>
      <c r="J62" s="33" t="n">
        <f aca="false">$D$31+($E$31-$D$31)*IF($B$31=1,$G$42,IF($D$31&lt;$E$31,$G$41,$G$43))*J$55</f>
        <v>0</v>
      </c>
      <c r="K62" s="33" t="n">
        <f aca="false">$D$31+($E$31-$D$31)*IF($B$31=1,$G$42,IF($D$31&lt;$E$31,$G$41,$G$43))*K$55</f>
        <v>0</v>
      </c>
      <c r="L62" s="33" t="n">
        <f aca="false">$D$31+($E$31-$D$31)*IF($B$31=1,$G$42,IF($D$31&lt;$E$31,$G$41,$G$43))*L$55</f>
        <v>0</v>
      </c>
    </row>
    <row r="63" customFormat="false" ht="15" hidden="false" customHeight="false" outlineLevel="0" collapsed="false">
      <c r="A63" s="7" t="s">
        <v>148</v>
      </c>
      <c r="B63" s="5" t="s">
        <v>68</v>
      </c>
      <c r="C63" s="33" t="n">
        <f aca="false">$D$32+($E$32-$D$32)*IF($B$32=1,$G$42,IF($D$32&lt;$E$32,$G$41,$G$43))*C$55</f>
        <v>0</v>
      </c>
      <c r="D63" s="33" t="n">
        <f aca="false">$D$32+($E$32-$D$32)*IF($B$32=1,$G$42,IF($D$32&lt;$E$32,$G$41,$G$43))*D$55</f>
        <v>0</v>
      </c>
      <c r="E63" s="33" t="n">
        <f aca="false">$D$32+($E$32-$D$32)*IF($B$32=1,$G$42,IF($D$32&lt;$E$32,$G$41,$G$43))*E$55</f>
        <v>0</v>
      </c>
      <c r="F63" s="33" t="n">
        <f aca="false">$D$32+($E$32-$D$32)*IF($B$32=1,$G$42,IF($D$32&lt;$E$32,$G$41,$G$43))*F$55</f>
        <v>0</v>
      </c>
      <c r="G63" s="33" t="n">
        <f aca="false">$D$32+($E$32-$D$32)*IF($B$32=1,$G$42,IF($D$32&lt;$E$32,$G$41,$G$43))*G$55</f>
        <v>0</v>
      </c>
      <c r="H63" s="33" t="n">
        <f aca="false">$D$32+($E$32-$D$32)*IF($B$32=1,$G$42,IF($D$32&lt;$E$32,$G$41,$G$43))*H$55</f>
        <v>0</v>
      </c>
      <c r="I63" s="33" t="n">
        <f aca="false">$D$32+($E$32-$D$32)*IF($B$32=1,$G$42,IF($D$32&lt;$E$32,$G$41,$G$43))*I$55</f>
        <v>0</v>
      </c>
      <c r="J63" s="33" t="n">
        <f aca="false">$D$32+($E$32-$D$32)*IF($B$32=1,$G$42,IF($D$32&lt;$E$32,$G$41,$G$43))*J$55</f>
        <v>0</v>
      </c>
      <c r="K63" s="33" t="n">
        <f aca="false">$D$32+($E$32-$D$32)*IF($B$32=1,$G$42,IF($D$32&lt;$E$32,$G$41,$G$43))*K$55</f>
        <v>0</v>
      </c>
      <c r="L63" s="33" t="n">
        <f aca="false">$D$32+($E$32-$D$32)*IF($B$32=1,$G$42,IF($D$32&lt;$E$32,$G$41,$G$43))*L$55</f>
        <v>0</v>
      </c>
    </row>
    <row r="64" customFormat="false" ht="15" hidden="false" customHeight="false" outlineLevel="0" collapsed="false">
      <c r="A64" s="7" t="s">
        <v>149</v>
      </c>
      <c r="B64" s="5" t="s">
        <v>68</v>
      </c>
      <c r="C64" s="33" t="n">
        <f aca="false">$D$33+($E$33-$D$33)*IF($B$33=1,$G$42,IF($D$33&lt;$E$33,$G$41,$G$43))*C$55</f>
        <v>0</v>
      </c>
      <c r="D64" s="33" t="n">
        <f aca="false">$D$33+($E$33-$D$33)*IF($B$33=1,$G$42,IF($D$33&lt;$E$33,$G$41,$G$43))*D$55</f>
        <v>0</v>
      </c>
      <c r="E64" s="33" t="n">
        <f aca="false">$D$33+($E$33-$D$33)*IF($B$33=1,$G$42,IF($D$33&lt;$E$33,$G$41,$G$43))*E$55</f>
        <v>0</v>
      </c>
      <c r="F64" s="33" t="n">
        <f aca="false">$D$33+($E$33-$D$33)*IF($B$33=1,$G$42,IF($D$33&lt;$E$33,$G$41,$G$43))*F$55</f>
        <v>0</v>
      </c>
      <c r="G64" s="33" t="n">
        <f aca="false">$D$33+($E$33-$D$33)*IF($B$33=1,$G$42,IF($D$33&lt;$E$33,$G$41,$G$43))*G$55</f>
        <v>0</v>
      </c>
      <c r="H64" s="33" t="n">
        <f aca="false">$D$33+($E$33-$D$33)*IF($B$33=1,$G$42,IF($D$33&lt;$E$33,$G$41,$G$43))*H$55</f>
        <v>0</v>
      </c>
      <c r="I64" s="33" t="n">
        <f aca="false">$D$33+($E$33-$D$33)*IF($B$33=1,$G$42,IF($D$33&lt;$E$33,$G$41,$G$43))*I$55</f>
        <v>0</v>
      </c>
      <c r="J64" s="33" t="n">
        <f aca="false">$D$33+($E$33-$D$33)*IF($B$33=1,$G$42,IF($D$33&lt;$E$33,$G$41,$G$43))*J$55</f>
        <v>0</v>
      </c>
      <c r="K64" s="33" t="n">
        <f aca="false">$D$33+($E$33-$D$33)*IF($B$33=1,$G$42,IF($D$33&lt;$E$33,$G$41,$G$43))*K$55</f>
        <v>0</v>
      </c>
      <c r="L64" s="33" t="n">
        <f aca="false">$D$33+($E$33-$D$33)*IF($B$33=1,$G$42,IF($D$33&lt;$E$33,$G$41,$G$43))*L$55</f>
        <v>0</v>
      </c>
    </row>
    <row r="65" customFormat="false" ht="15" hidden="false" customHeight="false" outlineLevel="0" collapsed="false">
      <c r="A65" s="7" t="s">
        <v>150</v>
      </c>
      <c r="B65" s="5" t="s">
        <v>68</v>
      </c>
      <c r="C65" s="33" t="n">
        <f aca="false">$D$34+($E$34-$D$34)*IF($B$34=1,$G$42,IF($D$34&lt;$E$34,$G$41,$G$43))*C$55</f>
        <v>0</v>
      </c>
      <c r="D65" s="33" t="n">
        <f aca="false">$D$34+($E$34-$D$34)*IF($B$34=1,$G$42,IF($D$34&lt;$E$34,$G$41,$G$43))*D$55</f>
        <v>0</v>
      </c>
      <c r="E65" s="33" t="n">
        <f aca="false">$D$34+($E$34-$D$34)*IF($B$34=1,$G$42,IF($D$34&lt;$E$34,$G$41,$G$43))*E$55</f>
        <v>0</v>
      </c>
      <c r="F65" s="33" t="n">
        <f aca="false">$D$34+($E$34-$D$34)*IF($B$34=1,$G$42,IF($D$34&lt;$E$34,$G$41,$G$43))*F$55</f>
        <v>0</v>
      </c>
      <c r="G65" s="33" t="n">
        <f aca="false">$D$34+($E$34-$D$34)*IF($B$34=1,$G$42,IF($D$34&lt;$E$34,$G$41,$G$43))*G$55</f>
        <v>0</v>
      </c>
      <c r="H65" s="33" t="n">
        <f aca="false">$D$34+($E$34-$D$34)*IF($B$34=1,$G$42,IF($D$34&lt;$E$34,$G$41,$G$43))*H$55</f>
        <v>0</v>
      </c>
      <c r="I65" s="33" t="n">
        <f aca="false">$D$34+($E$34-$D$34)*IF($B$34=1,$G$42,IF($D$34&lt;$E$34,$G$41,$G$43))*I$55</f>
        <v>0</v>
      </c>
      <c r="J65" s="33" t="n">
        <f aca="false">$D$34+($E$34-$D$34)*IF($B$34=1,$G$42,IF($D$34&lt;$E$34,$G$41,$G$43))*J$55</f>
        <v>0</v>
      </c>
      <c r="K65" s="33" t="n">
        <f aca="false">$D$34+($E$34-$D$34)*IF($B$34=1,$G$42,IF($D$34&lt;$E$34,$G$41,$G$43))*K$55</f>
        <v>0</v>
      </c>
      <c r="L65" s="33" t="n">
        <f aca="false">$D$34+($E$34-$D$34)*IF($B$34=1,$G$42,IF($D$34&lt;$E$34,$G$41,$G$43))*L$55</f>
        <v>0</v>
      </c>
    </row>
    <row r="66" customFormat="false" ht="15" hidden="false" customHeight="false" outlineLevel="0" collapsed="false">
      <c r="A66" s="7" t="s">
        <v>151</v>
      </c>
      <c r="B66" s="5" t="s">
        <v>56</v>
      </c>
      <c r="C66" s="32" t="n">
        <f aca="false">C60*$C$30</f>
        <v>0</v>
      </c>
      <c r="D66" s="32" t="n">
        <f aca="false">D60*$C$30</f>
        <v>0</v>
      </c>
      <c r="E66" s="32" t="n">
        <f aca="false">E60*$C$30</f>
        <v>0</v>
      </c>
      <c r="F66" s="32" t="n">
        <f aca="false">F60*$C$30</f>
        <v>0</v>
      </c>
      <c r="G66" s="32" t="n">
        <f aca="false">G60*$C$30</f>
        <v>0</v>
      </c>
      <c r="H66" s="32" t="n">
        <f aca="false">H60*$C$30</f>
        <v>0</v>
      </c>
      <c r="I66" s="32" t="n">
        <f aca="false">I60*$C$30</f>
        <v>0</v>
      </c>
      <c r="J66" s="32" t="n">
        <f aca="false">J60*$C$30</f>
        <v>0</v>
      </c>
      <c r="K66" s="32" t="n">
        <f aca="false">K60*$C$30</f>
        <v>0</v>
      </c>
      <c r="L66" s="32" t="n">
        <f aca="false">L60*$C$30</f>
        <v>0</v>
      </c>
    </row>
    <row r="67" customFormat="false" ht="15" hidden="false" customHeight="false" outlineLevel="0" collapsed="false">
      <c r="A67" s="7" t="s">
        <v>152</v>
      </c>
      <c r="B67" s="5" t="s">
        <v>56</v>
      </c>
      <c r="C67" s="32" t="n">
        <f aca="false">C60*$C$31</f>
        <v>0</v>
      </c>
      <c r="D67" s="32" t="n">
        <f aca="false">D60*$C$31</f>
        <v>0</v>
      </c>
      <c r="E67" s="32" t="n">
        <f aca="false">E60*$C$31</f>
        <v>0</v>
      </c>
      <c r="F67" s="32" t="n">
        <f aca="false">F60*$C$31</f>
        <v>0</v>
      </c>
      <c r="G67" s="32" t="n">
        <f aca="false">G60*$C$31</f>
        <v>0</v>
      </c>
      <c r="H67" s="32" t="n">
        <f aca="false">H60*$C$31</f>
        <v>0</v>
      </c>
      <c r="I67" s="32" t="n">
        <f aca="false">I60*$C$31</f>
        <v>0</v>
      </c>
      <c r="J67" s="32" t="n">
        <f aca="false">J60*$C$31</f>
        <v>0</v>
      </c>
      <c r="K67" s="32" t="n">
        <f aca="false">K60*$C$31</f>
        <v>0</v>
      </c>
      <c r="L67" s="32" t="n">
        <f aca="false">L60*$C$31</f>
        <v>0</v>
      </c>
    </row>
    <row r="68" customFormat="false" ht="15" hidden="false" customHeight="false" outlineLevel="0" collapsed="false">
      <c r="A68" s="7" t="s">
        <v>153</v>
      </c>
      <c r="B68" s="5" t="s">
        <v>56</v>
      </c>
      <c r="C68" s="32" t="n">
        <f aca="false">C60*$C$32</f>
        <v>0</v>
      </c>
      <c r="D68" s="32" t="n">
        <f aca="false">D60*$C$32</f>
        <v>0</v>
      </c>
      <c r="E68" s="32" t="n">
        <f aca="false">E60*$C$32</f>
        <v>0</v>
      </c>
      <c r="F68" s="32" t="n">
        <f aca="false">F60*$C$32</f>
        <v>0</v>
      </c>
      <c r="G68" s="32" t="n">
        <f aca="false">G60*$C$32</f>
        <v>0</v>
      </c>
      <c r="H68" s="32" t="n">
        <f aca="false">H60*$C$32</f>
        <v>0</v>
      </c>
      <c r="I68" s="32" t="n">
        <f aca="false">I60*$C$32</f>
        <v>0</v>
      </c>
      <c r="J68" s="32" t="n">
        <f aca="false">J60*$C$32</f>
        <v>0</v>
      </c>
      <c r="K68" s="32" t="n">
        <f aca="false">K60*$C$32</f>
        <v>0</v>
      </c>
      <c r="L68" s="32" t="n">
        <f aca="false">L60*$C$32</f>
        <v>0</v>
      </c>
    </row>
    <row r="69" customFormat="false" ht="15" hidden="false" customHeight="false" outlineLevel="0" collapsed="false">
      <c r="A69" s="7" t="s">
        <v>154</v>
      </c>
      <c r="B69" s="5" t="s">
        <v>56</v>
      </c>
      <c r="C69" s="32" t="n">
        <f aca="false">C60*$C$33</f>
        <v>0</v>
      </c>
      <c r="D69" s="32" t="n">
        <f aca="false">D60*$C$33</f>
        <v>0</v>
      </c>
      <c r="E69" s="32" t="n">
        <f aca="false">E60*$C$33</f>
        <v>0</v>
      </c>
      <c r="F69" s="32" t="n">
        <f aca="false">F60*$C$33</f>
        <v>0</v>
      </c>
      <c r="G69" s="32" t="n">
        <f aca="false">G60*$C$33</f>
        <v>0</v>
      </c>
      <c r="H69" s="32" t="n">
        <f aca="false">H60*$C$33</f>
        <v>0</v>
      </c>
      <c r="I69" s="32" t="n">
        <f aca="false">I60*$C$33</f>
        <v>0</v>
      </c>
      <c r="J69" s="32" t="n">
        <f aca="false">J60*$C$33</f>
        <v>0</v>
      </c>
      <c r="K69" s="32" t="n">
        <f aca="false">K60*$C$33</f>
        <v>0</v>
      </c>
      <c r="L69" s="32" t="n">
        <f aca="false">L60*$C$33</f>
        <v>0</v>
      </c>
    </row>
    <row r="70" customFormat="false" ht="15" hidden="false" customHeight="false" outlineLevel="0" collapsed="false">
      <c r="A70" s="7" t="s">
        <v>155</v>
      </c>
      <c r="B70" s="5" t="s">
        <v>56</v>
      </c>
      <c r="C70" s="32" t="n">
        <f aca="false">C60*$C$34</f>
        <v>0</v>
      </c>
      <c r="D70" s="32" t="n">
        <f aca="false">D60*$C$34</f>
        <v>0</v>
      </c>
      <c r="E70" s="32" t="n">
        <f aca="false">E60*$C$34</f>
        <v>0</v>
      </c>
      <c r="F70" s="32" t="n">
        <f aca="false">F60*$C$34</f>
        <v>0</v>
      </c>
      <c r="G70" s="32" t="n">
        <f aca="false">G60*$C$34</f>
        <v>0</v>
      </c>
      <c r="H70" s="32" t="n">
        <f aca="false">H60*$C$34</f>
        <v>0</v>
      </c>
      <c r="I70" s="32" t="n">
        <f aca="false">I60*$C$34</f>
        <v>0</v>
      </c>
      <c r="J70" s="32" t="n">
        <f aca="false">J60*$C$34</f>
        <v>0</v>
      </c>
      <c r="K70" s="32" t="n">
        <f aca="false">K60*$C$34</f>
        <v>0</v>
      </c>
      <c r="L70" s="32" t="n">
        <f aca="false">L60*$C$34</f>
        <v>0</v>
      </c>
    </row>
    <row r="71" customFormat="false" ht="15" hidden="false" customHeight="false" outlineLevel="0" collapsed="false">
      <c r="A71" s="7" t="s">
        <v>156</v>
      </c>
      <c r="B71" s="5" t="s">
        <v>30</v>
      </c>
      <c r="C71" s="33" t="n">
        <f aca="false">(C61*C66+C62*C67+C63*C68+C64*C69+C65*C70)/1000</f>
        <v>0</v>
      </c>
      <c r="D71" s="33" t="n">
        <f aca="false">(D61*D66+D62*D67+D63*D68+D64*D69+D65*D70)/1000</f>
        <v>0</v>
      </c>
      <c r="E71" s="33" t="n">
        <f aca="false">(E61*E66+E62*E67+E63*E68+E64*E69+E65*E70)/1000</f>
        <v>0</v>
      </c>
      <c r="F71" s="33" t="n">
        <f aca="false">(F61*F66+F62*F67+F63*F68+F64*F69+F65*F70)/1000</f>
        <v>0</v>
      </c>
      <c r="G71" s="33" t="n">
        <f aca="false">(G61*G66+G62*G67+G63*G68+G64*G69+G65*G70)/1000</f>
        <v>0</v>
      </c>
      <c r="H71" s="33" t="n">
        <f aca="false">(H61*H66+H62*H67+H63*H68+H64*H69+H65*H70)/1000</f>
        <v>0</v>
      </c>
      <c r="I71" s="33" t="n">
        <f aca="false">(I61*I66+I62*I67+I63*I68+I64*I69+I65*I70)/1000</f>
        <v>0</v>
      </c>
      <c r="J71" s="33" t="n">
        <f aca="false">(J61*J66+J62*J67+J63*J68+J64*J69+J65*J70)/1000</f>
        <v>0</v>
      </c>
      <c r="K71" s="33" t="n">
        <f aca="false">(K61*K66+K62*K67+K63*K68+K64*K69+K65*K70)/1000</f>
        <v>0</v>
      </c>
      <c r="L71" s="33" t="n">
        <f aca="false">(L61*L66+L62*L67+L63*L68+L64*L69+L65*L70)/1000</f>
        <v>0</v>
      </c>
      <c r="M71" s="26" t="n">
        <f aca="false">SUM(D71:L71)</f>
        <v>0</v>
      </c>
    </row>
    <row r="72" customFormat="false" ht="15" hidden="false" customHeight="false" outlineLevel="0" collapsed="false">
      <c r="A72" s="7" t="s">
        <v>157</v>
      </c>
      <c r="B72" s="5" t="s">
        <v>30</v>
      </c>
      <c r="C72" s="33" t="n">
        <f aca="false">($E$30*C66+$E$31*C67+$E$32*C68+$E$33*C69+$E$34*C70)/1000</f>
        <v>0</v>
      </c>
      <c r="D72" s="33" t="n">
        <f aca="false">($E$30*D66+$E$31*D67+$E$32*D68+$E$33*D69+$E$34*D70)/1000</f>
        <v>0</v>
      </c>
      <c r="E72" s="33" t="n">
        <f aca="false">($E$30*E66+$E$31*E67+$E$32*E68+$E$33*E69+$E$34*E70)/1000</f>
        <v>0</v>
      </c>
      <c r="F72" s="33" t="n">
        <f aca="false">($E$30*F66+$E$31*F67+$E$32*F68+$E$33*F69+$E$34*F70)/1000</f>
        <v>0</v>
      </c>
      <c r="G72" s="33" t="n">
        <f aca="false">($E$30*G66+$E$31*G67+$E$32*G68+$E$33*G69+$E$34*G70)/1000</f>
        <v>0</v>
      </c>
      <c r="H72" s="33" t="n">
        <f aca="false">($E$30*H66+$E$31*H67+$E$32*H68+$E$33*H69+$E$34*H70)/1000</f>
        <v>0</v>
      </c>
      <c r="I72" s="33" t="n">
        <f aca="false">($E$30*I66+$E$31*I67+$E$32*I68+$E$33*I69+$E$34*I70)/1000</f>
        <v>0</v>
      </c>
      <c r="J72" s="33" t="n">
        <f aca="false">($E$30*J66+$E$31*J67+$E$32*J68+$E$33*J69+$E$34*J70)/1000</f>
        <v>0</v>
      </c>
      <c r="K72" s="33" t="n">
        <f aca="false">($E$30*K66+$E$31*K67+$E$32*K68+$E$33*K69+$E$34*K70)/1000</f>
        <v>0</v>
      </c>
      <c r="L72" s="33" t="n">
        <f aca="false">($E$30*L66+$E$31*L67+$E$32*L68+$E$33*L69+$E$34*L70)/1000</f>
        <v>0</v>
      </c>
      <c r="M72" s="26" t="n">
        <f aca="false">SUM(D72:L72)</f>
        <v>0</v>
      </c>
    </row>
    <row r="73" customFormat="false" ht="15" hidden="false" customHeight="false" outlineLevel="0" collapsed="false">
      <c r="A73" s="7" t="s">
        <v>158</v>
      </c>
      <c r="B73" s="5" t="s">
        <v>30</v>
      </c>
      <c r="C73" s="33" t="n">
        <f aca="false">C56*MAX(0,C57+C58-$C$12)*$C$14/1000</f>
        <v>0</v>
      </c>
      <c r="D73" s="33" t="n">
        <f aca="false">D56*MAX(0,D57+D58-$C$12)*$C$14/1000</f>
        <v>0</v>
      </c>
      <c r="E73" s="33" t="n">
        <f aca="false">E56*MAX(0,E57+E58-$C$12)*$C$14/1000</f>
        <v>0</v>
      </c>
      <c r="F73" s="33" t="n">
        <f aca="false">F56*MAX(0,F57+F58-$C$12)*$C$14/1000</f>
        <v>0</v>
      </c>
      <c r="G73" s="33" t="n">
        <f aca="false">G56*MAX(0,G57+G58-$C$12)*$C$14/1000</f>
        <v>0</v>
      </c>
      <c r="H73" s="33" t="n">
        <f aca="false">H56*MAX(0,H57+H58-$C$12)*$C$14/1000</f>
        <v>0</v>
      </c>
      <c r="I73" s="33" t="n">
        <f aca="false">I56*MAX(0,I57+I58-$C$12)*$C$14/1000</f>
        <v>0</v>
      </c>
      <c r="J73" s="33" t="n">
        <f aca="false">J56*MAX(0,J57+J58-$C$12)*$C$14/1000</f>
        <v>0</v>
      </c>
      <c r="K73" s="33" t="n">
        <f aca="false">K56*MAX(0,K57+K58-$C$12)*$C$14/1000</f>
        <v>0</v>
      </c>
      <c r="L73" s="33" t="n">
        <f aca="false">L56*MAX(0,L57+L58-$C$12)*$C$14/1000</f>
        <v>0</v>
      </c>
      <c r="M73" s="26" t="n">
        <f aca="false">SUM(D73:L73)</f>
        <v>0</v>
      </c>
    </row>
    <row r="74" customFormat="false" ht="15" hidden="false" customHeight="false" outlineLevel="0" collapsed="false">
      <c r="A74" s="7" t="s">
        <v>159</v>
      </c>
      <c r="B74" s="5" t="s">
        <v>30</v>
      </c>
      <c r="C74" s="33" t="n">
        <f aca="false">(MAX(0,$E$30-C61)*C66+MAX(0,$E$31-C62)*C67+MAX(0,$E$32-C63)*C68+MAX(0,$E$33-C64)*C69+MAX(0,$E$34-C65)*C70)/1000</f>
        <v>0</v>
      </c>
      <c r="D74" s="33" t="n">
        <f aca="false">(MAX(0,$E$30-D61)*D66+MAX(0,$E$31-D62)*D67+MAX(0,$E$32-D63)*D68+MAX(0,$E$33-D64)*D69+MAX(0,$E$34-D65)*D70)/1000</f>
        <v>0</v>
      </c>
      <c r="E74" s="33" t="n">
        <f aca="false">(MAX(0,$E$30-E61)*E66+MAX(0,$E$31-E62)*E67+MAX(0,$E$32-E63)*E68+MAX(0,$E$33-E64)*E69+MAX(0,$E$34-E65)*E70)/1000</f>
        <v>0</v>
      </c>
      <c r="F74" s="33" t="n">
        <f aca="false">(MAX(0,$E$30-F61)*F66+MAX(0,$E$31-F62)*F67+MAX(0,$E$32-F63)*F68+MAX(0,$E$33-F64)*F69+MAX(0,$E$34-F65)*F70)/1000</f>
        <v>0</v>
      </c>
      <c r="G74" s="33" t="n">
        <f aca="false">(MAX(0,$E$30-G61)*G66+MAX(0,$E$31-G62)*G67+MAX(0,$E$32-G63)*G68+MAX(0,$E$33-G64)*G69+MAX(0,$E$34-G65)*G70)/1000</f>
        <v>0</v>
      </c>
      <c r="H74" s="33" t="n">
        <f aca="false">(MAX(0,$E$30-H61)*H66+MAX(0,$E$31-H62)*H67+MAX(0,$E$32-H63)*H68+MAX(0,$E$33-H64)*H69+MAX(0,$E$34-H65)*H70)/1000</f>
        <v>0</v>
      </c>
      <c r="I74" s="33" t="n">
        <f aca="false">(MAX(0,$E$30-I61)*I66+MAX(0,$E$31-I62)*I67+MAX(0,$E$32-I63)*I68+MAX(0,$E$33-I64)*I69+MAX(0,$E$34-I65)*I70)/1000</f>
        <v>0</v>
      </c>
      <c r="J74" s="33" t="n">
        <f aca="false">(MAX(0,$E$30-J61)*J66+MAX(0,$E$31-J62)*J67+MAX(0,$E$32-J63)*J68+MAX(0,$E$33-J64)*J69+MAX(0,$E$34-J65)*J70)/1000</f>
        <v>0</v>
      </c>
      <c r="K74" s="33" t="n">
        <f aca="false">(MAX(0,$E$30-K61)*K66+MAX(0,$E$31-K62)*K67+MAX(0,$E$32-K63)*K68+MAX(0,$E$33-K64)*K69+MAX(0,$E$34-K65)*K70)/1000</f>
        <v>0</v>
      </c>
      <c r="L74" s="33" t="n">
        <f aca="false">(MAX(0,$E$30-L61)*L66+MAX(0,$E$31-L62)*L67+MAX(0,$E$32-L63)*L68+MAX(0,$E$33-L64)*L69+MAX(0,$E$34-L65)*L70)/1000</f>
        <v>0</v>
      </c>
      <c r="M74" s="26" t="n">
        <f aca="false">SUM(D74:L74)</f>
        <v>0</v>
      </c>
    </row>
    <row r="75" customFormat="false" ht="15" hidden="false" customHeight="false" outlineLevel="0" collapsed="false">
      <c r="A75" s="7" t="s">
        <v>160</v>
      </c>
      <c r="B75" s="5" t="s">
        <v>30</v>
      </c>
      <c r="C75" s="33" t="n">
        <f aca="false">(MAX(0,C61-$E$30)*C66+MAX(0,C62-$E$31)*C67+MAX(0,C63-$E$32)*C68+MAX(0,C64-$E$33)*C69+MAX(0,C65-$E$34)*C70)/1000</f>
        <v>0</v>
      </c>
      <c r="D75" s="33" t="n">
        <f aca="false">(MAX(0,D61-$E$30)*D66+MAX(0,D62-$E$31)*D67+MAX(0,D63-$E$32)*D68+MAX(0,D64-$E$33)*D69+MAX(0,D65-$E$34)*D70)/1000</f>
        <v>0</v>
      </c>
      <c r="E75" s="33" t="n">
        <f aca="false">(MAX(0,E61-$E$30)*E66+MAX(0,E62-$E$31)*E67+MAX(0,E63-$E$32)*E68+MAX(0,E64-$E$33)*E69+MAX(0,E65-$E$34)*E70)/1000</f>
        <v>0</v>
      </c>
      <c r="F75" s="33" t="n">
        <f aca="false">(MAX(0,F61-$E$30)*F66+MAX(0,F62-$E$31)*F67+MAX(0,F63-$E$32)*F68+MAX(0,F64-$E$33)*F69+MAX(0,F65-$E$34)*F70)/1000</f>
        <v>0</v>
      </c>
      <c r="G75" s="33" t="n">
        <f aca="false">(MAX(0,G61-$E$30)*G66+MAX(0,G62-$E$31)*G67+MAX(0,G63-$E$32)*G68+MAX(0,G64-$E$33)*G69+MAX(0,G65-$E$34)*G70)/1000</f>
        <v>0</v>
      </c>
      <c r="H75" s="33" t="n">
        <f aca="false">(MAX(0,H61-$E$30)*H66+MAX(0,H62-$E$31)*H67+MAX(0,H63-$E$32)*H68+MAX(0,H64-$E$33)*H69+MAX(0,H65-$E$34)*H70)/1000</f>
        <v>0</v>
      </c>
      <c r="I75" s="33" t="n">
        <f aca="false">(MAX(0,I61-$E$30)*I66+MAX(0,I62-$E$31)*I67+MAX(0,I63-$E$32)*I68+MAX(0,I64-$E$33)*I69+MAX(0,I65-$E$34)*I70)/1000</f>
        <v>0</v>
      </c>
      <c r="J75" s="33" t="n">
        <f aca="false">(MAX(0,J61-$E$30)*J66+MAX(0,J62-$E$31)*J67+MAX(0,J63-$E$32)*J68+MAX(0,J64-$E$33)*J69+MAX(0,J65-$E$34)*J70)/1000</f>
        <v>0</v>
      </c>
      <c r="K75" s="33" t="n">
        <f aca="false">(MAX(0,K61-$E$30)*K66+MAX(0,K62-$E$31)*K67+MAX(0,K63-$E$32)*K68+MAX(0,K64-$E$33)*K69+MAX(0,K65-$E$34)*K70)/1000</f>
        <v>0</v>
      </c>
      <c r="L75" s="33" t="n">
        <f aca="false">(MAX(0,L61-$E$30)*L66+MAX(0,L62-$E$31)*L67+MAX(0,L63-$E$32)*L68+MAX(0,L64-$E$33)*L69+MAX(0,L65-$E$34)*L70)/1000</f>
        <v>0</v>
      </c>
      <c r="M75" s="26" t="n">
        <f aca="false">SUM(D75:L75)</f>
        <v>0</v>
      </c>
    </row>
    <row r="76" customFormat="false" ht="15" hidden="false" customHeight="false" outlineLevel="0" collapsed="false">
      <c r="A76" s="7" t="s">
        <v>161</v>
      </c>
      <c r="B76" s="5" t="s">
        <v>30</v>
      </c>
      <c r="C76" s="33" t="n">
        <f aca="false">$G$44*$C$21*($B$30*MAX(0,C61-$D$30)*C66+$B$31*MAX(0,C62-$D$31)*C67+$B$32*MAX(0,C63-$D$32)*C68+$B$33*MAX(0,C64-$D$33)*C69+$B$34*MAX(0,C65-$D$34)*C70)/1000</f>
        <v>0</v>
      </c>
      <c r="D76" s="33" t="n">
        <f aca="false">$G$44*$C$21*($B$30*MAX(0,D61-$D$30)*D66+$B$31*MAX(0,D62-$D$31)*D67+$B$32*MAX(0,D63-$D$32)*D68+$B$33*MAX(0,D64-$D$33)*D69+$B$34*MAX(0,D65-$D$34)*D70)/1000</f>
        <v>0</v>
      </c>
      <c r="E76" s="33" t="n">
        <f aca="false">$G$44*$C$21*($B$30*MAX(0,E61-$D$30)*E66+$B$31*MAX(0,E62-$D$31)*E67+$B$32*MAX(0,E63-$D$32)*E68+$B$33*MAX(0,E64-$D$33)*E69+$B$34*MAX(0,E65-$D$34)*E70)/1000</f>
        <v>0</v>
      </c>
      <c r="F76" s="33" t="n">
        <f aca="false">$G$44*$C$21*($B$30*MAX(0,F61-$D$30)*F66+$B$31*MAX(0,F62-$D$31)*F67+$B$32*MAX(0,F63-$D$32)*F68+$B$33*MAX(0,F64-$D$33)*F69+$B$34*MAX(0,F65-$D$34)*F70)/1000</f>
        <v>0</v>
      </c>
      <c r="G76" s="33" t="n">
        <f aca="false">$G$44*$C$21*($B$30*MAX(0,G61-$D$30)*G66+$B$31*MAX(0,G62-$D$31)*G67+$B$32*MAX(0,G63-$D$32)*G68+$B$33*MAX(0,G64-$D$33)*G69+$B$34*MAX(0,G65-$D$34)*G70)/1000</f>
        <v>0</v>
      </c>
      <c r="H76" s="33" t="n">
        <f aca="false">$G$44*$C$21*($B$30*MAX(0,H61-$D$30)*H66+$B$31*MAX(0,H62-$D$31)*H67+$B$32*MAX(0,H63-$D$32)*H68+$B$33*MAX(0,H64-$D$33)*H69+$B$34*MAX(0,H65-$D$34)*H70)/1000</f>
        <v>0</v>
      </c>
      <c r="I76" s="33" t="n">
        <f aca="false">$G$44*$C$21*($B$30*MAX(0,I61-$D$30)*I66+$B$31*MAX(0,I62-$D$31)*I67+$B$32*MAX(0,I63-$D$32)*I68+$B$33*MAX(0,I64-$D$33)*I69+$B$34*MAX(0,I65-$D$34)*I70)/1000</f>
        <v>0</v>
      </c>
      <c r="J76" s="33" t="n">
        <f aca="false">$G$44*$C$21*($B$30*MAX(0,J61-$D$30)*J66+$B$31*MAX(0,J62-$D$31)*J67+$B$32*MAX(0,J63-$D$32)*J68+$B$33*MAX(0,J64-$D$33)*J69+$B$34*MAX(0,J65-$D$34)*J70)/1000</f>
        <v>0</v>
      </c>
      <c r="K76" s="33" t="n">
        <f aca="false">$G$44*$C$21*($B$30*MAX(0,K61-$D$30)*K66+$B$31*MAX(0,K62-$D$31)*K67+$B$32*MAX(0,K63-$D$32)*K68+$B$33*MAX(0,K64-$D$33)*K69+$B$34*MAX(0,K65-$D$34)*K70)/1000</f>
        <v>0</v>
      </c>
      <c r="L76" s="33" t="n">
        <f aca="false">$G$44*$C$21*($B$30*MAX(0,L61-$D$30)*L66+$B$31*MAX(0,L62-$D$31)*L67+$B$32*MAX(0,L63-$D$32)*L68+$B$33*MAX(0,L64-$D$33)*L69+$B$34*MAX(0,L65-$D$34)*L70)/1000</f>
        <v>0</v>
      </c>
      <c r="M76" s="26" t="n">
        <f aca="false">SUM(D76:L76)</f>
        <v>0</v>
      </c>
    </row>
    <row r="77" customFormat="false" ht="15" hidden="false" customHeight="false" outlineLevel="0" collapsed="false">
      <c r="A77" s="7" t="s">
        <v>162</v>
      </c>
      <c r="B77" s="5" t="s">
        <v>30</v>
      </c>
      <c r="C77" s="33" t="n">
        <f aca="false">IFERROR(C76*$C$20/(1-$C$20),0)</f>
        <v>0</v>
      </c>
      <c r="D77" s="33" t="n">
        <f aca="false">IFERROR(D76*$C$20/(1-$C$20),0)</f>
        <v>0</v>
      </c>
      <c r="E77" s="33" t="n">
        <f aca="false">IFERROR(E76*$C$20/(1-$C$20),0)</f>
        <v>0</v>
      </c>
      <c r="F77" s="33" t="n">
        <f aca="false">IFERROR(F76*$C$20/(1-$C$20),0)</f>
        <v>0</v>
      </c>
      <c r="G77" s="33" t="n">
        <f aca="false">IFERROR(G76*$C$20/(1-$C$20),0)</f>
        <v>0</v>
      </c>
      <c r="H77" s="33" t="n">
        <f aca="false">IFERROR(H76*$C$20/(1-$C$20),0)</f>
        <v>0</v>
      </c>
      <c r="I77" s="33" t="n">
        <f aca="false">IFERROR(I76*$C$20/(1-$C$20),0)</f>
        <v>0</v>
      </c>
      <c r="J77" s="33" t="n">
        <f aca="false">IFERROR(J76*$C$20/(1-$C$20),0)</f>
        <v>0</v>
      </c>
      <c r="K77" s="33" t="n">
        <f aca="false">IFERROR(K76*$C$20/(1-$C$20),0)</f>
        <v>0</v>
      </c>
      <c r="L77" s="33" t="n">
        <f aca="false">IFERROR(L76*$C$20/(1-$C$20),0)</f>
        <v>0</v>
      </c>
      <c r="M77" s="26" t="n">
        <f aca="false">SUM(D77:L77)</f>
        <v>0</v>
      </c>
    </row>
    <row r="78" customFormat="false" ht="15" hidden="false" customHeight="false" outlineLevel="0" collapsed="false">
      <c r="A78" s="7" t="s">
        <v>163</v>
      </c>
      <c r="B78" s="5" t="s">
        <v>30</v>
      </c>
      <c r="C78" s="33" t="n">
        <f aca="false">IF(0=0,0,$G$44*$C$18*$C$19/1000000000)</f>
        <v>0</v>
      </c>
      <c r="D78" s="33" t="n">
        <f aca="false">IF(1=0,0,$G$44*$C$18*$C$19/1000000000)</f>
        <v>0</v>
      </c>
      <c r="E78" s="33" t="n">
        <f aca="false">IF(2=0,0,$G$44*$C$18*$C$19/1000000000)</f>
        <v>0</v>
      </c>
      <c r="F78" s="33" t="n">
        <f aca="false">IF(3=0,0,$G$44*$C$18*$C$19/1000000000)</f>
        <v>0</v>
      </c>
      <c r="G78" s="33" t="n">
        <f aca="false">IF(4=0,0,$G$44*$C$18*$C$19/1000000000)</f>
        <v>0</v>
      </c>
      <c r="H78" s="33" t="n">
        <f aca="false">IF(5=0,0,$G$44*$C$18*$C$19/1000000000)</f>
        <v>0</v>
      </c>
      <c r="I78" s="33" t="n">
        <f aca="false">IF(6=0,0,$G$44*$C$18*$C$19/1000000000)</f>
        <v>0</v>
      </c>
      <c r="J78" s="33" t="n">
        <f aca="false">IF(7=0,0,$G$44*$C$18*$C$19/1000000000)</f>
        <v>0</v>
      </c>
      <c r="K78" s="33" t="n">
        <f aca="false">IF(8=0,0,$G$44*$C$18*$C$19/1000000000)</f>
        <v>0</v>
      </c>
      <c r="L78" s="33" t="n">
        <f aca="false">IF(9=0,0,$G$44*$C$18*$C$19/1000000000)</f>
        <v>0</v>
      </c>
      <c r="M78" s="26" t="n">
        <f aca="false">SUM(D78:L78)</f>
        <v>0</v>
      </c>
    </row>
    <row r="79" customFormat="false" ht="15" hidden="false" customHeight="false" outlineLevel="0" collapsed="false">
      <c r="A79" s="7" t="s">
        <v>164</v>
      </c>
      <c r="B79" s="5" t="s">
        <v>30</v>
      </c>
      <c r="C79" s="33" t="n">
        <f aca="false">C76+C77+C78</f>
        <v>0</v>
      </c>
      <c r="D79" s="33" t="n">
        <f aca="false">D76+D77+D78</f>
        <v>0</v>
      </c>
      <c r="E79" s="33" t="n">
        <f aca="false">E76+E77+E78</f>
        <v>0</v>
      </c>
      <c r="F79" s="33" t="n">
        <f aca="false">F76+F77+F78</f>
        <v>0</v>
      </c>
      <c r="G79" s="33" t="n">
        <f aca="false">G76+G77+G78</f>
        <v>0</v>
      </c>
      <c r="H79" s="33" t="n">
        <f aca="false">H76+H77+H78</f>
        <v>0</v>
      </c>
      <c r="I79" s="33" t="n">
        <f aca="false">I76+I77+I78</f>
        <v>0</v>
      </c>
      <c r="J79" s="33" t="n">
        <f aca="false">J76+J77+J78</f>
        <v>0</v>
      </c>
      <c r="K79" s="33" t="n">
        <f aca="false">K76+K77+K78</f>
        <v>0</v>
      </c>
      <c r="L79" s="33" t="n">
        <f aca="false">L76+L77+L78</f>
        <v>0</v>
      </c>
      <c r="M79" s="26" t="n">
        <f aca="false">SUM(D79:L79)</f>
        <v>0</v>
      </c>
    </row>
    <row r="80" customFormat="false" ht="15" hidden="false" customHeight="false" outlineLevel="0" collapsed="false">
      <c r="A80" s="7" t="s">
        <v>165</v>
      </c>
      <c r="B80" s="5" t="s">
        <v>30</v>
      </c>
      <c r="C80" s="33" t="n">
        <f aca="false">C79*$C$16</f>
        <v>0</v>
      </c>
      <c r="D80" s="33" t="n">
        <f aca="false">D79*$C$16</f>
        <v>0</v>
      </c>
      <c r="E80" s="33" t="n">
        <f aca="false">E79*$C$16</f>
        <v>0</v>
      </c>
      <c r="F80" s="33" t="n">
        <f aca="false">F79*$C$16</f>
        <v>0</v>
      </c>
      <c r="G80" s="33" t="n">
        <f aca="false">G79*$C$16</f>
        <v>0</v>
      </c>
      <c r="H80" s="33" t="n">
        <f aca="false">H79*$C$16</f>
        <v>0</v>
      </c>
      <c r="I80" s="33" t="n">
        <f aca="false">I79*$C$16</f>
        <v>0</v>
      </c>
      <c r="J80" s="33" t="n">
        <f aca="false">J79*$C$16</f>
        <v>0</v>
      </c>
      <c r="K80" s="33" t="n">
        <f aca="false">K79*$C$16</f>
        <v>0</v>
      </c>
      <c r="L80" s="33" t="n">
        <f aca="false">L79*$C$16</f>
        <v>0</v>
      </c>
      <c r="M80" s="26" t="n">
        <f aca="false">SUM(D80:L80)</f>
        <v>0</v>
      </c>
    </row>
    <row r="81" customFormat="false" ht="15" hidden="false" customHeight="false" outlineLevel="0" collapsed="false">
      <c r="A81" s="7" t="s">
        <v>166</v>
      </c>
      <c r="B81" s="5" t="s">
        <v>30</v>
      </c>
      <c r="C81" s="33" t="n">
        <f aca="false">C74*$C$15</f>
        <v>0</v>
      </c>
      <c r="D81" s="33" t="n">
        <f aca="false">D74*$C$15</f>
        <v>0</v>
      </c>
      <c r="E81" s="33" t="n">
        <f aca="false">E74*$C$15</f>
        <v>0</v>
      </c>
      <c r="F81" s="33" t="n">
        <f aca="false">F74*$C$15</f>
        <v>0</v>
      </c>
      <c r="G81" s="33" t="n">
        <f aca="false">G74*$C$15</f>
        <v>0</v>
      </c>
      <c r="H81" s="33" t="n">
        <f aca="false">H74*$C$15</f>
        <v>0</v>
      </c>
      <c r="I81" s="33" t="n">
        <f aca="false">I74*$C$15</f>
        <v>0</v>
      </c>
      <c r="J81" s="33" t="n">
        <f aca="false">J74*$C$15</f>
        <v>0</v>
      </c>
      <c r="K81" s="33" t="n">
        <f aca="false">K74*$C$15</f>
        <v>0</v>
      </c>
      <c r="L81" s="33" t="n">
        <f aca="false">L74*$C$15</f>
        <v>0</v>
      </c>
      <c r="M81" s="26" t="n">
        <f aca="false">SUM(D81:L81)</f>
        <v>0</v>
      </c>
    </row>
    <row r="82" customFormat="false" ht="15" hidden="false" customHeight="false" outlineLevel="0" collapsed="false">
      <c r="A82" s="7" t="s">
        <v>167</v>
      </c>
      <c r="B82" s="5" t="s">
        <v>30</v>
      </c>
      <c r="C82" s="33" t="n">
        <f aca="false">C81*$C$16</f>
        <v>0</v>
      </c>
      <c r="D82" s="33" t="n">
        <f aca="false">D81*$C$16</f>
        <v>0</v>
      </c>
      <c r="E82" s="33" t="n">
        <f aca="false">E81*$C$16</f>
        <v>0</v>
      </c>
      <c r="F82" s="33" t="n">
        <f aca="false">F81*$C$16</f>
        <v>0</v>
      </c>
      <c r="G82" s="33" t="n">
        <f aca="false">G81*$C$16</f>
        <v>0</v>
      </c>
      <c r="H82" s="33" t="n">
        <f aca="false">H81*$C$16</f>
        <v>0</v>
      </c>
      <c r="I82" s="33" t="n">
        <f aca="false">I81*$C$16</f>
        <v>0</v>
      </c>
      <c r="J82" s="33" t="n">
        <f aca="false">J81*$C$16</f>
        <v>0</v>
      </c>
      <c r="K82" s="33" t="n">
        <f aca="false">K81*$C$16</f>
        <v>0</v>
      </c>
      <c r="L82" s="33" t="n">
        <f aca="false">L81*$C$16</f>
        <v>0</v>
      </c>
      <c r="M82" s="26" t="n">
        <f aca="false">SUM(D82:L82)</f>
        <v>0</v>
      </c>
    </row>
    <row r="83" customFormat="false" ht="15" hidden="false" customHeight="false" outlineLevel="0" collapsed="false">
      <c r="A83" s="7" t="s">
        <v>168</v>
      </c>
      <c r="B83" s="5" t="s">
        <v>30</v>
      </c>
      <c r="C83" s="33" t="n">
        <f aca="false">IF(0=0,0,$G$48*$C$22/1000000000*$C$16)</f>
        <v>0</v>
      </c>
      <c r="D83" s="33" t="n">
        <f aca="false">IF(1=0,0,$G$48*$C$22/1000000000*$C$16)</f>
        <v>0</v>
      </c>
      <c r="E83" s="33" t="n">
        <f aca="false">IF(2=0,0,$G$48*$C$22/1000000000*$C$16)</f>
        <v>0</v>
      </c>
      <c r="F83" s="33" t="n">
        <f aca="false">IF(3=0,0,$G$48*$C$22/1000000000*$C$16)</f>
        <v>0</v>
      </c>
      <c r="G83" s="33" t="n">
        <f aca="false">IF(4=0,0,$G$48*$C$22/1000000000*$C$16)</f>
        <v>0</v>
      </c>
      <c r="H83" s="33" t="n">
        <f aca="false">IF(5=0,0,$G$48*$C$22/1000000000*$C$16)</f>
        <v>0</v>
      </c>
      <c r="I83" s="33" t="n">
        <f aca="false">IF(6=0,0,$G$48*$C$22/1000000000*$C$16)</f>
        <v>0</v>
      </c>
      <c r="J83" s="33" t="n">
        <f aca="false">IF(7=0,0,$G$48*$C$22/1000000000*$C$16)</f>
        <v>0</v>
      </c>
      <c r="K83" s="33" t="n">
        <f aca="false">IF(8=0,0,$G$48*$C$22/1000000000*$C$16)</f>
        <v>0</v>
      </c>
      <c r="L83" s="33" t="n">
        <f aca="false">IF(9=0,0,$G$48*$C$22/1000000000*$C$16)</f>
        <v>0</v>
      </c>
      <c r="M83" s="26" t="n">
        <f aca="false">SUM(D83:L83)</f>
        <v>0</v>
      </c>
    </row>
    <row r="84" customFormat="false" ht="15" hidden="false" customHeight="false" outlineLevel="0" collapsed="false">
      <c r="A84" s="7" t="s">
        <v>169</v>
      </c>
      <c r="B84" s="5" t="s">
        <v>30</v>
      </c>
      <c r="C84" s="33" t="n">
        <f aca="false">(C76+C77)*$C$17</f>
        <v>0</v>
      </c>
      <c r="D84" s="33" t="n">
        <f aca="false">(D76+D77)*$C$17</f>
        <v>0</v>
      </c>
      <c r="E84" s="33" t="n">
        <f aca="false">(E76+E77)*$C$17</f>
        <v>0</v>
      </c>
      <c r="F84" s="33" t="n">
        <f aca="false">(F76+F77)*$C$17</f>
        <v>0</v>
      </c>
      <c r="G84" s="33" t="n">
        <f aca="false">(G76+G77)*$C$17</f>
        <v>0</v>
      </c>
      <c r="H84" s="33" t="n">
        <f aca="false">(H76+H77)*$C$17</f>
        <v>0</v>
      </c>
      <c r="I84" s="33" t="n">
        <f aca="false">(I76+I77)*$C$17</f>
        <v>0</v>
      </c>
      <c r="J84" s="33" t="n">
        <f aca="false">(J76+J77)*$C$17</f>
        <v>0</v>
      </c>
      <c r="K84" s="33" t="n">
        <f aca="false">(K76+K77)*$C$17</f>
        <v>0</v>
      </c>
      <c r="L84" s="33" t="n">
        <f aca="false">(L76+L77)*$C$17</f>
        <v>0</v>
      </c>
      <c r="M84" s="26" t="n">
        <f aca="false">SUM(D84:L84)</f>
        <v>0</v>
      </c>
    </row>
    <row r="85" customFormat="false" ht="15" hidden="false" customHeight="false" outlineLevel="0" collapsed="false">
      <c r="A85" s="7" t="s">
        <v>170</v>
      </c>
      <c r="B85" s="5" t="s">
        <v>30</v>
      </c>
      <c r="C85" s="33" t="n">
        <f aca="false">(C71-C84)*C59+C84*$C$16</f>
        <v>0</v>
      </c>
      <c r="D85" s="33" t="n">
        <f aca="false">(D71-D84)*D59+D84*$C$16</f>
        <v>0</v>
      </c>
      <c r="E85" s="33" t="n">
        <f aca="false">(E71-E84)*E59+E84*$C$16</f>
        <v>0</v>
      </c>
      <c r="F85" s="33" t="n">
        <f aca="false">(F71-F84)*F59+F84*$C$16</f>
        <v>0</v>
      </c>
      <c r="G85" s="33" t="n">
        <f aca="false">(G71-G84)*G59+G84*$C$16</f>
        <v>0</v>
      </c>
      <c r="H85" s="33" t="n">
        <f aca="false">(H71-H84)*H59+H84*$C$16</f>
        <v>0</v>
      </c>
      <c r="I85" s="33" t="n">
        <f aca="false">(I71-I84)*I59+I84*$C$16</f>
        <v>0</v>
      </c>
      <c r="J85" s="33" t="n">
        <f aca="false">(J71-J84)*J59+J84*$C$16</f>
        <v>0</v>
      </c>
      <c r="K85" s="33" t="n">
        <f aca="false">(K71-K84)*K59+K84*$C$16</f>
        <v>0</v>
      </c>
      <c r="L85" s="33" t="n">
        <f aca="false">(L71-L84)*L59+L84*$C$16</f>
        <v>0</v>
      </c>
      <c r="M85" s="26" t="n">
        <f aca="false">SUM(D85:L85)</f>
        <v>0</v>
      </c>
    </row>
    <row r="86" customFormat="false" ht="15" hidden="false" customHeight="false" outlineLevel="0" collapsed="false">
      <c r="A86" s="23" t="s">
        <v>171</v>
      </c>
      <c r="B86" s="5" t="s">
        <v>30</v>
      </c>
      <c r="C86" s="34" t="n">
        <f aca="false">C85+C82-C72-C73</f>
        <v>0</v>
      </c>
      <c r="D86" s="34" t="n">
        <f aca="false">D85+D82-D72-D73</f>
        <v>0</v>
      </c>
      <c r="E86" s="34" t="n">
        <f aca="false">E85+E82-E72-E73</f>
        <v>0</v>
      </c>
      <c r="F86" s="34" t="n">
        <f aca="false">F85+F82-F72-F73</f>
        <v>0</v>
      </c>
      <c r="G86" s="34" t="n">
        <f aca="false">G85+G82-G72-G73</f>
        <v>0</v>
      </c>
      <c r="H86" s="34" t="n">
        <f aca="false">H85+H82-H72-H73</f>
        <v>0</v>
      </c>
      <c r="I86" s="34" t="n">
        <f aca="false">I85+I82-I72-I73</f>
        <v>0</v>
      </c>
      <c r="J86" s="34" t="n">
        <f aca="false">J85+J82-J72-J73</f>
        <v>0</v>
      </c>
      <c r="K86" s="34" t="n">
        <f aca="false">K85+K82-K72-K73</f>
        <v>0</v>
      </c>
      <c r="L86" s="34" t="n">
        <f aca="false">L85+L82-L72-L73</f>
        <v>0</v>
      </c>
      <c r="M86" s="26" t="n">
        <f aca="false">SUM(D86:L86)</f>
        <v>0</v>
      </c>
    </row>
    <row r="87" customFormat="false" ht="15" hidden="false" customHeight="false" outlineLevel="0" collapsed="false">
      <c r="A87" s="7" t="s">
        <v>172</v>
      </c>
      <c r="B87" s="5" t="s">
        <v>30</v>
      </c>
      <c r="C87" s="33" t="n">
        <f aca="false">C73+(C71-C84)*(1-C59)</f>
        <v>0</v>
      </c>
      <c r="D87" s="33" t="n">
        <f aca="false">D73+(D71-D84)*(1-D59)</f>
        <v>0</v>
      </c>
      <c r="E87" s="33" t="n">
        <f aca="false">E73+(E71-E84)*(1-E59)</f>
        <v>0</v>
      </c>
      <c r="F87" s="33" t="n">
        <f aca="false">F73+(F71-F84)*(1-F59)</f>
        <v>0</v>
      </c>
      <c r="G87" s="33" t="n">
        <f aca="false">G73+(G71-G84)*(1-G59)</f>
        <v>0</v>
      </c>
      <c r="H87" s="33" t="n">
        <f aca="false">H73+(H71-H84)*(1-H59)</f>
        <v>0</v>
      </c>
      <c r="I87" s="33" t="n">
        <f aca="false">I73+(I71-I84)*(1-I59)</f>
        <v>0</v>
      </c>
      <c r="J87" s="33" t="n">
        <f aca="false">J73+(J71-J84)*(1-J59)</f>
        <v>0</v>
      </c>
      <c r="K87" s="33" t="n">
        <f aca="false">K73+(K71-K84)*(1-K59)</f>
        <v>0</v>
      </c>
      <c r="L87" s="33" t="n">
        <f aca="false">L73+(L71-L84)*(1-L59)</f>
        <v>0</v>
      </c>
      <c r="M87" s="26" t="n">
        <f aca="false">SUM(D87:L87)</f>
        <v>0</v>
      </c>
    </row>
    <row r="89" customFormat="false" ht="15" hidden="false" customHeight="false" outlineLevel="0" collapsed="false">
      <c r="A89" s="23" t="s">
        <v>173</v>
      </c>
    </row>
    <row r="90" customFormat="false" ht="15" hidden="false" customHeight="false" outlineLevel="0" collapsed="false">
      <c r="A90" s="7" t="s">
        <v>174</v>
      </c>
      <c r="B90" s="5" t="s">
        <v>30</v>
      </c>
      <c r="C90" s="33" t="n">
        <f aca="false">C82+C80+C83</f>
        <v>0</v>
      </c>
      <c r="D90" s="33" t="n">
        <f aca="false">D82+D80+D83</f>
        <v>0</v>
      </c>
      <c r="E90" s="33" t="n">
        <f aca="false">E82+E80+E83</f>
        <v>0</v>
      </c>
      <c r="F90" s="33" t="n">
        <f aca="false">F82+F80+F83</f>
        <v>0</v>
      </c>
      <c r="G90" s="33" t="n">
        <f aca="false">G82+G80+G83</f>
        <v>0</v>
      </c>
      <c r="H90" s="33" t="n">
        <f aca="false">H82+H80+H83</f>
        <v>0</v>
      </c>
      <c r="I90" s="33" t="n">
        <f aca="false">I82+I80+I83</f>
        <v>0</v>
      </c>
      <c r="J90" s="33" t="n">
        <f aca="false">J82+J80+J83</f>
        <v>0</v>
      </c>
      <c r="K90" s="33" t="n">
        <f aca="false">K82+K80+K83</f>
        <v>0</v>
      </c>
      <c r="L90" s="33" t="n">
        <f aca="false">L82+L80+L83</f>
        <v>0</v>
      </c>
      <c r="M90" s="26" t="n">
        <f aca="false">SUM(D90:L90)</f>
        <v>0</v>
      </c>
    </row>
    <row r="91" customFormat="false" ht="15" hidden="false" customHeight="false" outlineLevel="0" collapsed="false">
      <c r="A91" s="7" t="s">
        <v>175</v>
      </c>
      <c r="B91" s="5" t="s">
        <v>30</v>
      </c>
      <c r="C91" s="33" t="n">
        <f aca="false">MAX(0,C74-C82)+(C76+C77)*$C$17*(1-$C$16)</f>
        <v>0</v>
      </c>
      <c r="D91" s="33" t="n">
        <f aca="false">MAX(0,D74-D82)+(D76+D77)*$C$17*(1-$C$16)</f>
        <v>0</v>
      </c>
      <c r="E91" s="33" t="n">
        <f aca="false">MAX(0,E74-E82)+(E76+E77)*$C$17*(1-$C$16)</f>
        <v>0</v>
      </c>
      <c r="F91" s="33" t="n">
        <f aca="false">MAX(0,F74-F82)+(F76+F77)*$C$17*(1-$C$16)</f>
        <v>0</v>
      </c>
      <c r="G91" s="33" t="n">
        <f aca="false">MAX(0,G74-G82)+(G76+G77)*$C$17*(1-$C$16)</f>
        <v>0</v>
      </c>
      <c r="H91" s="33" t="n">
        <f aca="false">MAX(0,H74-H82)+(H76+H77)*$C$17*(1-$C$16)</f>
        <v>0</v>
      </c>
      <c r="I91" s="33" t="n">
        <f aca="false">MAX(0,I74-I82)+(I76+I77)*$C$17*(1-$C$16)</f>
        <v>0</v>
      </c>
      <c r="J91" s="33" t="n">
        <f aca="false">MAX(0,J74-J82)+(J76+J77)*$C$17*(1-$C$16)</f>
        <v>0</v>
      </c>
      <c r="K91" s="33" t="n">
        <f aca="false">MAX(0,K74-K82)+(K76+K77)*$C$17*(1-$C$16)</f>
        <v>0</v>
      </c>
      <c r="L91" s="33" t="n">
        <f aca="false">MAX(0,L74-L82)+(L76+L77)*$C$17*(1-$C$16)</f>
        <v>0</v>
      </c>
      <c r="M91" s="26" t="n">
        <f aca="false">SUM(D91:L91)</f>
        <v>0</v>
      </c>
    </row>
    <row r="92" customFormat="false" ht="15" hidden="false" customHeight="false" outlineLevel="0" collapsed="false">
      <c r="A92" s="7" t="s">
        <v>176</v>
      </c>
      <c r="B92" s="5" t="s">
        <v>30</v>
      </c>
      <c r="C92" s="33" t="n">
        <f aca="false">$C$23*(1-$G$49*C$55)</f>
        <v>0</v>
      </c>
      <c r="D92" s="33" t="n">
        <f aca="false">$C$23*(1-$G$49*D$55)</f>
        <v>0</v>
      </c>
      <c r="E92" s="33" t="n">
        <f aca="false">$C$23*(1-$G$49*E$55)</f>
        <v>0</v>
      </c>
      <c r="F92" s="33" t="n">
        <f aca="false">$C$23*(1-$G$49*F$55)</f>
        <v>0</v>
      </c>
      <c r="G92" s="33" t="n">
        <f aca="false">$C$23*(1-$G$49*G$55)</f>
        <v>0</v>
      </c>
      <c r="H92" s="33" t="n">
        <f aca="false">$C$23*(1-$G$49*H$55)</f>
        <v>0</v>
      </c>
      <c r="I92" s="33" t="n">
        <f aca="false">$C$23*(1-$G$49*I$55)</f>
        <v>0</v>
      </c>
      <c r="J92" s="33" t="n">
        <f aca="false">$C$23*(1-$G$49*J$55)</f>
        <v>0</v>
      </c>
      <c r="K92" s="33" t="n">
        <f aca="false">$C$23*(1-$G$49*K$55)</f>
        <v>0</v>
      </c>
      <c r="L92" s="33" t="n">
        <f aca="false">$C$23*(1-$G$49*L$55)</f>
        <v>0</v>
      </c>
      <c r="M92" s="26" t="n">
        <f aca="false">SUM(D92:L92)</f>
        <v>0</v>
      </c>
    </row>
    <row r="93" customFormat="false" ht="15" hidden="false" customHeight="false" outlineLevel="0" collapsed="false">
      <c r="A93" s="7" t="s">
        <v>177</v>
      </c>
      <c r="B93" s="5" t="s">
        <v>30</v>
      </c>
      <c r="C93" s="33" t="n">
        <f aca="false">$C$24*(1-$G$50*C$55)</f>
        <v>0</v>
      </c>
      <c r="D93" s="33" t="n">
        <f aca="false">$C$24*(1-$G$50*D$55)</f>
        <v>0</v>
      </c>
      <c r="E93" s="33" t="n">
        <f aca="false">$C$24*(1-$G$50*E$55)</f>
        <v>0</v>
      </c>
      <c r="F93" s="33" t="n">
        <f aca="false">$C$24*(1-$G$50*F$55)</f>
        <v>0</v>
      </c>
      <c r="G93" s="33" t="n">
        <f aca="false">$C$24*(1-$G$50*G$55)</f>
        <v>0</v>
      </c>
      <c r="H93" s="33" t="n">
        <f aca="false">$C$24*(1-$G$50*H$55)</f>
        <v>0</v>
      </c>
      <c r="I93" s="33" t="n">
        <f aca="false">$C$24*(1-$G$50*I$55)</f>
        <v>0</v>
      </c>
      <c r="J93" s="33" t="n">
        <f aca="false">$C$24*(1-$G$50*J$55)</f>
        <v>0</v>
      </c>
      <c r="K93" s="33" t="n">
        <f aca="false">$C$24*(1-$G$50*K$55)</f>
        <v>0</v>
      </c>
      <c r="L93" s="33" t="n">
        <f aca="false">$C$24*(1-$G$50*L$55)</f>
        <v>0</v>
      </c>
      <c r="M93" s="26" t="n">
        <f aca="false">SUM(D93:L93)</f>
        <v>0</v>
      </c>
    </row>
    <row r="94" customFormat="false" ht="15" hidden="false" customHeight="false" outlineLevel="0" collapsed="false">
      <c r="A94" s="23" t="s">
        <v>178</v>
      </c>
      <c r="B94" s="5" t="s">
        <v>30</v>
      </c>
      <c r="C94" s="34" t="n">
        <f aca="false">C90+C91+C92+C93</f>
        <v>0</v>
      </c>
      <c r="D94" s="34" t="n">
        <f aca="false">D90+D91+D92+D93</f>
        <v>0</v>
      </c>
      <c r="E94" s="34" t="n">
        <f aca="false">E90+E91+E92+E93</f>
        <v>0</v>
      </c>
      <c r="F94" s="34" t="n">
        <f aca="false">F90+F91+F92+F93</f>
        <v>0</v>
      </c>
      <c r="G94" s="34" t="n">
        <f aca="false">G90+G91+G92+G93</f>
        <v>0</v>
      </c>
      <c r="H94" s="34" t="n">
        <f aca="false">H90+H91+H92+H93</f>
        <v>0</v>
      </c>
      <c r="I94" s="34" t="n">
        <f aca="false">I90+I91+I92+I93</f>
        <v>0</v>
      </c>
      <c r="J94" s="34" t="n">
        <f aca="false">J90+J91+J92+J93</f>
        <v>0</v>
      </c>
      <c r="K94" s="34" t="n">
        <f aca="false">K90+K91+K92+K93</f>
        <v>0</v>
      </c>
      <c r="L94" s="34" t="n">
        <f aca="false">L90+L91+L92+L93</f>
        <v>0</v>
      </c>
      <c r="M94" s="26" t="n">
        <f aca="false">SUM(D94:L94)</f>
        <v>0</v>
      </c>
    </row>
    <row r="95" customFormat="false" ht="15" hidden="false" customHeight="false" outlineLevel="0" collapsed="false">
      <c r="A95" s="5" t="s">
        <v>179</v>
      </c>
    </row>
    <row r="97" customFormat="false" ht="15" hidden="false" customHeight="false" outlineLevel="0" collapsed="false">
      <c r="A97" s="7" t="s">
        <v>180</v>
      </c>
      <c r="B97" s="5" t="s">
        <v>42</v>
      </c>
      <c r="C97" s="35" t="n">
        <f aca="false">IFERROR(C65/$C$65*100,0)</f>
        <v>0</v>
      </c>
      <c r="D97" s="35" t="n">
        <f aca="false">IFERROR(D65/$C$65*100,0)</f>
        <v>0</v>
      </c>
      <c r="E97" s="35" t="n">
        <f aca="false">IFERROR(E65/$C$65*100,0)</f>
        <v>0</v>
      </c>
      <c r="F97" s="35" t="n">
        <f aca="false">IFERROR(F65/$C$65*100,0)</f>
        <v>0</v>
      </c>
      <c r="G97" s="35" t="n">
        <f aca="false">IFERROR(G65/$C$65*100,0)</f>
        <v>0</v>
      </c>
      <c r="H97" s="35" t="n">
        <f aca="false">IFERROR(H65/$C$65*100,0)</f>
        <v>0</v>
      </c>
      <c r="I97" s="35" t="n">
        <f aca="false">IFERROR(I65/$C$65*100,0)</f>
        <v>0</v>
      </c>
      <c r="J97" s="35" t="n">
        <f aca="false">IFERROR(J65/$C$65*100,0)</f>
        <v>0</v>
      </c>
      <c r="K97" s="35" t="n">
        <f aca="false">IFERROR(K65/$C$65*100,0)</f>
        <v>0</v>
      </c>
      <c r="L97" s="35" t="n">
        <f aca="false">IFERROR(L65/$C$65*100,0)</f>
        <v>0</v>
      </c>
    </row>
    <row r="98" customFormat="false" ht="15" hidden="false" customHeight="false" outlineLevel="0" collapsed="false">
      <c r="A98" s="7" t="s">
        <v>181</v>
      </c>
      <c r="B98" s="5" t="s">
        <v>44</v>
      </c>
      <c r="C98" s="31" t="n">
        <f aca="false">$C$25*(C97/100-1)</f>
        <v>-0</v>
      </c>
      <c r="D98" s="31" t="n">
        <f aca="false">$C$25*(D97/100-1)</f>
        <v>-0</v>
      </c>
      <c r="E98" s="31" t="n">
        <f aca="false">$C$25*(E97/100-1)</f>
        <v>-0</v>
      </c>
      <c r="F98" s="31" t="n">
        <f aca="false">$C$25*(F97/100-1)</f>
        <v>-0</v>
      </c>
      <c r="G98" s="31" t="n">
        <f aca="false">$C$25*(G97/100-1)</f>
        <v>-0</v>
      </c>
      <c r="H98" s="31" t="n">
        <f aca="false">$C$25*(H97/100-1)</f>
        <v>-0</v>
      </c>
      <c r="I98" s="31" t="n">
        <f aca="false">$C$25*(I97/100-1)</f>
        <v>-0</v>
      </c>
      <c r="J98" s="31" t="n">
        <f aca="false">$C$25*(J97/100-1)</f>
        <v>-0</v>
      </c>
      <c r="K98" s="31" t="n">
        <f aca="false">$C$25*(K97/100-1)</f>
        <v>-0</v>
      </c>
      <c r="L98" s="31" t="n">
        <f aca="false">$C$25*(L97/100-1)</f>
        <v>-0</v>
      </c>
    </row>
    <row r="99" customFormat="false" ht="15" hidden="false" customHeight="false" outlineLevel="0" collapsed="false">
      <c r="A99" s="7" t="s">
        <v>182</v>
      </c>
      <c r="B99" s="5" t="s">
        <v>42</v>
      </c>
      <c r="C99" s="35" t="n">
        <f aca="false">IFERROR(C61/$C$61*100,0)</f>
        <v>0</v>
      </c>
      <c r="D99" s="35" t="n">
        <f aca="false">IFERROR(D61/$C$61*100,0)</f>
        <v>0</v>
      </c>
      <c r="E99" s="35" t="n">
        <f aca="false">IFERROR(E61/$C$61*100,0)</f>
        <v>0</v>
      </c>
      <c r="F99" s="35" t="n">
        <f aca="false">IFERROR(F61/$C$61*100,0)</f>
        <v>0</v>
      </c>
      <c r="G99" s="35" t="n">
        <f aca="false">IFERROR(G61/$C$61*100,0)</f>
        <v>0</v>
      </c>
      <c r="H99" s="35" t="n">
        <f aca="false">IFERROR(H61/$C$61*100,0)</f>
        <v>0</v>
      </c>
      <c r="I99" s="35" t="n">
        <f aca="false">IFERROR(I61/$C$61*100,0)</f>
        <v>0</v>
      </c>
      <c r="J99" s="35" t="n">
        <f aca="false">IFERROR(J61/$C$61*100,0)</f>
        <v>0</v>
      </c>
      <c r="K99" s="35" t="n">
        <f aca="false">IFERROR(K61/$C$61*100,0)</f>
        <v>0</v>
      </c>
      <c r="L99" s="35" t="n">
        <f aca="false">IFERROR(L61/$C$61*100,0)</f>
        <v>0</v>
      </c>
    </row>
    <row r="100" customFormat="false" ht="15" hidden="false" customHeight="false" outlineLevel="0" collapsed="false">
      <c r="A100" s="7" t="s">
        <v>183</v>
      </c>
      <c r="B100" s="5" t="s">
        <v>30</v>
      </c>
      <c r="C100" s="33" t="n">
        <f aca="false">(1-$G$44*$C$21)*MAX(0,C61-$D$30)*C66/1000</f>
        <v>0</v>
      </c>
      <c r="D100" s="33" t="n">
        <f aca="false">(1-$G$44*$C$21)*MAX(0,D61-$D$30)*D66/1000</f>
        <v>0</v>
      </c>
      <c r="E100" s="33" t="n">
        <f aca="false">(1-$G$44*$C$21)*MAX(0,E61-$D$30)*E66/1000</f>
        <v>0</v>
      </c>
      <c r="F100" s="33" t="n">
        <f aca="false">(1-$G$44*$C$21)*MAX(0,F61-$D$30)*F66/1000</f>
        <v>0</v>
      </c>
      <c r="G100" s="33" t="n">
        <f aca="false">(1-$G$44*$C$21)*MAX(0,G61-$D$30)*G66/1000</f>
        <v>0</v>
      </c>
      <c r="H100" s="33" t="n">
        <f aca="false">(1-$G$44*$C$21)*MAX(0,H61-$D$30)*H66/1000</f>
        <v>0</v>
      </c>
      <c r="I100" s="33" t="n">
        <f aca="false">(1-$G$44*$C$21)*MAX(0,I61-$D$30)*I66/1000</f>
        <v>0</v>
      </c>
      <c r="J100" s="33" t="n">
        <f aca="false">(1-$G$44*$C$21)*MAX(0,J61-$D$30)*J66/1000</f>
        <v>0</v>
      </c>
      <c r="K100" s="33" t="n">
        <f aca="false">(1-$G$44*$C$21)*MAX(0,K61-$D$30)*K66/1000</f>
        <v>0</v>
      </c>
      <c r="L100" s="33" t="n">
        <f aca="false">(1-$G$44*$C$21)*MAX(0,L61-$D$30)*L66/1000</f>
        <v>0</v>
      </c>
      <c r="M100" s="26" t="n">
        <f aca="false">SUM(D100:L100)</f>
        <v>0</v>
      </c>
    </row>
  </sheetData>
  <mergeCells count="1">
    <mergeCell ref="C39:D39"/>
  </mergeCells>
  <dataValidations count="1">
    <dataValidation allowBlank="false" errorStyle="stop" operator="between" showDropDown="false" showErrorMessage="false" showInputMessage="false" sqref="C39" type="list">
      <formula1>"S0 Statu quo,S1 Tarifs aux coûts,S2 Aides ciblées,S3 Réforme intégrée"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14" min="3" style="0" width="13"/>
  </cols>
  <sheetData>
    <row r="1" customFormat="false" ht="17.35" hidden="false" customHeight="false" outlineLevel="0" collapsed="false">
      <c r="A1" s="4" t="s">
        <v>185</v>
      </c>
    </row>
    <row r="2" customFormat="false" ht="15" hidden="false" customHeight="false" outlineLevel="0" collapsed="false">
      <c r="A2" s="36" t="s">
        <v>186</v>
      </c>
    </row>
    <row r="3" customFormat="false" ht="15" hidden="false" customHeight="false" outlineLevel="0" collapsed="false">
      <c r="A3" s="5" t="s">
        <v>47</v>
      </c>
    </row>
    <row r="5" customFormat="false" ht="15" hidden="false" customHeight="false" outlineLevel="0" collapsed="false">
      <c r="A5" s="12" t="s">
        <v>48</v>
      </c>
      <c r="B5" s="13"/>
      <c r="C5" s="13"/>
      <c r="D5" s="13"/>
      <c r="E5" s="13"/>
      <c r="F5" s="13"/>
      <c r="G5" s="13"/>
      <c r="H5" s="13"/>
      <c r="I5" s="13"/>
      <c r="J5" s="13"/>
      <c r="K5" s="13"/>
      <c r="L5" s="13"/>
      <c r="M5" s="13"/>
      <c r="N5" s="13"/>
    </row>
    <row r="6" customFormat="false" ht="15" hidden="false" customHeight="false" outlineLevel="0" collapsed="false">
      <c r="A6" s="6" t="s">
        <v>49</v>
      </c>
      <c r="B6" s="6" t="s">
        <v>21</v>
      </c>
      <c r="C6" s="6" t="s">
        <v>50</v>
      </c>
      <c r="D6" s="6" t="s">
        <v>51</v>
      </c>
    </row>
    <row r="7" customFormat="false" ht="15" hidden="false" customHeight="false" outlineLevel="0" collapsed="false">
      <c r="A7" s="7" t="s">
        <v>52</v>
      </c>
      <c r="B7" s="5" t="s">
        <v>53</v>
      </c>
      <c r="C7" s="37" t="s">
        <v>187</v>
      </c>
      <c r="D7" s="5" t="s">
        <v>54</v>
      </c>
    </row>
    <row r="8" customFormat="false" ht="15" hidden="false" customHeight="false" outlineLevel="0" collapsed="false">
      <c r="A8" s="7" t="s">
        <v>55</v>
      </c>
      <c r="B8" s="5" t="s">
        <v>56</v>
      </c>
      <c r="C8" s="38" t="n">
        <v>4000</v>
      </c>
    </row>
    <row r="9" customFormat="false" ht="15" hidden="false" customHeight="false" outlineLevel="0" collapsed="false">
      <c r="A9" s="7" t="s">
        <v>57</v>
      </c>
      <c r="B9" s="5" t="s">
        <v>58</v>
      </c>
      <c r="C9" s="28" t="n">
        <v>0.05</v>
      </c>
      <c r="D9" s="5" t="s">
        <v>59</v>
      </c>
    </row>
    <row r="10" customFormat="false" ht="15" hidden="false" customHeight="false" outlineLevel="0" collapsed="false">
      <c r="A10" s="7" t="s">
        <v>60</v>
      </c>
      <c r="B10" s="5" t="s">
        <v>61</v>
      </c>
      <c r="C10" s="28" t="n">
        <v>0.12</v>
      </c>
    </row>
    <row r="11" customFormat="false" ht="15" hidden="false" customHeight="false" outlineLevel="0" collapsed="false">
      <c r="A11" s="7" t="s">
        <v>62</v>
      </c>
      <c r="B11" s="5" t="s">
        <v>61</v>
      </c>
      <c r="C11" s="28" t="n">
        <v>0.13</v>
      </c>
    </row>
    <row r="12" customFormat="false" ht="15" hidden="false" customHeight="false" outlineLevel="0" collapsed="false">
      <c r="A12" s="7" t="s">
        <v>63</v>
      </c>
      <c r="B12" s="5" t="s">
        <v>61</v>
      </c>
      <c r="C12" s="28" t="n">
        <v>0.15</v>
      </c>
      <c r="D12" s="5" t="s">
        <v>64</v>
      </c>
    </row>
    <row r="13" customFormat="false" ht="15" hidden="false" customHeight="false" outlineLevel="0" collapsed="false">
      <c r="A13" s="7" t="s">
        <v>65</v>
      </c>
      <c r="B13" s="5" t="s">
        <v>66</v>
      </c>
      <c r="C13" s="28" t="n">
        <v>0.85</v>
      </c>
    </row>
    <row r="14" customFormat="false" ht="15" hidden="false" customHeight="false" outlineLevel="0" collapsed="false">
      <c r="A14" s="7" t="s">
        <v>67</v>
      </c>
      <c r="B14" s="5" t="s">
        <v>68</v>
      </c>
      <c r="C14" s="39" t="n">
        <v>60</v>
      </c>
      <c r="D14" s="5" t="s">
        <v>69</v>
      </c>
    </row>
    <row r="15" customFormat="false" ht="15" hidden="false" customHeight="false" outlineLevel="0" collapsed="false">
      <c r="A15" s="7" t="s">
        <v>70</v>
      </c>
      <c r="B15" s="5" t="s">
        <v>27</v>
      </c>
      <c r="C15" s="28" t="n">
        <v>0.5</v>
      </c>
      <c r="D15" s="5" t="s">
        <v>71</v>
      </c>
    </row>
    <row r="16" customFormat="false" ht="15" hidden="false" customHeight="false" outlineLevel="0" collapsed="false">
      <c r="A16" s="7" t="s">
        <v>72</v>
      </c>
      <c r="B16" s="5" t="s">
        <v>73</v>
      </c>
      <c r="C16" s="28" t="n">
        <v>0.7</v>
      </c>
      <c r="D16" s="5" t="s">
        <v>74</v>
      </c>
    </row>
    <row r="17" customFormat="false" ht="15" hidden="false" customHeight="false" outlineLevel="0" collapsed="false">
      <c r="A17" s="7" t="s">
        <v>75</v>
      </c>
      <c r="B17" s="5" t="s">
        <v>76</v>
      </c>
      <c r="C17" s="19" t="n">
        <v>1</v>
      </c>
    </row>
    <row r="18" customFormat="false" ht="15" hidden="false" customHeight="false" outlineLevel="0" collapsed="false">
      <c r="A18" s="7" t="s">
        <v>77</v>
      </c>
      <c r="B18" s="5" t="s">
        <v>78</v>
      </c>
      <c r="C18" s="38" t="n">
        <v>400000</v>
      </c>
    </row>
    <row r="19" customFormat="false" ht="15" hidden="false" customHeight="false" outlineLevel="0" collapsed="false">
      <c r="A19" s="7" t="s">
        <v>79</v>
      </c>
      <c r="B19" s="5" t="s">
        <v>80</v>
      </c>
      <c r="C19" s="38" t="n">
        <v>3000</v>
      </c>
    </row>
    <row r="20" customFormat="false" ht="15" hidden="false" customHeight="false" outlineLevel="0" collapsed="false">
      <c r="A20" s="7" t="s">
        <v>81</v>
      </c>
      <c r="B20" s="5" t="s">
        <v>27</v>
      </c>
      <c r="C20" s="28" t="n">
        <v>0.25</v>
      </c>
    </row>
    <row r="21" customFormat="false" ht="15" hidden="false" customHeight="false" outlineLevel="0" collapsed="false">
      <c r="A21" s="7" t="s">
        <v>82</v>
      </c>
      <c r="B21" s="5" t="s">
        <v>27</v>
      </c>
      <c r="C21" s="28" t="n">
        <v>0.7</v>
      </c>
      <c r="D21" s="5" t="s">
        <v>83</v>
      </c>
    </row>
    <row r="22" customFormat="false" ht="15" hidden="false" customHeight="false" outlineLevel="0" collapsed="false">
      <c r="A22" s="7" t="s">
        <v>84</v>
      </c>
      <c r="B22" s="5" t="s">
        <v>85</v>
      </c>
      <c r="C22" s="38" t="n">
        <v>150000</v>
      </c>
    </row>
    <row r="23" customFormat="false" ht="15" hidden="false" customHeight="false" outlineLevel="0" collapsed="false">
      <c r="A23" s="7" t="s">
        <v>86</v>
      </c>
      <c r="B23" s="5" t="s">
        <v>30</v>
      </c>
      <c r="C23" s="39" t="n">
        <v>50</v>
      </c>
      <c r="D23" s="5" t="s">
        <v>87</v>
      </c>
    </row>
    <row r="24" customFormat="false" ht="15" hidden="false" customHeight="false" outlineLevel="0" collapsed="false">
      <c r="A24" s="7" t="s">
        <v>88</v>
      </c>
      <c r="B24" s="5" t="s">
        <v>30</v>
      </c>
      <c r="C24" s="39" t="n">
        <v>80</v>
      </c>
      <c r="D24" s="5" t="s">
        <v>89</v>
      </c>
    </row>
    <row r="25" customFormat="false" ht="15" hidden="false" customHeight="false" outlineLevel="0" collapsed="false">
      <c r="A25" s="7" t="s">
        <v>90</v>
      </c>
      <c r="B25" s="5" t="s">
        <v>27</v>
      </c>
      <c r="C25" s="28" t="n">
        <v>0.15</v>
      </c>
    </row>
    <row r="27" customFormat="false" ht="15" hidden="false" customHeight="false" outlineLevel="0" collapsed="false">
      <c r="A27" s="12" t="s">
        <v>91</v>
      </c>
      <c r="B27" s="13"/>
      <c r="C27" s="13"/>
      <c r="D27" s="13"/>
      <c r="E27" s="13"/>
      <c r="F27" s="13"/>
      <c r="G27" s="13"/>
      <c r="H27" s="13"/>
      <c r="I27" s="13"/>
      <c r="J27" s="13"/>
      <c r="K27" s="13"/>
      <c r="L27" s="13"/>
      <c r="M27" s="13"/>
      <c r="N27" s="13"/>
    </row>
    <row r="28" customFormat="false" ht="15" hidden="false" customHeight="false" outlineLevel="0" collapsed="false">
      <c r="A28" s="6" t="s">
        <v>92</v>
      </c>
      <c r="B28" s="6" t="s">
        <v>93</v>
      </c>
      <c r="C28" s="6" t="s">
        <v>94</v>
      </c>
      <c r="D28" s="6" t="s">
        <v>95</v>
      </c>
      <c r="E28" s="6" t="s">
        <v>96</v>
      </c>
      <c r="F28" s="6" t="s">
        <v>97</v>
      </c>
      <c r="G28" s="6" t="s">
        <v>98</v>
      </c>
      <c r="H28" s="6" t="s">
        <v>99</v>
      </c>
      <c r="I28" s="6" t="s">
        <v>100</v>
      </c>
      <c r="J28" s="6" t="s">
        <v>101</v>
      </c>
    </row>
    <row r="29" customFormat="false" ht="15" hidden="false" customHeight="false" outlineLevel="0" collapsed="false">
      <c r="A29" s="5"/>
      <c r="B29" s="5"/>
      <c r="C29" s="5" t="s">
        <v>102</v>
      </c>
      <c r="D29" s="5" t="s">
        <v>68</v>
      </c>
      <c r="E29" s="5" t="s">
        <v>68</v>
      </c>
      <c r="F29" s="5" t="s">
        <v>56</v>
      </c>
      <c r="G29" s="5" t="s">
        <v>30</v>
      </c>
      <c r="H29" s="5" t="s">
        <v>30</v>
      </c>
      <c r="I29" s="5" t="s">
        <v>30</v>
      </c>
      <c r="J29" s="5" t="s">
        <v>27</v>
      </c>
    </row>
    <row r="30" customFormat="false" ht="15" hidden="false" customHeight="false" outlineLevel="0" collapsed="false">
      <c r="A30" s="7" t="s">
        <v>103</v>
      </c>
      <c r="B30" s="19" t="n">
        <v>1</v>
      </c>
      <c r="C30" s="28" t="n">
        <v>0.15</v>
      </c>
      <c r="D30" s="39" t="n">
        <v>50</v>
      </c>
      <c r="E30" s="39" t="n">
        <v>110</v>
      </c>
      <c r="F30" s="20" t="n">
        <f aca="false">$C$8*(1-$C$10-$C$11)*C30</f>
        <v>450</v>
      </c>
      <c r="G30" s="21" t="n">
        <f aca="false">F30*D30/1000</f>
        <v>22.5</v>
      </c>
      <c r="H30" s="21" t="n">
        <f aca="false">F30*E30/1000</f>
        <v>49.5</v>
      </c>
      <c r="I30" s="21" t="n">
        <f aca="false">G30-H30</f>
        <v>-27</v>
      </c>
      <c r="J30" s="22" t="n">
        <f aca="false">IFERROR(D30/E30-1,0)</f>
        <v>-0.545454545454545</v>
      </c>
    </row>
    <row r="31" customFormat="false" ht="15" hidden="false" customHeight="false" outlineLevel="0" collapsed="false">
      <c r="A31" s="7" t="s">
        <v>104</v>
      </c>
      <c r="B31" s="19" t="n">
        <v>0</v>
      </c>
      <c r="C31" s="28" t="n">
        <v>0.3</v>
      </c>
      <c r="D31" s="39" t="n">
        <v>80</v>
      </c>
      <c r="E31" s="39" t="n">
        <v>110</v>
      </c>
      <c r="F31" s="20" t="n">
        <f aca="false">$C$8*(1-$C$10-$C$11)*C31</f>
        <v>900</v>
      </c>
      <c r="G31" s="21" t="n">
        <f aca="false">F31*D31/1000</f>
        <v>72</v>
      </c>
      <c r="H31" s="21" t="n">
        <f aca="false">F31*E31/1000</f>
        <v>99</v>
      </c>
      <c r="I31" s="21" t="n">
        <f aca="false">G31-H31</f>
        <v>-27</v>
      </c>
      <c r="J31" s="22" t="n">
        <f aca="false">IFERROR(D31/E31-1,0)</f>
        <v>-0.272727272727273</v>
      </c>
    </row>
    <row r="32" customFormat="false" ht="15" hidden="false" customHeight="false" outlineLevel="0" collapsed="false">
      <c r="A32" s="7" t="s">
        <v>105</v>
      </c>
      <c r="B32" s="19" t="n">
        <v>0</v>
      </c>
      <c r="C32" s="28" t="n">
        <v>0.15</v>
      </c>
      <c r="D32" s="39" t="n">
        <v>100</v>
      </c>
      <c r="E32" s="39" t="n">
        <v>105</v>
      </c>
      <c r="F32" s="20" t="n">
        <f aca="false">$C$8*(1-$C$10-$C$11)*C32</f>
        <v>450</v>
      </c>
      <c r="G32" s="21" t="n">
        <f aca="false">F32*D32/1000</f>
        <v>45</v>
      </c>
      <c r="H32" s="21" t="n">
        <f aca="false">F32*E32/1000</f>
        <v>47.25</v>
      </c>
      <c r="I32" s="21" t="n">
        <f aca="false">G32-H32</f>
        <v>-2.25</v>
      </c>
      <c r="J32" s="22" t="n">
        <f aca="false">IFERROR(D32/E32-1,0)</f>
        <v>-0.0476190476190477</v>
      </c>
    </row>
    <row r="33" customFormat="false" ht="15" hidden="false" customHeight="false" outlineLevel="0" collapsed="false">
      <c r="A33" s="7" t="s">
        <v>106</v>
      </c>
      <c r="B33" s="19" t="n">
        <v>0</v>
      </c>
      <c r="C33" s="28" t="n">
        <v>0.2</v>
      </c>
      <c r="D33" s="39" t="n">
        <v>95</v>
      </c>
      <c r="E33" s="39" t="n">
        <v>85</v>
      </c>
      <c r="F33" s="20" t="n">
        <f aca="false">$C$8*(1-$C$10-$C$11)*C33</f>
        <v>600</v>
      </c>
      <c r="G33" s="21" t="n">
        <f aca="false">F33*D33/1000</f>
        <v>57</v>
      </c>
      <c r="H33" s="21" t="n">
        <f aca="false">F33*E33/1000</f>
        <v>51</v>
      </c>
      <c r="I33" s="21" t="n">
        <f aca="false">G33-H33</f>
        <v>6</v>
      </c>
      <c r="J33" s="22" t="n">
        <f aca="false">IFERROR(D33/E33-1,0)</f>
        <v>0.117647058823529</v>
      </c>
    </row>
    <row r="34" customFormat="false" ht="15" hidden="false" customHeight="false" outlineLevel="0" collapsed="false">
      <c r="A34" s="7" t="s">
        <v>107</v>
      </c>
      <c r="B34" s="19" t="n">
        <v>0</v>
      </c>
      <c r="C34" s="28" t="n">
        <v>0.2</v>
      </c>
      <c r="D34" s="39" t="n">
        <v>70</v>
      </c>
      <c r="E34" s="39" t="n">
        <v>60</v>
      </c>
      <c r="F34" s="20" t="n">
        <f aca="false">$C$8*(1-$C$10-$C$11)*C34</f>
        <v>600</v>
      </c>
      <c r="G34" s="21" t="n">
        <f aca="false">F34*D34/1000</f>
        <v>42</v>
      </c>
      <c r="H34" s="21" t="n">
        <f aca="false">F34*E34/1000</f>
        <v>36</v>
      </c>
      <c r="I34" s="21" t="n">
        <f aca="false">G34-H34</f>
        <v>6</v>
      </c>
      <c r="J34" s="22" t="n">
        <f aca="false">IFERROR(D34/E34-1,0)</f>
        <v>0.166666666666667</v>
      </c>
    </row>
    <row r="35" customFormat="false" ht="15" hidden="false" customHeight="false" outlineLevel="0" collapsed="false">
      <c r="A35" s="23" t="s">
        <v>108</v>
      </c>
      <c r="C35" s="24" t="n">
        <f aca="false">SUM(C30:C34)</f>
        <v>1</v>
      </c>
      <c r="F35" s="25" t="n">
        <f aca="false">SUM(F30:F34)</f>
        <v>3000</v>
      </c>
      <c r="G35" s="26" t="n">
        <f aca="false">SUM(G30:G34)</f>
        <v>238.5</v>
      </c>
      <c r="H35" s="26" t="n">
        <f aca="false">SUM(H30:H34)</f>
        <v>282.75</v>
      </c>
      <c r="I35" s="26" t="n">
        <f aca="false">SUM(I30:I34)</f>
        <v>-44.25</v>
      </c>
      <c r="J35" s="24" t="n">
        <f aca="false">IFERROR(G35/H35-1,0)</f>
        <v>-0.156498673740053</v>
      </c>
    </row>
    <row r="36" customFormat="false" ht="15" hidden="false" customHeight="false" outlineLevel="0" collapsed="false">
      <c r="A36" s="5" t="s">
        <v>109</v>
      </c>
    </row>
    <row r="38" customFormat="false" ht="15" hidden="false" customHeight="false" outlineLevel="0" collapsed="false">
      <c r="A38" s="12" t="s">
        <v>110</v>
      </c>
      <c r="B38" s="13"/>
      <c r="C38" s="13"/>
      <c r="D38" s="13"/>
      <c r="E38" s="13"/>
      <c r="F38" s="13"/>
      <c r="G38" s="13"/>
      <c r="H38" s="13"/>
      <c r="I38" s="13"/>
      <c r="J38" s="13"/>
      <c r="K38" s="13"/>
      <c r="L38" s="13"/>
      <c r="M38" s="13"/>
      <c r="N38" s="13"/>
    </row>
    <row r="39" customFormat="false" ht="15" hidden="false" customHeight="false" outlineLevel="0" collapsed="false">
      <c r="A39" s="23" t="s">
        <v>111</v>
      </c>
      <c r="C39" s="27" t="s">
        <v>115</v>
      </c>
      <c r="D39" s="27"/>
    </row>
    <row r="40" customFormat="false" ht="15" hidden="false" customHeight="false" outlineLevel="0" collapsed="false">
      <c r="A40" s="6" t="s">
        <v>49</v>
      </c>
      <c r="B40" s="6" t="s">
        <v>21</v>
      </c>
      <c r="C40" s="6" t="s">
        <v>112</v>
      </c>
      <c r="D40" s="6" t="s">
        <v>113</v>
      </c>
      <c r="E40" s="6" t="s">
        <v>114</v>
      </c>
      <c r="F40" s="6" t="s">
        <v>115</v>
      </c>
      <c r="G40" s="6" t="s">
        <v>116</v>
      </c>
    </row>
    <row r="41" customFormat="false" ht="15" hidden="false" customHeight="false" outlineLevel="0" collapsed="false">
      <c r="A41" s="7" t="s">
        <v>117</v>
      </c>
      <c r="B41" s="5" t="s">
        <v>118</v>
      </c>
      <c r="C41" s="28" t="n">
        <v>0</v>
      </c>
      <c r="D41" s="28" t="n">
        <v>1</v>
      </c>
      <c r="E41" s="28" t="n">
        <v>1</v>
      </c>
      <c r="F41" s="28" t="n">
        <v>1</v>
      </c>
      <c r="G41" s="22" t="n">
        <f aca="false">INDEX(C41:F41,MATCH($C$39,$C$40:$F$40,0))</f>
        <v>1</v>
      </c>
    </row>
    <row r="42" customFormat="false" ht="15" hidden="false" customHeight="false" outlineLevel="0" collapsed="false">
      <c r="A42" s="7" t="s">
        <v>119</v>
      </c>
      <c r="B42" s="5" t="s">
        <v>118</v>
      </c>
      <c r="C42" s="28" t="n">
        <v>0</v>
      </c>
      <c r="D42" s="28" t="n">
        <v>1</v>
      </c>
      <c r="E42" s="28" t="n">
        <v>1</v>
      </c>
      <c r="F42" s="28" t="n">
        <v>1</v>
      </c>
      <c r="G42" s="22" t="n">
        <f aca="false">INDEX(C42:F42,MATCH($C$39,$C$40:$F$40,0))</f>
        <v>1</v>
      </c>
    </row>
    <row r="43" customFormat="false" ht="15" hidden="false" customHeight="false" outlineLevel="0" collapsed="false">
      <c r="A43" s="7" t="s">
        <v>120</v>
      </c>
      <c r="B43" s="5" t="s">
        <v>118</v>
      </c>
      <c r="C43" s="28" t="n">
        <v>0</v>
      </c>
      <c r="D43" s="28" t="n">
        <v>1</v>
      </c>
      <c r="E43" s="28" t="n">
        <v>1</v>
      </c>
      <c r="F43" s="28" t="n">
        <v>1</v>
      </c>
      <c r="G43" s="22" t="n">
        <f aca="false">INDEX(C43:F43,MATCH($C$39,$C$40:$F$40,0))</f>
        <v>1</v>
      </c>
    </row>
    <row r="44" customFormat="false" ht="15" hidden="false" customHeight="false" outlineLevel="0" collapsed="false">
      <c r="A44" s="7" t="s">
        <v>121</v>
      </c>
      <c r="B44" s="5" t="s">
        <v>76</v>
      </c>
      <c r="C44" s="19" t="n">
        <v>0</v>
      </c>
      <c r="D44" s="19" t="n">
        <v>0</v>
      </c>
      <c r="E44" s="19" t="n">
        <v>1</v>
      </c>
      <c r="F44" s="19" t="n">
        <v>1</v>
      </c>
      <c r="G44" s="29" t="n">
        <f aca="false">INDEX(C44:F44,MATCH($C$39,$C$40:$F$40,0))</f>
        <v>1</v>
      </c>
    </row>
    <row r="45" customFormat="false" ht="15" hidden="false" customHeight="false" outlineLevel="0" collapsed="false">
      <c r="A45" s="7" t="s">
        <v>122</v>
      </c>
      <c r="B45" s="5" t="s">
        <v>61</v>
      </c>
      <c r="C45" s="22" t="n">
        <f aca="false">$C$10</f>
        <v>0.12</v>
      </c>
      <c r="D45" s="22" t="n">
        <f aca="false">$C$10</f>
        <v>0.12</v>
      </c>
      <c r="E45" s="22" t="n">
        <f aca="false">$C$10</f>
        <v>0.12</v>
      </c>
      <c r="F45" s="28" t="n">
        <v>0.09</v>
      </c>
      <c r="G45" s="22" t="n">
        <f aca="false">INDEX(C45:F45,MATCH($C$39,$C$40:$F$40,0))</f>
        <v>0.09</v>
      </c>
    </row>
    <row r="46" customFormat="false" ht="15" hidden="false" customHeight="false" outlineLevel="0" collapsed="false">
      <c r="A46" s="7" t="s">
        <v>123</v>
      </c>
      <c r="B46" s="5" t="s">
        <v>61</v>
      </c>
      <c r="C46" s="22" t="n">
        <f aca="false">$C$11</f>
        <v>0.13</v>
      </c>
      <c r="D46" s="22" t="n">
        <f aca="false">$C$11</f>
        <v>0.13</v>
      </c>
      <c r="E46" s="22" t="n">
        <f aca="false">$C$11</f>
        <v>0.13</v>
      </c>
      <c r="F46" s="28" t="n">
        <v>0.06</v>
      </c>
      <c r="G46" s="22" t="n">
        <f aca="false">INDEX(C46:F46,MATCH($C$39,$C$40:$F$40,0))</f>
        <v>0.06</v>
      </c>
    </row>
    <row r="47" customFormat="false" ht="15" hidden="false" customHeight="false" outlineLevel="0" collapsed="false">
      <c r="A47" s="7" t="s">
        <v>124</v>
      </c>
      <c r="B47" s="5" t="s">
        <v>66</v>
      </c>
      <c r="C47" s="22" t="n">
        <f aca="false">$C$13</f>
        <v>0.85</v>
      </c>
      <c r="D47" s="22" t="n">
        <f aca="false">$C$13</f>
        <v>0.85</v>
      </c>
      <c r="E47" s="22" t="n">
        <f aca="false">$C$13</f>
        <v>0.85</v>
      </c>
      <c r="F47" s="28" t="n">
        <v>0.95</v>
      </c>
      <c r="G47" s="22" t="n">
        <f aca="false">INDEX(C47:F47,MATCH($C$39,$C$40:$F$40,0))</f>
        <v>0.95</v>
      </c>
    </row>
    <row r="48" customFormat="false" ht="15" hidden="false" customHeight="false" outlineLevel="0" collapsed="false">
      <c r="A48" s="7" t="s">
        <v>125</v>
      </c>
      <c r="B48" s="5" t="s">
        <v>78</v>
      </c>
      <c r="C48" s="38" t="n">
        <v>20000</v>
      </c>
      <c r="D48" s="38" t="n">
        <v>0</v>
      </c>
      <c r="E48" s="38" t="n">
        <v>50000</v>
      </c>
      <c r="F48" s="38" t="n">
        <v>80000</v>
      </c>
      <c r="G48" s="20" t="n">
        <f aca="false">INDEX(C48:F48,MATCH($C$39,$C$40:$F$40,0))</f>
        <v>80000</v>
      </c>
    </row>
    <row r="49" customFormat="false" ht="15" hidden="false" customHeight="false" outlineLevel="0" collapsed="false">
      <c r="A49" s="7" t="s">
        <v>126</v>
      </c>
      <c r="B49" s="5" t="s">
        <v>27</v>
      </c>
      <c r="C49" s="28" t="n">
        <v>0</v>
      </c>
      <c r="D49" s="28" t="n">
        <v>0</v>
      </c>
      <c r="E49" s="28" t="n">
        <v>0</v>
      </c>
      <c r="F49" s="28" t="n">
        <v>0.5</v>
      </c>
      <c r="G49" s="22" t="n">
        <f aca="false">INDEX(C49:F49,MATCH($C$39,$C$40:$F$40,0))</f>
        <v>0.5</v>
      </c>
    </row>
    <row r="50" customFormat="false" ht="15" hidden="false" customHeight="false" outlineLevel="0" collapsed="false">
      <c r="A50" s="7" t="s">
        <v>127</v>
      </c>
      <c r="B50" s="5" t="s">
        <v>27</v>
      </c>
      <c r="C50" s="28" t="n">
        <v>0</v>
      </c>
      <c r="D50" s="28" t="n">
        <v>0</v>
      </c>
      <c r="E50" s="28" t="n">
        <v>0</v>
      </c>
      <c r="F50" s="28" t="n">
        <v>0.6</v>
      </c>
      <c r="G50" s="22" t="n">
        <f aca="false">INDEX(C50:F50,MATCH($C$39,$C$40:$F$40,0))</f>
        <v>0.6</v>
      </c>
    </row>
    <row r="51" customFormat="false" ht="15" hidden="false" customHeight="false" outlineLevel="0" collapsed="false">
      <c r="A51" s="5" t="s">
        <v>128</v>
      </c>
    </row>
    <row r="53" customFormat="false" ht="15" hidden="false" customHeight="false" outlineLevel="0" collapsed="false">
      <c r="A53" s="12" t="s">
        <v>129</v>
      </c>
      <c r="B53" s="13"/>
      <c r="C53" s="13"/>
      <c r="D53" s="13"/>
      <c r="E53" s="13"/>
      <c r="F53" s="13"/>
      <c r="G53" s="13"/>
      <c r="H53" s="13"/>
      <c r="I53" s="13"/>
      <c r="J53" s="13"/>
      <c r="K53" s="13"/>
      <c r="L53" s="13"/>
      <c r="M53" s="13"/>
      <c r="N53" s="13"/>
    </row>
    <row r="54" customFormat="false" ht="15" hidden="false" customHeight="false" outlineLevel="0" collapsed="false">
      <c r="A54" s="6" t="s">
        <v>20</v>
      </c>
      <c r="B54" s="6" t="s">
        <v>21</v>
      </c>
      <c r="C54" s="30" t="s">
        <v>130</v>
      </c>
      <c r="D54" s="30" t="s">
        <v>131</v>
      </c>
      <c r="E54" s="30" t="s">
        <v>132</v>
      </c>
      <c r="F54" s="30" t="s">
        <v>133</v>
      </c>
      <c r="G54" s="30" t="s">
        <v>134</v>
      </c>
      <c r="H54" s="30" t="s">
        <v>135</v>
      </c>
      <c r="I54" s="30" t="s">
        <v>136</v>
      </c>
      <c r="J54" s="30" t="s">
        <v>137</v>
      </c>
      <c r="K54" s="30" t="s">
        <v>138</v>
      </c>
      <c r="L54" s="30" t="s">
        <v>139</v>
      </c>
      <c r="M54" s="6" t="s">
        <v>140</v>
      </c>
    </row>
    <row r="55" customFormat="false" ht="15" hidden="false" customHeight="false" outlineLevel="0" collapsed="false">
      <c r="A55" s="7" t="s">
        <v>141</v>
      </c>
      <c r="B55" s="5" t="s">
        <v>118</v>
      </c>
      <c r="C55" s="31" t="n">
        <f aca="false">0/9</f>
        <v>0</v>
      </c>
      <c r="D55" s="31" t="n">
        <f aca="false">1/9</f>
        <v>0.111111111111111</v>
      </c>
      <c r="E55" s="31" t="n">
        <f aca="false">2/9</f>
        <v>0.222222222222222</v>
      </c>
      <c r="F55" s="31" t="n">
        <f aca="false">3/9</f>
        <v>0.333333333333333</v>
      </c>
      <c r="G55" s="31" t="n">
        <f aca="false">4/9</f>
        <v>0.444444444444444</v>
      </c>
      <c r="H55" s="31" t="n">
        <f aca="false">5/9</f>
        <v>0.555555555555556</v>
      </c>
      <c r="I55" s="31" t="n">
        <f aca="false">6/9</f>
        <v>0.666666666666667</v>
      </c>
      <c r="J55" s="31" t="n">
        <f aca="false">7/9</f>
        <v>0.777777777777778</v>
      </c>
      <c r="K55" s="31" t="n">
        <f aca="false">8/9</f>
        <v>0.888888888888889</v>
      </c>
      <c r="L55" s="31" t="n">
        <f aca="false">9/9</f>
        <v>1</v>
      </c>
    </row>
    <row r="56" customFormat="false" ht="15" hidden="false" customHeight="false" outlineLevel="0" collapsed="false">
      <c r="A56" s="7" t="s">
        <v>142</v>
      </c>
      <c r="B56" s="5" t="s">
        <v>56</v>
      </c>
      <c r="C56" s="32" t="n">
        <f aca="false">$C$8</f>
        <v>4000</v>
      </c>
      <c r="D56" s="32" t="n">
        <f aca="false">C56*(1+$C$9)</f>
        <v>4200</v>
      </c>
      <c r="E56" s="32" t="n">
        <f aca="false">D56*(1+$C$9)</f>
        <v>4410</v>
      </c>
      <c r="F56" s="32" t="n">
        <f aca="false">E56*(1+$C$9)</f>
        <v>4630.5</v>
      </c>
      <c r="G56" s="32" t="n">
        <f aca="false">F56*(1+$C$9)</f>
        <v>4862.025</v>
      </c>
      <c r="H56" s="32" t="n">
        <f aca="false">G56*(1+$C$9)</f>
        <v>5105.12625</v>
      </c>
      <c r="I56" s="32" t="n">
        <f aca="false">H56*(1+$C$9)</f>
        <v>5360.3825625</v>
      </c>
      <c r="J56" s="32" t="n">
        <f aca="false">I56*(1+$C$9)</f>
        <v>5628.401690625</v>
      </c>
      <c r="K56" s="32" t="n">
        <f aca="false">J56*(1+$C$9)</f>
        <v>5909.82177515625</v>
      </c>
      <c r="L56" s="32" t="n">
        <f aca="false">K56*(1+$C$9)</f>
        <v>6205.31286391407</v>
      </c>
    </row>
    <row r="57" customFormat="false" ht="15" hidden="false" customHeight="false" outlineLevel="0" collapsed="false">
      <c r="A57" s="7" t="s">
        <v>60</v>
      </c>
      <c r="B57" s="5" t="s">
        <v>27</v>
      </c>
      <c r="C57" s="31" t="n">
        <f aca="false">$C$10+($G$45-$C$10)*C$55</f>
        <v>0.12</v>
      </c>
      <c r="D57" s="31" t="n">
        <f aca="false">$C$10+($G$45-$C$10)*D$55</f>
        <v>0.116666666666667</v>
      </c>
      <c r="E57" s="31" t="n">
        <f aca="false">$C$10+($G$45-$C$10)*E$55</f>
        <v>0.113333333333333</v>
      </c>
      <c r="F57" s="31" t="n">
        <f aca="false">$C$10+($G$45-$C$10)*F$55</f>
        <v>0.11</v>
      </c>
      <c r="G57" s="31" t="n">
        <f aca="false">$C$10+($G$45-$C$10)*G$55</f>
        <v>0.106666666666667</v>
      </c>
      <c r="H57" s="31" t="n">
        <f aca="false">$C$10+($G$45-$C$10)*H$55</f>
        <v>0.103333333333333</v>
      </c>
      <c r="I57" s="31" t="n">
        <f aca="false">$C$10+($G$45-$C$10)*I$55</f>
        <v>0.1</v>
      </c>
      <c r="J57" s="31" t="n">
        <f aca="false">$C$10+($G$45-$C$10)*J$55</f>
        <v>0.0966666666666667</v>
      </c>
      <c r="K57" s="31" t="n">
        <f aca="false">$C$10+($G$45-$C$10)*K$55</f>
        <v>0.0933333333333333</v>
      </c>
      <c r="L57" s="31" t="n">
        <f aca="false">$C$10+($G$45-$C$10)*L$55</f>
        <v>0.09</v>
      </c>
    </row>
    <row r="58" customFormat="false" ht="15" hidden="false" customHeight="false" outlineLevel="0" collapsed="false">
      <c r="A58" s="7" t="s">
        <v>143</v>
      </c>
      <c r="B58" s="5" t="s">
        <v>27</v>
      </c>
      <c r="C58" s="31" t="n">
        <f aca="false">$C$11+($G$46-$C$11)*C$55</f>
        <v>0.13</v>
      </c>
      <c r="D58" s="31" t="n">
        <f aca="false">$C$11+($G$46-$C$11)*D$55</f>
        <v>0.122222222222222</v>
      </c>
      <c r="E58" s="31" t="n">
        <f aca="false">$C$11+($G$46-$C$11)*E$55</f>
        <v>0.114444444444444</v>
      </c>
      <c r="F58" s="31" t="n">
        <f aca="false">$C$11+($G$46-$C$11)*F$55</f>
        <v>0.106666666666667</v>
      </c>
      <c r="G58" s="31" t="n">
        <f aca="false">$C$11+($G$46-$C$11)*G$55</f>
        <v>0.0988888888888889</v>
      </c>
      <c r="H58" s="31" t="n">
        <f aca="false">$C$11+($G$46-$C$11)*H$55</f>
        <v>0.0911111111111111</v>
      </c>
      <c r="I58" s="31" t="n">
        <f aca="false">$C$11+($G$46-$C$11)*I$55</f>
        <v>0.0833333333333333</v>
      </c>
      <c r="J58" s="31" t="n">
        <f aca="false">$C$11+($G$46-$C$11)*J$55</f>
        <v>0.0755555555555556</v>
      </c>
      <c r="K58" s="31" t="n">
        <f aca="false">$C$11+($G$46-$C$11)*K$55</f>
        <v>0.0677777777777778</v>
      </c>
      <c r="L58" s="31" t="n">
        <f aca="false">$C$11+($G$46-$C$11)*L$55</f>
        <v>0.06</v>
      </c>
    </row>
    <row r="59" customFormat="false" ht="15" hidden="false" customHeight="false" outlineLevel="0" collapsed="false">
      <c r="A59" s="7" t="s">
        <v>144</v>
      </c>
      <c r="B59" s="5" t="s">
        <v>27</v>
      </c>
      <c r="C59" s="31" t="n">
        <f aca="false">$C$13+($G$47-$C$13)*C$55</f>
        <v>0.85</v>
      </c>
      <c r="D59" s="31" t="n">
        <f aca="false">$C$13+($G$47-$C$13)*D$55</f>
        <v>0.861111111111111</v>
      </c>
      <c r="E59" s="31" t="n">
        <f aca="false">$C$13+($G$47-$C$13)*E$55</f>
        <v>0.872222222222222</v>
      </c>
      <c r="F59" s="31" t="n">
        <f aca="false">$C$13+($G$47-$C$13)*F$55</f>
        <v>0.883333333333333</v>
      </c>
      <c r="G59" s="31" t="n">
        <f aca="false">$C$13+($G$47-$C$13)*G$55</f>
        <v>0.894444444444444</v>
      </c>
      <c r="H59" s="31" t="n">
        <f aca="false">$C$13+($G$47-$C$13)*H$55</f>
        <v>0.905555555555556</v>
      </c>
      <c r="I59" s="31" t="n">
        <f aca="false">$C$13+($G$47-$C$13)*I$55</f>
        <v>0.916666666666667</v>
      </c>
      <c r="J59" s="31" t="n">
        <f aca="false">$C$13+($G$47-$C$13)*J$55</f>
        <v>0.927777777777778</v>
      </c>
      <c r="K59" s="31" t="n">
        <f aca="false">$C$13+($G$47-$C$13)*K$55</f>
        <v>0.938888888888889</v>
      </c>
      <c r="L59" s="31" t="n">
        <f aca="false">$C$13+($G$47-$C$13)*L$55</f>
        <v>0.95</v>
      </c>
    </row>
    <row r="60" customFormat="false" ht="15" hidden="false" customHeight="false" outlineLevel="0" collapsed="false">
      <c r="A60" s="7" t="s">
        <v>145</v>
      </c>
      <c r="B60" s="5" t="s">
        <v>56</v>
      </c>
      <c r="C60" s="32" t="n">
        <f aca="false">C56*(1-C57-C58)</f>
        <v>3000</v>
      </c>
      <c r="D60" s="32" t="n">
        <f aca="false">D56*(1-D57-D58)</f>
        <v>3196.66666666667</v>
      </c>
      <c r="E60" s="32" t="n">
        <f aca="false">E56*(1-E57-E58)</f>
        <v>3405.5</v>
      </c>
      <c r="F60" s="32" t="n">
        <f aca="false">F56*(1-F57-F58)</f>
        <v>3627.225</v>
      </c>
      <c r="G60" s="32" t="n">
        <f aca="false">G56*(1-G57-G58)</f>
        <v>3862.60875</v>
      </c>
      <c r="H60" s="32" t="n">
        <f aca="false">H56*(1-H57-H58)</f>
        <v>4112.4628125</v>
      </c>
      <c r="I60" s="32" t="n">
        <f aca="false">I56*(1-I57-I58)</f>
        <v>4377.645759375</v>
      </c>
      <c r="J60" s="32" t="n">
        <f aca="false">J56*(1-J57-J58)</f>
        <v>4659.06584390625</v>
      </c>
      <c r="K60" s="32" t="n">
        <f aca="false">K56*(1-K57-K58)</f>
        <v>4957.68382249219</v>
      </c>
      <c r="L60" s="32" t="n">
        <f aca="false">L56*(1-L57-L58)</f>
        <v>5274.51593432696</v>
      </c>
    </row>
    <row r="61" customFormat="false" ht="15" hidden="false" customHeight="false" outlineLevel="0" collapsed="false">
      <c r="A61" s="7" t="s">
        <v>146</v>
      </c>
      <c r="B61" s="5" t="s">
        <v>68</v>
      </c>
      <c r="C61" s="33" t="n">
        <f aca="false">$D$30+($E$30-$D$30)*IF($B$30=1,$G$42,IF($D$30&lt;$E$30,$G$41,$G$43))*C$55</f>
        <v>50</v>
      </c>
      <c r="D61" s="33" t="n">
        <f aca="false">$D$30+($E$30-$D$30)*IF($B$30=1,$G$42,IF($D$30&lt;$E$30,$G$41,$G$43))*D$55</f>
        <v>56.6666666666667</v>
      </c>
      <c r="E61" s="33" t="n">
        <f aca="false">$D$30+($E$30-$D$30)*IF($B$30=1,$G$42,IF($D$30&lt;$E$30,$G$41,$G$43))*E$55</f>
        <v>63.3333333333333</v>
      </c>
      <c r="F61" s="33" t="n">
        <f aca="false">$D$30+($E$30-$D$30)*IF($B$30=1,$G$42,IF($D$30&lt;$E$30,$G$41,$G$43))*F$55</f>
        <v>70</v>
      </c>
      <c r="G61" s="33" t="n">
        <f aca="false">$D$30+($E$30-$D$30)*IF($B$30=1,$G$42,IF($D$30&lt;$E$30,$G$41,$G$43))*G$55</f>
        <v>76.6666666666667</v>
      </c>
      <c r="H61" s="33" t="n">
        <f aca="false">$D$30+($E$30-$D$30)*IF($B$30=1,$G$42,IF($D$30&lt;$E$30,$G$41,$G$43))*H$55</f>
        <v>83.3333333333333</v>
      </c>
      <c r="I61" s="33" t="n">
        <f aca="false">$D$30+($E$30-$D$30)*IF($B$30=1,$G$42,IF($D$30&lt;$E$30,$G$41,$G$43))*I$55</f>
        <v>90</v>
      </c>
      <c r="J61" s="33" t="n">
        <f aca="false">$D$30+($E$30-$D$30)*IF($B$30=1,$G$42,IF($D$30&lt;$E$30,$G$41,$G$43))*J$55</f>
        <v>96.6666666666667</v>
      </c>
      <c r="K61" s="33" t="n">
        <f aca="false">$D$30+($E$30-$D$30)*IF($B$30=1,$G$42,IF($D$30&lt;$E$30,$G$41,$G$43))*K$55</f>
        <v>103.333333333333</v>
      </c>
      <c r="L61" s="33" t="n">
        <f aca="false">$D$30+($E$30-$D$30)*IF($B$30=1,$G$42,IF($D$30&lt;$E$30,$G$41,$G$43))*L$55</f>
        <v>110</v>
      </c>
    </row>
    <row r="62" customFormat="false" ht="15" hidden="false" customHeight="false" outlineLevel="0" collapsed="false">
      <c r="A62" s="7" t="s">
        <v>147</v>
      </c>
      <c r="B62" s="5" t="s">
        <v>68</v>
      </c>
      <c r="C62" s="33" t="n">
        <f aca="false">$D$31+($E$31-$D$31)*IF($B$31=1,$G$42,IF($D$31&lt;$E$31,$G$41,$G$43))*C$55</f>
        <v>80</v>
      </c>
      <c r="D62" s="33" t="n">
        <f aca="false">$D$31+($E$31-$D$31)*IF($B$31=1,$G$42,IF($D$31&lt;$E$31,$G$41,$G$43))*D$55</f>
        <v>83.3333333333333</v>
      </c>
      <c r="E62" s="33" t="n">
        <f aca="false">$D$31+($E$31-$D$31)*IF($B$31=1,$G$42,IF($D$31&lt;$E$31,$G$41,$G$43))*E$55</f>
        <v>86.6666666666667</v>
      </c>
      <c r="F62" s="33" t="n">
        <f aca="false">$D$31+($E$31-$D$31)*IF($B$31=1,$G$42,IF($D$31&lt;$E$31,$G$41,$G$43))*F$55</f>
        <v>90</v>
      </c>
      <c r="G62" s="33" t="n">
        <f aca="false">$D$31+($E$31-$D$31)*IF($B$31=1,$G$42,IF($D$31&lt;$E$31,$G$41,$G$43))*G$55</f>
        <v>93.3333333333333</v>
      </c>
      <c r="H62" s="33" t="n">
        <f aca="false">$D$31+($E$31-$D$31)*IF($B$31=1,$G$42,IF($D$31&lt;$E$31,$G$41,$G$43))*H$55</f>
        <v>96.6666666666667</v>
      </c>
      <c r="I62" s="33" t="n">
        <f aca="false">$D$31+($E$31-$D$31)*IF($B$31=1,$G$42,IF($D$31&lt;$E$31,$G$41,$G$43))*I$55</f>
        <v>100</v>
      </c>
      <c r="J62" s="33" t="n">
        <f aca="false">$D$31+($E$31-$D$31)*IF($B$31=1,$G$42,IF($D$31&lt;$E$31,$G$41,$G$43))*J$55</f>
        <v>103.333333333333</v>
      </c>
      <c r="K62" s="33" t="n">
        <f aca="false">$D$31+($E$31-$D$31)*IF($B$31=1,$G$42,IF($D$31&lt;$E$31,$G$41,$G$43))*K$55</f>
        <v>106.666666666667</v>
      </c>
      <c r="L62" s="33" t="n">
        <f aca="false">$D$31+($E$31-$D$31)*IF($B$31=1,$G$42,IF($D$31&lt;$E$31,$G$41,$G$43))*L$55</f>
        <v>110</v>
      </c>
    </row>
    <row r="63" customFormat="false" ht="15" hidden="false" customHeight="false" outlineLevel="0" collapsed="false">
      <c r="A63" s="7" t="s">
        <v>148</v>
      </c>
      <c r="B63" s="5" t="s">
        <v>68</v>
      </c>
      <c r="C63" s="33" t="n">
        <f aca="false">$D$32+($E$32-$D$32)*IF($B$32=1,$G$42,IF($D$32&lt;$E$32,$G$41,$G$43))*C$55</f>
        <v>100</v>
      </c>
      <c r="D63" s="33" t="n">
        <f aca="false">$D$32+($E$32-$D$32)*IF($B$32=1,$G$42,IF($D$32&lt;$E$32,$G$41,$G$43))*D$55</f>
        <v>100.555555555556</v>
      </c>
      <c r="E63" s="33" t="n">
        <f aca="false">$D$32+($E$32-$D$32)*IF($B$32=1,$G$42,IF($D$32&lt;$E$32,$G$41,$G$43))*E$55</f>
        <v>101.111111111111</v>
      </c>
      <c r="F63" s="33" t="n">
        <f aca="false">$D$32+($E$32-$D$32)*IF($B$32=1,$G$42,IF($D$32&lt;$E$32,$G$41,$G$43))*F$55</f>
        <v>101.666666666667</v>
      </c>
      <c r="G63" s="33" t="n">
        <f aca="false">$D$32+($E$32-$D$32)*IF($B$32=1,$G$42,IF($D$32&lt;$E$32,$G$41,$G$43))*G$55</f>
        <v>102.222222222222</v>
      </c>
      <c r="H63" s="33" t="n">
        <f aca="false">$D$32+($E$32-$D$32)*IF($B$32=1,$G$42,IF($D$32&lt;$E$32,$G$41,$G$43))*H$55</f>
        <v>102.777777777778</v>
      </c>
      <c r="I63" s="33" t="n">
        <f aca="false">$D$32+($E$32-$D$32)*IF($B$32=1,$G$42,IF($D$32&lt;$E$32,$G$41,$G$43))*I$55</f>
        <v>103.333333333333</v>
      </c>
      <c r="J63" s="33" t="n">
        <f aca="false">$D$32+($E$32-$D$32)*IF($B$32=1,$G$42,IF($D$32&lt;$E$32,$G$41,$G$43))*J$55</f>
        <v>103.888888888889</v>
      </c>
      <c r="K63" s="33" t="n">
        <f aca="false">$D$32+($E$32-$D$32)*IF($B$32=1,$G$42,IF($D$32&lt;$E$32,$G$41,$G$43))*K$55</f>
        <v>104.444444444444</v>
      </c>
      <c r="L63" s="33" t="n">
        <f aca="false">$D$32+($E$32-$D$32)*IF($B$32=1,$G$42,IF($D$32&lt;$E$32,$G$41,$G$43))*L$55</f>
        <v>105</v>
      </c>
    </row>
    <row r="64" customFormat="false" ht="15" hidden="false" customHeight="false" outlineLevel="0" collapsed="false">
      <c r="A64" s="7" t="s">
        <v>149</v>
      </c>
      <c r="B64" s="5" t="s">
        <v>68</v>
      </c>
      <c r="C64" s="33" t="n">
        <f aca="false">$D$33+($E$33-$D$33)*IF($B$33=1,$G$42,IF($D$33&lt;$E$33,$G$41,$G$43))*C$55</f>
        <v>95</v>
      </c>
      <c r="D64" s="33" t="n">
        <f aca="false">$D$33+($E$33-$D$33)*IF($B$33=1,$G$42,IF($D$33&lt;$E$33,$G$41,$G$43))*D$55</f>
        <v>93.8888888888889</v>
      </c>
      <c r="E64" s="33" t="n">
        <f aca="false">$D$33+($E$33-$D$33)*IF($B$33=1,$G$42,IF($D$33&lt;$E$33,$G$41,$G$43))*E$55</f>
        <v>92.7777777777778</v>
      </c>
      <c r="F64" s="33" t="n">
        <f aca="false">$D$33+($E$33-$D$33)*IF($B$33=1,$G$42,IF($D$33&lt;$E$33,$G$41,$G$43))*F$55</f>
        <v>91.6666666666667</v>
      </c>
      <c r="G64" s="33" t="n">
        <f aca="false">$D$33+($E$33-$D$33)*IF($B$33=1,$G$42,IF($D$33&lt;$E$33,$G$41,$G$43))*G$55</f>
        <v>90.5555555555556</v>
      </c>
      <c r="H64" s="33" t="n">
        <f aca="false">$D$33+($E$33-$D$33)*IF($B$33=1,$G$42,IF($D$33&lt;$E$33,$G$41,$G$43))*H$55</f>
        <v>89.4444444444444</v>
      </c>
      <c r="I64" s="33" t="n">
        <f aca="false">$D$33+($E$33-$D$33)*IF($B$33=1,$G$42,IF($D$33&lt;$E$33,$G$41,$G$43))*I$55</f>
        <v>88.3333333333333</v>
      </c>
      <c r="J64" s="33" t="n">
        <f aca="false">$D$33+($E$33-$D$33)*IF($B$33=1,$G$42,IF($D$33&lt;$E$33,$G$41,$G$43))*J$55</f>
        <v>87.2222222222222</v>
      </c>
      <c r="K64" s="33" t="n">
        <f aca="false">$D$33+($E$33-$D$33)*IF($B$33=1,$G$42,IF($D$33&lt;$E$33,$G$41,$G$43))*K$55</f>
        <v>86.1111111111111</v>
      </c>
      <c r="L64" s="33" t="n">
        <f aca="false">$D$33+($E$33-$D$33)*IF($B$33=1,$G$42,IF($D$33&lt;$E$33,$G$41,$G$43))*L$55</f>
        <v>85</v>
      </c>
    </row>
    <row r="65" customFormat="false" ht="15" hidden="false" customHeight="false" outlineLevel="0" collapsed="false">
      <c r="A65" s="7" t="s">
        <v>150</v>
      </c>
      <c r="B65" s="5" t="s">
        <v>68</v>
      </c>
      <c r="C65" s="33" t="n">
        <f aca="false">$D$34+($E$34-$D$34)*IF($B$34=1,$G$42,IF($D$34&lt;$E$34,$G$41,$G$43))*C$55</f>
        <v>70</v>
      </c>
      <c r="D65" s="33" t="n">
        <f aca="false">$D$34+($E$34-$D$34)*IF($B$34=1,$G$42,IF($D$34&lt;$E$34,$G$41,$G$43))*D$55</f>
        <v>68.8888888888889</v>
      </c>
      <c r="E65" s="33" t="n">
        <f aca="false">$D$34+($E$34-$D$34)*IF($B$34=1,$G$42,IF($D$34&lt;$E$34,$G$41,$G$43))*E$55</f>
        <v>67.7777777777778</v>
      </c>
      <c r="F65" s="33" t="n">
        <f aca="false">$D$34+($E$34-$D$34)*IF($B$34=1,$G$42,IF($D$34&lt;$E$34,$G$41,$G$43))*F$55</f>
        <v>66.6666666666667</v>
      </c>
      <c r="G65" s="33" t="n">
        <f aca="false">$D$34+($E$34-$D$34)*IF($B$34=1,$G$42,IF($D$34&lt;$E$34,$G$41,$G$43))*G$55</f>
        <v>65.5555555555556</v>
      </c>
      <c r="H65" s="33" t="n">
        <f aca="false">$D$34+($E$34-$D$34)*IF($B$34=1,$G$42,IF($D$34&lt;$E$34,$G$41,$G$43))*H$55</f>
        <v>64.4444444444444</v>
      </c>
      <c r="I65" s="33" t="n">
        <f aca="false">$D$34+($E$34-$D$34)*IF($B$34=1,$G$42,IF($D$34&lt;$E$34,$G$41,$G$43))*I$55</f>
        <v>63.3333333333333</v>
      </c>
      <c r="J65" s="33" t="n">
        <f aca="false">$D$34+($E$34-$D$34)*IF($B$34=1,$G$42,IF($D$34&lt;$E$34,$G$41,$G$43))*J$55</f>
        <v>62.2222222222222</v>
      </c>
      <c r="K65" s="33" t="n">
        <f aca="false">$D$34+($E$34-$D$34)*IF($B$34=1,$G$42,IF($D$34&lt;$E$34,$G$41,$G$43))*K$55</f>
        <v>61.1111111111111</v>
      </c>
      <c r="L65" s="33" t="n">
        <f aca="false">$D$34+($E$34-$D$34)*IF($B$34=1,$G$42,IF($D$34&lt;$E$34,$G$41,$G$43))*L$55</f>
        <v>60</v>
      </c>
    </row>
    <row r="66" customFormat="false" ht="15" hidden="false" customHeight="false" outlineLevel="0" collapsed="false">
      <c r="A66" s="7" t="s">
        <v>151</v>
      </c>
      <c r="B66" s="5" t="s">
        <v>56</v>
      </c>
      <c r="C66" s="32" t="n">
        <f aca="false">C60*$C$30</f>
        <v>450</v>
      </c>
      <c r="D66" s="32" t="n">
        <f aca="false">D60*$C$30</f>
        <v>479.5</v>
      </c>
      <c r="E66" s="32" t="n">
        <f aca="false">E60*$C$30</f>
        <v>510.825</v>
      </c>
      <c r="F66" s="32" t="n">
        <f aca="false">F60*$C$30</f>
        <v>544.08375</v>
      </c>
      <c r="G66" s="32" t="n">
        <f aca="false">G60*$C$30</f>
        <v>579.3913125</v>
      </c>
      <c r="H66" s="32" t="n">
        <f aca="false">H60*$C$30</f>
        <v>616.869421875</v>
      </c>
      <c r="I66" s="32" t="n">
        <f aca="false">I60*$C$30</f>
        <v>656.64686390625</v>
      </c>
      <c r="J66" s="32" t="n">
        <f aca="false">J60*$C$30</f>
        <v>698.859876585938</v>
      </c>
      <c r="K66" s="32" t="n">
        <f aca="false">K60*$C$30</f>
        <v>743.652573373829</v>
      </c>
      <c r="L66" s="32" t="n">
        <f aca="false">L60*$C$30</f>
        <v>791.177390149043</v>
      </c>
    </row>
    <row r="67" customFormat="false" ht="15" hidden="false" customHeight="false" outlineLevel="0" collapsed="false">
      <c r="A67" s="7" t="s">
        <v>152</v>
      </c>
      <c r="B67" s="5" t="s">
        <v>56</v>
      </c>
      <c r="C67" s="32" t="n">
        <f aca="false">C60*$C$31</f>
        <v>900</v>
      </c>
      <c r="D67" s="32" t="n">
        <f aca="false">D60*$C$31</f>
        <v>959</v>
      </c>
      <c r="E67" s="32" t="n">
        <f aca="false">E60*$C$31</f>
        <v>1021.65</v>
      </c>
      <c r="F67" s="32" t="n">
        <f aca="false">F60*$C$31</f>
        <v>1088.1675</v>
      </c>
      <c r="G67" s="32" t="n">
        <f aca="false">G60*$C$31</f>
        <v>1158.782625</v>
      </c>
      <c r="H67" s="32" t="n">
        <f aca="false">H60*$C$31</f>
        <v>1233.73884375</v>
      </c>
      <c r="I67" s="32" t="n">
        <f aca="false">I60*$C$31</f>
        <v>1313.2937278125</v>
      </c>
      <c r="J67" s="32" t="n">
        <f aca="false">J60*$C$31</f>
        <v>1397.71975317188</v>
      </c>
      <c r="K67" s="32" t="n">
        <f aca="false">K60*$C$31</f>
        <v>1487.30514674766</v>
      </c>
      <c r="L67" s="32" t="n">
        <f aca="false">L60*$C$31</f>
        <v>1582.35478029809</v>
      </c>
    </row>
    <row r="68" customFormat="false" ht="15" hidden="false" customHeight="false" outlineLevel="0" collapsed="false">
      <c r="A68" s="7" t="s">
        <v>153</v>
      </c>
      <c r="B68" s="5" t="s">
        <v>56</v>
      </c>
      <c r="C68" s="32" t="n">
        <f aca="false">C60*$C$32</f>
        <v>450</v>
      </c>
      <c r="D68" s="32" t="n">
        <f aca="false">D60*$C$32</f>
        <v>479.5</v>
      </c>
      <c r="E68" s="32" t="n">
        <f aca="false">E60*$C$32</f>
        <v>510.825</v>
      </c>
      <c r="F68" s="32" t="n">
        <f aca="false">F60*$C$32</f>
        <v>544.08375</v>
      </c>
      <c r="G68" s="32" t="n">
        <f aca="false">G60*$C$32</f>
        <v>579.3913125</v>
      </c>
      <c r="H68" s="32" t="n">
        <f aca="false">H60*$C$32</f>
        <v>616.869421875</v>
      </c>
      <c r="I68" s="32" t="n">
        <f aca="false">I60*$C$32</f>
        <v>656.64686390625</v>
      </c>
      <c r="J68" s="32" t="n">
        <f aca="false">J60*$C$32</f>
        <v>698.859876585938</v>
      </c>
      <c r="K68" s="32" t="n">
        <f aca="false">K60*$C$32</f>
        <v>743.652573373829</v>
      </c>
      <c r="L68" s="32" t="n">
        <f aca="false">L60*$C$32</f>
        <v>791.177390149043</v>
      </c>
    </row>
    <row r="69" customFormat="false" ht="15" hidden="false" customHeight="false" outlineLevel="0" collapsed="false">
      <c r="A69" s="7" t="s">
        <v>154</v>
      </c>
      <c r="B69" s="5" t="s">
        <v>56</v>
      </c>
      <c r="C69" s="32" t="n">
        <f aca="false">C60*$C$33</f>
        <v>600</v>
      </c>
      <c r="D69" s="32" t="n">
        <f aca="false">D60*$C$33</f>
        <v>639.333333333333</v>
      </c>
      <c r="E69" s="32" t="n">
        <f aca="false">E60*$C$33</f>
        <v>681.1</v>
      </c>
      <c r="F69" s="32" t="n">
        <f aca="false">F60*$C$33</f>
        <v>725.445</v>
      </c>
      <c r="G69" s="32" t="n">
        <f aca="false">G60*$C$33</f>
        <v>772.52175</v>
      </c>
      <c r="H69" s="32" t="n">
        <f aca="false">H60*$C$33</f>
        <v>822.4925625</v>
      </c>
      <c r="I69" s="32" t="n">
        <f aca="false">I60*$C$33</f>
        <v>875.529151875</v>
      </c>
      <c r="J69" s="32" t="n">
        <f aca="false">J60*$C$33</f>
        <v>931.81316878125</v>
      </c>
      <c r="K69" s="32" t="n">
        <f aca="false">K60*$C$33</f>
        <v>991.536764498438</v>
      </c>
      <c r="L69" s="32" t="n">
        <f aca="false">L60*$C$33</f>
        <v>1054.90318686539</v>
      </c>
    </row>
    <row r="70" customFormat="false" ht="15" hidden="false" customHeight="false" outlineLevel="0" collapsed="false">
      <c r="A70" s="7" t="s">
        <v>155</v>
      </c>
      <c r="B70" s="5" t="s">
        <v>56</v>
      </c>
      <c r="C70" s="32" t="n">
        <f aca="false">C60*$C$34</f>
        <v>600</v>
      </c>
      <c r="D70" s="32" t="n">
        <f aca="false">D60*$C$34</f>
        <v>639.333333333333</v>
      </c>
      <c r="E70" s="32" t="n">
        <f aca="false">E60*$C$34</f>
        <v>681.1</v>
      </c>
      <c r="F70" s="32" t="n">
        <f aca="false">F60*$C$34</f>
        <v>725.445</v>
      </c>
      <c r="G70" s="32" t="n">
        <f aca="false">G60*$C$34</f>
        <v>772.52175</v>
      </c>
      <c r="H70" s="32" t="n">
        <f aca="false">H60*$C$34</f>
        <v>822.4925625</v>
      </c>
      <c r="I70" s="32" t="n">
        <f aca="false">I60*$C$34</f>
        <v>875.529151875</v>
      </c>
      <c r="J70" s="32" t="n">
        <f aca="false">J60*$C$34</f>
        <v>931.81316878125</v>
      </c>
      <c r="K70" s="32" t="n">
        <f aca="false">K60*$C$34</f>
        <v>991.536764498438</v>
      </c>
      <c r="L70" s="32" t="n">
        <f aca="false">L60*$C$34</f>
        <v>1054.90318686539</v>
      </c>
    </row>
    <row r="71" customFormat="false" ht="15" hidden="false" customHeight="false" outlineLevel="0" collapsed="false">
      <c r="A71" s="7" t="s">
        <v>156</v>
      </c>
      <c r="B71" s="5" t="s">
        <v>30</v>
      </c>
      <c r="C71" s="33" t="n">
        <f aca="false">(C61*C66+C62*C67+C63*C68+C64*C69+C65*C70)/1000</f>
        <v>238.5</v>
      </c>
      <c r="D71" s="33" t="n">
        <f aca="false">(D61*D66+D62*D67+D63*D68+D64*D69+D65*D70)/1000</f>
        <v>259.373981481481</v>
      </c>
      <c r="E71" s="33" t="n">
        <f aca="false">(E61*E66+E62*E67+E63*E68+E64*E69+E65*E70)/1000</f>
        <v>281.899722222222</v>
      </c>
      <c r="F71" s="33" t="n">
        <f aca="false">(F61*F66+F62*F67+F63*F68+F64*F69+F65*F70)/1000</f>
        <v>306.19824375</v>
      </c>
      <c r="G71" s="33" t="n">
        <f aca="false">(G61*G66+G62*G67+G63*G68+G64*G69+G65*G70)/1000</f>
        <v>332.398941875</v>
      </c>
      <c r="H71" s="33" t="n">
        <f aca="false">(H61*H66+H62*H67+H63*H68+H64*H69+H65*H70)/1000</f>
        <v>360.640141640625</v>
      </c>
      <c r="I71" s="33" t="n">
        <f aca="false">(I61*I66+I62*I67+I63*I68+I64*I69+I65*I70)/1000</f>
        <v>391.0696878375</v>
      </c>
      <c r="J71" s="33" t="n">
        <f aca="false">(J61*J66+J62*J67+J63*J68+J64*J69+J65*J70)/1000</f>
        <v>423.845573299805</v>
      </c>
      <c r="K71" s="33" t="n">
        <f aca="false">(K61*K66+K62*K67+K63*K68+K64*K69+K65*K70)/1000</f>
        <v>459.136607338582</v>
      </c>
      <c r="L71" s="33" t="n">
        <f aca="false">(L61*L66+L62*L67+L63*L68+L64*L69+L65*L70)/1000</f>
        <v>497.123126810316</v>
      </c>
      <c r="M71" s="26" t="n">
        <f aca="false">SUM(D71:L71)</f>
        <v>3311.68602625553</v>
      </c>
    </row>
    <row r="72" customFormat="false" ht="15" hidden="false" customHeight="false" outlineLevel="0" collapsed="false">
      <c r="A72" s="7" t="s">
        <v>157</v>
      </c>
      <c r="B72" s="5" t="s">
        <v>30</v>
      </c>
      <c r="C72" s="33" t="n">
        <f aca="false">($E$30*C66+$E$31*C67+$E$32*C68+$E$33*C69+$E$34*C70)/1000</f>
        <v>282.75</v>
      </c>
      <c r="D72" s="33" t="n">
        <f aca="false">($E$30*D66+$E$31*D67+$E$32*D68+$E$33*D69+$E$34*D70)/1000</f>
        <v>301.285833333333</v>
      </c>
      <c r="E72" s="33" t="n">
        <f aca="false">($E$30*E66+$E$31*E67+$E$32*E68+$E$33*E69+$E$34*E70)/1000</f>
        <v>320.968375</v>
      </c>
      <c r="F72" s="33" t="n">
        <f aca="false">($E$30*F66+$E$31*F67+$E$32*F68+$E$33*F69+$E$34*F70)/1000</f>
        <v>341.86595625</v>
      </c>
      <c r="G72" s="33" t="n">
        <f aca="false">($E$30*G66+$E$31*G67+$E$32*G68+$E$33*G69+$E$34*G70)/1000</f>
        <v>364.0508746875</v>
      </c>
      <c r="H72" s="33" t="n">
        <f aca="false">($E$30*H66+$E$31*H67+$E$32*H68+$E$33*H69+$E$34*H70)/1000</f>
        <v>387.599620078125</v>
      </c>
      <c r="I72" s="33" t="n">
        <f aca="false">($E$30*I66+$E$31*I67+$E$32*I68+$E$33*I69+$E$34*I70)/1000</f>
        <v>412.593112821094</v>
      </c>
      <c r="J72" s="33" t="n">
        <f aca="false">($E$30*J66+$E$31*J67+$E$32*J68+$E$33*J69+$E$34*J70)/1000</f>
        <v>439.116955788164</v>
      </c>
      <c r="K72" s="33" t="n">
        <f aca="false">($E$30*K66+$E$31*K67+$E$32*K68+$E$33*K69+$E$34*K70)/1000</f>
        <v>467.261700269889</v>
      </c>
      <c r="L72" s="33" t="n">
        <f aca="false">($E$30*L66+$E$31*L67+$E$32*L68+$E$33*L69+$E$34*L70)/1000</f>
        <v>497.123126810316</v>
      </c>
      <c r="M72" s="26" t="n">
        <f aca="false">SUM(D72:L72)</f>
        <v>3531.86555503842</v>
      </c>
    </row>
    <row r="73" customFormat="false" ht="15" hidden="false" customHeight="false" outlineLevel="0" collapsed="false">
      <c r="A73" s="7" t="s">
        <v>158</v>
      </c>
      <c r="B73" s="5" t="s">
        <v>30</v>
      </c>
      <c r="C73" s="33" t="n">
        <f aca="false">C56*MAX(0,C57+C58-$C$12)*$C$14/1000</f>
        <v>24</v>
      </c>
      <c r="D73" s="33" t="n">
        <f aca="false">D56*MAX(0,D57+D58-$C$12)*$C$14/1000</f>
        <v>22.4</v>
      </c>
      <c r="E73" s="33" t="n">
        <f aca="false">E56*MAX(0,E57+E58-$C$12)*$C$14/1000</f>
        <v>20.58</v>
      </c>
      <c r="F73" s="33" t="n">
        <f aca="false">F56*MAX(0,F57+F58-$C$12)*$C$14/1000</f>
        <v>18.522</v>
      </c>
      <c r="G73" s="33" t="n">
        <f aca="false">G56*MAX(0,G57+G58-$C$12)*$C$14/1000</f>
        <v>16.20675</v>
      </c>
      <c r="H73" s="33" t="n">
        <f aca="false">H56*MAX(0,H57+H58-$C$12)*$C$14/1000</f>
        <v>13.61367</v>
      </c>
      <c r="I73" s="33" t="n">
        <f aca="false">I56*MAX(0,I57+I58-$C$12)*$C$14/1000</f>
        <v>10.720765125</v>
      </c>
      <c r="J73" s="33" t="n">
        <f aca="false">J56*MAX(0,J57+J58-$C$12)*$C$14/1000</f>
        <v>7.5045355875</v>
      </c>
      <c r="K73" s="33" t="n">
        <f aca="false">K56*MAX(0,K57+K58-$C$12)*$C$14/1000</f>
        <v>3.9398811834375</v>
      </c>
      <c r="L73" s="33" t="n">
        <f aca="false">L56*MAX(0,L57+L58-$C$12)*$C$14/1000</f>
        <v>0</v>
      </c>
      <c r="M73" s="26" t="n">
        <f aca="false">SUM(D73:L73)</f>
        <v>113.487601895938</v>
      </c>
    </row>
    <row r="74" customFormat="false" ht="15" hidden="false" customHeight="false" outlineLevel="0" collapsed="false">
      <c r="A74" s="7" t="s">
        <v>159</v>
      </c>
      <c r="B74" s="5" t="s">
        <v>30</v>
      </c>
      <c r="C74" s="33" t="n">
        <f aca="false">(MAX(0,$E$30-C61)*C66+MAX(0,$E$31-C62)*C67+MAX(0,$E$32-C63)*C68+MAX(0,$E$33-C64)*C69+MAX(0,$E$34-C65)*C70)/1000</f>
        <v>56.25</v>
      </c>
      <c r="D74" s="33" t="n">
        <f aca="false">(MAX(0,$E$30-D61)*D66+MAX(0,$E$31-D62)*D67+MAX(0,$E$32-D63)*D68+MAX(0,$E$33-D64)*D69+MAX(0,$E$34-D65)*D70)/1000</f>
        <v>53.2777777777778</v>
      </c>
      <c r="E74" s="33" t="n">
        <f aca="false">(MAX(0,$E$30-E61)*E66+MAX(0,$E$31-E62)*E67+MAX(0,$E$32-E63)*E68+MAX(0,$E$33-E64)*E69+MAX(0,$E$34-E65)*E70)/1000</f>
        <v>49.6635416666667</v>
      </c>
      <c r="F74" s="33" t="n">
        <f aca="false">(MAX(0,$E$30-F61)*F66+MAX(0,$E$31-F62)*F67+MAX(0,$E$32-F63)*F68+MAX(0,$E$33-F64)*F69+MAX(0,$E$34-F65)*F70)/1000</f>
        <v>45.3403125</v>
      </c>
      <c r="G74" s="33" t="n">
        <f aca="false">(MAX(0,$E$30-G61)*G66+MAX(0,$E$31-G62)*G67+MAX(0,$E$32-G63)*G68+MAX(0,$E$33-G64)*G69+MAX(0,$E$34-G65)*G70)/1000</f>
        <v>40.2355078125</v>
      </c>
      <c r="H74" s="33" t="n">
        <f aca="false">(MAX(0,$E$30-H61)*H66+MAX(0,$E$31-H62)*H67+MAX(0,$E$32-H63)*H68+MAX(0,$E$33-H64)*H69+MAX(0,$E$34-H65)*H70)/1000</f>
        <v>34.2705234375</v>
      </c>
      <c r="I74" s="33" t="n">
        <f aca="false">(MAX(0,$E$30-I61)*I66+MAX(0,$E$31-I62)*I67+MAX(0,$E$32-I63)*I68+MAX(0,$E$33-I64)*I69+MAX(0,$E$34-I65)*I70)/1000</f>
        <v>27.3602859960938</v>
      </c>
      <c r="J74" s="33" t="n">
        <f aca="false">(MAX(0,$E$30-J61)*J66+MAX(0,$E$31-J62)*J67+MAX(0,$E$32-J63)*J68+MAX(0,$E$33-J64)*J69+MAX(0,$E$34-J65)*J70)/1000</f>
        <v>19.4127743496094</v>
      </c>
      <c r="K74" s="33" t="n">
        <f aca="false">(MAX(0,$E$30-K61)*K66+MAX(0,$E$31-K62)*K67+MAX(0,$E$32-K63)*K68+MAX(0,$E$33-K64)*K69+MAX(0,$E$34-K65)*K70)/1000</f>
        <v>10.3285079635254</v>
      </c>
      <c r="L74" s="33" t="n">
        <f aca="false">(MAX(0,$E$30-L61)*L66+MAX(0,$E$31-L62)*L67+MAX(0,$E$32-L63)*L68+MAX(0,$E$33-L64)*L69+MAX(0,$E$34-L65)*L70)/1000</f>
        <v>0</v>
      </c>
      <c r="M74" s="26" t="n">
        <f aca="false">SUM(D74:L74)</f>
        <v>279.889231503673</v>
      </c>
    </row>
    <row r="75" customFormat="false" ht="15" hidden="false" customHeight="false" outlineLevel="0" collapsed="false">
      <c r="A75" s="7" t="s">
        <v>160</v>
      </c>
      <c r="B75" s="5" t="s">
        <v>30</v>
      </c>
      <c r="C75" s="33" t="n">
        <f aca="false">(MAX(0,C61-$E$30)*C66+MAX(0,C62-$E$31)*C67+MAX(0,C63-$E$32)*C68+MAX(0,C64-$E$33)*C69+MAX(0,C65-$E$34)*C70)/1000</f>
        <v>12</v>
      </c>
      <c r="D75" s="33" t="n">
        <f aca="false">(MAX(0,D61-$E$30)*D66+MAX(0,D62-$E$31)*D67+MAX(0,D63-$E$32)*D68+MAX(0,D64-$E$33)*D69+MAX(0,D65-$E$34)*D70)/1000</f>
        <v>11.3659259259259</v>
      </c>
      <c r="E75" s="33" t="n">
        <f aca="false">(MAX(0,E61-$E$30)*E66+MAX(0,E62-$E$31)*E67+MAX(0,E63-$E$32)*E68+MAX(0,E64-$E$33)*E69+MAX(0,E65-$E$34)*E70)/1000</f>
        <v>10.5948888888889</v>
      </c>
      <c r="F75" s="33" t="n">
        <f aca="false">(MAX(0,F61-$E$30)*F66+MAX(0,F62-$E$31)*F67+MAX(0,F63-$E$32)*F68+MAX(0,F64-$E$33)*F69+MAX(0,F65-$E$34)*F70)/1000</f>
        <v>9.67260000000001</v>
      </c>
      <c r="G75" s="33" t="n">
        <f aca="false">(MAX(0,G61-$E$30)*G66+MAX(0,G62-$E$31)*G67+MAX(0,G63-$E$32)*G68+MAX(0,G64-$E$33)*G69+MAX(0,G65-$E$34)*G70)/1000</f>
        <v>8.58357500000001</v>
      </c>
      <c r="H75" s="33" t="n">
        <f aca="false">(MAX(0,H61-$E$30)*H66+MAX(0,H62-$E$31)*H67+MAX(0,H63-$E$32)*H68+MAX(0,H64-$E$33)*H69+MAX(0,H65-$E$34)*H70)/1000</f>
        <v>7.311045</v>
      </c>
      <c r="I75" s="33" t="n">
        <f aca="false">(MAX(0,I61-$E$30)*I66+MAX(0,I62-$E$31)*I67+MAX(0,I63-$E$32)*I68+MAX(0,I64-$E$33)*I69+MAX(0,I65-$E$34)*I70)/1000</f>
        <v>5.8368610125</v>
      </c>
      <c r="J75" s="33" t="n">
        <f aca="false">(MAX(0,J61-$E$30)*J66+MAX(0,J62-$E$31)*J67+MAX(0,J63-$E$32)*J68+MAX(0,J64-$E$33)*J69+MAX(0,J65-$E$34)*J70)/1000</f>
        <v>4.14139186125001</v>
      </c>
      <c r="K75" s="33" t="n">
        <f aca="false">(MAX(0,K61-$E$30)*K66+MAX(0,K62-$E$31)*K67+MAX(0,K63-$E$32)*K68+MAX(0,K64-$E$33)*K69+MAX(0,K65-$E$34)*K70)/1000</f>
        <v>2.20341503221876</v>
      </c>
      <c r="L75" s="33" t="n">
        <f aca="false">(MAX(0,L61-$E$30)*L66+MAX(0,L62-$E$31)*L67+MAX(0,L63-$E$32)*L68+MAX(0,L64-$E$33)*L69+MAX(0,L65-$E$34)*L70)/1000</f>
        <v>0</v>
      </c>
      <c r="M75" s="26" t="n">
        <f aca="false">SUM(D75:L75)</f>
        <v>59.7097027207836</v>
      </c>
    </row>
    <row r="76" customFormat="false" ht="15" hidden="false" customHeight="false" outlineLevel="0" collapsed="false">
      <c r="A76" s="7" t="s">
        <v>161</v>
      </c>
      <c r="B76" s="5" t="s">
        <v>30</v>
      </c>
      <c r="C76" s="33" t="n">
        <f aca="false">$G$44*$C$21*($B$30*MAX(0,C61-$D$30)*C66+$B$31*MAX(0,C62-$D$31)*C67+$B$32*MAX(0,C63-$D$32)*C68+$B$33*MAX(0,C64-$D$33)*C69+$B$34*MAX(0,C65-$D$34)*C70)/1000</f>
        <v>0</v>
      </c>
      <c r="D76" s="33" t="n">
        <f aca="false">$G$44*$C$21*($B$30*MAX(0,D61-$D$30)*D66+$B$31*MAX(0,D62-$D$31)*D67+$B$32*MAX(0,D63-$D$32)*D68+$B$33*MAX(0,D64-$D$33)*D69+$B$34*MAX(0,D65-$D$34)*D70)/1000</f>
        <v>2.23766666666667</v>
      </c>
      <c r="E76" s="33" t="n">
        <f aca="false">$G$44*$C$21*($B$30*MAX(0,E61-$D$30)*E66+$B$31*MAX(0,E62-$D$31)*E67+$B$32*MAX(0,E63-$D$32)*E68+$B$33*MAX(0,E64-$D$33)*E69+$B$34*MAX(0,E65-$D$34)*E70)/1000</f>
        <v>4.7677</v>
      </c>
      <c r="F76" s="33" t="n">
        <f aca="false">$G$44*$C$21*($B$30*MAX(0,F61-$D$30)*F66+$B$31*MAX(0,F62-$D$31)*F67+$B$32*MAX(0,F63-$D$32)*F68+$B$33*MAX(0,F64-$D$33)*F69+$B$34*MAX(0,F65-$D$34)*F70)/1000</f>
        <v>7.6171725</v>
      </c>
      <c r="G76" s="33" t="n">
        <f aca="false">$G$44*$C$21*($B$30*MAX(0,G61-$D$30)*G66+$B$31*MAX(0,G62-$D$31)*G67+$B$32*MAX(0,G63-$D$32)*G68+$B$33*MAX(0,G64-$D$33)*G69+$B$34*MAX(0,G65-$D$34)*G70)/1000</f>
        <v>10.8153045</v>
      </c>
      <c r="H76" s="33" t="n">
        <f aca="false">$G$44*$C$21*($B$30*MAX(0,H61-$D$30)*H66+$B$31*MAX(0,H62-$D$31)*H67+$B$32*MAX(0,H63-$D$32)*H68+$B$33*MAX(0,H64-$D$33)*H69+$B$34*MAX(0,H65-$D$34)*H70)/1000</f>
        <v>14.39361984375</v>
      </c>
      <c r="I76" s="33" t="n">
        <f aca="false">$G$44*$C$21*($B$30*MAX(0,I61-$D$30)*I66+$B$31*MAX(0,I62-$D$31)*I67+$B$32*MAX(0,I63-$D$32)*I68+$B$33*MAX(0,I64-$D$33)*I69+$B$34*MAX(0,I65-$D$34)*I70)/1000</f>
        <v>18.386112189375</v>
      </c>
      <c r="J76" s="33" t="n">
        <f aca="false">$G$44*$C$21*($B$30*MAX(0,J61-$D$30)*J66+$B$31*MAX(0,J62-$D$31)*J67+$B$32*MAX(0,J63-$D$32)*J68+$B$33*MAX(0,J64-$D$33)*J69+$B$34*MAX(0,J65-$D$34)*J70)/1000</f>
        <v>22.8294226351406</v>
      </c>
      <c r="K76" s="33" t="n">
        <f aca="false">$G$44*$C$21*($B$30*MAX(0,K61-$D$30)*K66+$B$31*MAX(0,K62-$D$31)*K67+$B$32*MAX(0,K63-$D$32)*K68+$B$33*MAX(0,K64-$D$33)*K69+$B$34*MAX(0,K65-$D$34)*K70)/1000</f>
        <v>27.7630294059563</v>
      </c>
      <c r="L76" s="33" t="n">
        <f aca="false">$G$44*$C$21*($B$30*MAX(0,L61-$D$30)*L66+$B$31*MAX(0,L62-$D$31)*L67+$B$32*MAX(0,L63-$D$32)*L68+$B$33*MAX(0,L64-$D$33)*L69+$B$34*MAX(0,L65-$D$34)*L70)/1000</f>
        <v>33.2294503862598</v>
      </c>
      <c r="M76" s="26" t="n">
        <f aca="false">SUM(D76:L76)</f>
        <v>142.039478127148</v>
      </c>
    </row>
    <row r="77" customFormat="false" ht="15" hidden="false" customHeight="false" outlineLevel="0" collapsed="false">
      <c r="A77" s="7" t="s">
        <v>162</v>
      </c>
      <c r="B77" s="5" t="s">
        <v>30</v>
      </c>
      <c r="C77" s="33" t="n">
        <f aca="false">IFERROR(C76*$C$20/(1-$C$20),0)</f>
        <v>0</v>
      </c>
      <c r="D77" s="33" t="n">
        <f aca="false">IFERROR(D76*$C$20/(1-$C$20),0)</f>
        <v>0.745888888888889</v>
      </c>
      <c r="E77" s="33" t="n">
        <f aca="false">IFERROR(E76*$C$20/(1-$C$20),0)</f>
        <v>1.58923333333333</v>
      </c>
      <c r="F77" s="33" t="n">
        <f aca="false">IFERROR(F76*$C$20/(1-$C$20),0)</f>
        <v>2.5390575</v>
      </c>
      <c r="G77" s="33" t="n">
        <f aca="false">IFERROR(G76*$C$20/(1-$C$20),0)</f>
        <v>3.6051015</v>
      </c>
      <c r="H77" s="33" t="n">
        <f aca="false">IFERROR(H76*$C$20/(1-$C$20),0)</f>
        <v>4.79787328125</v>
      </c>
      <c r="I77" s="33" t="n">
        <f aca="false">IFERROR(I76*$C$20/(1-$C$20),0)</f>
        <v>6.128704063125</v>
      </c>
      <c r="J77" s="33" t="n">
        <f aca="false">IFERROR(J76*$C$20/(1-$C$20),0)</f>
        <v>7.60980754504687</v>
      </c>
      <c r="K77" s="33" t="n">
        <f aca="false">IFERROR(K76*$C$20/(1-$C$20),0)</f>
        <v>9.25434313531876</v>
      </c>
      <c r="L77" s="33" t="n">
        <f aca="false">IFERROR(L76*$C$20/(1-$C$20),0)</f>
        <v>11.0764834620866</v>
      </c>
      <c r="M77" s="26" t="n">
        <f aca="false">SUM(D77:L77)</f>
        <v>47.3464927090495</v>
      </c>
    </row>
    <row r="78" customFormat="false" ht="15" hidden="false" customHeight="false" outlineLevel="0" collapsed="false">
      <c r="A78" s="7" t="s">
        <v>163</v>
      </c>
      <c r="B78" s="5" t="s">
        <v>30</v>
      </c>
      <c r="C78" s="33" t="n">
        <f aca="false">IF(0=0,0,$G$44*$C$18*$C$19/1000000000)</f>
        <v>0</v>
      </c>
      <c r="D78" s="33" t="n">
        <f aca="false">IF(1=0,0,$G$44*$C$18*$C$19/1000000000)</f>
        <v>1.2</v>
      </c>
      <c r="E78" s="33" t="n">
        <f aca="false">IF(2=0,0,$G$44*$C$18*$C$19/1000000000)</f>
        <v>1.2</v>
      </c>
      <c r="F78" s="33" t="n">
        <f aca="false">IF(3=0,0,$G$44*$C$18*$C$19/1000000000)</f>
        <v>1.2</v>
      </c>
      <c r="G78" s="33" t="n">
        <f aca="false">IF(4=0,0,$G$44*$C$18*$C$19/1000000000)</f>
        <v>1.2</v>
      </c>
      <c r="H78" s="33" t="n">
        <f aca="false">IF(5=0,0,$G$44*$C$18*$C$19/1000000000)</f>
        <v>1.2</v>
      </c>
      <c r="I78" s="33" t="n">
        <f aca="false">IF(6=0,0,$G$44*$C$18*$C$19/1000000000)</f>
        <v>1.2</v>
      </c>
      <c r="J78" s="33" t="n">
        <f aca="false">IF(7=0,0,$G$44*$C$18*$C$19/1000000000)</f>
        <v>1.2</v>
      </c>
      <c r="K78" s="33" t="n">
        <f aca="false">IF(8=0,0,$G$44*$C$18*$C$19/1000000000)</f>
        <v>1.2</v>
      </c>
      <c r="L78" s="33" t="n">
        <f aca="false">IF(9=0,0,$G$44*$C$18*$C$19/1000000000)</f>
        <v>1.2</v>
      </c>
      <c r="M78" s="26" t="n">
        <f aca="false">SUM(D78:L78)</f>
        <v>10.8</v>
      </c>
    </row>
    <row r="79" customFormat="false" ht="15" hidden="false" customHeight="false" outlineLevel="0" collapsed="false">
      <c r="A79" s="7" t="s">
        <v>164</v>
      </c>
      <c r="B79" s="5" t="s">
        <v>30</v>
      </c>
      <c r="C79" s="33" t="n">
        <f aca="false">C76+C77+C78</f>
        <v>0</v>
      </c>
      <c r="D79" s="33" t="n">
        <f aca="false">D76+D77+D78</f>
        <v>4.18355555555556</v>
      </c>
      <c r="E79" s="33" t="n">
        <f aca="false">E76+E77+E78</f>
        <v>7.55693333333333</v>
      </c>
      <c r="F79" s="33" t="n">
        <f aca="false">F76+F77+F78</f>
        <v>11.35623</v>
      </c>
      <c r="G79" s="33" t="n">
        <f aca="false">G76+G77+G78</f>
        <v>15.620406</v>
      </c>
      <c r="H79" s="33" t="n">
        <f aca="false">H76+H77+H78</f>
        <v>20.391493125</v>
      </c>
      <c r="I79" s="33" t="n">
        <f aca="false">I76+I77+I78</f>
        <v>25.7148162525</v>
      </c>
      <c r="J79" s="33" t="n">
        <f aca="false">J76+J77+J78</f>
        <v>31.6392301801875</v>
      </c>
      <c r="K79" s="33" t="n">
        <f aca="false">K76+K77+K78</f>
        <v>38.217372541275</v>
      </c>
      <c r="L79" s="33" t="n">
        <f aca="false">L76+L77+L78</f>
        <v>45.5059338483464</v>
      </c>
      <c r="M79" s="26" t="n">
        <f aca="false">SUM(D79:L79)</f>
        <v>200.185970836198</v>
      </c>
    </row>
    <row r="80" customFormat="false" ht="15" hidden="false" customHeight="false" outlineLevel="0" collapsed="false">
      <c r="A80" s="7" t="s">
        <v>165</v>
      </c>
      <c r="B80" s="5" t="s">
        <v>30</v>
      </c>
      <c r="C80" s="33" t="n">
        <f aca="false">C79*$C$16</f>
        <v>0</v>
      </c>
      <c r="D80" s="33" t="n">
        <f aca="false">D79*$C$16</f>
        <v>2.92848888888889</v>
      </c>
      <c r="E80" s="33" t="n">
        <f aca="false">E79*$C$16</f>
        <v>5.28985333333333</v>
      </c>
      <c r="F80" s="33" t="n">
        <f aca="false">F79*$C$16</f>
        <v>7.949361</v>
      </c>
      <c r="G80" s="33" t="n">
        <f aca="false">G79*$C$16</f>
        <v>10.9342842</v>
      </c>
      <c r="H80" s="33" t="n">
        <f aca="false">H79*$C$16</f>
        <v>14.2740451875</v>
      </c>
      <c r="I80" s="33" t="n">
        <f aca="false">I79*$C$16</f>
        <v>18.00037137675</v>
      </c>
      <c r="J80" s="33" t="n">
        <f aca="false">J79*$C$16</f>
        <v>22.1474611261312</v>
      </c>
      <c r="K80" s="33" t="n">
        <f aca="false">K79*$C$16</f>
        <v>26.7521607788925</v>
      </c>
      <c r="L80" s="33" t="n">
        <f aca="false">L79*$C$16</f>
        <v>31.8541536938425</v>
      </c>
      <c r="M80" s="26" t="n">
        <f aca="false">SUM(D80:L80)</f>
        <v>140.130179585338</v>
      </c>
    </row>
    <row r="81" customFormat="false" ht="15" hidden="false" customHeight="false" outlineLevel="0" collapsed="false">
      <c r="A81" s="7" t="s">
        <v>166</v>
      </c>
      <c r="B81" s="5" t="s">
        <v>30</v>
      </c>
      <c r="C81" s="33" t="n">
        <f aca="false">C74*$C$15</f>
        <v>28.125</v>
      </c>
      <c r="D81" s="33" t="n">
        <f aca="false">D74*$C$15</f>
        <v>26.6388888888889</v>
      </c>
      <c r="E81" s="33" t="n">
        <f aca="false">E74*$C$15</f>
        <v>24.8317708333333</v>
      </c>
      <c r="F81" s="33" t="n">
        <f aca="false">F74*$C$15</f>
        <v>22.67015625</v>
      </c>
      <c r="G81" s="33" t="n">
        <f aca="false">G74*$C$15</f>
        <v>20.11775390625</v>
      </c>
      <c r="H81" s="33" t="n">
        <f aca="false">H74*$C$15</f>
        <v>17.13526171875</v>
      </c>
      <c r="I81" s="33" t="n">
        <f aca="false">I74*$C$15</f>
        <v>13.6801429980469</v>
      </c>
      <c r="J81" s="33" t="n">
        <f aca="false">J74*$C$15</f>
        <v>9.7063871748047</v>
      </c>
      <c r="K81" s="33" t="n">
        <f aca="false">K74*$C$15</f>
        <v>5.16425398176271</v>
      </c>
      <c r="L81" s="33" t="n">
        <f aca="false">L74*$C$15</f>
        <v>0</v>
      </c>
      <c r="M81" s="26" t="n">
        <f aca="false">SUM(D81:L81)</f>
        <v>139.944615751837</v>
      </c>
    </row>
    <row r="82" customFormat="false" ht="15" hidden="false" customHeight="false" outlineLevel="0" collapsed="false">
      <c r="A82" s="7" t="s">
        <v>167</v>
      </c>
      <c r="B82" s="5" t="s">
        <v>30</v>
      </c>
      <c r="C82" s="33" t="n">
        <f aca="false">C81*$C$16</f>
        <v>19.6875</v>
      </c>
      <c r="D82" s="33" t="n">
        <f aca="false">D81*$C$16</f>
        <v>18.6472222222222</v>
      </c>
      <c r="E82" s="33" t="n">
        <f aca="false">E81*$C$16</f>
        <v>17.3822395833333</v>
      </c>
      <c r="F82" s="33" t="n">
        <f aca="false">F81*$C$16</f>
        <v>15.869109375</v>
      </c>
      <c r="G82" s="33" t="n">
        <f aca="false">G81*$C$16</f>
        <v>14.082427734375</v>
      </c>
      <c r="H82" s="33" t="n">
        <f aca="false">H81*$C$16</f>
        <v>11.994683203125</v>
      </c>
      <c r="I82" s="33" t="n">
        <f aca="false">I81*$C$16</f>
        <v>9.57610009863281</v>
      </c>
      <c r="J82" s="33" t="n">
        <f aca="false">J81*$C$16</f>
        <v>6.79447102236329</v>
      </c>
      <c r="K82" s="33" t="n">
        <f aca="false">K81*$C$16</f>
        <v>3.61497778723389</v>
      </c>
      <c r="L82" s="33" t="n">
        <f aca="false">L81*$C$16</f>
        <v>0</v>
      </c>
      <c r="M82" s="26" t="n">
        <f aca="false">SUM(D82:L82)</f>
        <v>97.9612310262856</v>
      </c>
    </row>
    <row r="83" customFormat="false" ht="15" hidden="false" customHeight="false" outlineLevel="0" collapsed="false">
      <c r="A83" s="7" t="s">
        <v>168</v>
      </c>
      <c r="B83" s="5" t="s">
        <v>30</v>
      </c>
      <c r="C83" s="33" t="n">
        <f aca="false">IF(0=0,0,$G$48*$C$22/1000000000*$C$16)</f>
        <v>0</v>
      </c>
      <c r="D83" s="33" t="n">
        <f aca="false">IF(1=0,0,$G$48*$C$22/1000000000*$C$16)</f>
        <v>8.4</v>
      </c>
      <c r="E83" s="33" t="n">
        <f aca="false">IF(2=0,0,$G$48*$C$22/1000000000*$C$16)</f>
        <v>8.4</v>
      </c>
      <c r="F83" s="33" t="n">
        <f aca="false">IF(3=0,0,$G$48*$C$22/1000000000*$C$16)</f>
        <v>8.4</v>
      </c>
      <c r="G83" s="33" t="n">
        <f aca="false">IF(4=0,0,$G$48*$C$22/1000000000*$C$16)</f>
        <v>8.4</v>
      </c>
      <c r="H83" s="33" t="n">
        <f aca="false">IF(5=0,0,$G$48*$C$22/1000000000*$C$16)</f>
        <v>8.4</v>
      </c>
      <c r="I83" s="33" t="n">
        <f aca="false">IF(6=0,0,$G$48*$C$22/1000000000*$C$16)</f>
        <v>8.4</v>
      </c>
      <c r="J83" s="33" t="n">
        <f aca="false">IF(7=0,0,$G$48*$C$22/1000000000*$C$16)</f>
        <v>8.4</v>
      </c>
      <c r="K83" s="33" t="n">
        <f aca="false">IF(8=0,0,$G$48*$C$22/1000000000*$C$16)</f>
        <v>8.4</v>
      </c>
      <c r="L83" s="33" t="n">
        <f aca="false">IF(9=0,0,$G$48*$C$22/1000000000*$C$16)</f>
        <v>8.4</v>
      </c>
      <c r="M83" s="26" t="n">
        <f aca="false">SUM(D83:L83)</f>
        <v>75.6</v>
      </c>
    </row>
    <row r="84" customFormat="false" ht="15" hidden="false" customHeight="false" outlineLevel="0" collapsed="false">
      <c r="A84" s="7" t="s">
        <v>169</v>
      </c>
      <c r="B84" s="5" t="s">
        <v>30</v>
      </c>
      <c r="C84" s="33" t="n">
        <f aca="false">(C76+C77)*$C$17</f>
        <v>0</v>
      </c>
      <c r="D84" s="33" t="n">
        <f aca="false">(D76+D77)*$C$17</f>
        <v>2.98355555555555</v>
      </c>
      <c r="E84" s="33" t="n">
        <f aca="false">(E76+E77)*$C$17</f>
        <v>6.35693333333333</v>
      </c>
      <c r="F84" s="33" t="n">
        <f aca="false">(F76+F77)*$C$17</f>
        <v>10.15623</v>
      </c>
      <c r="G84" s="33" t="n">
        <f aca="false">(G76+G77)*$C$17</f>
        <v>14.420406</v>
      </c>
      <c r="H84" s="33" t="n">
        <f aca="false">(H76+H77)*$C$17</f>
        <v>19.191493125</v>
      </c>
      <c r="I84" s="33" t="n">
        <f aca="false">(I76+I77)*$C$17</f>
        <v>24.5148162525</v>
      </c>
      <c r="J84" s="33" t="n">
        <f aca="false">(J76+J77)*$C$17</f>
        <v>30.4392301801875</v>
      </c>
      <c r="K84" s="33" t="n">
        <f aca="false">(K76+K77)*$C$17</f>
        <v>37.017372541275</v>
      </c>
      <c r="L84" s="33" t="n">
        <f aca="false">(L76+L77)*$C$17</f>
        <v>44.3059338483464</v>
      </c>
      <c r="M84" s="26" t="n">
        <f aca="false">SUM(D84:L84)</f>
        <v>189.385970836198</v>
      </c>
    </row>
    <row r="85" customFormat="false" ht="15" hidden="false" customHeight="false" outlineLevel="0" collapsed="false">
      <c r="A85" s="7" t="s">
        <v>170</v>
      </c>
      <c r="B85" s="5" t="s">
        <v>30</v>
      </c>
      <c r="C85" s="33" t="n">
        <f aca="false">(C71-C84)*C59+C84*$C$16</f>
        <v>202.725</v>
      </c>
      <c r="D85" s="33" t="n">
        <f aca="false">(D71-D84)*D59+D84*$C$16</f>
        <v>222.869133436214</v>
      </c>
      <c r="E85" s="33" t="n">
        <f aca="false">(E71-E84)*E59+E84*$C$16</f>
        <v>244.784396975309</v>
      </c>
      <c r="F85" s="33" t="n">
        <f aca="false">(F71-F84)*F59+F84*$C$16</f>
        <v>268.6131398125</v>
      </c>
      <c r="G85" s="33" t="n">
        <f aca="false">(G71-G84)*G59+G84*$C$16</f>
        <v>294.508419065972</v>
      </c>
      <c r="H85" s="33" t="n">
        <f aca="false">(H71-H84)*H59+H84*$C$16</f>
        <v>322.63476578776</v>
      </c>
      <c r="I85" s="33" t="n">
        <f aca="false">(I71-I84)*I59+I84*$C$16</f>
        <v>353.169003663</v>
      </c>
      <c r="J85" s="33" t="n">
        <f aca="false">(J71-J84)*J59+J84*$C$16</f>
        <v>386.301123909332</v>
      </c>
      <c r="K85" s="33" t="n">
        <f aca="false">(K71-K84)*K59+K84*$C$16</f>
        <v>422.235220116364</v>
      </c>
      <c r="L85" s="33" t="n">
        <f aca="false">(L71-L84)*L59+L84*$C$16</f>
        <v>461.190487007713</v>
      </c>
      <c r="M85" s="26" t="n">
        <f aca="false">SUM(D85:L85)</f>
        <v>2976.30568977416</v>
      </c>
    </row>
    <row r="86" customFormat="false" ht="15" hidden="false" customHeight="false" outlineLevel="0" collapsed="false">
      <c r="A86" s="23" t="s">
        <v>171</v>
      </c>
      <c r="B86" s="5" t="s">
        <v>30</v>
      </c>
      <c r="C86" s="34" t="n">
        <f aca="false">C85+C82-C72-C73</f>
        <v>-84.3375</v>
      </c>
      <c r="D86" s="34" t="n">
        <f aca="false">D85+D82-D72-D73</f>
        <v>-82.1694776748971</v>
      </c>
      <c r="E86" s="34" t="n">
        <f aca="false">E85+E82-E72-E73</f>
        <v>-79.3817384413579</v>
      </c>
      <c r="F86" s="34" t="n">
        <f aca="false">F85+F82-F72-F73</f>
        <v>-75.9057070625001</v>
      </c>
      <c r="G86" s="34" t="n">
        <f aca="false">G85+G82-G72-G73</f>
        <v>-71.6667778871528</v>
      </c>
      <c r="H86" s="34" t="n">
        <f aca="false">H85+H82-H72-H73</f>
        <v>-66.5838410872397</v>
      </c>
      <c r="I86" s="34" t="n">
        <f aca="false">I85+I82-I72-I73</f>
        <v>-60.5687741844611</v>
      </c>
      <c r="J86" s="34" t="n">
        <f aca="false">J85+J82-J72-J73</f>
        <v>-53.5258964439692</v>
      </c>
      <c r="K86" s="34" t="n">
        <f aca="false">K85+K82-K72-K73</f>
        <v>-45.3513835497282</v>
      </c>
      <c r="L86" s="34" t="n">
        <f aca="false">L85+L82-L72-L73</f>
        <v>-35.9326398026024</v>
      </c>
      <c r="M86" s="26" t="n">
        <f aca="false">SUM(D86:L86)</f>
        <v>-571.086236133909</v>
      </c>
    </row>
    <row r="87" customFormat="false" ht="15" hidden="false" customHeight="false" outlineLevel="0" collapsed="false">
      <c r="A87" s="7" t="s">
        <v>172</v>
      </c>
      <c r="B87" s="5" t="s">
        <v>30</v>
      </c>
      <c r="C87" s="33" t="n">
        <f aca="false">C73+(C71-C84)*(1-C59)</f>
        <v>59.775</v>
      </c>
      <c r="D87" s="33" t="n">
        <f aca="false">D73+(D71-D84)*(1-D59)</f>
        <v>58.0097813786008</v>
      </c>
      <c r="E87" s="33" t="n">
        <f aca="false">E73+(E71-E84)*(1-E59)</f>
        <v>55.7882452469136</v>
      </c>
      <c r="F87" s="33" t="n">
        <f aca="false">F73+(F71-F84)*(1-F59)</f>
        <v>53.0602349375</v>
      </c>
      <c r="G87" s="33" t="n">
        <f aca="false">G73+(G71-G84)*(1-G59)</f>
        <v>49.7711510090278</v>
      </c>
      <c r="H87" s="33" t="n">
        <f aca="false">H73+(H71-H84)*(1-H59)</f>
        <v>45.8615979153646</v>
      </c>
      <c r="I87" s="33" t="n">
        <f aca="false">I73+(I71-I84)*(1-I59)</f>
        <v>41.26700442375</v>
      </c>
      <c r="J87" s="33" t="n">
        <f aca="false">J73+(J71-J84)*(1-J59)</f>
        <v>35.9172159239168</v>
      </c>
      <c r="K87" s="33" t="n">
        <f aca="false">K73+(K71-K84)*(1-K59)</f>
        <v>29.7360566432729</v>
      </c>
      <c r="L87" s="33" t="n">
        <f aca="false">L73+(L71-L84)*(1-L59)</f>
        <v>22.6408596480985</v>
      </c>
      <c r="M87" s="26" t="n">
        <f aca="false">SUM(D87:L87)</f>
        <v>392.052147126445</v>
      </c>
    </row>
    <row r="89" customFormat="false" ht="15" hidden="false" customHeight="false" outlineLevel="0" collapsed="false">
      <c r="A89" s="23" t="s">
        <v>173</v>
      </c>
    </row>
    <row r="90" customFormat="false" ht="15" hidden="false" customHeight="false" outlineLevel="0" collapsed="false">
      <c r="A90" s="7" t="s">
        <v>174</v>
      </c>
      <c r="B90" s="5" t="s">
        <v>30</v>
      </c>
      <c r="C90" s="33" t="n">
        <f aca="false">C82+C80+C83</f>
        <v>19.6875</v>
      </c>
      <c r="D90" s="33" t="n">
        <f aca="false">D82+D80+D83</f>
        <v>29.9757111111111</v>
      </c>
      <c r="E90" s="33" t="n">
        <f aca="false">E82+E80+E83</f>
        <v>31.0720929166667</v>
      </c>
      <c r="F90" s="33" t="n">
        <f aca="false">F82+F80+F83</f>
        <v>32.218470375</v>
      </c>
      <c r="G90" s="33" t="n">
        <f aca="false">G82+G80+G83</f>
        <v>33.416711934375</v>
      </c>
      <c r="H90" s="33" t="n">
        <f aca="false">H82+H80+H83</f>
        <v>34.668728390625</v>
      </c>
      <c r="I90" s="33" t="n">
        <f aca="false">I82+I80+I83</f>
        <v>35.9764714753828</v>
      </c>
      <c r="J90" s="33" t="n">
        <f aca="false">J82+J80+J83</f>
        <v>37.3419321484945</v>
      </c>
      <c r="K90" s="33" t="n">
        <f aca="false">K82+K80+K83</f>
        <v>38.7671385661264</v>
      </c>
      <c r="L90" s="33" t="n">
        <f aca="false">L82+L80+L83</f>
        <v>40.2541536938425</v>
      </c>
      <c r="M90" s="26" t="n">
        <f aca="false">SUM(D90:L90)</f>
        <v>313.691410611624</v>
      </c>
    </row>
    <row r="91" customFormat="false" ht="15" hidden="false" customHeight="false" outlineLevel="0" collapsed="false">
      <c r="A91" s="7" t="s">
        <v>175</v>
      </c>
      <c r="B91" s="5" t="s">
        <v>30</v>
      </c>
      <c r="C91" s="33" t="n">
        <f aca="false">MAX(0,C74-C82)+(C76+C77)*$C$17*(1-$C$16)</f>
        <v>36.5625</v>
      </c>
      <c r="D91" s="33" t="n">
        <f aca="false">MAX(0,D74-D82)+(D76+D77)*$C$17*(1-$C$16)</f>
        <v>35.5256222222222</v>
      </c>
      <c r="E91" s="33" t="n">
        <f aca="false">MAX(0,E74-E82)+(E76+E77)*$C$17*(1-$C$16)</f>
        <v>34.1883820833333</v>
      </c>
      <c r="F91" s="33" t="n">
        <f aca="false">MAX(0,F74-F82)+(F76+F77)*$C$17*(1-$C$16)</f>
        <v>32.518072125</v>
      </c>
      <c r="G91" s="33" t="n">
        <f aca="false">MAX(0,G74-G82)+(G76+G77)*$C$17*(1-$C$16)</f>
        <v>30.479201878125</v>
      </c>
      <c r="H91" s="33" t="n">
        <f aca="false">MAX(0,H74-H82)+(H76+H77)*$C$17*(1-$C$16)</f>
        <v>28.033288171875</v>
      </c>
      <c r="I91" s="33" t="n">
        <f aca="false">MAX(0,I74-I82)+(I76+I77)*$C$17*(1-$C$16)</f>
        <v>25.1386307732109</v>
      </c>
      <c r="J91" s="33" t="n">
        <f aca="false">MAX(0,J74-J82)+(J76+J77)*$C$17*(1-$C$16)</f>
        <v>21.7500723813024</v>
      </c>
      <c r="K91" s="33" t="n">
        <f aca="false">MAX(0,K74-K82)+(K76+K77)*$C$17*(1-$C$16)</f>
        <v>17.818741938674</v>
      </c>
      <c r="L91" s="33" t="n">
        <f aca="false">MAX(0,L74-L82)+(L76+L77)*$C$17*(1-$C$16)</f>
        <v>13.2917801545039</v>
      </c>
      <c r="M91" s="26" t="n">
        <f aca="false">SUM(D91:L91)</f>
        <v>238.743791728247</v>
      </c>
    </row>
    <row r="92" customFormat="false" ht="15" hidden="false" customHeight="false" outlineLevel="0" collapsed="false">
      <c r="A92" s="7" t="s">
        <v>176</v>
      </c>
      <c r="B92" s="5" t="s">
        <v>30</v>
      </c>
      <c r="C92" s="33" t="n">
        <f aca="false">$C$23*(1-$G$49*C$55)</f>
        <v>50</v>
      </c>
      <c r="D92" s="33" t="n">
        <f aca="false">$C$23*(1-$G$49*D$55)</f>
        <v>47.2222222222222</v>
      </c>
      <c r="E92" s="33" t="n">
        <f aca="false">$C$23*(1-$G$49*E$55)</f>
        <v>44.4444444444444</v>
      </c>
      <c r="F92" s="33" t="n">
        <f aca="false">$C$23*(1-$G$49*F$55)</f>
        <v>41.6666666666667</v>
      </c>
      <c r="G92" s="33" t="n">
        <f aca="false">$C$23*(1-$G$49*G$55)</f>
        <v>38.8888888888889</v>
      </c>
      <c r="H92" s="33" t="n">
        <f aca="false">$C$23*(1-$G$49*H$55)</f>
        <v>36.1111111111111</v>
      </c>
      <c r="I92" s="33" t="n">
        <f aca="false">$C$23*(1-$G$49*I$55)</f>
        <v>33.3333333333333</v>
      </c>
      <c r="J92" s="33" t="n">
        <f aca="false">$C$23*(1-$G$49*J$55)</f>
        <v>30.5555555555556</v>
      </c>
      <c r="K92" s="33" t="n">
        <f aca="false">$C$23*(1-$G$49*K$55)</f>
        <v>27.7777777777778</v>
      </c>
      <c r="L92" s="33" t="n">
        <f aca="false">$C$23*(1-$G$49*L$55)</f>
        <v>25</v>
      </c>
      <c r="M92" s="26" t="n">
        <f aca="false">SUM(D92:L92)</f>
        <v>325</v>
      </c>
    </row>
    <row r="93" customFormat="false" ht="15" hidden="false" customHeight="false" outlineLevel="0" collapsed="false">
      <c r="A93" s="7" t="s">
        <v>177</v>
      </c>
      <c r="B93" s="5" t="s">
        <v>30</v>
      </c>
      <c r="C93" s="33" t="n">
        <f aca="false">$C$24*(1-$G$50*C$55)</f>
        <v>80</v>
      </c>
      <c r="D93" s="33" t="n">
        <f aca="false">$C$24*(1-$G$50*D$55)</f>
        <v>74.6666666666667</v>
      </c>
      <c r="E93" s="33" t="n">
        <f aca="false">$C$24*(1-$G$50*E$55)</f>
        <v>69.3333333333333</v>
      </c>
      <c r="F93" s="33" t="n">
        <f aca="false">$C$24*(1-$G$50*F$55)</f>
        <v>64</v>
      </c>
      <c r="G93" s="33" t="n">
        <f aca="false">$C$24*(1-$G$50*G$55)</f>
        <v>58.6666666666667</v>
      </c>
      <c r="H93" s="33" t="n">
        <f aca="false">$C$24*(1-$G$50*H$55)</f>
        <v>53.3333333333333</v>
      </c>
      <c r="I93" s="33" t="n">
        <f aca="false">$C$24*(1-$G$50*I$55)</f>
        <v>48</v>
      </c>
      <c r="J93" s="33" t="n">
        <f aca="false">$C$24*(1-$G$50*J$55)</f>
        <v>42.6666666666667</v>
      </c>
      <c r="K93" s="33" t="n">
        <f aca="false">$C$24*(1-$G$50*K$55)</f>
        <v>37.3333333333333</v>
      </c>
      <c r="L93" s="33" t="n">
        <f aca="false">$C$24*(1-$G$50*L$55)</f>
        <v>32</v>
      </c>
      <c r="M93" s="26" t="n">
        <f aca="false">SUM(D93:L93)</f>
        <v>480</v>
      </c>
    </row>
    <row r="94" customFormat="false" ht="15" hidden="false" customHeight="false" outlineLevel="0" collapsed="false">
      <c r="A94" s="23" t="s">
        <v>178</v>
      </c>
      <c r="B94" s="5" t="s">
        <v>30</v>
      </c>
      <c r="C94" s="34" t="n">
        <f aca="false">C90+C91+C92+C93</f>
        <v>186.25</v>
      </c>
      <c r="D94" s="34" t="n">
        <f aca="false">D90+D91+D92+D93</f>
        <v>187.390222222222</v>
      </c>
      <c r="E94" s="34" t="n">
        <f aca="false">E90+E91+E92+E93</f>
        <v>179.038252777778</v>
      </c>
      <c r="F94" s="34" t="n">
        <f aca="false">F90+F91+F92+F93</f>
        <v>170.403209166667</v>
      </c>
      <c r="G94" s="34" t="n">
        <f aca="false">G90+G91+G92+G93</f>
        <v>161.451469368056</v>
      </c>
      <c r="H94" s="34" t="n">
        <f aca="false">H90+H91+H92+H93</f>
        <v>152.146461006944</v>
      </c>
      <c r="I94" s="34" t="n">
        <f aca="false">I90+I91+I92+I93</f>
        <v>142.448435581927</v>
      </c>
      <c r="J94" s="34" t="n">
        <f aca="false">J90+J91+J92+J93</f>
        <v>132.314226752019</v>
      </c>
      <c r="K94" s="34" t="n">
        <f aca="false">K90+K91+K92+K93</f>
        <v>121.696991615912</v>
      </c>
      <c r="L94" s="34" t="n">
        <f aca="false">L90+L91+L92+L93</f>
        <v>110.545933848346</v>
      </c>
      <c r="M94" s="26" t="n">
        <f aca="false">SUM(D94:L94)</f>
        <v>1357.43520233987</v>
      </c>
    </row>
    <row r="95" customFormat="false" ht="15" hidden="false" customHeight="false" outlineLevel="0" collapsed="false">
      <c r="A95" s="5" t="s">
        <v>179</v>
      </c>
    </row>
    <row r="97" customFormat="false" ht="15" hidden="false" customHeight="false" outlineLevel="0" collapsed="false">
      <c r="A97" s="7" t="s">
        <v>180</v>
      </c>
      <c r="B97" s="5" t="s">
        <v>42</v>
      </c>
      <c r="C97" s="35" t="n">
        <f aca="false">IFERROR(C65/$C$65*100,0)</f>
        <v>100</v>
      </c>
      <c r="D97" s="35" t="n">
        <f aca="false">IFERROR(D65/$C$65*100,0)</f>
        <v>98.4126984126984</v>
      </c>
      <c r="E97" s="35" t="n">
        <f aca="false">IFERROR(E65/$C$65*100,0)</f>
        <v>96.8253968253968</v>
      </c>
      <c r="F97" s="35" t="n">
        <f aca="false">IFERROR(F65/$C$65*100,0)</f>
        <v>95.2380952380952</v>
      </c>
      <c r="G97" s="35" t="n">
        <f aca="false">IFERROR(G65/$C$65*100,0)</f>
        <v>93.6507936507936</v>
      </c>
      <c r="H97" s="35" t="n">
        <f aca="false">IFERROR(H65/$C$65*100,0)</f>
        <v>92.0634920634921</v>
      </c>
      <c r="I97" s="35" t="n">
        <f aca="false">IFERROR(I65/$C$65*100,0)</f>
        <v>90.4761904761905</v>
      </c>
      <c r="J97" s="35" t="n">
        <f aca="false">IFERROR(J65/$C$65*100,0)</f>
        <v>88.8888888888889</v>
      </c>
      <c r="K97" s="35" t="n">
        <f aca="false">IFERROR(K65/$C$65*100,0)</f>
        <v>87.3015873015873</v>
      </c>
      <c r="L97" s="35" t="n">
        <f aca="false">IFERROR(L65/$C$65*100,0)</f>
        <v>85.7142857142857</v>
      </c>
    </row>
    <row r="98" customFormat="false" ht="15" hidden="false" customHeight="false" outlineLevel="0" collapsed="false">
      <c r="A98" s="7" t="s">
        <v>181</v>
      </c>
      <c r="B98" s="5" t="s">
        <v>44</v>
      </c>
      <c r="C98" s="31" t="n">
        <f aca="false">$C$25*(C97/100-1)</f>
        <v>0</v>
      </c>
      <c r="D98" s="31" t="n">
        <f aca="false">$C$25*(D97/100-1)</f>
        <v>-0.00238095238095239</v>
      </c>
      <c r="E98" s="31" t="n">
        <f aca="false">$C$25*(E97/100-1)</f>
        <v>-0.00476190476190479</v>
      </c>
      <c r="F98" s="31" t="n">
        <f aca="false">$C$25*(F97/100-1)</f>
        <v>-0.00714285714285713</v>
      </c>
      <c r="G98" s="31" t="n">
        <f aca="false">$C$25*(G97/100-1)</f>
        <v>-0.00952380952380954</v>
      </c>
      <c r="H98" s="31" t="n">
        <f aca="false">$C$25*(H97/100-1)</f>
        <v>-0.0119047619047619</v>
      </c>
      <c r="I98" s="31" t="n">
        <f aca="false">$C$25*(I97/100-1)</f>
        <v>-0.0142857142857143</v>
      </c>
      <c r="J98" s="31" t="n">
        <f aca="false">$C$25*(J97/100-1)</f>
        <v>-0.0166666666666667</v>
      </c>
      <c r="K98" s="31" t="n">
        <f aca="false">$C$25*(K97/100-1)</f>
        <v>-0.019047619047619</v>
      </c>
      <c r="L98" s="31" t="n">
        <f aca="false">$C$25*(L97/100-1)</f>
        <v>-0.0214285714285714</v>
      </c>
    </row>
    <row r="99" customFormat="false" ht="15" hidden="false" customHeight="false" outlineLevel="0" collapsed="false">
      <c r="A99" s="7" t="s">
        <v>182</v>
      </c>
      <c r="B99" s="5" t="s">
        <v>42</v>
      </c>
      <c r="C99" s="35" t="n">
        <f aca="false">IFERROR(C61/$C$61*100,0)</f>
        <v>100</v>
      </c>
      <c r="D99" s="35" t="n">
        <f aca="false">IFERROR(D61/$C$61*100,0)</f>
        <v>113.333333333333</v>
      </c>
      <c r="E99" s="35" t="n">
        <f aca="false">IFERROR(E61/$C$61*100,0)</f>
        <v>126.666666666667</v>
      </c>
      <c r="F99" s="35" t="n">
        <f aca="false">IFERROR(F61/$C$61*100,0)</f>
        <v>140</v>
      </c>
      <c r="G99" s="35" t="n">
        <f aca="false">IFERROR(G61/$C$61*100,0)</f>
        <v>153.333333333333</v>
      </c>
      <c r="H99" s="35" t="n">
        <f aca="false">IFERROR(H61/$C$61*100,0)</f>
        <v>166.666666666667</v>
      </c>
      <c r="I99" s="35" t="n">
        <f aca="false">IFERROR(I61/$C$61*100,0)</f>
        <v>180</v>
      </c>
      <c r="J99" s="35" t="n">
        <f aca="false">IFERROR(J61/$C$61*100,0)</f>
        <v>193.333333333333</v>
      </c>
      <c r="K99" s="35" t="n">
        <f aca="false">IFERROR(K61/$C$61*100,0)</f>
        <v>206.666666666667</v>
      </c>
      <c r="L99" s="35" t="n">
        <f aca="false">IFERROR(L61/$C$61*100,0)</f>
        <v>220</v>
      </c>
    </row>
    <row r="100" customFormat="false" ht="15" hidden="false" customHeight="false" outlineLevel="0" collapsed="false">
      <c r="A100" s="7" t="s">
        <v>183</v>
      </c>
      <c r="B100" s="5" t="s">
        <v>30</v>
      </c>
      <c r="C100" s="33" t="n">
        <f aca="false">(1-$G$44*$C$21)*MAX(0,C61-$D$30)*C66/1000</f>
        <v>0</v>
      </c>
      <c r="D100" s="33" t="n">
        <f aca="false">(1-$G$44*$C$21)*MAX(0,D61-$D$30)*D66/1000</f>
        <v>0.959</v>
      </c>
      <c r="E100" s="33" t="n">
        <f aca="false">(1-$G$44*$C$21)*MAX(0,E61-$D$30)*E66/1000</f>
        <v>2.0433</v>
      </c>
      <c r="F100" s="33" t="n">
        <f aca="false">(1-$G$44*$C$21)*MAX(0,F61-$D$30)*F66/1000</f>
        <v>3.2645025</v>
      </c>
      <c r="G100" s="33" t="n">
        <f aca="false">(1-$G$44*$C$21)*MAX(0,G61-$D$30)*G66/1000</f>
        <v>4.6351305</v>
      </c>
      <c r="H100" s="33" t="n">
        <f aca="false">(1-$G$44*$C$21)*MAX(0,H61-$D$30)*H66/1000</f>
        <v>6.16869421875</v>
      </c>
      <c r="I100" s="33" t="n">
        <f aca="false">(1-$G$44*$C$21)*MAX(0,I61-$D$30)*I66/1000</f>
        <v>7.879762366875</v>
      </c>
      <c r="J100" s="33" t="n">
        <f aca="false">(1-$G$44*$C$21)*MAX(0,J61-$D$30)*J66/1000</f>
        <v>9.78403827220313</v>
      </c>
      <c r="K100" s="33" t="n">
        <f aca="false">(1-$G$44*$C$21)*MAX(0,K61-$D$30)*K66/1000</f>
        <v>11.8984411739813</v>
      </c>
      <c r="L100" s="33" t="n">
        <f aca="false">(1-$G$44*$C$21)*MAX(0,L61-$D$30)*L66/1000</f>
        <v>14.2411930226828</v>
      </c>
      <c r="M100" s="26" t="n">
        <f aca="false">SUM(D100:L100)</f>
        <v>60.8740620544922</v>
      </c>
    </row>
  </sheetData>
  <mergeCells count="1">
    <mergeCell ref="C39:D39"/>
  </mergeCells>
  <dataValidations count="1">
    <dataValidation allowBlank="false" errorStyle="stop" operator="between" showDropDown="false" showErrorMessage="false" showInputMessage="false" sqref="C39" type="list">
      <formula1>"S0 Statu quo,S1 Tarifs aux coûts,S2 Aides ciblées,S3 Réforme intégrée"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8" min="2" style="0" width="15"/>
  </cols>
  <sheetData>
    <row r="1" customFormat="false" ht="17.35" hidden="false" customHeight="false" outlineLevel="0" collapsed="false">
      <c r="A1" s="4" t="s">
        <v>188</v>
      </c>
    </row>
    <row r="2" customFormat="false" ht="15" hidden="false" customHeight="false" outlineLevel="0" collapsed="false">
      <c r="A2" s="5" t="s">
        <v>189</v>
      </c>
    </row>
    <row r="5" customFormat="false" ht="15" hidden="false" customHeight="false" outlineLevel="0" collapsed="false">
      <c r="A5" s="12" t="s">
        <v>22</v>
      </c>
      <c r="B5" s="13"/>
      <c r="C5" s="13"/>
      <c r="D5" s="13"/>
      <c r="E5" s="13"/>
      <c r="F5" s="13"/>
      <c r="G5" s="13"/>
      <c r="H5" s="13"/>
    </row>
    <row r="6" customFormat="false" ht="15" hidden="false" customHeight="false" outlineLevel="0" collapsed="false">
      <c r="A6" s="7" t="s">
        <v>190</v>
      </c>
      <c r="B6" s="5" t="s">
        <v>191</v>
      </c>
      <c r="C6" s="15"/>
    </row>
    <row r="7" customFormat="false" ht="15" hidden="false" customHeight="false" outlineLevel="0" collapsed="false">
      <c r="A7" s="7" t="s">
        <v>192</v>
      </c>
      <c r="C7" s="18"/>
    </row>
    <row r="8" customFormat="false" ht="15" hidden="false" customHeight="false" outlineLevel="0" collapsed="false">
      <c r="A8" s="7" t="s">
        <v>193</v>
      </c>
      <c r="B8" s="5" t="s">
        <v>68</v>
      </c>
      <c r="C8" s="10" t="n">
        <f aca="false">Cameroun!$D$30</f>
        <v>0</v>
      </c>
      <c r="D8" s="10" t="n">
        <f aca="false">Cameroun!$D$31</f>
        <v>0</v>
      </c>
      <c r="E8" s="10" t="n">
        <f aca="false">Cameroun!$E$31</f>
        <v>0</v>
      </c>
      <c r="F8" s="5" t="s">
        <v>194</v>
      </c>
    </row>
    <row r="9" customFormat="false" ht="42" hidden="false" customHeight="true" outlineLevel="0" collapsed="false">
      <c r="A9" s="40" t="s">
        <v>195</v>
      </c>
      <c r="B9" s="40" t="s">
        <v>196</v>
      </c>
      <c r="C9" s="40" t="s">
        <v>197</v>
      </c>
      <c r="D9" s="40" t="s">
        <v>198</v>
      </c>
      <c r="E9" s="40" t="s">
        <v>199</v>
      </c>
      <c r="F9" s="40" t="s">
        <v>200</v>
      </c>
      <c r="G9" s="40" t="s">
        <v>201</v>
      </c>
      <c r="H9" s="40" t="s">
        <v>202</v>
      </c>
    </row>
    <row r="10" customFormat="false" ht="15" hidden="false" customHeight="false" outlineLevel="0" collapsed="false">
      <c r="A10" s="7" t="s">
        <v>203</v>
      </c>
      <c r="B10" s="15"/>
      <c r="C10" s="16"/>
      <c r="D10" s="15"/>
      <c r="E10" s="20" t="n">
        <f aca="false">12*IF($C$7=1,MIN(D10,$C$6)*($E$8-$C$8)+MAX(0,D10-$C$6)*($E$8-$D$8),IF(D10&lt;=$C$6,D10*($E$8-$C$8),D10*($E$8-$D$8)))</f>
        <v>0</v>
      </c>
      <c r="F10" s="21" t="n">
        <f aca="false">B10*C10*E10/1000000000</f>
        <v>0</v>
      </c>
      <c r="G10" s="22" t="n">
        <f aca="false">IFERROR(F10/SUM($F$10:$F$14),0)</f>
        <v>0</v>
      </c>
      <c r="H10" s="22" t="n">
        <f aca="false">IFERROR(B10/SUM($B$10:$B$14),0)</f>
        <v>0</v>
      </c>
    </row>
    <row r="11" customFormat="false" ht="15" hidden="false" customHeight="false" outlineLevel="0" collapsed="false">
      <c r="A11" s="7" t="s">
        <v>204</v>
      </c>
      <c r="B11" s="15"/>
      <c r="C11" s="16"/>
      <c r="D11" s="15"/>
      <c r="E11" s="20" t="n">
        <f aca="false">12*IF($C$7=1,MIN(D11,$C$6)*($E$8-$C$8)+MAX(0,D11-$C$6)*($E$8-$D$8),IF(D11&lt;=$C$6,D11*($E$8-$C$8),D11*($E$8-$D$8)))</f>
        <v>0</v>
      </c>
      <c r="F11" s="21" t="n">
        <f aca="false">B11*C11*E11/1000000000</f>
        <v>0</v>
      </c>
      <c r="G11" s="22" t="n">
        <f aca="false">IFERROR(F11/SUM($F$10:$F$14),0)</f>
        <v>0</v>
      </c>
      <c r="H11" s="22" t="n">
        <f aca="false">IFERROR(B11/SUM($B$10:$B$14),0)</f>
        <v>0</v>
      </c>
    </row>
    <row r="12" customFormat="false" ht="15" hidden="false" customHeight="false" outlineLevel="0" collapsed="false">
      <c r="A12" s="7" t="s">
        <v>205</v>
      </c>
      <c r="B12" s="15"/>
      <c r="C12" s="16"/>
      <c r="D12" s="15"/>
      <c r="E12" s="20" t="n">
        <f aca="false">12*IF($C$7=1,MIN(D12,$C$6)*($E$8-$C$8)+MAX(0,D12-$C$6)*($E$8-$D$8),IF(D12&lt;=$C$6,D12*($E$8-$C$8),D12*($E$8-$D$8)))</f>
        <v>0</v>
      </c>
      <c r="F12" s="21" t="n">
        <f aca="false">B12*C12*E12/1000000000</f>
        <v>0</v>
      </c>
      <c r="G12" s="22" t="n">
        <f aca="false">IFERROR(F12/SUM($F$10:$F$14),0)</f>
        <v>0</v>
      </c>
      <c r="H12" s="22" t="n">
        <f aca="false">IFERROR(B12/SUM($B$10:$B$14),0)</f>
        <v>0</v>
      </c>
    </row>
    <row r="13" customFormat="false" ht="15" hidden="false" customHeight="false" outlineLevel="0" collapsed="false">
      <c r="A13" s="7" t="s">
        <v>206</v>
      </c>
      <c r="B13" s="15"/>
      <c r="C13" s="16"/>
      <c r="D13" s="15"/>
      <c r="E13" s="20" t="n">
        <f aca="false">12*IF($C$7=1,MIN(D13,$C$6)*($E$8-$C$8)+MAX(0,D13-$C$6)*($E$8-$D$8),IF(D13&lt;=$C$6,D13*($E$8-$C$8),D13*($E$8-$D$8)))</f>
        <v>0</v>
      </c>
      <c r="F13" s="21" t="n">
        <f aca="false">B13*C13*E13/1000000000</f>
        <v>0</v>
      </c>
      <c r="G13" s="22" t="n">
        <f aca="false">IFERROR(F13/SUM($F$10:$F$14),0)</f>
        <v>0</v>
      </c>
      <c r="H13" s="22" t="n">
        <f aca="false">IFERROR(B13/SUM($B$10:$B$14),0)</f>
        <v>0</v>
      </c>
    </row>
    <row r="14" customFormat="false" ht="15" hidden="false" customHeight="false" outlineLevel="0" collapsed="false">
      <c r="A14" s="7" t="s">
        <v>207</v>
      </c>
      <c r="B14" s="15"/>
      <c r="C14" s="16"/>
      <c r="D14" s="15"/>
      <c r="E14" s="20" t="n">
        <f aca="false">12*IF($C$7=1,MIN(D14,$C$6)*($E$8-$C$8)+MAX(0,D14-$C$6)*($E$8-$D$8),IF(D14&lt;=$C$6,D14*($E$8-$C$8),D14*($E$8-$D$8)))</f>
        <v>0</v>
      </c>
      <c r="F14" s="21" t="n">
        <f aca="false">B14*C14*E14/1000000000</f>
        <v>0</v>
      </c>
      <c r="G14" s="22" t="n">
        <f aca="false">IFERROR(F14/SUM($F$10:$F$14),0)</f>
        <v>0</v>
      </c>
      <c r="H14" s="22" t="n">
        <f aca="false">IFERROR(B14/SUM($B$10:$B$14),0)</f>
        <v>0</v>
      </c>
    </row>
    <row r="15" customFormat="false" ht="15" hidden="false" customHeight="false" outlineLevel="0" collapsed="false">
      <c r="A15" s="23" t="s">
        <v>208</v>
      </c>
      <c r="B15" s="25" t="n">
        <f aca="false">SUM(B10:B14)</f>
        <v>0</v>
      </c>
      <c r="F15" s="26" t="n">
        <f aca="false">SUM(F10:F14)</f>
        <v>0</v>
      </c>
    </row>
    <row r="16" customFormat="false" ht="15" hidden="false" customHeight="false" outlineLevel="0" collapsed="false">
      <c r="A16" s="23" t="s">
        <v>209</v>
      </c>
      <c r="C16" s="24" t="n">
        <f aca="false">G10+G11</f>
        <v>0</v>
      </c>
    </row>
    <row r="17" customFormat="false" ht="15" hidden="false" customHeight="false" outlineLevel="0" collapsed="false">
      <c r="A17" s="23" t="s">
        <v>210</v>
      </c>
      <c r="C17" s="24" t="n">
        <f aca="false">G14</f>
        <v>0</v>
      </c>
    </row>
    <row r="18" customFormat="false" ht="15" hidden="false" customHeight="false" outlineLevel="0" collapsed="false">
      <c r="A18" s="23" t="s">
        <v>211</v>
      </c>
      <c r="C18" s="23" t="str">
        <f aca="false">IF(F15=0,"n.d.",IF(G14&gt;G10+G11,1,0))</f>
        <v>n.d.</v>
      </c>
    </row>
    <row r="19" customFormat="false" ht="15" hidden="false" customHeight="false" outlineLevel="0" collapsed="false">
      <c r="A19" s="5" t="s">
        <v>212</v>
      </c>
    </row>
    <row r="21" customFormat="false" ht="15" hidden="false" customHeight="false" outlineLevel="0" collapsed="false">
      <c r="A21" s="12" t="s">
        <v>23</v>
      </c>
      <c r="B21" s="13"/>
      <c r="C21" s="13"/>
      <c r="D21" s="13"/>
      <c r="E21" s="13"/>
      <c r="F21" s="13"/>
      <c r="G21" s="13"/>
      <c r="H21" s="13"/>
    </row>
    <row r="22" customFormat="false" ht="15" hidden="false" customHeight="false" outlineLevel="0" collapsed="false">
      <c r="A22" s="7" t="s">
        <v>190</v>
      </c>
      <c r="B22" s="5" t="s">
        <v>191</v>
      </c>
      <c r="C22" s="15"/>
    </row>
    <row r="23" customFormat="false" ht="15" hidden="false" customHeight="false" outlineLevel="0" collapsed="false">
      <c r="A23" s="7" t="s">
        <v>192</v>
      </c>
      <c r="C23" s="18"/>
    </row>
    <row r="24" customFormat="false" ht="15" hidden="false" customHeight="false" outlineLevel="0" collapsed="false">
      <c r="A24" s="7" t="s">
        <v>193</v>
      </c>
      <c r="B24" s="5" t="s">
        <v>68</v>
      </c>
      <c r="C24" s="10" t="n">
        <f aca="false">Congo!$D$30</f>
        <v>0</v>
      </c>
      <c r="D24" s="10" t="n">
        <f aca="false">Congo!$D$31</f>
        <v>0</v>
      </c>
      <c r="E24" s="10" t="n">
        <f aca="false">Congo!$E$31</f>
        <v>0</v>
      </c>
      <c r="F24" s="5" t="s">
        <v>194</v>
      </c>
    </row>
    <row r="25" customFormat="false" ht="42" hidden="false" customHeight="true" outlineLevel="0" collapsed="false">
      <c r="A25" s="40" t="s">
        <v>195</v>
      </c>
      <c r="B25" s="40" t="s">
        <v>196</v>
      </c>
      <c r="C25" s="40" t="s">
        <v>197</v>
      </c>
      <c r="D25" s="40" t="s">
        <v>198</v>
      </c>
      <c r="E25" s="40" t="s">
        <v>199</v>
      </c>
      <c r="F25" s="40" t="s">
        <v>200</v>
      </c>
      <c r="G25" s="40" t="s">
        <v>201</v>
      </c>
      <c r="H25" s="40" t="s">
        <v>202</v>
      </c>
    </row>
    <row r="26" customFormat="false" ht="15" hidden="false" customHeight="false" outlineLevel="0" collapsed="false">
      <c r="A26" s="7" t="s">
        <v>203</v>
      </c>
      <c r="B26" s="15"/>
      <c r="C26" s="16"/>
      <c r="D26" s="15"/>
      <c r="E26" s="20" t="n">
        <f aca="false">12*IF($C$23=1,MIN(D26,$C$22)*($E$24-$C$24)+MAX(0,D26-$C$22)*($E$24-$D$24),IF(D26&lt;=$C$22,D26*($E$24-$C$24),D26*($E$24-$D$24)))</f>
        <v>0</v>
      </c>
      <c r="F26" s="21" t="n">
        <f aca="false">B26*C26*E26/1000000000</f>
        <v>0</v>
      </c>
      <c r="G26" s="22" t="n">
        <f aca="false">IFERROR(F26/SUM($F$26:$F$30),0)</f>
        <v>0</v>
      </c>
      <c r="H26" s="22" t="n">
        <f aca="false">IFERROR(B26/SUM($B$26:$B$30),0)</f>
        <v>0</v>
      </c>
    </row>
    <row r="27" customFormat="false" ht="15" hidden="false" customHeight="false" outlineLevel="0" collapsed="false">
      <c r="A27" s="7" t="s">
        <v>204</v>
      </c>
      <c r="B27" s="15"/>
      <c r="C27" s="16"/>
      <c r="D27" s="15"/>
      <c r="E27" s="20" t="n">
        <f aca="false">12*IF($C$23=1,MIN(D27,$C$22)*($E$24-$C$24)+MAX(0,D27-$C$22)*($E$24-$D$24),IF(D27&lt;=$C$22,D27*($E$24-$C$24),D27*($E$24-$D$24)))</f>
        <v>0</v>
      </c>
      <c r="F27" s="21" t="n">
        <f aca="false">B27*C27*E27/1000000000</f>
        <v>0</v>
      </c>
      <c r="G27" s="22" t="n">
        <f aca="false">IFERROR(F27/SUM($F$26:$F$30),0)</f>
        <v>0</v>
      </c>
      <c r="H27" s="22" t="n">
        <f aca="false">IFERROR(B27/SUM($B$26:$B$30),0)</f>
        <v>0</v>
      </c>
    </row>
    <row r="28" customFormat="false" ht="15" hidden="false" customHeight="false" outlineLevel="0" collapsed="false">
      <c r="A28" s="7" t="s">
        <v>205</v>
      </c>
      <c r="B28" s="15"/>
      <c r="C28" s="16"/>
      <c r="D28" s="15"/>
      <c r="E28" s="20" t="n">
        <f aca="false">12*IF($C$23=1,MIN(D28,$C$22)*($E$24-$C$24)+MAX(0,D28-$C$22)*($E$24-$D$24),IF(D28&lt;=$C$22,D28*($E$24-$C$24),D28*($E$24-$D$24)))</f>
        <v>0</v>
      </c>
      <c r="F28" s="21" t="n">
        <f aca="false">B28*C28*E28/1000000000</f>
        <v>0</v>
      </c>
      <c r="G28" s="22" t="n">
        <f aca="false">IFERROR(F28/SUM($F$26:$F$30),0)</f>
        <v>0</v>
      </c>
      <c r="H28" s="22" t="n">
        <f aca="false">IFERROR(B28/SUM($B$26:$B$30),0)</f>
        <v>0</v>
      </c>
    </row>
    <row r="29" customFormat="false" ht="15" hidden="false" customHeight="false" outlineLevel="0" collapsed="false">
      <c r="A29" s="7" t="s">
        <v>206</v>
      </c>
      <c r="B29" s="15"/>
      <c r="C29" s="16"/>
      <c r="D29" s="15"/>
      <c r="E29" s="20" t="n">
        <f aca="false">12*IF($C$23=1,MIN(D29,$C$22)*($E$24-$C$24)+MAX(0,D29-$C$22)*($E$24-$D$24),IF(D29&lt;=$C$22,D29*($E$24-$C$24),D29*($E$24-$D$24)))</f>
        <v>0</v>
      </c>
      <c r="F29" s="21" t="n">
        <f aca="false">B29*C29*E29/1000000000</f>
        <v>0</v>
      </c>
      <c r="G29" s="22" t="n">
        <f aca="false">IFERROR(F29/SUM($F$26:$F$30),0)</f>
        <v>0</v>
      </c>
      <c r="H29" s="22" t="n">
        <f aca="false">IFERROR(B29/SUM($B$26:$B$30),0)</f>
        <v>0</v>
      </c>
    </row>
    <row r="30" customFormat="false" ht="15" hidden="false" customHeight="false" outlineLevel="0" collapsed="false">
      <c r="A30" s="7" t="s">
        <v>207</v>
      </c>
      <c r="B30" s="15"/>
      <c r="C30" s="16"/>
      <c r="D30" s="15"/>
      <c r="E30" s="20" t="n">
        <f aca="false">12*IF($C$23=1,MIN(D30,$C$22)*($E$24-$C$24)+MAX(0,D30-$C$22)*($E$24-$D$24),IF(D30&lt;=$C$22,D30*($E$24-$C$24),D30*($E$24-$D$24)))</f>
        <v>0</v>
      </c>
      <c r="F30" s="21" t="n">
        <f aca="false">B30*C30*E30/1000000000</f>
        <v>0</v>
      </c>
      <c r="G30" s="22" t="n">
        <f aca="false">IFERROR(F30/SUM($F$26:$F$30),0)</f>
        <v>0</v>
      </c>
      <c r="H30" s="22" t="n">
        <f aca="false">IFERROR(B30/SUM($B$26:$B$30),0)</f>
        <v>0</v>
      </c>
    </row>
    <row r="31" customFormat="false" ht="15" hidden="false" customHeight="false" outlineLevel="0" collapsed="false">
      <c r="A31" s="23" t="s">
        <v>208</v>
      </c>
      <c r="B31" s="25" t="n">
        <f aca="false">SUM(B26:B30)</f>
        <v>0</v>
      </c>
      <c r="F31" s="26" t="n">
        <f aca="false">SUM(F26:F30)</f>
        <v>0</v>
      </c>
    </row>
    <row r="32" customFormat="false" ht="15" hidden="false" customHeight="false" outlineLevel="0" collapsed="false">
      <c r="A32" s="23" t="s">
        <v>209</v>
      </c>
      <c r="C32" s="24" t="n">
        <f aca="false">G26+G27</f>
        <v>0</v>
      </c>
    </row>
    <row r="33" customFormat="false" ht="15" hidden="false" customHeight="false" outlineLevel="0" collapsed="false">
      <c r="A33" s="23" t="s">
        <v>210</v>
      </c>
      <c r="C33" s="24" t="n">
        <f aca="false">G30</f>
        <v>0</v>
      </c>
    </row>
    <row r="34" customFormat="false" ht="15" hidden="false" customHeight="false" outlineLevel="0" collapsed="false">
      <c r="A34" s="23" t="s">
        <v>211</v>
      </c>
      <c r="C34" s="23" t="str">
        <f aca="false">IF(F31=0,"n.d.",IF(G30&gt;G26+G27,1,0))</f>
        <v>n.d.</v>
      </c>
    </row>
    <row r="35" customFormat="false" ht="15" hidden="false" customHeight="false" outlineLevel="0" collapsed="false">
      <c r="A35" s="5" t="s">
        <v>212</v>
      </c>
    </row>
    <row r="37" customFormat="false" ht="15" hidden="false" customHeight="false" outlineLevel="0" collapsed="false">
      <c r="A37" s="12" t="s">
        <v>24</v>
      </c>
      <c r="B37" s="13"/>
      <c r="C37" s="13"/>
      <c r="D37" s="13"/>
      <c r="E37" s="13"/>
      <c r="F37" s="13"/>
      <c r="G37" s="13"/>
      <c r="H37" s="13"/>
    </row>
    <row r="38" customFormat="false" ht="15" hidden="false" customHeight="false" outlineLevel="0" collapsed="false">
      <c r="A38" s="7" t="s">
        <v>190</v>
      </c>
      <c r="B38" s="5" t="s">
        <v>191</v>
      </c>
      <c r="C38" s="38" t="n">
        <v>100</v>
      </c>
    </row>
    <row r="39" customFormat="false" ht="15" hidden="false" customHeight="false" outlineLevel="0" collapsed="false">
      <c r="A39" s="7" t="s">
        <v>192</v>
      </c>
      <c r="C39" s="19" t="n">
        <v>1</v>
      </c>
    </row>
    <row r="40" customFormat="false" ht="15" hidden="false" customHeight="false" outlineLevel="0" collapsed="false">
      <c r="A40" s="7" t="s">
        <v>193</v>
      </c>
      <c r="B40" s="5" t="s">
        <v>68</v>
      </c>
      <c r="C40" s="10" t="n">
        <f aca="false">Exemple_fictif!$D$30</f>
        <v>50</v>
      </c>
      <c r="D40" s="10" t="n">
        <f aca="false">Exemple_fictif!$D$31</f>
        <v>80</v>
      </c>
      <c r="E40" s="10" t="n">
        <f aca="false">Exemple_fictif!$E$31</f>
        <v>110</v>
      </c>
      <c r="F40" s="5" t="s">
        <v>194</v>
      </c>
    </row>
    <row r="41" customFormat="false" ht="42" hidden="false" customHeight="true" outlineLevel="0" collapsed="false">
      <c r="A41" s="40" t="s">
        <v>195</v>
      </c>
      <c r="B41" s="40" t="s">
        <v>196</v>
      </c>
      <c r="C41" s="40" t="s">
        <v>197</v>
      </c>
      <c r="D41" s="40" t="s">
        <v>198</v>
      </c>
      <c r="E41" s="40" t="s">
        <v>199</v>
      </c>
      <c r="F41" s="40" t="s">
        <v>200</v>
      </c>
      <c r="G41" s="40" t="s">
        <v>201</v>
      </c>
      <c r="H41" s="40" t="s">
        <v>202</v>
      </c>
    </row>
    <row r="42" customFormat="false" ht="15" hidden="false" customHeight="false" outlineLevel="0" collapsed="false">
      <c r="A42" s="7" t="s">
        <v>203</v>
      </c>
      <c r="B42" s="38" t="n">
        <v>600000</v>
      </c>
      <c r="C42" s="28" t="n">
        <v>0.2</v>
      </c>
      <c r="D42" s="38" t="n">
        <v>40</v>
      </c>
      <c r="E42" s="20" t="n">
        <f aca="false">12*IF($C$39=1,MIN(D42,$C$38)*($E$40-$C$40)+MAX(0,D42-$C$38)*($E$40-$D$40),IF(D42&lt;=$C$38,D42*($E$40-$C$40),D42*($E$40-$D$40)))</f>
        <v>28800</v>
      </c>
      <c r="F42" s="21" t="n">
        <f aca="false">B42*C42*E42/1000000000</f>
        <v>3.456</v>
      </c>
      <c r="G42" s="22" t="n">
        <f aca="false">IFERROR(F42/SUM($F$42:$F$46),0)</f>
        <v>0.0212765957446808</v>
      </c>
      <c r="H42" s="22" t="n">
        <f aca="false">IFERROR(B42/SUM($B$42:$B$46),0)</f>
        <v>0.2</v>
      </c>
    </row>
    <row r="43" customFormat="false" ht="15" hidden="false" customHeight="false" outlineLevel="0" collapsed="false">
      <c r="A43" s="7" t="s">
        <v>204</v>
      </c>
      <c r="B43" s="38" t="n">
        <v>600000</v>
      </c>
      <c r="C43" s="28" t="n">
        <v>0.4</v>
      </c>
      <c r="D43" s="38" t="n">
        <v>60</v>
      </c>
      <c r="E43" s="20" t="n">
        <f aca="false">12*IF($C$39=1,MIN(D43,$C$38)*($E$40-$C$40)+MAX(0,D43-$C$38)*($E$40-$D$40),IF(D43&lt;=$C$38,D43*($E$40-$C$40),D43*($E$40-$D$40)))</f>
        <v>43200</v>
      </c>
      <c r="F43" s="21" t="n">
        <f aca="false">B43*C43*E43/1000000000</f>
        <v>10.368</v>
      </c>
      <c r="G43" s="22" t="n">
        <f aca="false">IFERROR(F43/SUM($F$42:$F$46),0)</f>
        <v>0.0638297872340426</v>
      </c>
      <c r="H43" s="22" t="n">
        <f aca="false">IFERROR(B43/SUM($B$42:$B$46),0)</f>
        <v>0.2</v>
      </c>
    </row>
    <row r="44" customFormat="false" ht="15" hidden="false" customHeight="false" outlineLevel="0" collapsed="false">
      <c r="A44" s="7" t="s">
        <v>205</v>
      </c>
      <c r="B44" s="38" t="n">
        <v>600000</v>
      </c>
      <c r="C44" s="28" t="n">
        <v>0.6</v>
      </c>
      <c r="D44" s="38" t="n">
        <v>90</v>
      </c>
      <c r="E44" s="20" t="n">
        <f aca="false">12*IF($C$39=1,MIN(D44,$C$38)*($E$40-$C$40)+MAX(0,D44-$C$38)*($E$40-$D$40),IF(D44&lt;=$C$38,D44*($E$40-$C$40),D44*($E$40-$D$40)))</f>
        <v>64800</v>
      </c>
      <c r="F44" s="21" t="n">
        <f aca="false">B44*C44*E44/1000000000</f>
        <v>23.328</v>
      </c>
      <c r="G44" s="22" t="n">
        <f aca="false">IFERROR(F44/SUM($F$42:$F$46),0)</f>
        <v>0.143617021276596</v>
      </c>
      <c r="H44" s="22" t="n">
        <f aca="false">IFERROR(B44/SUM($B$42:$B$46),0)</f>
        <v>0.2</v>
      </c>
    </row>
    <row r="45" customFormat="false" ht="15" hidden="false" customHeight="false" outlineLevel="0" collapsed="false">
      <c r="A45" s="7" t="s">
        <v>206</v>
      </c>
      <c r="B45" s="38" t="n">
        <v>600000</v>
      </c>
      <c r="C45" s="28" t="n">
        <v>0.8</v>
      </c>
      <c r="D45" s="38" t="n">
        <v>150</v>
      </c>
      <c r="E45" s="20" t="n">
        <f aca="false">12*IF($C$39=1,MIN(D45,$C$38)*($E$40-$C$40)+MAX(0,D45-$C$38)*($E$40-$D$40),IF(D45&lt;=$C$38,D45*($E$40-$C$40),D45*($E$40-$D$40)))</f>
        <v>90000</v>
      </c>
      <c r="F45" s="21" t="n">
        <f aca="false">B45*C45*E45/1000000000</f>
        <v>43.2</v>
      </c>
      <c r="G45" s="22" t="n">
        <f aca="false">IFERROR(F45/SUM($F$42:$F$46),0)</f>
        <v>0.265957446808511</v>
      </c>
      <c r="H45" s="22" t="n">
        <f aca="false">IFERROR(B45/SUM($B$42:$B$46),0)</f>
        <v>0.2</v>
      </c>
    </row>
    <row r="46" customFormat="false" ht="15" hidden="false" customHeight="false" outlineLevel="0" collapsed="false">
      <c r="A46" s="7" t="s">
        <v>207</v>
      </c>
      <c r="B46" s="38" t="n">
        <v>600000</v>
      </c>
      <c r="C46" s="28" t="n">
        <v>0.95</v>
      </c>
      <c r="D46" s="38" t="n">
        <v>300</v>
      </c>
      <c r="E46" s="20" t="n">
        <f aca="false">12*IF($C$39=1,MIN(D46,$C$38)*($E$40-$C$40)+MAX(0,D46-$C$38)*($E$40-$D$40),IF(D46&lt;=$C$38,D46*($E$40-$C$40),D46*($E$40-$D$40)))</f>
        <v>144000</v>
      </c>
      <c r="F46" s="21" t="n">
        <f aca="false">B46*C46*E46/1000000000</f>
        <v>82.08</v>
      </c>
      <c r="G46" s="22" t="n">
        <f aca="false">IFERROR(F46/SUM($F$42:$F$46),0)</f>
        <v>0.50531914893617</v>
      </c>
      <c r="H46" s="22" t="n">
        <f aca="false">IFERROR(B46/SUM($B$42:$B$46),0)</f>
        <v>0.2</v>
      </c>
    </row>
    <row r="47" customFormat="false" ht="15" hidden="false" customHeight="false" outlineLevel="0" collapsed="false">
      <c r="A47" s="23" t="s">
        <v>208</v>
      </c>
      <c r="B47" s="25" t="n">
        <f aca="false">SUM(B42:B46)</f>
        <v>3000000</v>
      </c>
      <c r="F47" s="26" t="n">
        <f aca="false">SUM(F42:F46)</f>
        <v>162.432</v>
      </c>
    </row>
    <row r="48" customFormat="false" ht="15" hidden="false" customHeight="false" outlineLevel="0" collapsed="false">
      <c r="A48" s="23" t="s">
        <v>209</v>
      </c>
      <c r="C48" s="24" t="n">
        <f aca="false">G42+G43</f>
        <v>0.0851063829787234</v>
      </c>
    </row>
    <row r="49" customFormat="false" ht="15" hidden="false" customHeight="false" outlineLevel="0" collapsed="false">
      <c r="A49" s="23" t="s">
        <v>210</v>
      </c>
      <c r="C49" s="24" t="n">
        <f aca="false">G46</f>
        <v>0.50531914893617</v>
      </c>
    </row>
    <row r="50" customFormat="false" ht="15" hidden="false" customHeight="false" outlineLevel="0" collapsed="false">
      <c r="A50" s="23" t="s">
        <v>211</v>
      </c>
      <c r="C50" s="23" t="n">
        <f aca="false">IF(F47=0,"n.d.",IF(G46&gt;G42+G43,1,0))</f>
        <v>1</v>
      </c>
    </row>
    <row r="51" customFormat="false" ht="15" hidden="false" customHeight="false" outlineLevel="0" collapsed="false">
      <c r="A51" s="5" t="s">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2026-10-17T18:03:40Z</dcterms:created>
  <dc:creator>openpyxl</dc:creator>
  <dc:description/>
  <dc:language>en-US</dc:language>
  <cp:lastModifiedBy/>
  <dcterms:modified xsi:type="dcterms:W3CDTF">2026-10-17T18:03:40Z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