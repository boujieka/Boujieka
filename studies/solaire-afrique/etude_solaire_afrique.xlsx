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Dictionnaire" sheetId="2" state="visible" r:id="rId2"/>
    <sheet xmlns:r="http://schemas.openxmlformats.org/officeDocument/2006/relationships" name="Pays" sheetId="3" state="visible" r:id="rId3"/>
    <sheet xmlns:r="http://schemas.openxmlformats.org/officeDocument/2006/relationships" name="Volet_A" sheetId="4" state="visible" r:id="rId4"/>
    <sheet xmlns:r="http://schemas.openxmlformats.org/officeDocument/2006/relationships" name="Volet_B" sheetId="5" state="visible" r:id="rId5"/>
    <sheet xmlns:r="http://schemas.openxmlformats.org/officeDocument/2006/relationships" name="Volet_C" sheetId="6" state="visible" r:id="rId6"/>
    <sheet xmlns:r="http://schemas.openxmlformats.org/officeDocument/2006/relationships" name="Observations" sheetId="7" state="visible" r:id="rId7"/>
    <sheet xmlns:r="http://schemas.openxmlformats.org/officeDocument/2006/relationships" name="Sources" sheetId="8" state="visible" r:id="rId8"/>
    <sheet xmlns:r="http://schemas.openxmlformats.org/officeDocument/2006/relationships" name="Reperes" sheetId="9" state="visible" r:id="rId9"/>
    <sheet xmlns:r="http://schemas.openxmlformats.org/officeDocument/2006/relationships" name="Recherche_retenue" sheetId="10" state="visible" r:id="rId10"/>
    <sheet xmlns:r="http://schemas.openxmlformats.org/officeDocument/2006/relationships" name="Recherche_a_revoir" sheetId="11" state="visible" r:id="rId11"/>
    <sheet xmlns:r="http://schemas.openxmlformats.org/officeDocument/2006/relationships" name="Conflits_lacunes" sheetId="12" state="visible" r:id="rId12"/>
    <sheet xmlns:r="http://schemas.openxmlformats.org/officeDocument/2006/relationships" name="Synthese" sheetId="13" state="visible" r:id="rId13"/>
    <sheet xmlns:r="http://schemas.openxmlformats.org/officeDocument/2006/relationships" name="Modele_LCOE" sheetId="14" state="visible" r:id="rId14"/>
    <sheet xmlns:r="http://schemas.openxmlformats.org/officeDocument/2006/relationships" name="Modele_B_captif" sheetId="15" state="visible" r:id="rId15"/>
    <sheet xmlns:r="http://schemas.openxmlformats.org/officeDocument/2006/relationships" name="Modele_C_minireseau" sheetId="16" state="visible" r:id="rId16"/>
    <sheet xmlns:r="http://schemas.openxmlformats.org/officeDocument/2006/relationships" name="Verif_proposition" sheetId="17" state="visible" r:id="rId17"/>
  </sheets>
  <definedNames>
    <definedName name="_xlnm._FilterDatabase" localSheetId="9" hidden="1">'Recherche_retenue'!$A$2:$R$738</definedName>
    <definedName name="_xlnm._FilterDatabase" localSheetId="10" hidden="1">'Recherche_a_revoir'!$A$2:$R$126</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0"/>
  </numFmts>
  <fonts count="5">
    <font>
      <name val="Calibri"/>
      <family val="2"/>
      <color theme="1"/>
      <sz val="11"/>
      <scheme val="minor"/>
    </font>
    <font>
      <b val="1"/>
      <sz val="14"/>
    </font>
    <font>
      <b val="1"/>
      <color rgb="00FFFFFF"/>
    </font>
    <font>
      <i val="1"/>
      <color rgb="00595959"/>
    </font>
    <font>
      <b val="1"/>
    </font>
  </fonts>
  <fills count="4">
    <fill>
      <patternFill/>
    </fill>
    <fill>
      <patternFill patternType="gray125"/>
    </fill>
    <fill>
      <patternFill patternType="solid">
        <fgColor rgb="001F4E79"/>
      </patternFill>
    </fill>
    <fill>
      <patternFill patternType="solid">
        <fgColor rgb="00FFF2CC"/>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3" fillId="0" borderId="0" pivotButton="0" quotePrefix="0" xfId="0"/>
    <xf numFmtId="0" fontId="4" fillId="0" borderId="0" pivotButton="0" quotePrefix="0" xfId="0"/>
    <xf numFmtId="0" fontId="2" fillId="2" borderId="0" pivotButton="0" quotePrefix="0" xfId="0"/>
    <xf numFmtId="0" fontId="0" fillId="3" borderId="0" pivotButton="0" quotePrefix="0" xfId="0"/>
    <xf numFmtId="9" fontId="0" fillId="0" borderId="0" pivotButton="0" quotePrefix="0" xfId="0"/>
    <xf numFmtId="165" fontId="0" fillId="0" borderId="0" pivotButton="0" quotePrefix="0" xfId="0"/>
    <xf numFmtId="164" fontId="0" fillId="0" borderId="0" pivotButton="0" quotePrefix="0" xfId="0"/>
    <xf numFmtId="164" fontId="0" fillId="3" borderId="0" pivotButton="0" quotePrefix="0" xfId="0"/>
    <xf numFmtId="165" fontId="4" fillId="0" borderId="0" pivotButton="0" quotePrefix="0" xfId="0"/>
    <xf numFmtId="3"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10" customWidth="1" min="1" max="1"/>
  </cols>
  <sheetData>
    <row r="1">
      <c r="A1" s="1" t="inlineStr">
        <is>
          <t>Le coût de l'électricité solaire en Afrique (2016–2026) — base de données et modèle</t>
        </is>
      </c>
    </row>
    <row r="2">
      <c r="A2" t="inlineStr">
        <is>
          <t>Version gabarit générée le 2026-10-17 par build_workbook.py. Date d'arrêt de l'étude : 17 octobre 2026.</t>
        </is>
      </c>
    </row>
    <row r="3">
      <c r="A3" t="inlineStr"/>
    </row>
    <row r="4">
      <c r="A4" t="inlineStr">
        <is>
          <t>Règles :</t>
        </is>
      </c>
    </row>
    <row r="5">
      <c r="A5" t="inlineStr">
        <is>
          <t>1. Aucune valeur sans source : chaque chiffre est consigné dans Observations avec type, source et note.</t>
        </is>
      </c>
    </row>
    <row r="6">
      <c r="A6" t="inlineStr">
        <is>
          <t>2. Types de donnée : observée (contrat, mesure), déclarée (annonce), modélisée (calcul), non disponible.</t>
        </is>
      </c>
    </row>
    <row r="7">
      <c r="A7" t="inlineStr">
        <is>
          <t>3. Ne jamais mélanger USD/kWp (DC) et USD/kWac (AC). Conserver devise et année d'origine.</t>
        </is>
      </c>
    </row>
    <row r="8">
      <c r="A8" t="inlineStr">
        <is>
          <t>4. Les projets en construction ou attribués restent hors des statistiques « en service ».</t>
        </is>
      </c>
    </row>
    <row r="9">
      <c r="A9" t="inlineStr">
        <is>
          <t>5. Les trois volets sont comparés séparément : Synthese calcule chaque statistique dans un seul</t>
        </is>
      </c>
    </row>
    <row r="10">
      <c r="A10" t="inlineStr">
        <is>
          <t xml:space="preserve">   volet, et les repères agrégés (Reperes) portent leur volet. Dans le volet A, PV+stockage et</t>
        </is>
      </c>
    </row>
    <row r="11">
      <c r="A11" t="inlineStr">
        <is>
          <t xml:space="preserve">   solaire thermodynamique (CSP) sont analysés à part du PV seul.</t>
        </is>
      </c>
    </row>
    <row r="12">
      <c r="A12" t="inlineStr">
        <is>
          <t>6. Modèles : Modele_LCOE (volet A), Modele_B_captif (solaire contre diesel),</t>
        </is>
      </c>
    </row>
    <row r="13">
      <c r="A13" t="inlineStr">
        <is>
          <t xml:space="preserve">   Modele_C_minireseau (coût complet du service et subvention).</t>
        </is>
      </c>
    </row>
    <row r="14">
      <c r="A14" t="inlineStr">
        <is>
          <t>7. Le LCOE est toujours calculé, jamais saisi comme donnée observée.</t>
        </is>
      </c>
    </row>
    <row r="15">
      <c r="A15" t="inlineStr"/>
    </row>
    <row r="16">
      <c r="A16" t="inlineStr">
        <is>
          <t>État actuel : les onglets Volet_A/B/C contiennent les projets saisis à la main. Les 860 valeurs collectées</t>
        </is>
      </c>
    </row>
    <row r="17">
      <c r="A17" t="inlineStr">
        <is>
          <t>par 7 agents de recherche (17 octobre 2026) sont dans Recherche_retenue (vérifiées automatiquement) et</t>
        </is>
      </c>
    </row>
    <row r="18">
      <c r="A18" t="inlineStr">
        <is>
          <t>Recherche_a_revoir (non retenues) ; conflits et lacunes dans Conflits_lacunes.</t>
        </is>
      </c>
    </row>
    <row r="19">
      <c r="A19" t="inlineStr">
        <is>
          <t>Les cibles de 100 / 75 / 125 projets sont des objectifs de collecte, pas des projets identifiés.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70" customWidth="1" min="4" max="4"/>
  </cols>
  <sheetData>
    <row r="1">
      <c r="A1" s="2" t="inlineStr">
        <is>
          <t>volet</t>
        </is>
      </c>
      <c r="B1" s="2" t="inlineStr">
        <is>
          <t>champ</t>
        </is>
      </c>
      <c r="C1" s="2" t="inlineStr">
        <is>
          <t>unité</t>
        </is>
      </c>
      <c r="D1" s="2" t="inlineStr">
        <is>
          <t>description</t>
        </is>
      </c>
    </row>
    <row r="2">
      <c r="A2" t="inlineStr">
        <is>
          <t>commun</t>
        </is>
      </c>
      <c r="B2" t="inlineStr">
        <is>
          <t>projet_id</t>
        </is>
      </c>
      <c r="C2" t="inlineStr"/>
      <c r="D2" t="inlineStr">
        <is>
          <t>Identifiant unique (ex. A-ZMB-001)</t>
        </is>
      </c>
    </row>
    <row r="3">
      <c r="A3" t="inlineStr">
        <is>
          <t>commun</t>
        </is>
      </c>
      <c r="B3" t="inlineStr">
        <is>
          <t>pays_iso3</t>
        </is>
      </c>
      <c r="C3" t="inlineStr"/>
      <c r="D3" t="inlineStr">
        <is>
          <t>Code ISO 3166-1 alpha-3</t>
        </is>
      </c>
    </row>
    <row r="4">
      <c r="A4" t="inlineStr">
        <is>
          <t>commun</t>
        </is>
      </c>
      <c r="B4" t="inlineStr">
        <is>
          <t>nom</t>
        </is>
      </c>
      <c r="C4" t="inlineStr"/>
      <c r="D4" t="inlineStr">
        <is>
          <t>Nom de la centrale</t>
        </is>
      </c>
    </row>
    <row r="5">
      <c r="A5" t="inlineStr">
        <is>
          <t>commun</t>
        </is>
      </c>
      <c r="B5" t="inlineStr">
        <is>
          <t>localisation</t>
        </is>
      </c>
      <c r="C5" t="inlineStr"/>
      <c r="D5" t="inlineStr">
        <is>
          <t>Ville / région / coordonnées</t>
        </is>
      </c>
    </row>
    <row r="6">
      <c r="A6" t="inlineStr">
        <is>
          <t>commun</t>
        </is>
      </c>
      <c r="B6" t="inlineStr">
        <is>
          <t>developpeur</t>
        </is>
      </c>
      <c r="C6" t="inlineStr"/>
      <c r="D6" t="inlineStr">
        <is>
          <t>Développeur ou sponsor principal</t>
        </is>
      </c>
    </row>
    <row r="7">
      <c r="A7" t="inlineStr">
        <is>
          <t>commun</t>
        </is>
      </c>
      <c r="B7" t="inlineStr">
        <is>
          <t>statut</t>
        </is>
      </c>
      <c r="C7" t="inlineStr"/>
      <c r="D7" t="inlineStr">
        <is>
          <t>Voir liste : en service, en construction, attribué, annoncé, à vérifier, abandonné</t>
        </is>
      </c>
    </row>
    <row r="8">
      <c r="A8" t="inlineStr">
        <is>
          <t>commun</t>
        </is>
      </c>
      <c r="B8" t="inlineStr">
        <is>
          <t>annee_attribution</t>
        </is>
      </c>
      <c r="C8" t="inlineStr">
        <is>
          <t>année</t>
        </is>
      </c>
      <c r="D8" t="inlineStr"/>
    </row>
    <row r="9">
      <c r="A9" t="inlineStr">
        <is>
          <t>commun</t>
        </is>
      </c>
      <c r="B9" t="inlineStr">
        <is>
          <t>annee_mise_en_service</t>
        </is>
      </c>
      <c r="C9" t="inlineStr">
        <is>
          <t>année</t>
        </is>
      </c>
      <c r="D9" t="inlineStr">
        <is>
          <t>Date de mise en service commerciale (COD)</t>
        </is>
      </c>
    </row>
    <row r="10">
      <c r="A10" t="inlineStr">
        <is>
          <t>commun</t>
        </is>
      </c>
      <c r="B10" t="inlineStr">
        <is>
          <t>puissance_mwp</t>
        </is>
      </c>
      <c r="C10" t="inlineStr">
        <is>
          <t>MWp</t>
        </is>
      </c>
      <c r="D10" t="inlineStr">
        <is>
          <t>Puissance crête DC</t>
        </is>
      </c>
    </row>
    <row r="11">
      <c r="A11" t="inlineStr">
        <is>
          <t>commun</t>
        </is>
      </c>
      <c r="B11" t="inlineStr">
        <is>
          <t>puissance_mwac</t>
        </is>
      </c>
      <c r="C11" t="inlineStr">
        <is>
          <t>MWac</t>
        </is>
      </c>
      <c r="D11" t="inlineStr">
        <is>
          <t>Puissance AC (onduleurs / point d'injection)</t>
        </is>
      </c>
    </row>
    <row r="12">
      <c r="A12" t="inlineStr">
        <is>
          <t>commun</t>
        </is>
      </c>
      <c r="B12" t="inlineStr">
        <is>
          <t>stockage_mwh</t>
        </is>
      </c>
      <c r="C12" t="inlineStr">
        <is>
          <t>MWh</t>
        </is>
      </c>
      <c r="D12" t="inlineStr">
        <is>
          <t>Capacité utile de stockage (0 si aucune)</t>
        </is>
      </c>
    </row>
    <row r="13">
      <c r="A13" t="inlineStr">
        <is>
          <t>commun</t>
        </is>
      </c>
      <c r="B13" t="inlineStr">
        <is>
          <t>technologie</t>
        </is>
      </c>
      <c r="C13" t="inlineStr"/>
      <c r="D13" t="inlineStr">
        <is>
          <t>Modules, onduleurs, fixe / tracker</t>
        </is>
      </c>
    </row>
    <row r="14">
      <c r="A14" t="inlineStr">
        <is>
          <t>commun</t>
        </is>
      </c>
      <c r="B14" t="inlineStr">
        <is>
          <t>capex_total</t>
        </is>
      </c>
      <c r="C14" t="inlineStr">
        <is>
          <t>devise d'origine</t>
        </is>
      </c>
      <c r="D14" t="inlineStr">
        <is>
          <t>Investissement total</t>
        </is>
      </c>
    </row>
    <row r="15">
      <c r="A15" t="inlineStr">
        <is>
          <t>commun</t>
        </is>
      </c>
      <c r="B15" t="inlineStr">
        <is>
          <t>capex_devise</t>
        </is>
      </c>
      <c r="C15" t="inlineStr">
        <is>
          <t>ISO 4217</t>
        </is>
      </c>
      <c r="D15" t="inlineStr">
        <is>
          <t>Devise du CAPEX</t>
        </is>
      </c>
    </row>
    <row r="16">
      <c r="A16" t="inlineStr">
        <is>
          <t>commun</t>
        </is>
      </c>
      <c r="B16" t="inlineStr">
        <is>
          <t>capex_annee_prix</t>
        </is>
      </c>
      <c r="C16" t="inlineStr">
        <is>
          <t>année</t>
        </is>
      </c>
      <c r="D16" t="inlineStr">
        <is>
          <t>Année de valeur du CAPEX</t>
        </is>
      </c>
    </row>
    <row r="17">
      <c r="A17" t="inlineStr">
        <is>
          <t>commun</t>
        </is>
      </c>
      <c r="B17" t="inlineStr">
        <is>
          <t>capex_usd_kwp</t>
        </is>
      </c>
      <c r="C17" t="inlineStr">
        <is>
          <t>USD/kWp</t>
        </is>
      </c>
      <c r="D17" t="inlineStr">
        <is>
          <t>Calculé, USD courants</t>
        </is>
      </c>
    </row>
    <row r="18">
      <c r="A18" t="inlineStr">
        <is>
          <t>commun</t>
        </is>
      </c>
      <c r="B18" t="inlineStr">
        <is>
          <t>capex_usd_kwac</t>
        </is>
      </c>
      <c r="C18" t="inlineStr">
        <is>
          <t>USD/kWac</t>
        </is>
      </c>
      <c r="D18" t="inlineStr">
        <is>
          <t>Calculé, USD courants</t>
        </is>
      </c>
    </row>
    <row r="19">
      <c r="A19" t="inlineStr">
        <is>
          <t>commun</t>
        </is>
      </c>
      <c r="B19" t="inlineStr">
        <is>
          <t>production_gwh_an</t>
        </is>
      </c>
      <c r="C19" t="inlineStr">
        <is>
          <t>GWh/an</t>
        </is>
      </c>
      <c r="D19" t="inlineStr">
        <is>
          <t>Production annuelle (préciser P50 attendue ou mesurée)</t>
        </is>
      </c>
    </row>
    <row r="20">
      <c r="A20" t="inlineStr">
        <is>
          <t>commun</t>
        </is>
      </c>
      <c r="B20" t="inlineStr">
        <is>
          <t>facteur_charge_ac</t>
        </is>
      </c>
      <c r="C20" t="inlineStr">
        <is>
          <t>%</t>
        </is>
      </c>
      <c r="D20" t="inlineStr">
        <is>
          <t>Production / (MWac x 8 760 h)</t>
        </is>
      </c>
    </row>
    <row r="21">
      <c r="A21" t="inlineStr">
        <is>
          <t>commun</t>
        </is>
      </c>
      <c r="B21" t="inlineStr">
        <is>
          <t>opex_usd_kw_an</t>
        </is>
      </c>
      <c r="C21" t="inlineStr">
        <is>
          <t>USD/kW/an</t>
        </is>
      </c>
      <c r="D21" t="inlineStr"/>
    </row>
    <row r="22">
      <c r="A22" t="inlineStr">
        <is>
          <t>commun</t>
        </is>
      </c>
      <c r="B22" t="inlineStr">
        <is>
          <t>dette_part</t>
        </is>
      </c>
      <c r="C22" t="inlineStr">
        <is>
          <t>%</t>
        </is>
      </c>
      <c r="D22" t="inlineStr">
        <is>
          <t>Part de la dette dans le financement</t>
        </is>
      </c>
    </row>
    <row r="23">
      <c r="A23" t="inlineStr">
        <is>
          <t>commun</t>
        </is>
      </c>
      <c r="B23" t="inlineStr">
        <is>
          <t>dette_taux</t>
        </is>
      </c>
      <c r="C23" t="inlineStr">
        <is>
          <t>%</t>
        </is>
      </c>
      <c r="D23" t="inlineStr">
        <is>
          <t>Taux d'intérêt (ou marge + référence)</t>
        </is>
      </c>
    </row>
    <row r="24">
      <c r="A24" t="inlineStr">
        <is>
          <t>commun</t>
        </is>
      </c>
      <c r="B24" t="inlineStr">
        <is>
          <t>dette_duree</t>
        </is>
      </c>
      <c r="C24" t="inlineStr">
        <is>
          <t>années</t>
        </is>
      </c>
      <c r="D24" t="inlineStr"/>
    </row>
    <row r="25">
      <c r="A25" t="inlineStr">
        <is>
          <t>commun</t>
        </is>
      </c>
      <c r="B25" t="inlineStr">
        <is>
          <t>wacc</t>
        </is>
      </c>
      <c r="C25" t="inlineStr">
        <is>
          <t>%</t>
        </is>
      </c>
      <c r="D25" t="inlineStr">
        <is>
          <t>Observé ou modélisé (préciser)</t>
        </is>
      </c>
    </row>
    <row r="26">
      <c r="A26" t="inlineStr">
        <is>
          <t>commun</t>
        </is>
      </c>
      <c r="B26" t="inlineStr">
        <is>
          <t>tarif</t>
        </is>
      </c>
      <c r="C26" t="inlineStr">
        <is>
          <t>devise/kWh</t>
        </is>
      </c>
      <c r="D26" t="inlineStr">
        <is>
          <t>Tarif contractuel année 1</t>
        </is>
      </c>
    </row>
    <row r="27">
      <c r="A27" t="inlineStr">
        <is>
          <t>commun</t>
        </is>
      </c>
      <c r="B27" t="inlineStr">
        <is>
          <t>tarif_devise</t>
        </is>
      </c>
      <c r="C27" t="inlineStr">
        <is>
          <t>ISO 4217</t>
        </is>
      </c>
      <c r="D27" t="inlineStr"/>
    </row>
    <row r="28">
      <c r="A28" t="inlineStr">
        <is>
          <t>commun</t>
        </is>
      </c>
      <c r="B28" t="inlineStr">
        <is>
          <t>tarif_indexation</t>
        </is>
      </c>
      <c r="C28" t="inlineStr"/>
      <c r="D28" t="inlineStr">
        <is>
          <t>Fixe, indexé inflation, part indexée, etc.</t>
        </is>
      </c>
    </row>
    <row r="29">
      <c r="A29" t="inlineStr">
        <is>
          <t>commun</t>
        </is>
      </c>
      <c r="B29" t="inlineStr">
        <is>
          <t>ppa_duree</t>
        </is>
      </c>
      <c r="C29" t="inlineStr">
        <is>
          <t>années</t>
        </is>
      </c>
      <c r="D29" t="inlineStr"/>
    </row>
    <row r="30">
      <c r="A30" t="inlineStr">
        <is>
          <t>commun</t>
        </is>
      </c>
      <c r="B30" t="inlineStr">
        <is>
          <t>procedure</t>
        </is>
      </c>
      <c r="C30" t="inlineStr"/>
      <c r="D30" t="inlineStr">
        <is>
          <t>Appel d'offres concurrentiel, FiT, négociation directe, EPC public</t>
        </is>
      </c>
    </row>
    <row r="31">
      <c r="A31" t="inlineStr">
        <is>
          <t>commun</t>
        </is>
      </c>
      <c r="B31" t="inlineStr">
        <is>
          <t>garanties</t>
        </is>
      </c>
      <c r="C31" t="inlineStr"/>
      <c r="D31" t="inlineStr">
        <is>
          <t>Garantie souveraine, IDA/MIGA, lettre de crédit, etc.</t>
        </is>
      </c>
    </row>
    <row r="32">
      <c r="A32" t="inlineStr">
        <is>
          <t>commun</t>
        </is>
      </c>
      <c r="B32" t="inlineStr">
        <is>
          <t>lcoe_usd_mwh</t>
        </is>
      </c>
      <c r="C32" t="inlineStr">
        <is>
          <t>USD/MWh</t>
        </is>
      </c>
      <c r="D32" t="inlineStr">
        <is>
          <t>Calculé par le modèle (jamais saisi comme observé)</t>
        </is>
      </c>
    </row>
    <row r="33">
      <c r="A33" t="inlineStr">
        <is>
          <t>commun</t>
        </is>
      </c>
      <c r="B33" t="inlineStr">
        <is>
          <t>sources</t>
        </is>
      </c>
      <c r="C33" t="inlineStr"/>
      <c r="D33" t="inlineStr">
        <is>
          <t>Identifiants du registre Sources, séparés par ;</t>
        </is>
      </c>
    </row>
    <row r="34">
      <c r="A34" t="inlineStr">
        <is>
          <t>commun</t>
        </is>
      </c>
      <c r="B34" t="inlineStr">
        <is>
          <t>fiabilite_globale</t>
        </is>
      </c>
      <c r="C34" t="inlineStr"/>
      <c r="D34" t="inlineStr">
        <is>
          <t>Voir liste</t>
        </is>
      </c>
    </row>
    <row r="35">
      <c r="A35" t="inlineStr">
        <is>
          <t>commun</t>
        </is>
      </c>
      <c r="B35" t="inlineStr">
        <is>
          <t>notes</t>
        </is>
      </c>
      <c r="C35" t="inlineStr"/>
      <c r="D35" t="inlineStr">
        <is>
          <t>Contradictions entre sources, hypothèses</t>
        </is>
      </c>
    </row>
    <row r="36">
      <c r="A36" t="inlineStr">
        <is>
          <t>A</t>
        </is>
      </c>
      <c r="B36" t="inlineStr">
        <is>
          <t>acheteur</t>
        </is>
      </c>
      <c r="C36" t="inlineStr"/>
      <c r="D36" t="inlineStr">
        <is>
          <t>Compagnie nationale ou acheteur</t>
        </is>
      </c>
    </row>
    <row r="37">
      <c r="A37" t="inlineStr">
        <is>
          <t>A</t>
        </is>
      </c>
      <c r="B37" t="inlineStr">
        <is>
          <t>raccordement_inclus_capex</t>
        </is>
      </c>
      <c r="C37" t="inlineStr">
        <is>
          <t>oui/non/inconnu</t>
        </is>
      </c>
      <c r="D37" t="inlineStr">
        <is>
          <t>Le CAPEX inclut-il ligne et poste ?</t>
        </is>
      </c>
    </row>
    <row r="38">
      <c r="A38" t="inlineStr">
        <is>
          <t>B</t>
        </is>
      </c>
      <c r="B38" t="inlineStr">
        <is>
          <t>secteur</t>
        </is>
      </c>
      <c r="C38" t="inlineStr"/>
      <c r="D38" t="inlineStr">
        <is>
          <t>Mines, forêt, agro-industrie, ciment, ZES, etc.</t>
        </is>
      </c>
    </row>
    <row r="39">
      <c r="A39" t="inlineStr">
        <is>
          <t>B</t>
        </is>
      </c>
      <c r="B39" t="inlineStr">
        <is>
          <t>modele_commercial</t>
        </is>
      </c>
      <c r="C39" t="inlineStr"/>
      <c r="D39" t="inlineStr">
        <is>
          <t>Autoproduction, leasing, PPA privé, ESCO</t>
        </is>
      </c>
    </row>
    <row r="40">
      <c r="A40" t="inlineStr">
        <is>
          <t>B</t>
        </is>
      </c>
      <c r="B40" t="inlineStr">
        <is>
          <t>cout_diesel_evite_usd_mwh</t>
        </is>
      </c>
      <c r="C40" t="inlineStr">
        <is>
          <t>USD/MWh</t>
        </is>
      </c>
      <c r="D40" t="inlineStr"/>
    </row>
    <row r="41">
      <c r="A41" t="inlineStr">
        <is>
          <t>B</t>
        </is>
      </c>
      <c r="B41" t="inlineStr">
        <is>
          <t>taux_couverture_solaire</t>
        </is>
      </c>
      <c r="C41" t="inlineStr">
        <is>
          <t>%</t>
        </is>
      </c>
      <c r="D41" t="inlineStr">
        <is>
          <t>Part de la consommation couverte par le solaire</t>
        </is>
      </c>
    </row>
    <row r="42">
      <c r="A42" t="inlineStr">
        <is>
          <t>B</t>
        </is>
      </c>
      <c r="B42" t="inlineStr">
        <is>
          <t>tri_projet</t>
        </is>
      </c>
      <c r="C42" t="inlineStr">
        <is>
          <t>%</t>
        </is>
      </c>
      <c r="D42" t="inlineStr"/>
    </row>
    <row r="43">
      <c r="A43" t="inlineStr">
        <is>
          <t>C</t>
        </is>
      </c>
      <c r="B43" t="inlineStr">
        <is>
          <t>nb_clients</t>
        </is>
      </c>
      <c r="C43" t="inlineStr"/>
      <c r="D43" t="inlineStr">
        <is>
          <t>Raccordements actifs</t>
        </is>
      </c>
    </row>
    <row r="44">
      <c r="A44" t="inlineStr">
        <is>
          <t>C</t>
        </is>
      </c>
      <c r="B44" t="inlineStr">
        <is>
          <t>conso_moyenne_kwh_client_mois</t>
        </is>
      </c>
      <c r="C44" t="inlineStr">
        <is>
          <t>kWh/mois</t>
        </is>
      </c>
      <c r="D44" t="inlineStr"/>
    </row>
    <row r="45">
      <c r="A45" t="inlineStr">
        <is>
          <t>C</t>
        </is>
      </c>
      <c r="B45" t="inlineStr">
        <is>
          <t>cout_distribution_usd</t>
        </is>
      </c>
      <c r="C45" t="inlineStr">
        <is>
          <t>USD</t>
        </is>
      </c>
      <c r="D45" t="inlineStr">
        <is>
          <t>Réseau BT, branchements, compteurs</t>
        </is>
      </c>
    </row>
    <row r="46">
      <c r="A46" t="inlineStr">
        <is>
          <t>C</t>
        </is>
      </c>
      <c r="B46" t="inlineStr">
        <is>
          <t>tarif_client</t>
        </is>
      </c>
      <c r="C46" t="inlineStr">
        <is>
          <t>devise/kWh</t>
        </is>
      </c>
      <c r="D46" t="inlineStr">
        <is>
          <t>Ou forfait, préciser</t>
        </is>
      </c>
    </row>
    <row r="47">
      <c r="A47" t="inlineStr">
        <is>
          <t>C</t>
        </is>
      </c>
      <c r="B47" t="inlineStr">
        <is>
          <t>subvention_usd</t>
        </is>
      </c>
      <c r="C47" t="inlineStr">
        <is>
          <t>USD</t>
        </is>
      </c>
      <c r="D47" t="inlineStr">
        <is>
          <t>Subvention d'investissement ou par branchement</t>
        </is>
      </c>
    </row>
    <row r="48">
      <c r="A48" t="inlineStr">
        <is>
          <t>C</t>
        </is>
      </c>
      <c r="B48" t="inlineStr">
        <is>
          <t>operateur</t>
        </is>
      </c>
      <c r="C48" t="inlineStr"/>
      <c r="D48" t="inlineStr">
        <is>
          <t>Privé, public, communautaire</t>
        </is>
      </c>
    </row>
    <row r="49">
      <c r="A49" t="inlineStr">
        <is>
          <t>C</t>
        </is>
      </c>
      <c r="B49" t="inlineStr">
        <is>
          <t>client_ancrage</t>
        </is>
      </c>
      <c r="C49" t="inlineStr">
        <is>
          <t>oui/non</t>
        </is>
      </c>
      <c r="D49"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6" customWidth="1" min="4" max="4"/>
    <col width="16" customWidth="1" min="5" max="5"/>
    <col width="16" customWidth="1" min="6" max="6"/>
  </cols>
  <sheetData>
    <row r="1">
      <c r="A1" s="2" t="inlineStr">
        <is>
          <t>region</t>
        </is>
      </c>
      <c r="B1" s="2" t="inlineStr">
        <is>
          <t>iso3</t>
        </is>
      </c>
      <c r="C1" s="2" t="inlineStr">
        <is>
          <t>pays</t>
        </is>
      </c>
      <c r="D1" s="2" t="inlineStr">
        <is>
          <t>nb_projets_A</t>
        </is>
      </c>
      <c r="E1" s="2" t="inlineStr">
        <is>
          <t>nb_projets_B</t>
        </is>
      </c>
      <c r="F1" s="2" t="inlineStr">
        <is>
          <t>nb_projets_C</t>
        </is>
      </c>
    </row>
    <row r="2">
      <c r="A2" t="inlineStr">
        <is>
          <t>Afrique du Nord</t>
        </is>
      </c>
      <c r="B2" t="inlineStr">
        <is>
          <t>MAR</t>
        </is>
      </c>
      <c r="C2" t="inlineStr">
        <is>
          <t>Maroc</t>
        </is>
      </c>
      <c r="D2">
        <f>COUNTIF(Volet_A!B:B,B2)</f>
        <v/>
      </c>
      <c r="E2">
        <f>COUNTIF(Volet_B!B:B,B2)</f>
        <v/>
      </c>
      <c r="F2">
        <f>COUNTIF(Volet_C!B:B,B2)</f>
        <v/>
      </c>
    </row>
    <row r="3">
      <c r="A3" t="inlineStr">
        <is>
          <t>Afrique du Nord</t>
        </is>
      </c>
      <c r="B3" t="inlineStr">
        <is>
          <t>EGY</t>
        </is>
      </c>
      <c r="C3" t="inlineStr">
        <is>
          <t>Égypte</t>
        </is>
      </c>
      <c r="D3">
        <f>COUNTIF(Volet_A!B:B,B3)</f>
        <v/>
      </c>
      <c r="E3">
        <f>COUNTIF(Volet_B!B:B,B3)</f>
        <v/>
      </c>
      <c r="F3">
        <f>COUNTIF(Volet_C!B:B,B3)</f>
        <v/>
      </c>
    </row>
    <row r="4">
      <c r="A4" t="inlineStr">
        <is>
          <t>Afrique du Nord</t>
        </is>
      </c>
      <c r="B4" t="inlineStr">
        <is>
          <t>TUN</t>
        </is>
      </c>
      <c r="C4" t="inlineStr">
        <is>
          <t>Tunisie</t>
        </is>
      </c>
      <c r="D4">
        <f>COUNTIF(Volet_A!B:B,B4)</f>
        <v/>
      </c>
      <c r="E4">
        <f>COUNTIF(Volet_B!B:B,B4)</f>
        <v/>
      </c>
      <c r="F4">
        <f>COUNTIF(Volet_C!B:B,B4)</f>
        <v/>
      </c>
    </row>
    <row r="5">
      <c r="A5" t="inlineStr">
        <is>
          <t>Afrique du Nord</t>
        </is>
      </c>
      <c r="B5" t="inlineStr">
        <is>
          <t>DZA</t>
        </is>
      </c>
      <c r="C5" t="inlineStr">
        <is>
          <t>Algérie</t>
        </is>
      </c>
      <c r="D5">
        <f>COUNTIF(Volet_A!B:B,B5)</f>
        <v/>
      </c>
      <c r="E5">
        <f>COUNTIF(Volet_B!B:B,B5)</f>
        <v/>
      </c>
      <c r="F5">
        <f>COUNTIF(Volet_C!B:B,B5)</f>
        <v/>
      </c>
    </row>
    <row r="6">
      <c r="A6" t="inlineStr">
        <is>
          <t>Afrique du Nord</t>
        </is>
      </c>
      <c r="B6" t="inlineStr">
        <is>
          <t>MRT</t>
        </is>
      </c>
      <c r="C6" t="inlineStr">
        <is>
          <t>Mauritanie</t>
        </is>
      </c>
      <c r="D6">
        <f>COUNTIF(Volet_A!B:B,B6)</f>
        <v/>
      </c>
      <c r="E6">
        <f>COUNTIF(Volet_B!B:B,B6)</f>
        <v/>
      </c>
      <c r="F6">
        <f>COUNTIF(Volet_C!B:B,B6)</f>
        <v/>
      </c>
    </row>
    <row r="7">
      <c r="A7" t="inlineStr">
        <is>
          <t>Afrique de l'Ouest</t>
        </is>
      </c>
      <c r="B7" t="inlineStr">
        <is>
          <t>SEN</t>
        </is>
      </c>
      <c r="C7" t="inlineStr">
        <is>
          <t>Sénégal</t>
        </is>
      </c>
      <c r="D7">
        <f>COUNTIF(Volet_A!B:B,B7)</f>
        <v/>
      </c>
      <c r="E7">
        <f>COUNTIF(Volet_B!B:B,B7)</f>
        <v/>
      </c>
      <c r="F7">
        <f>COUNTIF(Volet_C!B:B,B7)</f>
        <v/>
      </c>
    </row>
    <row r="8">
      <c r="A8" t="inlineStr">
        <is>
          <t>Afrique de l'Ouest</t>
        </is>
      </c>
      <c r="B8" t="inlineStr">
        <is>
          <t>CIV</t>
        </is>
      </c>
      <c r="C8" t="inlineStr">
        <is>
          <t>Côte d'Ivoire</t>
        </is>
      </c>
      <c r="D8">
        <f>COUNTIF(Volet_A!B:B,B8)</f>
        <v/>
      </c>
      <c r="E8">
        <f>COUNTIF(Volet_B!B:B,B8)</f>
        <v/>
      </c>
      <c r="F8">
        <f>COUNTIF(Volet_C!B:B,B8)</f>
        <v/>
      </c>
    </row>
    <row r="9">
      <c r="A9" t="inlineStr">
        <is>
          <t>Afrique de l'Ouest</t>
        </is>
      </c>
      <c r="B9" t="inlineStr">
        <is>
          <t>GHA</t>
        </is>
      </c>
      <c r="C9" t="inlineStr">
        <is>
          <t>Ghana</t>
        </is>
      </c>
      <c r="D9">
        <f>COUNTIF(Volet_A!B:B,B9)</f>
        <v/>
      </c>
      <c r="E9">
        <f>COUNTIF(Volet_B!B:B,B9)</f>
        <v/>
      </c>
      <c r="F9">
        <f>COUNTIF(Volet_C!B:B,B9)</f>
        <v/>
      </c>
    </row>
    <row r="10">
      <c r="A10" t="inlineStr">
        <is>
          <t>Afrique de l'Ouest</t>
        </is>
      </c>
      <c r="B10" t="inlineStr">
        <is>
          <t>BFA</t>
        </is>
      </c>
      <c r="C10" t="inlineStr">
        <is>
          <t>Burkina Faso</t>
        </is>
      </c>
      <c r="D10">
        <f>COUNTIF(Volet_A!B:B,B10)</f>
        <v/>
      </c>
      <c r="E10">
        <f>COUNTIF(Volet_B!B:B,B10)</f>
        <v/>
      </c>
      <c r="F10">
        <f>COUNTIF(Volet_C!B:B,B10)</f>
        <v/>
      </c>
    </row>
    <row r="11">
      <c r="A11" t="inlineStr">
        <is>
          <t>Afrique de l'Ouest</t>
        </is>
      </c>
      <c r="B11" t="inlineStr">
        <is>
          <t>MLI</t>
        </is>
      </c>
      <c r="C11" t="inlineStr">
        <is>
          <t>Mali</t>
        </is>
      </c>
      <c r="D11">
        <f>COUNTIF(Volet_A!B:B,B11)</f>
        <v/>
      </c>
      <c r="E11">
        <f>COUNTIF(Volet_B!B:B,B11)</f>
        <v/>
      </c>
      <c r="F11">
        <f>COUNTIF(Volet_C!B:B,B11)</f>
        <v/>
      </c>
    </row>
    <row r="12">
      <c r="A12" t="inlineStr">
        <is>
          <t>Afrique de l'Ouest</t>
        </is>
      </c>
      <c r="B12" t="inlineStr">
        <is>
          <t>NER</t>
        </is>
      </c>
      <c r="C12" t="inlineStr">
        <is>
          <t>Niger</t>
        </is>
      </c>
      <c r="D12">
        <f>COUNTIF(Volet_A!B:B,B12)</f>
        <v/>
      </c>
      <c r="E12">
        <f>COUNTIF(Volet_B!B:B,B12)</f>
        <v/>
      </c>
      <c r="F12">
        <f>COUNTIF(Volet_C!B:B,B12)</f>
        <v/>
      </c>
    </row>
    <row r="13">
      <c r="A13" t="inlineStr">
        <is>
          <t>Afrique centrale</t>
        </is>
      </c>
      <c r="B13" t="inlineStr">
        <is>
          <t>CMR</t>
        </is>
      </c>
      <c r="C13" t="inlineStr">
        <is>
          <t>Cameroun</t>
        </is>
      </c>
      <c r="D13">
        <f>COUNTIF(Volet_A!B:B,B13)</f>
        <v/>
      </c>
      <c r="E13">
        <f>COUNTIF(Volet_B!B:B,B13)</f>
        <v/>
      </c>
      <c r="F13">
        <f>COUNTIF(Volet_C!B:B,B13)</f>
        <v/>
      </c>
    </row>
    <row r="14">
      <c r="A14" t="inlineStr">
        <is>
          <t>Afrique centrale</t>
        </is>
      </c>
      <c r="B14" t="inlineStr">
        <is>
          <t>COG</t>
        </is>
      </c>
      <c r="C14" t="inlineStr">
        <is>
          <t>Congo</t>
        </is>
      </c>
      <c r="D14">
        <f>COUNTIF(Volet_A!B:B,B14)</f>
        <v/>
      </c>
      <c r="E14">
        <f>COUNTIF(Volet_B!B:B,B14)</f>
        <v/>
      </c>
      <c r="F14">
        <f>COUNTIF(Volet_C!B:B,B14)</f>
        <v/>
      </c>
    </row>
    <row r="15">
      <c r="A15" t="inlineStr">
        <is>
          <t>Afrique centrale</t>
        </is>
      </c>
      <c r="B15" t="inlineStr">
        <is>
          <t>TCD</t>
        </is>
      </c>
      <c r="C15" t="inlineStr">
        <is>
          <t>Tchad</t>
        </is>
      </c>
      <c r="D15">
        <f>COUNTIF(Volet_A!B:B,B15)</f>
        <v/>
      </c>
      <c r="E15">
        <f>COUNTIF(Volet_B!B:B,B15)</f>
        <v/>
      </c>
      <c r="F15">
        <f>COUNTIF(Volet_C!B:B,B15)</f>
        <v/>
      </c>
    </row>
    <row r="16">
      <c r="A16" t="inlineStr">
        <is>
          <t>Afrique centrale</t>
        </is>
      </c>
      <c r="B16" t="inlineStr">
        <is>
          <t>GAB</t>
        </is>
      </c>
      <c r="C16" t="inlineStr">
        <is>
          <t>Gabon</t>
        </is>
      </c>
      <c r="D16">
        <f>COUNTIF(Volet_A!B:B,B16)</f>
        <v/>
      </c>
      <c r="E16">
        <f>COUNTIF(Volet_B!B:B,B16)</f>
        <v/>
      </c>
      <c r="F16">
        <f>COUNTIF(Volet_C!B:B,B16)</f>
        <v/>
      </c>
    </row>
    <row r="17">
      <c r="A17" t="inlineStr">
        <is>
          <t>Afrique centrale</t>
        </is>
      </c>
      <c r="B17" t="inlineStr">
        <is>
          <t>COD</t>
        </is>
      </c>
      <c r="C17" t="inlineStr">
        <is>
          <t>RDC</t>
        </is>
      </c>
      <c r="D17">
        <f>COUNTIF(Volet_A!B:B,B17)</f>
        <v/>
      </c>
      <c r="E17">
        <f>COUNTIF(Volet_B!B:B,B17)</f>
        <v/>
      </c>
      <c r="F17">
        <f>COUNTIF(Volet_C!B:B,B17)</f>
        <v/>
      </c>
    </row>
    <row r="18">
      <c r="A18" t="inlineStr">
        <is>
          <t>Afrique de l'Est</t>
        </is>
      </c>
      <c r="B18" t="inlineStr">
        <is>
          <t>KEN</t>
        </is>
      </c>
      <c r="C18" t="inlineStr">
        <is>
          <t>Kenya</t>
        </is>
      </c>
      <c r="D18">
        <f>COUNTIF(Volet_A!B:B,B18)</f>
        <v/>
      </c>
      <c r="E18">
        <f>COUNTIF(Volet_B!B:B,B18)</f>
        <v/>
      </c>
      <c r="F18">
        <f>COUNTIF(Volet_C!B:B,B18)</f>
        <v/>
      </c>
    </row>
    <row r="19">
      <c r="A19" t="inlineStr">
        <is>
          <t>Afrique de l'Est</t>
        </is>
      </c>
      <c r="B19" t="inlineStr">
        <is>
          <t>ETH</t>
        </is>
      </c>
      <c r="C19" t="inlineStr">
        <is>
          <t>Éthiopie</t>
        </is>
      </c>
      <c r="D19">
        <f>COUNTIF(Volet_A!B:B,B19)</f>
        <v/>
      </c>
      <c r="E19">
        <f>COUNTIF(Volet_B!B:B,B19)</f>
        <v/>
      </c>
      <c r="F19">
        <f>COUNTIF(Volet_C!B:B,B19)</f>
        <v/>
      </c>
    </row>
    <row r="20">
      <c r="A20" t="inlineStr">
        <is>
          <t>Afrique de l'Est</t>
        </is>
      </c>
      <c r="B20" t="inlineStr">
        <is>
          <t>UGA</t>
        </is>
      </c>
      <c r="C20" t="inlineStr">
        <is>
          <t>Ouganda</t>
        </is>
      </c>
      <c r="D20">
        <f>COUNTIF(Volet_A!B:B,B20)</f>
        <v/>
      </c>
      <c r="E20">
        <f>COUNTIF(Volet_B!B:B,B20)</f>
        <v/>
      </c>
      <c r="F20">
        <f>COUNTIF(Volet_C!B:B,B20)</f>
        <v/>
      </c>
    </row>
    <row r="21">
      <c r="A21" t="inlineStr">
        <is>
          <t>Afrique de l'Est</t>
        </is>
      </c>
      <c r="B21" t="inlineStr">
        <is>
          <t>RWA</t>
        </is>
      </c>
      <c r="C21" t="inlineStr">
        <is>
          <t>Rwanda</t>
        </is>
      </c>
      <c r="D21">
        <f>COUNTIF(Volet_A!B:B,B21)</f>
        <v/>
      </c>
      <c r="E21">
        <f>COUNTIF(Volet_B!B:B,B21)</f>
        <v/>
      </c>
      <c r="F21">
        <f>COUNTIF(Volet_C!B:B,B21)</f>
        <v/>
      </c>
    </row>
    <row r="22">
      <c r="A22" t="inlineStr">
        <is>
          <t>Afrique de l'Est</t>
        </is>
      </c>
      <c r="B22" t="inlineStr">
        <is>
          <t>TZA</t>
        </is>
      </c>
      <c r="C22" t="inlineStr">
        <is>
          <t>Tanzanie</t>
        </is>
      </c>
      <c r="D22">
        <f>COUNTIF(Volet_A!B:B,B22)</f>
        <v/>
      </c>
      <c r="E22">
        <f>COUNTIF(Volet_B!B:B,B22)</f>
        <v/>
      </c>
      <c r="F22">
        <f>COUNTIF(Volet_C!B:B,B22)</f>
        <v/>
      </c>
    </row>
    <row r="23">
      <c r="A23" t="inlineStr">
        <is>
          <t>Afrique australe</t>
        </is>
      </c>
      <c r="B23" t="inlineStr">
        <is>
          <t>ZAF</t>
        </is>
      </c>
      <c r="C23" t="inlineStr">
        <is>
          <t>Afrique du Sud</t>
        </is>
      </c>
      <c r="D23">
        <f>COUNTIF(Volet_A!B:B,B23)</f>
        <v/>
      </c>
      <c r="E23">
        <f>COUNTIF(Volet_B!B:B,B23)</f>
        <v/>
      </c>
      <c r="F23">
        <f>COUNTIF(Volet_C!B:B,B23)</f>
        <v/>
      </c>
    </row>
    <row r="24">
      <c r="A24" t="inlineStr">
        <is>
          <t>Afrique australe</t>
        </is>
      </c>
      <c r="B24" t="inlineStr">
        <is>
          <t>ZMB</t>
        </is>
      </c>
      <c r="C24" t="inlineStr">
        <is>
          <t>Zambie</t>
        </is>
      </c>
      <c r="D24">
        <f>COUNTIF(Volet_A!B:B,B24)</f>
        <v/>
      </c>
      <c r="E24">
        <f>COUNTIF(Volet_B!B:B,B24)</f>
        <v/>
      </c>
      <c r="F24">
        <f>COUNTIF(Volet_C!B:B,B24)</f>
        <v/>
      </c>
    </row>
    <row r="25">
      <c r="A25" t="inlineStr">
        <is>
          <t>Afrique australe</t>
        </is>
      </c>
      <c r="B25" t="inlineStr">
        <is>
          <t>NAM</t>
        </is>
      </c>
      <c r="C25" t="inlineStr">
        <is>
          <t>Namibie</t>
        </is>
      </c>
      <c r="D25">
        <f>COUNTIF(Volet_A!B:B,B25)</f>
        <v/>
      </c>
      <c r="E25">
        <f>COUNTIF(Volet_B!B:B,B25)</f>
        <v/>
      </c>
      <c r="F25">
        <f>COUNTIF(Volet_C!B:B,B25)</f>
        <v/>
      </c>
    </row>
    <row r="26">
      <c r="A26" t="inlineStr">
        <is>
          <t>Afrique australe</t>
        </is>
      </c>
      <c r="B26" t="inlineStr">
        <is>
          <t>ZWE</t>
        </is>
      </c>
      <c r="C26" t="inlineStr">
        <is>
          <t>Zimbabwe</t>
        </is>
      </c>
      <c r="D26">
        <f>COUNTIF(Volet_A!B:B,B26)</f>
        <v/>
      </c>
      <c r="E26">
        <f>COUNTIF(Volet_B!B:B,B26)</f>
        <v/>
      </c>
      <c r="F26">
        <f>COUNTIF(Volet_C!B:B,B26)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9"/>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6" customWidth="1" min="4" max="4"/>
    <col width="15" customWidth="1" min="5" max="5"/>
    <col width="12" customWidth="1" min="6" max="6"/>
    <col width="21" customWidth="1" min="7" max="7"/>
    <col width="25" customWidth="1" min="8" max="8"/>
    <col width="17" customWidth="1" min="9" max="9"/>
    <col width="18" customWidth="1" min="10" max="10"/>
    <col width="16" customWidth="1" min="11" max="11"/>
    <col width="15" customWidth="1" min="12" max="12"/>
    <col width="15" customWidth="1" min="13" max="13"/>
    <col width="16" customWidth="1" min="14" max="14"/>
    <col width="20" customWidth="1" min="15" max="15"/>
    <col width="17" customWidth="1" min="16" max="16"/>
    <col width="18" customWidth="1" min="17" max="17"/>
    <col width="21" customWidth="1" min="18" max="18"/>
    <col width="21" customWidth="1" min="19" max="19"/>
    <col width="18" customWidth="1" min="20" max="20"/>
    <col width="14" customWidth="1" min="21" max="21"/>
    <col width="14" customWidth="1" min="22" max="22"/>
    <col width="15" customWidth="1" min="23" max="23"/>
    <col width="12" customWidth="1" min="24" max="24"/>
    <col width="12" customWidth="1" min="25" max="25"/>
    <col width="16" customWidth="1" min="26" max="26"/>
    <col width="20" customWidth="1" min="27" max="27"/>
    <col width="13" customWidth="1" min="28" max="28"/>
    <col width="13" customWidth="1" min="29" max="29"/>
    <col width="13" customWidth="1" min="30" max="30"/>
    <col width="16" customWidth="1" min="31" max="31"/>
    <col width="12" customWidth="1" min="32" max="32"/>
    <col width="21" customWidth="1" min="33" max="33"/>
    <col width="12" customWidth="1" min="34" max="34"/>
    <col width="12" customWidth="1" min="35" max="35"/>
    <col width="29" customWidth="1" min="36" max="36"/>
  </cols>
  <sheetData>
    <row r="1">
      <c r="A1" s="2" t="inlineStr">
        <is>
          <t>projet_id</t>
        </is>
      </c>
      <c r="B1" s="2" t="inlineStr">
        <is>
          <t>pays_iso3</t>
        </is>
      </c>
      <c r="C1" s="2" t="inlineStr">
        <is>
          <t>nom</t>
        </is>
      </c>
      <c r="D1" s="2" t="inlineStr">
        <is>
          <t>localisation</t>
        </is>
      </c>
      <c r="E1" s="2" t="inlineStr">
        <is>
          <t>developpeur</t>
        </is>
      </c>
      <c r="F1" s="2" t="inlineStr">
        <is>
          <t>statut</t>
        </is>
      </c>
      <c r="G1" s="2" t="inlineStr">
        <is>
          <t>annee_attribution</t>
        </is>
      </c>
      <c r="H1" s="2" t="inlineStr">
        <is>
          <t>annee_mise_en_service</t>
        </is>
      </c>
      <c r="I1" s="2" t="inlineStr">
        <is>
          <t>puissance_mwp</t>
        </is>
      </c>
      <c r="J1" s="2" t="inlineStr">
        <is>
          <t>puissance_mwac</t>
        </is>
      </c>
      <c r="K1" s="2" t="inlineStr">
        <is>
          <t>stockage_mwh</t>
        </is>
      </c>
      <c r="L1" s="2" t="inlineStr">
        <is>
          <t>technologie</t>
        </is>
      </c>
      <c r="M1" s="2" t="inlineStr">
        <is>
          <t>capex_total</t>
        </is>
      </c>
      <c r="N1" s="2" t="inlineStr">
        <is>
          <t>capex_devise</t>
        </is>
      </c>
      <c r="O1" s="2" t="inlineStr">
        <is>
          <t>capex_annee_prix</t>
        </is>
      </c>
      <c r="P1" s="2" t="inlineStr">
        <is>
          <t>capex_usd_kwp</t>
        </is>
      </c>
      <c r="Q1" s="2" t="inlineStr">
        <is>
          <t>capex_usd_kwac</t>
        </is>
      </c>
      <c r="R1" s="2" t="inlineStr">
        <is>
          <t>production_gwh_an</t>
        </is>
      </c>
      <c r="S1" s="2" t="inlineStr">
        <is>
          <t>facteur_charge_ac</t>
        </is>
      </c>
      <c r="T1" s="2" t="inlineStr">
        <is>
          <t>opex_usd_kw_an</t>
        </is>
      </c>
      <c r="U1" s="2" t="inlineStr">
        <is>
          <t>dette_part</t>
        </is>
      </c>
      <c r="V1" s="2" t="inlineStr">
        <is>
          <t>dette_taux</t>
        </is>
      </c>
      <c r="W1" s="2" t="inlineStr">
        <is>
          <t>dette_duree</t>
        </is>
      </c>
      <c r="X1" s="2" t="inlineStr">
        <is>
          <t>wacc</t>
        </is>
      </c>
      <c r="Y1" s="2" t="inlineStr">
        <is>
          <t>tarif</t>
        </is>
      </c>
      <c r="Z1" s="2" t="inlineStr">
        <is>
          <t>tarif_devise</t>
        </is>
      </c>
      <c r="AA1" s="2" t="inlineStr">
        <is>
          <t>tarif_indexation</t>
        </is>
      </c>
      <c r="AB1" s="2" t="inlineStr">
        <is>
          <t>ppa_duree</t>
        </is>
      </c>
      <c r="AC1" s="2" t="inlineStr">
        <is>
          <t>procedure</t>
        </is>
      </c>
      <c r="AD1" s="2" t="inlineStr">
        <is>
          <t>garanties</t>
        </is>
      </c>
      <c r="AE1" s="2" t="inlineStr">
        <is>
          <t>lcoe_usd_mwh</t>
        </is>
      </c>
      <c r="AF1" s="2" t="inlineStr">
        <is>
          <t>sources</t>
        </is>
      </c>
      <c r="AG1" s="2" t="inlineStr">
        <is>
          <t>fiabilite_globale</t>
        </is>
      </c>
      <c r="AH1" s="2" t="inlineStr">
        <is>
          <t>notes</t>
        </is>
      </c>
      <c r="AI1" s="2" t="inlineStr">
        <is>
          <t>acheteur</t>
        </is>
      </c>
      <c r="AJ1" s="2" t="inlineStr">
        <is>
          <t>raccordement_inclus_capex</t>
        </is>
      </c>
    </row>
    <row r="2">
      <c r="A2" t="inlineStr">
        <is>
          <t>A-ZMB-001</t>
        </is>
      </c>
      <c r="B2" t="inlineStr">
        <is>
          <t>ZMB</t>
        </is>
      </c>
      <c r="C2" t="inlineStr">
        <is>
          <t>Bangweulu (Scaling Solar)</t>
        </is>
      </c>
      <c r="E2" t="inlineStr">
        <is>
          <t>Neoen / First Solar</t>
        </is>
      </c>
      <c r="F2" t="inlineStr">
        <is>
          <t>en service</t>
        </is>
      </c>
      <c r="G2" t="n">
        <v>2016</v>
      </c>
      <c r="H2" t="n">
        <v>2019</v>
      </c>
      <c r="I2" t="n">
        <v>54.3</v>
      </c>
      <c r="J2" t="n">
        <v>47.5</v>
      </c>
      <c r="Y2" t="n">
        <v>0.06015</v>
      </c>
      <c r="Z2" t="inlineStr">
        <is>
          <t>USD</t>
        </is>
      </c>
      <c r="AC2" t="inlineStr">
        <is>
          <t>Appel d'offres concurrentiel</t>
        </is>
      </c>
      <c r="AF2" t="inlineStr">
        <is>
          <t>S03;S04;Recherche</t>
        </is>
      </c>
      <c r="AH2" t="inlineStr">
        <is>
          <t>54,3 MWp (Neoen) / 55 MWp (IFC) ; 47,5 MWac (UCT). CAPEX 60 M USD (Neoen) ou 59 M USD (IFC). Tarif fixe 25 ans, non indexé</t>
        </is>
      </c>
    </row>
    <row r="3">
      <c r="A3" t="inlineStr">
        <is>
          <t>A-ZMB-002</t>
        </is>
      </c>
      <c r="B3" t="inlineStr">
        <is>
          <t>ZMB</t>
        </is>
      </c>
      <c r="C3" t="inlineStr">
        <is>
          <t>Ngonye (Scaling Solar)</t>
        </is>
      </c>
      <c r="E3" t="inlineStr">
        <is>
          <t>Enel</t>
        </is>
      </c>
      <c r="F3" t="inlineStr">
        <is>
          <t>en service</t>
        </is>
      </c>
      <c r="G3" t="n">
        <v>2016</v>
      </c>
      <c r="H3" t="n">
        <v>2019</v>
      </c>
      <c r="I3" t="n">
        <v>34</v>
      </c>
      <c r="J3" t="n">
        <v>28</v>
      </c>
      <c r="Y3" t="n">
        <v>0.0784</v>
      </c>
      <c r="Z3" t="inlineStr">
        <is>
          <t>USD</t>
        </is>
      </c>
      <c r="AC3" t="inlineStr">
        <is>
          <t>Appel d'offres concurrentiel</t>
        </is>
      </c>
      <c r="AF3" t="inlineStr">
        <is>
          <t>S04;Recherche</t>
        </is>
      </c>
      <c r="AH3" t="inlineStr">
        <is>
          <t>CAPEX 40 M USD (Enel) ou 45 M USD (UCT)</t>
        </is>
      </c>
    </row>
    <row r="4">
      <c r="A4" t="inlineStr">
        <is>
          <t>A-SEN-001</t>
        </is>
      </c>
      <c r="B4" t="inlineStr">
        <is>
          <t>SEN</t>
        </is>
      </c>
      <c r="C4" t="inlineStr">
        <is>
          <t>Kael (Scaling Solar)</t>
        </is>
      </c>
      <c r="E4" t="inlineStr">
        <is>
          <t>Engie / Meridiam / FONSIS</t>
        </is>
      </c>
      <c r="F4" t="inlineStr">
        <is>
          <t>en service</t>
        </is>
      </c>
      <c r="G4" t="n">
        <v>2018</v>
      </c>
      <c r="H4" t="n">
        <v>2021</v>
      </c>
      <c r="I4" t="n">
        <v>35</v>
      </c>
      <c r="J4" t="n">
        <v>25</v>
      </c>
      <c r="Y4" t="n">
        <v>0.0398</v>
      </c>
      <c r="Z4" t="inlineStr">
        <is>
          <t>EUR</t>
        </is>
      </c>
      <c r="AC4" t="inlineStr">
        <is>
          <t>Appel d'offres concurrentiel</t>
        </is>
      </c>
      <c r="AF4" t="inlineStr">
        <is>
          <t>S06;S07;Recherche</t>
        </is>
      </c>
      <c r="AH4" t="inlineStr">
        <is>
          <t>35 MWp (IFC) / 25 MWac (MIGA) ; CAPEX 22 M EUR (IFC). AE-Africa place ce tarif à Touba : erreur probable</t>
        </is>
      </c>
    </row>
    <row r="5">
      <c r="A5" t="inlineStr">
        <is>
          <t>A-SEN-002</t>
        </is>
      </c>
      <c r="B5" t="inlineStr">
        <is>
          <t>SEN</t>
        </is>
      </c>
      <c r="C5" t="inlineStr">
        <is>
          <t>Kahone (Scaling Solar)</t>
        </is>
      </c>
      <c r="E5" t="inlineStr">
        <is>
          <t>Engie / Meridiam / FONSIS</t>
        </is>
      </c>
      <c r="F5" t="inlineStr">
        <is>
          <t>en service</t>
        </is>
      </c>
      <c r="G5" t="n">
        <v>2018</v>
      </c>
      <c r="H5" t="n">
        <v>2021</v>
      </c>
      <c r="I5" t="n">
        <v>44</v>
      </c>
      <c r="J5" t="n">
        <v>35</v>
      </c>
      <c r="Y5" t="n">
        <v>0.038</v>
      </c>
      <c r="Z5" t="inlineStr">
        <is>
          <t>EUR</t>
        </is>
      </c>
      <c r="AC5" t="inlineStr">
        <is>
          <t>Appel d'offres concurrentiel</t>
        </is>
      </c>
      <c r="AF5" t="inlineStr">
        <is>
          <t>S06;S07;Recherche</t>
        </is>
      </c>
      <c r="AH5" t="inlineStr">
        <is>
          <t>44 MWp (IFC) / 35 MWac (MIGA) ; CAPEX 26 M EUR (IFC)</t>
        </is>
      </c>
    </row>
    <row r="6">
      <c r="A6" t="inlineStr">
        <is>
          <t>A-EGY-001</t>
        </is>
      </c>
      <c r="B6" t="inlineStr">
        <is>
          <t>EGY</t>
        </is>
      </c>
      <c r="C6" t="inlineStr">
        <is>
          <t>Benban Solar Park (32 centrales)</t>
        </is>
      </c>
      <c r="E6" t="inlineStr">
        <is>
          <t>Multiples</t>
        </is>
      </c>
      <c r="F6" t="inlineStr">
        <is>
          <t>à vérifier</t>
        </is>
      </c>
      <c r="AC6" t="inlineStr">
        <is>
          <t>Tarif d'achat garanti (FiT) rounds 1 et 2</t>
        </is>
      </c>
      <c r="AF6" t="inlineStr"/>
      <c r="AH6" t="inlineStr">
        <is>
          <t>1 465 MW et ~1,9 Md USD selon presse égyptienne ; tarif round 2 non vérifié. À éclater en une ligne par centrale</t>
        </is>
      </c>
    </row>
    <row r="7">
      <c r="A7" t="inlineStr">
        <is>
          <t>A-MAR-001</t>
        </is>
      </c>
      <c r="B7" t="inlineStr">
        <is>
          <t>MAR</t>
        </is>
      </c>
      <c r="C7" t="inlineStr">
        <is>
          <t>Noor Ouarzazate IV (PV)</t>
        </is>
      </c>
      <c r="E7" t="inlineStr"/>
      <c r="F7" t="inlineStr">
        <is>
          <t>à vérifier</t>
        </is>
      </c>
      <c r="AC7" t="inlineStr"/>
      <c r="AF7" t="inlineStr"/>
      <c r="AH7" t="inlineStr"/>
    </row>
    <row r="8">
      <c r="A8" t="inlineStr">
        <is>
          <t>A-BFA-001</t>
        </is>
      </c>
      <c r="B8" t="inlineStr">
        <is>
          <t>BFA</t>
        </is>
      </c>
      <c r="C8" t="inlineStr">
        <is>
          <t>Zagtouli</t>
        </is>
      </c>
      <c r="E8" t="inlineStr"/>
      <c r="F8" t="inlineStr">
        <is>
          <t>à vérifier</t>
        </is>
      </c>
      <c r="AC8" t="inlineStr"/>
      <c r="AF8" t="inlineStr"/>
      <c r="AH8" t="inlineStr"/>
    </row>
    <row r="9">
      <c r="A9" t="inlineStr">
        <is>
          <t>A-ZAF-001</t>
        </is>
      </c>
      <c r="B9" t="inlineStr">
        <is>
          <t>ZAF</t>
        </is>
      </c>
      <c r="C9" t="inlineStr">
        <is>
          <t>REIPPPP — projets PV (par fenêtre)</t>
        </is>
      </c>
      <c r="E9" t="inlineStr">
        <is>
          <t>Multiples</t>
        </is>
      </c>
      <c r="F9" t="inlineStr">
        <is>
          <t>à vérifier</t>
        </is>
      </c>
      <c r="AC9" t="inlineStr">
        <is>
          <t>Appel d'offres concurrentiel</t>
        </is>
      </c>
      <c r="AF9" t="inlineStr"/>
      <c r="AH9" t="inlineStr">
        <is>
          <t>À éclater en une ligne par projet à partir des documents du DMRE/IPP Office</t>
        </is>
      </c>
    </row>
  </sheetData>
  <dataValidations count="2">
    <dataValidation sqref="F2:F2000" showDropDown="0" showInputMessage="0" showErrorMessage="0" allowBlank="1" type="list">
      <formula1>"en service,en construction,attribué,annoncé,à vérifier,abandonné"</formula1>
    </dataValidation>
    <dataValidation sqref="AG2:AG2000" showDropDown="0" showInputMessage="0" showErrorMessage="0" allowBlank="1" type="list">
      <formula1>"A - document primaire,B - institution/développeur,C - presse spécialisée,D - source secondaire non recoupée"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M3"/>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6" customWidth="1" min="4" max="4"/>
    <col width="15" customWidth="1" min="5" max="5"/>
    <col width="12" customWidth="1" min="6" max="6"/>
    <col width="21" customWidth="1" min="7" max="7"/>
    <col width="25" customWidth="1" min="8" max="8"/>
    <col width="17" customWidth="1" min="9" max="9"/>
    <col width="18" customWidth="1" min="10" max="10"/>
    <col width="16" customWidth="1" min="11" max="11"/>
    <col width="15" customWidth="1" min="12" max="12"/>
    <col width="15" customWidth="1" min="13" max="13"/>
    <col width="16" customWidth="1" min="14" max="14"/>
    <col width="20" customWidth="1" min="15" max="15"/>
    <col width="17" customWidth="1" min="16" max="16"/>
    <col width="18" customWidth="1" min="17" max="17"/>
    <col width="21" customWidth="1" min="18" max="18"/>
    <col width="21" customWidth="1" min="19" max="19"/>
    <col width="18" customWidth="1" min="20" max="20"/>
    <col width="14" customWidth="1" min="21" max="21"/>
    <col width="14" customWidth="1" min="22" max="22"/>
    <col width="15" customWidth="1" min="23" max="23"/>
    <col width="12" customWidth="1" min="24" max="24"/>
    <col width="12" customWidth="1" min="25" max="25"/>
    <col width="16" customWidth="1" min="26" max="26"/>
    <col width="20" customWidth="1" min="27" max="27"/>
    <col width="13" customWidth="1" min="28" max="28"/>
    <col width="13" customWidth="1" min="29" max="29"/>
    <col width="13" customWidth="1" min="30" max="30"/>
    <col width="16" customWidth="1" min="31" max="31"/>
    <col width="12" customWidth="1" min="32" max="32"/>
    <col width="21" customWidth="1" min="33" max="33"/>
    <col width="12" customWidth="1" min="34" max="34"/>
    <col width="12" customWidth="1" min="35" max="35"/>
    <col width="21" customWidth="1" min="36" max="36"/>
    <col width="29" customWidth="1" min="37" max="37"/>
    <col width="27" customWidth="1" min="38" max="38"/>
    <col width="14" customWidth="1" min="39" max="39"/>
  </cols>
  <sheetData>
    <row r="1">
      <c r="A1" s="2" t="inlineStr">
        <is>
          <t>projet_id</t>
        </is>
      </c>
      <c r="B1" s="2" t="inlineStr">
        <is>
          <t>pays_iso3</t>
        </is>
      </c>
      <c r="C1" s="2" t="inlineStr">
        <is>
          <t>nom</t>
        </is>
      </c>
      <c r="D1" s="2" t="inlineStr">
        <is>
          <t>localisation</t>
        </is>
      </c>
      <c r="E1" s="2" t="inlineStr">
        <is>
          <t>developpeur</t>
        </is>
      </c>
      <c r="F1" s="2" t="inlineStr">
        <is>
          <t>statut</t>
        </is>
      </c>
      <c r="G1" s="2" t="inlineStr">
        <is>
          <t>annee_attribution</t>
        </is>
      </c>
      <c r="H1" s="2" t="inlineStr">
        <is>
          <t>annee_mise_en_service</t>
        </is>
      </c>
      <c r="I1" s="2" t="inlineStr">
        <is>
          <t>puissance_mwp</t>
        </is>
      </c>
      <c r="J1" s="2" t="inlineStr">
        <is>
          <t>puissance_mwac</t>
        </is>
      </c>
      <c r="K1" s="2" t="inlineStr">
        <is>
          <t>stockage_mwh</t>
        </is>
      </c>
      <c r="L1" s="2" t="inlineStr">
        <is>
          <t>technologie</t>
        </is>
      </c>
      <c r="M1" s="2" t="inlineStr">
        <is>
          <t>capex_total</t>
        </is>
      </c>
      <c r="N1" s="2" t="inlineStr">
        <is>
          <t>capex_devise</t>
        </is>
      </c>
      <c r="O1" s="2" t="inlineStr">
        <is>
          <t>capex_annee_prix</t>
        </is>
      </c>
      <c r="P1" s="2" t="inlineStr">
        <is>
          <t>capex_usd_kwp</t>
        </is>
      </c>
      <c r="Q1" s="2" t="inlineStr">
        <is>
          <t>capex_usd_kwac</t>
        </is>
      </c>
      <c r="R1" s="2" t="inlineStr">
        <is>
          <t>production_gwh_an</t>
        </is>
      </c>
      <c r="S1" s="2" t="inlineStr">
        <is>
          <t>facteur_charge_ac</t>
        </is>
      </c>
      <c r="T1" s="2" t="inlineStr">
        <is>
          <t>opex_usd_kw_an</t>
        </is>
      </c>
      <c r="U1" s="2" t="inlineStr">
        <is>
          <t>dette_part</t>
        </is>
      </c>
      <c r="V1" s="2" t="inlineStr">
        <is>
          <t>dette_taux</t>
        </is>
      </c>
      <c r="W1" s="2" t="inlineStr">
        <is>
          <t>dette_duree</t>
        </is>
      </c>
      <c r="X1" s="2" t="inlineStr">
        <is>
          <t>wacc</t>
        </is>
      </c>
      <c r="Y1" s="2" t="inlineStr">
        <is>
          <t>tarif</t>
        </is>
      </c>
      <c r="Z1" s="2" t="inlineStr">
        <is>
          <t>tarif_devise</t>
        </is>
      </c>
      <c r="AA1" s="2" t="inlineStr">
        <is>
          <t>tarif_indexation</t>
        </is>
      </c>
      <c r="AB1" s="2" t="inlineStr">
        <is>
          <t>ppa_duree</t>
        </is>
      </c>
      <c r="AC1" s="2" t="inlineStr">
        <is>
          <t>procedure</t>
        </is>
      </c>
      <c r="AD1" s="2" t="inlineStr">
        <is>
          <t>garanties</t>
        </is>
      </c>
      <c r="AE1" s="2" t="inlineStr">
        <is>
          <t>lcoe_usd_mwh</t>
        </is>
      </c>
      <c r="AF1" s="2" t="inlineStr">
        <is>
          <t>sources</t>
        </is>
      </c>
      <c r="AG1" s="2" t="inlineStr">
        <is>
          <t>fiabilite_globale</t>
        </is>
      </c>
      <c r="AH1" s="2" t="inlineStr">
        <is>
          <t>notes</t>
        </is>
      </c>
      <c r="AI1" s="2" t="inlineStr">
        <is>
          <t>secteur</t>
        </is>
      </c>
      <c r="AJ1" s="2" t="inlineStr">
        <is>
          <t>modele_commercial</t>
        </is>
      </c>
      <c r="AK1" s="2" t="inlineStr">
        <is>
          <t>cout_diesel_evite_usd_mwh</t>
        </is>
      </c>
      <c r="AL1" s="2" t="inlineStr">
        <is>
          <t>taux_couverture_solaire</t>
        </is>
      </c>
      <c r="AM1" s="2" t="inlineStr">
        <is>
          <t>tri_projet</t>
        </is>
      </c>
    </row>
    <row r="2">
      <c r="A2" t="inlineStr">
        <is>
          <t>B-MLI-001</t>
        </is>
      </c>
      <c r="B2" t="inlineStr">
        <is>
          <t>MLI</t>
        </is>
      </c>
      <c r="C2" t="inlineStr">
        <is>
          <t>Fekola (mine d'or)</t>
        </is>
      </c>
      <c r="E2" t="inlineStr">
        <is>
          <t>B2Gold</t>
        </is>
      </c>
      <c r="F2" t="inlineStr">
        <is>
          <t>en service</t>
        </is>
      </c>
      <c r="H2" t="n">
        <v>2021</v>
      </c>
      <c r="I2" t="n">
        <v>36</v>
      </c>
      <c r="J2" t="n">
        <v>30</v>
      </c>
      <c r="K2" t="n">
        <v>15.4</v>
      </c>
      <c r="L2" t="inlineStr">
        <is>
          <t>PV + BESS + HFO</t>
        </is>
      </c>
      <c r="M2" t="n">
        <v>38000000</v>
      </c>
      <c r="N2" t="inlineStr">
        <is>
          <t>USD</t>
        </is>
      </c>
      <c r="O2" t="n">
        <v>2019</v>
      </c>
      <c r="AF2" t="inlineStr">
        <is>
          <t>S08;S09;Recherche</t>
        </is>
      </c>
      <c r="AG2" t="inlineStr">
        <is>
          <t>A - document primaire</t>
        </is>
      </c>
      <c r="AH2" t="inlineStr">
        <is>
          <t>Phase 1 ; pleine capacité juillet 2021 (B2Gold). CAPEX = budget, pas le coût final ; stockage 13,5 (MD&amp;A T3 2019) vs 15,4 MWh (rapport annuel 2019). Extension +22 MWac / +12,7 MWh en service en janvier 2025</t>
        </is>
      </c>
      <c r="AI2" t="inlineStr">
        <is>
          <t>Mines</t>
        </is>
      </c>
      <c r="AJ2" t="inlineStr">
        <is>
          <t>Autoproduction</t>
        </is>
      </c>
    </row>
    <row r="3">
      <c r="A3" t="inlineStr">
        <is>
          <t>B-MRT-001</t>
        </is>
      </c>
      <c r="B3" t="inlineStr">
        <is>
          <t>MRT</t>
        </is>
      </c>
      <c r="C3" t="inlineStr">
        <is>
          <t>Tasiast (mine d'or)</t>
        </is>
      </c>
      <c r="E3" t="inlineStr">
        <is>
          <t>Kinross</t>
        </is>
      </c>
      <c r="F3" t="inlineStr">
        <is>
          <t>en service</t>
        </is>
      </c>
      <c r="H3" t="n">
        <v>2023</v>
      </c>
      <c r="J3" t="n">
        <v>34</v>
      </c>
      <c r="L3" t="inlineStr">
        <is>
          <t>PV + BESS (18 MW) + thermique</t>
        </is>
      </c>
      <c r="M3" t="n">
        <v>55000000</v>
      </c>
      <c r="N3" t="inlineStr">
        <is>
          <t>USD</t>
        </is>
      </c>
      <c r="O3" t="n">
        <v>2022</v>
      </c>
      <c r="AF3" t="inlineStr">
        <is>
          <t>S10;S11</t>
        </is>
      </c>
      <c r="AG3" t="inlineStr">
        <is>
          <t>C - presse spécialisée</t>
        </is>
      </c>
      <c r="AH3" t="inlineStr">
        <is>
          <t>34 MWe (Kinross). Couverture 20 % prévue, 17 % mesurée en 2024 ; CAPEX = budget, achevé « under budget » sans montant final</t>
        </is>
      </c>
      <c r="AI3" t="inlineStr">
        <is>
          <t>Mines</t>
        </is>
      </c>
      <c r="AJ3" t="inlineStr">
        <is>
          <t>Autoproduction</t>
        </is>
      </c>
      <c r="AL3" t="n">
        <v>0.2</v>
      </c>
    </row>
  </sheetData>
  <dataValidations count="2">
    <dataValidation sqref="F2:F2000" showDropDown="0" showInputMessage="0" showErrorMessage="0" allowBlank="1" type="list">
      <formula1>"en service,en construction,attribué,annoncé,à vérifier,abandonné"</formula1>
    </dataValidation>
    <dataValidation sqref="AG2:AG2000" showDropDown="0" showInputMessage="0" showErrorMessage="0" allowBlank="1" type="list">
      <formula1>"A - document primaire,B - institution/développeur,C - presse spécialisée,D - source secondaire non recoupée"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6" customWidth="1" min="4" max="4"/>
    <col width="15" customWidth="1" min="5" max="5"/>
    <col width="12" customWidth="1" min="6" max="6"/>
    <col width="21" customWidth="1" min="7" max="7"/>
    <col width="25" customWidth="1" min="8" max="8"/>
    <col width="17" customWidth="1" min="9" max="9"/>
    <col width="18" customWidth="1" min="10" max="10"/>
    <col width="16" customWidth="1" min="11" max="11"/>
    <col width="15" customWidth="1" min="12" max="12"/>
    <col width="15" customWidth="1" min="13" max="13"/>
    <col width="16" customWidth="1" min="14" max="14"/>
    <col width="20" customWidth="1" min="15" max="15"/>
    <col width="17" customWidth="1" min="16" max="16"/>
    <col width="18" customWidth="1" min="17" max="17"/>
    <col width="21" customWidth="1" min="18" max="18"/>
    <col width="21" customWidth="1" min="19" max="19"/>
    <col width="18" customWidth="1" min="20" max="20"/>
    <col width="14" customWidth="1" min="21" max="21"/>
    <col width="14" customWidth="1" min="22" max="22"/>
    <col width="15" customWidth="1" min="23" max="23"/>
    <col width="12" customWidth="1" min="24" max="24"/>
    <col width="12" customWidth="1" min="25" max="25"/>
    <col width="16" customWidth="1" min="26" max="26"/>
    <col width="20" customWidth="1" min="27" max="27"/>
    <col width="13" customWidth="1" min="28" max="28"/>
    <col width="13" customWidth="1" min="29" max="29"/>
    <col width="13" customWidth="1" min="30" max="30"/>
    <col width="16" customWidth="1" min="31" max="31"/>
    <col width="12" customWidth="1" min="32" max="32"/>
    <col width="21" customWidth="1" min="33" max="33"/>
    <col width="12" customWidth="1" min="34" max="34"/>
    <col width="14" customWidth="1" min="35" max="35"/>
    <col width="33" customWidth="1" min="36" max="36"/>
    <col width="25" customWidth="1" min="37" max="37"/>
    <col width="16" customWidth="1" min="38" max="38"/>
    <col width="18" customWidth="1" min="39" max="39"/>
    <col width="13" customWidth="1" min="40" max="40"/>
    <col width="18" customWidth="1" min="41" max="41"/>
  </cols>
  <sheetData>
    <row r="1">
      <c r="A1" s="2" t="inlineStr">
        <is>
          <t>projet_id</t>
        </is>
      </c>
      <c r="B1" s="2" t="inlineStr">
        <is>
          <t>pays_iso3</t>
        </is>
      </c>
      <c r="C1" s="2" t="inlineStr">
        <is>
          <t>nom</t>
        </is>
      </c>
      <c r="D1" s="2" t="inlineStr">
        <is>
          <t>localisation</t>
        </is>
      </c>
      <c r="E1" s="2" t="inlineStr">
        <is>
          <t>developpeur</t>
        </is>
      </c>
      <c r="F1" s="2" t="inlineStr">
        <is>
          <t>statut</t>
        </is>
      </c>
      <c r="G1" s="2" t="inlineStr">
        <is>
          <t>annee_attribution</t>
        </is>
      </c>
      <c r="H1" s="2" t="inlineStr">
        <is>
          <t>annee_mise_en_service</t>
        </is>
      </c>
      <c r="I1" s="2" t="inlineStr">
        <is>
          <t>puissance_mwp</t>
        </is>
      </c>
      <c r="J1" s="2" t="inlineStr">
        <is>
          <t>puissance_mwac</t>
        </is>
      </c>
      <c r="K1" s="2" t="inlineStr">
        <is>
          <t>stockage_mwh</t>
        </is>
      </c>
      <c r="L1" s="2" t="inlineStr">
        <is>
          <t>technologie</t>
        </is>
      </c>
      <c r="M1" s="2" t="inlineStr">
        <is>
          <t>capex_total</t>
        </is>
      </c>
      <c r="N1" s="2" t="inlineStr">
        <is>
          <t>capex_devise</t>
        </is>
      </c>
      <c r="O1" s="2" t="inlineStr">
        <is>
          <t>capex_annee_prix</t>
        </is>
      </c>
      <c r="P1" s="2" t="inlineStr">
        <is>
          <t>capex_usd_kwp</t>
        </is>
      </c>
      <c r="Q1" s="2" t="inlineStr">
        <is>
          <t>capex_usd_kwac</t>
        </is>
      </c>
      <c r="R1" s="2" t="inlineStr">
        <is>
          <t>production_gwh_an</t>
        </is>
      </c>
      <c r="S1" s="2" t="inlineStr">
        <is>
          <t>facteur_charge_ac</t>
        </is>
      </c>
      <c r="T1" s="2" t="inlineStr">
        <is>
          <t>opex_usd_kw_an</t>
        </is>
      </c>
      <c r="U1" s="2" t="inlineStr">
        <is>
          <t>dette_part</t>
        </is>
      </c>
      <c r="V1" s="2" t="inlineStr">
        <is>
          <t>dette_taux</t>
        </is>
      </c>
      <c r="W1" s="2" t="inlineStr">
        <is>
          <t>dette_duree</t>
        </is>
      </c>
      <c r="X1" s="2" t="inlineStr">
        <is>
          <t>wacc</t>
        </is>
      </c>
      <c r="Y1" s="2" t="inlineStr">
        <is>
          <t>tarif</t>
        </is>
      </c>
      <c r="Z1" s="2" t="inlineStr">
        <is>
          <t>tarif_devise</t>
        </is>
      </c>
      <c r="AA1" s="2" t="inlineStr">
        <is>
          <t>tarif_indexation</t>
        </is>
      </c>
      <c r="AB1" s="2" t="inlineStr">
        <is>
          <t>ppa_duree</t>
        </is>
      </c>
      <c r="AC1" s="2" t="inlineStr">
        <is>
          <t>procedure</t>
        </is>
      </c>
      <c r="AD1" s="2" t="inlineStr">
        <is>
          <t>garanties</t>
        </is>
      </c>
      <c r="AE1" s="2" t="inlineStr">
        <is>
          <t>lcoe_usd_mwh</t>
        </is>
      </c>
      <c r="AF1" s="2" t="inlineStr">
        <is>
          <t>sources</t>
        </is>
      </c>
      <c r="AG1" s="2" t="inlineStr">
        <is>
          <t>fiabilite_globale</t>
        </is>
      </c>
      <c r="AH1" s="2" t="inlineStr">
        <is>
          <t>notes</t>
        </is>
      </c>
      <c r="AI1" s="2" t="inlineStr">
        <is>
          <t>nb_clients</t>
        </is>
      </c>
      <c r="AJ1" s="2" t="inlineStr">
        <is>
          <t>conso_moyenne_kwh_client_mois</t>
        </is>
      </c>
      <c r="AK1" s="2" t="inlineStr">
        <is>
          <t>cout_distribution_usd</t>
        </is>
      </c>
      <c r="AL1" s="2" t="inlineStr">
        <is>
          <t>tarif_client</t>
        </is>
      </c>
      <c r="AM1" s="2" t="inlineStr">
        <is>
          <t>subvention_usd</t>
        </is>
      </c>
      <c r="AN1" s="2" t="inlineStr">
        <is>
          <t>operateur</t>
        </is>
      </c>
      <c r="AO1" s="2" t="inlineStr">
        <is>
          <t>client_ancrage</t>
        </is>
      </c>
    </row>
    <row r="2">
      <c r="A2" t="inlineStr">
        <is>
          <t>C-COD-001</t>
        </is>
      </c>
      <c r="B2" t="inlineStr">
        <is>
          <t>COD</t>
        </is>
      </c>
      <c r="C2" t="inlineStr">
        <is>
          <t>Goma Ndosho (métro-réseau)</t>
        </is>
      </c>
      <c r="E2" t="inlineStr">
        <is>
          <t>Nuru</t>
        </is>
      </c>
      <c r="F2" t="inlineStr">
        <is>
          <t>en service</t>
        </is>
      </c>
      <c r="H2" t="n">
        <v>2020</v>
      </c>
      <c r="I2" t="n">
        <v>1.3</v>
      </c>
      <c r="L2" t="inlineStr">
        <is>
          <t>PV + BESS + groupes de secours (~364 kW)</t>
        </is>
      </c>
      <c r="AF2" t="inlineStr">
        <is>
          <t>S12</t>
        </is>
      </c>
      <c r="AG2" t="inlineStr">
        <is>
          <t>C - presse spécialisée</t>
        </is>
      </c>
      <c r="AH2" t="inlineStr">
        <is>
          <t>Coût, tarif et nombre de clients non publiés dans les sources consultées</t>
        </is>
      </c>
      <c r="AN2" t="inlineStr">
        <is>
          <t>Privé</t>
        </is>
      </c>
    </row>
  </sheetData>
  <dataValidations count="2">
    <dataValidation sqref="F2:F2000" showDropDown="0" showInputMessage="0" showErrorMessage="0" allowBlank="1" type="list">
      <formula1>"en service,en construction,attribué,annoncé,à vérifier,abandonné"</formula1>
    </dataValidation>
    <dataValidation sqref="AG2:AG2000" showDropDown="0" showInputMessage="0" showErrorMessage="0" allowBlank="1" type="list">
      <formula1>"A - document primaire,B - institution/développeur,C - presse spécialisée,D - source secondaire non recoupée"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12" customWidth="1" min="3" max="3"/>
    <col width="12" customWidth="1" min="4" max="4"/>
    <col width="15" customWidth="1" min="5" max="5"/>
    <col width="13" customWidth="1" min="6" max="6"/>
    <col width="12" customWidth="1" min="7" max="7"/>
  </cols>
  <sheetData>
    <row r="1">
      <c r="A1" s="2" t="inlineStr">
        <is>
          <t>projet_id</t>
        </is>
      </c>
      <c r="B1" s="2" t="inlineStr">
        <is>
          <t>champ</t>
        </is>
      </c>
      <c r="C1" s="2" t="inlineStr">
        <is>
          <t>valeur</t>
        </is>
      </c>
      <c r="D1" s="2" t="inlineStr">
        <is>
          <t>unité</t>
        </is>
      </c>
      <c r="E1" s="2" t="inlineStr">
        <is>
          <t>type_donnee</t>
        </is>
      </c>
      <c r="F1" s="2" t="inlineStr">
        <is>
          <t>source_id</t>
        </is>
      </c>
      <c r="G1" s="2" t="inlineStr">
        <is>
          <t>note</t>
        </is>
      </c>
    </row>
    <row r="2">
      <c r="A2" t="inlineStr">
        <is>
          <t>A-ZMB-001</t>
        </is>
      </c>
      <c r="B2" t="inlineStr">
        <is>
          <t>tarif</t>
        </is>
      </c>
      <c r="C2" t="n">
        <v>0.06015</v>
      </c>
      <c r="D2" t="inlineStr">
        <is>
          <t>USD/kWh</t>
        </is>
      </c>
      <c r="E2" t="inlineStr">
        <is>
          <t>observée</t>
        </is>
      </c>
      <c r="F2" t="inlineStr">
        <is>
          <t>S04</t>
        </is>
      </c>
      <c r="G2" t="inlineStr">
        <is>
          <t>Tarif fixe 25 ans (Neoen/First Solar)</t>
        </is>
      </c>
    </row>
    <row r="3">
      <c r="A3" t="inlineStr">
        <is>
          <t>A-ZMB-001</t>
        </is>
      </c>
      <c r="B3" t="inlineStr">
        <is>
          <t>puissance</t>
        </is>
      </c>
      <c r="C3" t="n">
        <v>54</v>
      </c>
      <c r="D3" t="inlineStr">
        <is>
          <t>MW</t>
        </is>
      </c>
      <c r="E3" t="inlineStr">
        <is>
          <t>déclarée</t>
        </is>
      </c>
      <c r="F3" t="inlineStr">
        <is>
          <t>S03</t>
        </is>
      </c>
      <c r="G3" t="inlineStr">
        <is>
          <t>DC/AC non précisé. Les 56 MW attribués à S05 viennent d'un résumé de recherche, non confirmés ; voir Recherche_retenue : 54,3 MWp (Neoen), 47,5 MWac (UCT)</t>
        </is>
      </c>
    </row>
    <row r="4">
      <c r="A4" t="inlineStr">
        <is>
          <t>A-ZMB-001</t>
        </is>
      </c>
      <c r="B4" t="inlineStr">
        <is>
          <t>annee_mise_en_service</t>
        </is>
      </c>
      <c r="C4" t="n">
        <v>2019</v>
      </c>
      <c r="D4" t="inlineStr">
        <is>
          <t>année</t>
        </is>
      </c>
      <c r="E4" t="inlineStr">
        <is>
          <t>déclarée</t>
        </is>
      </c>
      <c r="F4" t="inlineStr">
        <is>
          <t>S05</t>
        </is>
      </c>
      <c r="G4" t="inlineStr"/>
    </row>
    <row r="5">
      <c r="A5" t="inlineStr">
        <is>
          <t>A-ZMB-002</t>
        </is>
      </c>
      <c r="B5" t="inlineStr">
        <is>
          <t>tarif</t>
        </is>
      </c>
      <c r="C5" t="n">
        <v>0.0784</v>
      </c>
      <c r="D5" t="inlineStr">
        <is>
          <t>USD/kWh</t>
        </is>
      </c>
      <c r="E5" t="inlineStr">
        <is>
          <t>observée</t>
        </is>
      </c>
      <c r="F5" t="inlineStr">
        <is>
          <t>S04</t>
        </is>
      </c>
      <c r="G5" t="inlineStr">
        <is>
          <t>Enel</t>
        </is>
      </c>
    </row>
    <row r="6">
      <c r="A6" t="inlineStr">
        <is>
          <t>A-ZMB-002</t>
        </is>
      </c>
      <c r="B6" t="inlineStr">
        <is>
          <t>puissance_mwac</t>
        </is>
      </c>
      <c r="C6" t="n">
        <v>34</v>
      </c>
      <c r="D6" t="inlineStr">
        <is>
          <t>MW</t>
        </is>
      </c>
      <c r="E6" t="inlineStr">
        <is>
          <t>déclarée</t>
        </is>
      </c>
      <c r="F6" t="inlineStr">
        <is>
          <t>S05</t>
        </is>
      </c>
      <c r="G6" t="inlineStr">
        <is>
          <t>AC ou DC non précisé</t>
        </is>
      </c>
    </row>
    <row r="7">
      <c r="A7" t="inlineStr">
        <is>
          <t>A-ZMB-002</t>
        </is>
      </c>
      <c r="B7" t="inlineStr">
        <is>
          <t>annee_mise_en_service</t>
        </is>
      </c>
      <c r="C7" t="n">
        <v>2019</v>
      </c>
      <c r="D7" t="inlineStr">
        <is>
          <t>année</t>
        </is>
      </c>
      <c r="E7" t="inlineStr">
        <is>
          <t>déclarée</t>
        </is>
      </c>
      <c r="F7" t="inlineStr">
        <is>
          <t>S05</t>
        </is>
      </c>
      <c r="G7" t="inlineStr"/>
    </row>
    <row r="8">
      <c r="A8" t="inlineStr">
        <is>
          <t>A-SEN-001</t>
        </is>
      </c>
      <c r="B8" t="inlineStr">
        <is>
          <t>tarif</t>
        </is>
      </c>
      <c r="C8" t="n">
        <v>0.0398</v>
      </c>
      <c r="D8" t="inlineStr">
        <is>
          <t>EUR/kWh</t>
        </is>
      </c>
      <c r="E8" t="inlineStr">
        <is>
          <t>observée</t>
        </is>
      </c>
      <c r="F8" t="inlineStr">
        <is>
          <t>S06</t>
        </is>
      </c>
      <c r="G8" t="inlineStr">
        <is>
          <t>Engie/Meridiam/FONSIS</t>
        </is>
      </c>
    </row>
    <row r="9">
      <c r="A9" t="inlineStr">
        <is>
          <t>A-SEN-001</t>
        </is>
      </c>
      <c r="B9" t="inlineStr">
        <is>
          <t>annee_mise_en_service</t>
        </is>
      </c>
      <c r="C9" t="n">
        <v>2021</v>
      </c>
      <c r="D9" t="inlineStr">
        <is>
          <t>année</t>
        </is>
      </c>
      <c r="E9" t="inlineStr">
        <is>
          <t>déclarée</t>
        </is>
      </c>
      <c r="F9" t="inlineStr">
        <is>
          <t>S07</t>
        </is>
      </c>
      <c r="G9" t="inlineStr"/>
    </row>
    <row r="10">
      <c r="A10" t="inlineStr">
        <is>
          <t>A-SEN-002</t>
        </is>
      </c>
      <c r="B10" t="inlineStr">
        <is>
          <t>tarif</t>
        </is>
      </c>
      <c r="C10" t="n">
        <v>0.038</v>
      </c>
      <c r="D10" t="inlineStr">
        <is>
          <t>EUR/kWh</t>
        </is>
      </c>
      <c r="E10" t="inlineStr">
        <is>
          <t>observée</t>
        </is>
      </c>
      <c r="F10" t="inlineStr">
        <is>
          <t>S06</t>
        </is>
      </c>
      <c r="G10" t="inlineStr"/>
    </row>
    <row r="11">
      <c r="A11" t="inlineStr">
        <is>
          <t>A-SEN-002</t>
        </is>
      </c>
      <c r="B11" t="inlineStr">
        <is>
          <t>annee_mise_en_service</t>
        </is>
      </c>
      <c r="C11" t="n">
        <v>2021</v>
      </c>
      <c r="D11" t="inlineStr">
        <is>
          <t>année</t>
        </is>
      </c>
      <c r="E11" t="inlineStr">
        <is>
          <t>déclarée</t>
        </is>
      </c>
      <c r="F11" t="inlineStr">
        <is>
          <t>S07</t>
        </is>
      </c>
      <c r="G11" t="inlineStr"/>
    </row>
    <row r="12">
      <c r="A12" t="inlineStr">
        <is>
          <t>B-MLI-001</t>
        </is>
      </c>
      <c r="B12" t="inlineStr">
        <is>
          <t>puissance_mwp</t>
        </is>
      </c>
      <c r="C12" t="n">
        <v>30</v>
      </c>
      <c r="D12" t="inlineStr">
        <is>
          <t>MW</t>
        </is>
      </c>
      <c r="E12" t="inlineStr">
        <is>
          <t>déclarée</t>
        </is>
      </c>
      <c r="F12" t="inlineStr">
        <is>
          <t>S09</t>
        </is>
      </c>
      <c r="G12" t="inlineStr">
        <is>
          <t>DC/AC non précisé ; extension à 52 MW annoncée (phase II)</t>
        </is>
      </c>
    </row>
    <row r="13">
      <c r="A13" t="inlineStr">
        <is>
          <t>B-MLI-001</t>
        </is>
      </c>
      <c r="B13" t="inlineStr">
        <is>
          <t>stockage_mwh</t>
        </is>
      </c>
      <c r="C13" t="n">
        <v>15.4</v>
      </c>
      <c r="D13" t="inlineStr">
        <is>
          <t>MWh</t>
        </is>
      </c>
      <c r="E13" t="inlineStr">
        <is>
          <t>déclarée</t>
        </is>
      </c>
      <c r="F13" t="inlineStr">
        <is>
          <t>S09</t>
        </is>
      </c>
      <c r="G13" t="inlineStr">
        <is>
          <t>13,5 MWh dans l'annonce de 2019 (S08)</t>
        </is>
      </c>
    </row>
    <row r="14">
      <c r="A14" t="inlineStr">
        <is>
          <t>B-MLI-001</t>
        </is>
      </c>
      <c r="B14" t="inlineStr">
        <is>
          <t>capex_total</t>
        </is>
      </c>
      <c r="C14" t="n">
        <v>38000000</v>
      </c>
      <c r="D14" t="inlineStr">
        <is>
          <t>USD</t>
        </is>
      </c>
      <c r="E14" t="inlineStr">
        <is>
          <t>déclarée</t>
        </is>
      </c>
      <c r="F14" t="inlineStr">
        <is>
          <t>S08</t>
        </is>
      </c>
      <c r="G14" t="inlineStr">
        <is>
          <t>Budget approuvé en 2019, pas le coût final</t>
        </is>
      </c>
    </row>
    <row r="15">
      <c r="A15" t="inlineStr">
        <is>
          <t>B-MLI-001</t>
        </is>
      </c>
      <c r="B15" t="inlineStr">
        <is>
          <t>fioul_evite</t>
        </is>
      </c>
      <c r="C15" t="n">
        <v>13100000</v>
      </c>
      <c r="D15" t="inlineStr">
        <is>
          <t>l/an</t>
        </is>
      </c>
      <c r="E15" t="inlineStr">
        <is>
          <t>déclarée</t>
        </is>
      </c>
      <c r="F15" t="inlineStr">
        <is>
          <t>S08</t>
        </is>
      </c>
      <c r="G15" t="inlineStr">
        <is>
          <t>Prévision ; ~13 Ml rapportés pour 2024 par la presse</t>
        </is>
      </c>
    </row>
    <row r="16">
      <c r="A16" t="inlineStr">
        <is>
          <t>B-MRT-001</t>
        </is>
      </c>
      <c r="B16" t="inlineStr">
        <is>
          <t>puissance_mwp</t>
        </is>
      </c>
      <c r="C16" t="n">
        <v>34</v>
      </c>
      <c r="D16" t="inlineStr">
        <is>
          <t>MW</t>
        </is>
      </c>
      <c r="E16" t="inlineStr">
        <is>
          <t>déclarée</t>
        </is>
      </c>
      <c r="F16" t="inlineStr">
        <is>
          <t>S10</t>
        </is>
      </c>
      <c r="G16" t="inlineStr">
        <is>
          <t>DC/AC non précisé</t>
        </is>
      </c>
    </row>
    <row r="17">
      <c r="A17" t="inlineStr">
        <is>
          <t>B-MRT-001</t>
        </is>
      </c>
      <c r="B17" t="inlineStr">
        <is>
          <t>batterie_mw</t>
        </is>
      </c>
      <c r="C17" t="n">
        <v>18</v>
      </c>
      <c r="D17" t="inlineStr">
        <is>
          <t>MW</t>
        </is>
      </c>
      <c r="E17" t="inlineStr">
        <is>
          <t>déclarée</t>
        </is>
      </c>
      <c r="F17" t="inlineStr">
        <is>
          <t>S10</t>
        </is>
      </c>
      <c r="G17" t="inlineStr">
        <is>
          <t>Puissance de la batterie, pas son énergie (MWh inconnus)</t>
        </is>
      </c>
    </row>
    <row r="18">
      <c r="A18" t="inlineStr">
        <is>
          <t>B-MRT-001</t>
        </is>
      </c>
      <c r="B18" t="inlineStr">
        <is>
          <t>capex_total</t>
        </is>
      </c>
      <c r="C18" t="n">
        <v>55000000</v>
      </c>
      <c r="D18" t="inlineStr">
        <is>
          <t>USD</t>
        </is>
      </c>
      <c r="E18" t="inlineStr">
        <is>
          <t>déclarée</t>
        </is>
      </c>
      <c r="F18" t="inlineStr">
        <is>
          <t>S10</t>
        </is>
      </c>
      <c r="G18" t="inlineStr">
        <is>
          <t>Annonce de 2022, pas le coût final</t>
        </is>
      </c>
    </row>
    <row r="19">
      <c r="A19" t="inlineStr">
        <is>
          <t>B-MRT-001</t>
        </is>
      </c>
      <c r="B19" t="inlineStr">
        <is>
          <t>annee_mise_en_service</t>
        </is>
      </c>
      <c r="C19" t="n">
        <v>2023</v>
      </c>
      <c r="D19" t="inlineStr">
        <is>
          <t>année</t>
        </is>
      </c>
      <c r="E19" t="inlineStr">
        <is>
          <t>déclarée</t>
        </is>
      </c>
      <c r="F19" t="inlineStr">
        <is>
          <t>S11</t>
        </is>
      </c>
      <c r="G19" t="inlineStr">
        <is>
          <t>Premier courant solaire déc. 2023</t>
        </is>
      </c>
    </row>
    <row r="20">
      <c r="A20" t="inlineStr">
        <is>
          <t>C-COD-001</t>
        </is>
      </c>
      <c r="B20" t="inlineStr">
        <is>
          <t>puissance_mwp</t>
        </is>
      </c>
      <c r="C20" t="n">
        <v>1.3</v>
      </c>
      <c r="D20" t="inlineStr">
        <is>
          <t>MW</t>
        </is>
      </c>
      <c r="E20" t="inlineStr">
        <is>
          <t>déclarée</t>
        </is>
      </c>
      <c r="F20" t="inlineStr">
        <is>
          <t>S12</t>
        </is>
      </c>
      <c r="G20" t="inlineStr">
        <is>
          <t>DC/AC non précisé</t>
        </is>
      </c>
    </row>
    <row r="21">
      <c r="A21" t="inlineStr">
        <is>
          <t>C-COD-001</t>
        </is>
      </c>
      <c r="B21" t="inlineStr">
        <is>
          <t>annee_mise_en_service</t>
        </is>
      </c>
      <c r="C21" t="n">
        <v>2020</v>
      </c>
      <c r="D21" t="inlineStr">
        <is>
          <t>année</t>
        </is>
      </c>
      <c r="E21" t="inlineStr">
        <is>
          <t>déclarée</t>
        </is>
      </c>
      <c r="F21" t="inlineStr">
        <is>
          <t>S12</t>
        </is>
      </c>
      <c r="G21" t="inlineStr">
        <is>
          <t>Inauguration le 4 février 2020</t>
        </is>
      </c>
    </row>
  </sheetData>
  <dataValidations count="1">
    <dataValidation sqref="E2:E2000" showDropDown="0" showInputMessage="0" showErrorMessage="0" allowBlank="1" type="list">
      <formula1>"observée,déclarée,modélisée,non disponible"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60" customWidth="1" min="5" max="5"/>
    <col width="13" customWidth="1" min="6" max="6"/>
    <col width="60" customWidth="1" min="7" max="7"/>
  </cols>
  <sheetData>
    <row r="1">
      <c r="A1" s="2" t="inlineStr">
        <is>
          <t>source_id</t>
        </is>
      </c>
      <c r="B1" s="2" t="inlineStr">
        <is>
          <t>organisme</t>
        </is>
      </c>
      <c r="C1" s="2" t="inlineStr">
        <is>
          <t>titre</t>
        </is>
      </c>
      <c r="D1" s="2" t="inlineStr">
        <is>
          <t>année</t>
        </is>
      </c>
      <c r="E1" s="2" t="inlineStr">
        <is>
          <t>url</t>
        </is>
      </c>
      <c r="F1" s="2" t="inlineStr">
        <is>
          <t>fiabilité</t>
        </is>
      </c>
      <c r="G1" s="2" t="inlineStr">
        <is>
          <t>contenu utilisé</t>
        </is>
      </c>
    </row>
    <row r="2">
      <c r="A2" t="inlineStr">
        <is>
          <t>S01</t>
        </is>
      </c>
      <c r="B2" t="inlineStr">
        <is>
          <t>IRENA</t>
        </is>
      </c>
      <c r="C2" t="inlineStr">
        <is>
          <t>Renewable Power Generation Costs in 2024 — Summary</t>
        </is>
      </c>
      <c r="D2" t="n">
        <v>2025</v>
      </c>
      <c r="E2" t="inlineStr">
        <is>
          <t>https://www.irena.org/-/media/Files/IRENA/Agency/Publication/2025/Jul/IRENA_TEC_RPGC_in_2024_Summary_2025.pdf</t>
        </is>
      </c>
      <c r="F2" t="inlineStr">
        <is>
          <t>A</t>
        </is>
      </c>
      <c r="G2" t="inlineStr">
        <is>
          <t>WACC supposé 3,8 % (Europe) à 12 % (Afrique) ; LCOE solaire mondial 0,043 USD/kWh</t>
        </is>
      </c>
    </row>
    <row r="3">
      <c r="A3" t="inlineStr">
        <is>
          <t>S02</t>
        </is>
      </c>
      <c r="B3" t="inlineStr">
        <is>
          <t>pv magazine</t>
        </is>
      </c>
      <c r="C3" t="inlineStr">
        <is>
          <t>Global average solar LCOE stood at $0.043/kWh in 2024, says IRENA</t>
        </is>
      </c>
      <c r="D3" t="n">
        <v>2025</v>
      </c>
      <c r="E3" t="inlineStr">
        <is>
          <t>https://www.pv-magazine.com/2025/07/23/global-average-solar-lcoe-stood-at-0-043-kwh-in-2024-says-irena/</t>
        </is>
      </c>
      <c r="F3" t="inlineStr">
        <is>
          <t>C</t>
        </is>
      </c>
      <c r="G3" t="inlineStr">
        <is>
          <t>Coût d'installation moyen Afrique 2024 : 1 093 USD/kW (cite IRENA)</t>
        </is>
      </c>
    </row>
    <row r="4">
      <c r="A4" t="inlineStr">
        <is>
          <t>S03</t>
        </is>
      </c>
      <c r="B4" t="inlineStr">
        <is>
          <t>Banque mondiale</t>
        </is>
      </c>
      <c r="C4" t="inlineStr">
        <is>
          <t>Unlocking low-cost, large-scale solar power in Zambia</t>
        </is>
      </c>
      <c r="D4" t="n">
        <v>2019</v>
      </c>
      <c r="E4" t="inlineStr">
        <is>
          <t>https://www.worldbank.org/en/news/feature/2019/05/14/unlocking-low-cost-large-scale-solar-power-in-zambia</t>
        </is>
      </c>
      <c r="F4" t="inlineStr">
        <is>
          <t>B</t>
        </is>
      </c>
      <c r="G4" t="inlineStr">
        <is>
          <t>Bangweulu 54 MW selon cette source</t>
        </is>
      </c>
    </row>
    <row r="5">
      <c r="A5" t="inlineStr">
        <is>
          <t>S04</t>
        </is>
      </c>
      <c r="B5" t="inlineStr">
        <is>
          <t>pv-tech</t>
        </is>
      </c>
      <c r="C5" t="inlineStr">
        <is>
          <t>IFC Zambia solar auction sees record-low 6¢ price benchmark</t>
        </is>
      </c>
      <c r="D5" t="n">
        <v>2016</v>
      </c>
      <c r="E5" t="inlineStr">
        <is>
          <t>https://www.pv-tech.org/news/ifc-zambia-solar-auction-sees-record-low-6-price-benchmark</t>
        </is>
      </c>
      <c r="F5" t="inlineStr">
        <is>
          <t>C</t>
        </is>
      </c>
      <c r="G5" t="inlineStr">
        <is>
          <t>Tarifs 6,015 et 7,84 USc/kWh</t>
        </is>
      </c>
    </row>
    <row r="6">
      <c r="A6" t="inlineStr">
        <is>
          <t>S05</t>
        </is>
      </c>
      <c r="B6" t="inlineStr">
        <is>
          <t>BloombergNEF Climatescope (via résumé de recherche, page non ouverte)</t>
        </is>
      </c>
      <c r="C6" t="inlineStr">
        <is>
          <t>Zambia market profile</t>
        </is>
      </c>
      <c r="D6" t="n">
        <v>2022</v>
      </c>
      <c r="E6" t="inlineStr">
        <is>
          <t>https://2022.global-climatescope.org/markets/zm/</t>
        </is>
      </c>
      <c r="F6" t="inlineStr">
        <is>
          <t>C</t>
        </is>
      </c>
      <c r="G6" t="inlineStr">
        <is>
          <t>Ngonye 34 MW, Bangweulu 56 MW, mise en service 2019</t>
        </is>
      </c>
    </row>
    <row r="7">
      <c r="A7" t="inlineStr">
        <is>
          <t>S06</t>
        </is>
      </c>
      <c r="B7" t="inlineStr">
        <is>
          <t>IFC</t>
        </is>
      </c>
      <c r="C7" t="inlineStr">
        <is>
          <t>Senegal Scaling Solar PPP brief</t>
        </is>
      </c>
      <c r="D7" t="n">
        <v>2021</v>
      </c>
      <c r="E7" t="inlineStr">
        <is>
          <t>https://www.ifc.org/content/dam/ifc/doc/2021/2021-senegal-scaling-solar-ppp-brief.pdf</t>
        </is>
      </c>
      <c r="F7" t="inlineStr">
        <is>
          <t>B</t>
        </is>
      </c>
      <c r="G7" t="inlineStr">
        <is>
          <t>Kahone 3,80 et Kael 3,98 c EUR/kWh, appel d'offres avril 2018</t>
        </is>
      </c>
    </row>
    <row r="8">
      <c r="A8" t="inlineStr">
        <is>
          <t>S07</t>
        </is>
      </c>
      <c r="B8" t="inlineStr">
        <is>
          <t>IFC</t>
        </is>
      </c>
      <c r="C8" t="inlineStr">
        <is>
          <t>Scaling Solar: two PV plants bring clean energy to more than 500,000 in Senegal</t>
        </is>
      </c>
      <c r="D8" t="n">
        <v>2021</v>
      </c>
      <c r="E8" t="inlineStr">
        <is>
          <t>https://www.ifc.org/en/pressroom/2021/scaling-solar-two-pv-plants-bring-clean-energy-to-more-than-500000-in-senegal</t>
        </is>
      </c>
      <c r="F8" t="inlineStr">
        <is>
          <t>B</t>
        </is>
      </c>
      <c r="G8" t="inlineStr">
        <is>
          <t>Mise en service mai 2021, 60 MWac au total, Engie/Meridiam/FONSIS</t>
        </is>
      </c>
    </row>
    <row r="9">
      <c r="A9" t="inlineStr">
        <is>
          <t>S08</t>
        </is>
      </c>
      <c r="B9" t="inlineStr">
        <is>
          <t>Mining Weekly</t>
        </is>
      </c>
      <c r="C9" t="inlineStr">
        <is>
          <t>B2Gold approves $38m hybrid energy project for Mali mine</t>
        </is>
      </c>
      <c r="D9" t="n">
        <v>2019</v>
      </c>
      <c r="E9" t="inlineStr">
        <is>
          <t>https://www.miningweekly.com/article/b2gold-approves-3m-hybrid-energy-project-for-mali-mine-2019-10-14</t>
        </is>
      </c>
      <c r="F9" t="inlineStr">
        <is>
          <t>C</t>
        </is>
      </c>
      <c r="G9" t="inlineStr">
        <is>
          <t>Fekola : budget approuvé 38 M USD ; 13,1 Ml de fioul lourd évités par an (prévision)</t>
        </is>
      </c>
    </row>
    <row r="10">
      <c r="A10" t="inlineStr">
        <is>
          <t>S09</t>
        </is>
      </c>
      <c r="B10" t="inlineStr">
        <is>
          <t>Africa Energy Portal</t>
        </is>
      </c>
      <c r="C10" t="inlineStr">
        <is>
          <t>Malian gold mine powered by 30 MW/15.4 MWh solar-plus-storage</t>
        </is>
      </c>
      <c r="E10" t="inlineStr">
        <is>
          <t>https://africa-energy-portal.org/news/malian-gold-mine-powered-30-mw154-mwh-solar-plus-storage</t>
        </is>
      </c>
      <c r="F10" t="inlineStr">
        <is>
          <t>C</t>
        </is>
      </c>
      <c r="G10" t="inlineStr">
        <is>
          <t>Fekola : 30 MW / 15,4 MWh construits (13,5 MWh annoncés initialement)</t>
        </is>
      </c>
    </row>
    <row r="11">
      <c r="A11" t="inlineStr">
        <is>
          <t>S10</t>
        </is>
      </c>
      <c r="B11" t="inlineStr">
        <is>
          <t>Mining Weekly</t>
        </is>
      </c>
      <c r="C11" t="inlineStr">
        <is>
          <t>Kinross makes $55m solar investment at Tasiast</t>
        </is>
      </c>
      <c r="D11" t="n">
        <v>2022</v>
      </c>
      <c r="E11" t="inlineStr">
        <is>
          <t>https://www.miningweekly.com/article/kinross-makes-55m-solar-investment-at-tasiast-2022-02-17</t>
        </is>
      </c>
      <c r="F11" t="inlineStr">
        <is>
          <t>C</t>
        </is>
      </c>
      <c r="G11" t="inlineStr">
        <is>
          <t>Tasiast : 55 M USD, 34 MW PV, batterie 18 MW, ~20 % des besoins du site</t>
        </is>
      </c>
    </row>
    <row r="12">
      <c r="A12" t="inlineStr">
        <is>
          <t>S11</t>
        </is>
      </c>
      <c r="B12" t="inlineStr">
        <is>
          <t>Engineering News</t>
        </is>
      </c>
      <c r="C12" t="inlineStr">
        <is>
          <t>Tasiast solar project, Mauritania – update</t>
        </is>
      </c>
      <c r="D12" t="n">
        <v>2024</v>
      </c>
      <c r="E12" t="inlineStr">
        <is>
          <t>https://www.engineeringnews.co.za/article/tasiastsolar-project-mauritania-update-2024-02-23</t>
        </is>
      </c>
      <c r="F12" t="inlineStr">
        <is>
          <t>C</t>
        </is>
      </c>
      <c r="G12" t="inlineStr">
        <is>
          <t>Premier courant solaire en décembre 2023 ; mise en service batterie/EMS début 2024</t>
        </is>
      </c>
    </row>
    <row r="13">
      <c r="A13" t="inlineStr">
        <is>
          <t>S12</t>
        </is>
      </c>
      <c r="B13" t="inlineStr">
        <is>
          <t>Afrik 21</t>
        </is>
      </c>
      <c r="C13" t="inlineStr">
        <is>
          <t>DRC: Nuru connects 1.3 MW solar off-grid hybrid in Goma</t>
        </is>
      </c>
      <c r="D13" t="n">
        <v>2020</v>
      </c>
      <c r="E13" t="inlineStr">
        <is>
          <t>https://afrik21.africa/en/drc-nuru-connects-1-3-mw-solar-off-grid-hybrid-in-goma</t>
        </is>
      </c>
      <c r="F13" t="inlineStr">
        <is>
          <t>C</t>
        </is>
      </c>
      <c r="G13" t="inlineStr">
        <is>
          <t>Goma (Ndosho) : 1,3 MW, batteries, ~364 kW de groupes de secours, inauguré le 4 février 2020</t>
        </is>
      </c>
    </row>
    <row r="14">
      <c r="A14" t="inlineStr">
        <is>
          <t>S13</t>
        </is>
      </c>
      <c r="B14" t="inlineStr">
        <is>
          <t>BloombergNEF / SEforALL</t>
        </is>
      </c>
      <c r="C14" t="inlineStr">
        <is>
          <t>State of the Global Mini-grids Market Report 2020</t>
        </is>
      </c>
      <c r="D14" t="n">
        <v>2020</v>
      </c>
      <c r="E14" t="inlineStr">
        <is>
          <t>https://about.bnef.com/insights/clean-energy/solar-mini-grids-set-to-play-critical-role-in-achieving-universal-electricity-access-with-right-policy-support/</t>
        </is>
      </c>
      <c r="F14" t="inlineStr">
        <is>
          <t>B</t>
        </is>
      </c>
      <c r="G14" t="inlineStr">
        <is>
          <t>LCOE des mini-réseaux solaires hybrides isolés : 0,49 à 0,68 USD/kWh (6 pays étudiés)</t>
        </is>
      </c>
    </row>
    <row r="15">
      <c r="A15" t="inlineStr">
        <is>
          <t>S14</t>
        </is>
      </c>
      <c r="B15" t="inlineStr">
        <is>
          <t>ESMAP / Banque mondiale</t>
        </is>
      </c>
      <c r="C15" t="inlineStr">
        <is>
          <t>Mini Grids for Half a Billion People (2019)</t>
        </is>
      </c>
      <c r="D15" t="n">
        <v>2019</v>
      </c>
      <c r="E15" t="inlineStr">
        <is>
          <t>https://www1.villanova.edu/content/dam/villanova/engineering/energy-workshop/ESMAP%20Mini%20Grids%20-%20Executive%20Summary.pdf</t>
        </is>
      </c>
      <c r="F15" t="inlineStr">
        <is>
          <t>B</t>
        </is>
      </c>
      <c r="G15" t="inlineStr">
        <is>
          <t>Objectif : 0,20 USD/kWh pour les mini-réseaux solaires hybrides d'ici 2030 (projection)</t>
        </is>
      </c>
    </row>
    <row r="16">
      <c r="A16" t="inlineStr">
        <is>
          <t>S15</t>
        </is>
      </c>
      <c r="B16" t="inlineStr">
        <is>
          <t>IRENA</t>
        </is>
      </c>
      <c r="C16" t="inlineStr">
        <is>
          <t>Renewable Power Generation Costs in 2024 (rapport complet)</t>
        </is>
      </c>
      <c r="D16" t="n">
        <v>2025</v>
      </c>
      <c r="E16" t="inlineStr">
        <is>
          <t>https://www.irena.org/-/media/Files/IRENA/Agency/Publication/2025/Jul/IRENA_TEC_RPGC_in_2024_2025.pdf</t>
        </is>
      </c>
      <c r="F16" t="inlineStr">
        <is>
          <t>A</t>
        </is>
      </c>
      <c r="G16" t="inlineStr">
        <is>
          <t>Afrique PV : LCOE 0,074 (2024) / 0,225 (2015) USD2024/kWh, Table 3.3 p. 106 ; coût d'installation 1 093 (2024) / 3 437 (2015) USD2024/kW, Table 3.1 p. 95 ; WACC PV 12 %, fig. 1.13 p. 41</t>
        </is>
      </c>
    </row>
    <row r="17">
      <c r="A17" t="inlineStr">
        <is>
          <t>S16</t>
        </is>
      </c>
      <c r="B17" t="inlineStr">
        <is>
          <t>IRENA</t>
        </is>
      </c>
      <c r="C17" t="inlineStr">
        <is>
          <t>Renewable Power Generation Costs in 2025 (rapport complet)</t>
        </is>
      </c>
      <c r="D17" t="n">
        <v>2026</v>
      </c>
      <c r="E17" t="inlineStr">
        <is>
          <t>https://www.irena.org/-/media/Files/IRENA/Agency/Publication/2026/Jul/IRENA_TEC_RPGC_in_2025_2026.pdf</t>
        </is>
      </c>
      <c r="F17" t="inlineStr">
        <is>
          <t>A</t>
        </is>
      </c>
      <c r="G17" t="inlineStr">
        <is>
          <t>Afrique PV : coût d'installation 837 (2025) / 3 520 (2015) USD2025/kW, Table 3.1 p. 62 ; LCOE 52 (2025) / 222 (2015) USD2025/MWh, Table 3.2 p. 71</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12" customWidth="1" min="3" max="3"/>
    <col width="12" customWidth="1" min="4" max="4"/>
    <col width="12" customWidth="1" min="5" max="5"/>
    <col width="12" customWidth="1" min="6" max="6"/>
    <col width="13" customWidth="1" min="7" max="7"/>
  </cols>
  <sheetData>
    <row r="1">
      <c r="A1" s="2" t="inlineStr">
        <is>
          <t>volet</t>
        </is>
      </c>
      <c r="B1" s="2" t="inlineStr">
        <is>
          <t>indicateur</t>
        </is>
      </c>
      <c r="C1" s="2" t="inlineStr">
        <is>
          <t>valeur</t>
        </is>
      </c>
      <c r="D1" s="2" t="inlineStr">
        <is>
          <t>unité</t>
        </is>
      </c>
      <c r="E1" s="2" t="inlineStr">
        <is>
          <t>année</t>
        </is>
      </c>
      <c r="F1" s="2" t="inlineStr">
        <is>
          <t>type</t>
        </is>
      </c>
      <c r="G1" s="2" t="inlineStr">
        <is>
          <t>source_id</t>
        </is>
      </c>
    </row>
    <row r="2">
      <c r="A2" t="inlineStr">
        <is>
          <t>A</t>
        </is>
      </c>
      <c r="B2" t="inlineStr">
        <is>
          <t>LCOE moyen pondéré PV, monde</t>
        </is>
      </c>
      <c r="C2" t="n">
        <v>43</v>
      </c>
      <c r="D2" t="inlineStr">
        <is>
          <t>USD/MWh</t>
        </is>
      </c>
      <c r="E2" t="n">
        <v>2024</v>
      </c>
      <c r="F2" t="inlineStr">
        <is>
          <t>observée (agrégat)</t>
        </is>
      </c>
      <c r="G2" t="inlineStr">
        <is>
          <t>S01</t>
        </is>
      </c>
    </row>
    <row r="3">
      <c r="A3" t="inlineStr">
        <is>
          <t>A</t>
        </is>
      </c>
      <c r="B3" t="inlineStr">
        <is>
          <t>IRENA RPGC 2024 — LCOE moyen pondéré PV, Afrique (USD 2024)</t>
        </is>
      </c>
      <c r="C3" t="n">
        <v>74</v>
      </c>
      <c r="D3" t="inlineStr">
        <is>
          <t>USD/MWh</t>
        </is>
      </c>
      <c r="E3" t="n">
        <v>2024</v>
      </c>
      <c r="F3" t="inlineStr">
        <is>
          <t>observée (agrégat)</t>
        </is>
      </c>
      <c r="G3" t="inlineStr">
        <is>
          <t>S15</t>
        </is>
      </c>
    </row>
    <row r="4">
      <c r="A4" t="inlineStr">
        <is>
          <t>A</t>
        </is>
      </c>
      <c r="B4" t="inlineStr">
        <is>
          <t>IRENA RPGC 2024 — LCOE moyen pondéré PV, Afrique (USD 2024)</t>
        </is>
      </c>
      <c r="C4" t="n">
        <v>225</v>
      </c>
      <c r="D4" t="inlineStr">
        <is>
          <t>USD/MWh</t>
        </is>
      </c>
      <c r="E4" t="n">
        <v>2015</v>
      </c>
      <c r="F4" t="inlineStr">
        <is>
          <t>observée (agrégat)</t>
        </is>
      </c>
      <c r="G4" t="inlineStr">
        <is>
          <t>S15</t>
        </is>
      </c>
    </row>
    <row r="5">
      <c r="A5" t="inlineStr">
        <is>
          <t>A</t>
        </is>
      </c>
      <c r="B5" t="inlineStr">
        <is>
          <t>IRENA RPGC 2024 — LCOE PV Afrique, 5e percentile</t>
        </is>
      </c>
      <c r="C5" t="n">
        <v>49</v>
      </c>
      <c r="D5" t="inlineStr">
        <is>
          <t>USD/MWh</t>
        </is>
      </c>
      <c r="E5" t="n">
        <v>2024</v>
      </c>
      <c r="F5" t="inlineStr">
        <is>
          <t>observée (agrégat)</t>
        </is>
      </c>
      <c r="G5" t="inlineStr">
        <is>
          <t>S15</t>
        </is>
      </c>
    </row>
    <row r="6">
      <c r="A6" t="inlineStr">
        <is>
          <t>A</t>
        </is>
      </c>
      <c r="B6" t="inlineStr">
        <is>
          <t>IRENA RPGC 2024 — LCOE PV Afrique, 95e percentile</t>
        </is>
      </c>
      <c r="C6" t="n">
        <v>186</v>
      </c>
      <c r="D6" t="inlineStr">
        <is>
          <t>USD/MWh</t>
        </is>
      </c>
      <c r="E6" t="n">
        <v>2024</v>
      </c>
      <c r="F6" t="inlineStr">
        <is>
          <t>observée (agrégat)</t>
        </is>
      </c>
      <c r="G6" t="inlineStr">
        <is>
          <t>S15</t>
        </is>
      </c>
    </row>
    <row r="7">
      <c r="A7" t="inlineStr">
        <is>
          <t>A</t>
        </is>
      </c>
      <c r="B7" t="inlineStr">
        <is>
          <t>IRENA RPGC 2024 — coût d'installation PV, Afrique (USD 2024)</t>
        </is>
      </c>
      <c r="C7" t="n">
        <v>1093</v>
      </c>
      <c r="D7" t="inlineStr">
        <is>
          <t>USD/kW</t>
        </is>
      </c>
      <c r="E7" t="n">
        <v>2024</v>
      </c>
      <c r="F7" t="inlineStr">
        <is>
          <t>observée (agrégat)</t>
        </is>
      </c>
      <c r="G7" t="inlineStr">
        <is>
          <t>S15</t>
        </is>
      </c>
    </row>
    <row r="8">
      <c r="A8" t="inlineStr">
        <is>
          <t>A</t>
        </is>
      </c>
      <c r="B8" t="inlineStr">
        <is>
          <t>IRENA RPGC 2024 — coût d'installation PV, Afrique (USD 2024)</t>
        </is>
      </c>
      <c r="C8" t="n">
        <v>3437</v>
      </c>
      <c r="D8" t="inlineStr">
        <is>
          <t>USD/kW</t>
        </is>
      </c>
      <c r="E8" t="n">
        <v>2015</v>
      </c>
      <c r="F8" t="inlineStr">
        <is>
          <t>observée (agrégat)</t>
        </is>
      </c>
      <c r="G8" t="inlineStr">
        <is>
          <t>S15</t>
        </is>
      </c>
    </row>
    <row r="9">
      <c r="A9" t="inlineStr">
        <is>
          <t>A</t>
        </is>
      </c>
      <c r="B9" t="inlineStr">
        <is>
          <t>IRENA RPGC 2024 — WACC réel supposé, PV Afrique</t>
        </is>
      </c>
      <c r="C9" t="n">
        <v>0.12</v>
      </c>
      <c r="D9" t="inlineStr">
        <is>
          <t>%</t>
        </is>
      </c>
      <c r="E9" t="n">
        <v>2024</v>
      </c>
      <c r="F9" t="inlineStr">
        <is>
          <t>hypothèse IRENA</t>
        </is>
      </c>
      <c r="G9" t="inlineStr">
        <is>
          <t>S15</t>
        </is>
      </c>
    </row>
    <row r="10">
      <c r="A10" t="inlineStr">
        <is>
          <t>A</t>
        </is>
      </c>
      <c r="B10" t="inlineStr">
        <is>
          <t>IRENA RPGC 2025 — LCOE moyen pondéré PV, Afrique (USD 2025)</t>
        </is>
      </c>
      <c r="C10" t="n">
        <v>52</v>
      </c>
      <c r="D10" t="inlineStr">
        <is>
          <t>USD/MWh</t>
        </is>
      </c>
      <c r="E10" t="n">
        <v>2025</v>
      </c>
      <c r="F10" t="inlineStr">
        <is>
          <t>observée (agrégat)</t>
        </is>
      </c>
      <c r="G10" t="inlineStr">
        <is>
          <t>S16</t>
        </is>
      </c>
    </row>
    <row r="11">
      <c r="A11" t="inlineStr">
        <is>
          <t>A</t>
        </is>
      </c>
      <c r="B11" t="inlineStr">
        <is>
          <t>IRENA RPGC 2025 — LCOE moyen pondéré PV, Afrique (USD 2025)</t>
        </is>
      </c>
      <c r="C11" t="n">
        <v>222</v>
      </c>
      <c r="D11" t="inlineStr">
        <is>
          <t>USD/MWh</t>
        </is>
      </c>
      <c r="E11" t="n">
        <v>2015</v>
      </c>
      <c r="F11" t="inlineStr">
        <is>
          <t>observée (agrégat)</t>
        </is>
      </c>
      <c r="G11" t="inlineStr">
        <is>
          <t>S16</t>
        </is>
      </c>
    </row>
    <row r="12">
      <c r="A12" t="inlineStr">
        <is>
          <t>A</t>
        </is>
      </c>
      <c r="B12" t="inlineStr">
        <is>
          <t>IRENA RPGC 2025 — coût d'installation PV, Afrique (USD 2025)</t>
        </is>
      </c>
      <c r="C12" t="n">
        <v>837</v>
      </c>
      <c r="D12" t="inlineStr">
        <is>
          <t>USD/kW</t>
        </is>
      </c>
      <c r="E12" t="n">
        <v>2025</v>
      </c>
      <c r="F12" t="inlineStr">
        <is>
          <t>observée (agrégat)</t>
        </is>
      </c>
      <c r="G12" t="inlineStr">
        <is>
          <t>S16</t>
        </is>
      </c>
    </row>
    <row r="13">
      <c r="A13" t="inlineStr">
        <is>
          <t>A</t>
        </is>
      </c>
      <c r="B13" t="inlineStr">
        <is>
          <t>IRENA RPGC 2025 — coût d'installation PV, Afrique (USD 2025)</t>
        </is>
      </c>
      <c r="C13" t="n">
        <v>3520</v>
      </c>
      <c r="D13" t="inlineStr">
        <is>
          <t>USD/kW</t>
        </is>
      </c>
      <c r="E13" t="n">
        <v>2015</v>
      </c>
      <c r="F13" t="inlineStr">
        <is>
          <t>observée (agrégat)</t>
        </is>
      </c>
      <c r="G13" t="inlineStr">
        <is>
          <t>S16</t>
        </is>
      </c>
    </row>
    <row r="14">
      <c r="A14" t="inlineStr">
        <is>
          <t>C</t>
        </is>
      </c>
      <c r="B14" t="inlineStr">
        <is>
          <t>LCOE mini-réseaux solaires hybrides isolés (min)</t>
        </is>
      </c>
      <c r="C14" t="n">
        <v>490</v>
      </c>
      <c r="D14" t="inlineStr">
        <is>
          <t>USD/MWh</t>
        </is>
      </c>
      <c r="E14" t="n">
        <v>2020</v>
      </c>
      <c r="F14" t="inlineStr">
        <is>
          <t>observée (étude)</t>
        </is>
      </c>
      <c r="G14" t="inlineStr">
        <is>
          <t>S13</t>
        </is>
      </c>
    </row>
    <row r="15">
      <c r="A15" t="inlineStr">
        <is>
          <t>C</t>
        </is>
      </c>
      <c r="B15" t="inlineStr">
        <is>
          <t>LCOE mini-réseaux solaires hybrides isolés (max)</t>
        </is>
      </c>
      <c r="C15" t="n">
        <v>680</v>
      </c>
      <c r="D15" t="inlineStr">
        <is>
          <t>USD/MWh</t>
        </is>
      </c>
      <c r="E15" t="n">
        <v>2020</v>
      </c>
      <c r="F15" t="inlineStr">
        <is>
          <t>observée (étude)</t>
        </is>
      </c>
      <c r="G15" t="inlineStr">
        <is>
          <t>S13</t>
        </is>
      </c>
    </row>
    <row r="16">
      <c r="A16" t="inlineStr">
        <is>
          <t>C</t>
        </is>
      </c>
      <c r="B16" t="inlineStr">
        <is>
          <t>Objectif LCOE mini-réseaux 2030</t>
        </is>
      </c>
      <c r="C16" t="n">
        <v>200</v>
      </c>
      <c r="D16" t="inlineStr">
        <is>
          <t>USD/MWh</t>
        </is>
      </c>
      <c r="E16" t="n">
        <v>2030</v>
      </c>
      <c r="F16" t="inlineStr">
        <is>
          <t>projection</t>
        </is>
      </c>
      <c r="G16" t="inlineStr">
        <is>
          <t>S14</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738"/>
  <sheetViews>
    <sheetView workbookViewId="0">
      <pane ySplit="2" topLeftCell="A3" activePane="bottomLeft" state="frozen"/>
      <selection pane="bottomLeft" activeCell="A1" sqref="A1"/>
    </sheetView>
  </sheetViews>
  <sheetFormatPr baseColWidth="8" defaultRowHeight="15"/>
  <cols>
    <col width="12" customWidth="1" min="1" max="1"/>
    <col width="12" customWidth="1" min="2" max="2"/>
    <col width="12" customWidth="1" min="3" max="3"/>
    <col width="13" customWidth="1" min="4" max="4"/>
    <col width="34" customWidth="1" min="5" max="5"/>
    <col width="12" customWidth="1" min="6" max="6"/>
    <col width="12" customWidth="1" min="7" max="7"/>
    <col width="12" customWidth="1" min="8" max="8"/>
    <col width="15" customWidth="1" min="9" max="9"/>
    <col width="16" customWidth="1" min="10" max="10"/>
    <col width="13" customWidth="1" min="11" max="11"/>
    <col width="16" customWidth="1" min="12" max="12"/>
    <col width="20" customWidth="1" min="13" max="13"/>
    <col width="16" customWidth="1" min="14" max="14"/>
    <col width="12" customWidth="1" min="15" max="15"/>
    <col width="15" customWidth="1" min="16" max="16"/>
    <col width="80" customWidth="1" min="17" max="17"/>
    <col width="12" customWidth="1" min="18" max="18"/>
  </cols>
  <sheetData>
    <row r="1">
      <c r="A1" s="3" t="inlineStr">
        <is>
          <t>Valeurs collectées par les agents dont la citation a été retrouvée dans la source retéléchargée (et, pour les chiffres, dont la valeur figure dans la citation). Vérification automatique, pas une relecture humaine.</t>
        </is>
      </c>
    </row>
    <row r="2">
      <c r="A2" s="2" t="inlineStr">
        <is>
          <t>usage</t>
        </is>
      </c>
      <c r="B2" s="2" t="inlineStr">
        <is>
          <t>tranche</t>
        </is>
      </c>
      <c r="C2" s="2" t="inlineStr">
        <is>
          <t>volet</t>
        </is>
      </c>
      <c r="D2" s="2" t="inlineStr">
        <is>
          <t>pays_iso3</t>
        </is>
      </c>
      <c r="E2" s="2" t="inlineStr">
        <is>
          <t>projet</t>
        </is>
      </c>
      <c r="F2" s="2" t="inlineStr">
        <is>
          <t>champ</t>
        </is>
      </c>
      <c r="G2" s="2" t="inlineStr">
        <is>
          <t>valeur</t>
        </is>
      </c>
      <c r="H2" s="2" t="inlineStr">
        <is>
          <t>unite</t>
        </is>
      </c>
      <c r="I2" s="2" t="inlineStr">
        <is>
          <t>type_donnee</t>
        </is>
      </c>
      <c r="J2" s="2" t="inlineStr">
        <is>
          <t>annee_valeur</t>
        </is>
      </c>
      <c r="K2" s="2" t="inlineStr">
        <is>
          <t>fiabilite</t>
        </is>
      </c>
      <c r="L2" s="2" t="inlineStr">
        <is>
          <t>verification</t>
        </is>
      </c>
      <c r="M2" s="2" t="inlineStr">
        <is>
          <t>source_organisme</t>
        </is>
      </c>
      <c r="N2" s="2" t="inlineStr">
        <is>
          <t>source_titre</t>
        </is>
      </c>
      <c r="O2" s="2" t="inlineStr">
        <is>
          <t>url</t>
        </is>
      </c>
      <c r="P2" s="2" t="inlineStr">
        <is>
          <t>date_source</t>
        </is>
      </c>
      <c r="Q2" s="2" t="inlineStr">
        <is>
          <t>citation</t>
        </is>
      </c>
      <c r="R2" s="2" t="inlineStr">
        <is>
          <t>note</t>
        </is>
      </c>
    </row>
    <row r="3">
      <c r="A3" t="inlineStr">
        <is>
          <t>retenu</t>
        </is>
      </c>
      <c r="B3" t="inlineStr">
        <is>
          <t>A_australe</t>
        </is>
      </c>
      <c r="C3" t="inlineStr">
        <is>
          <t>A</t>
        </is>
      </c>
      <c r="D3" t="inlineStr">
        <is>
          <t>ZAF</t>
        </is>
      </c>
      <c r="E3" t="inlineStr">
        <is>
          <t>REIPPPP BW1 - moyenne PV</t>
        </is>
      </c>
      <c r="F3" t="inlineStr">
        <is>
          <t>tarif</t>
        </is>
      </c>
      <c r="G3" t="n">
        <v>3.65</v>
      </c>
      <c r="H3" t="inlineStr">
        <is>
          <t>ZAR/kWh</t>
        </is>
      </c>
      <c r="I3" t="inlineStr">
        <is>
          <t>observée</t>
        </is>
      </c>
      <c r="K3" t="inlineStr">
        <is>
          <t>A</t>
        </is>
      </c>
      <c r="L3" t="inlineStr">
        <is>
          <t>citation_partielle</t>
        </is>
      </c>
      <c r="M3" t="inlineStr">
        <is>
          <t>Department of Energy / IPP Office (présentation au Portfolio Committee on Energy)</t>
        </is>
      </c>
      <c r="N3" t="inlineStr">
        <is>
          <t>Briefing on the South African Independent Power Producers Procurement Programme</t>
        </is>
      </c>
      <c r="O3" t="inlineStr">
        <is>
          <t>https://pmg.org.za/files/160823pcenergyIPPPresentation.pdf</t>
        </is>
      </c>
      <c r="P3" t="inlineStr">
        <is>
          <t>2016-08-23</t>
        </is>
      </c>
      <c r="Q3" t="inlineStr">
        <is>
          <t>RENEWABLE ENERGY DECREASING PRICE PATH solar photovoltaic price trend (R/kWh) [...] R 3,65 [...] R 2,18 [...] R 1,17 [...] R 0,91 BW 1 BW 2 BW 3 BW 4</t>
        </is>
      </c>
      <c r="R3" t="inlineStr">
        <is>
          <t>Graphique 'solar photovoltaic price trend'; année de base des Rands NON précisée sur la diapositive (probablement Rands indexés à une date de référence 2015/2016). Tarif moyen PV par fenêtre; '75% decrease' BW1-&gt;BW4.</t>
        </is>
      </c>
    </row>
    <row r="4">
      <c r="A4" t="inlineStr">
        <is>
          <t>retenu</t>
        </is>
      </c>
      <c r="B4" t="inlineStr">
        <is>
          <t>A_australe</t>
        </is>
      </c>
      <c r="C4" t="inlineStr">
        <is>
          <t>A</t>
        </is>
      </c>
      <c r="D4" t="inlineStr">
        <is>
          <t>ZAF</t>
        </is>
      </c>
      <c r="E4" t="inlineStr">
        <is>
          <t>REIPPPP BW2 - moyenne PV</t>
        </is>
      </c>
      <c r="F4" t="inlineStr">
        <is>
          <t>tarif</t>
        </is>
      </c>
      <c r="G4" t="n">
        <v>2.18</v>
      </c>
      <c r="H4" t="inlineStr">
        <is>
          <t>ZAR/kWh</t>
        </is>
      </c>
      <c r="I4" t="inlineStr">
        <is>
          <t>observée</t>
        </is>
      </c>
      <c r="K4" t="inlineStr">
        <is>
          <t>A</t>
        </is>
      </c>
      <c r="L4" t="inlineStr">
        <is>
          <t>citation_partielle</t>
        </is>
      </c>
      <c r="M4" t="inlineStr">
        <is>
          <t>Department of Energy / IPP Office (présentation au Portfolio Committee on Energy)</t>
        </is>
      </c>
      <c r="N4" t="inlineStr">
        <is>
          <t>Briefing on the South African Independent Power Producers Procurement Programme</t>
        </is>
      </c>
      <c r="O4" t="inlineStr">
        <is>
          <t>https://pmg.org.za/files/160823pcenergyIPPPresentation.pdf</t>
        </is>
      </c>
      <c r="P4" t="inlineStr">
        <is>
          <t>2016-08-23</t>
        </is>
      </c>
      <c r="Q4" t="inlineStr">
        <is>
          <t>RENEWABLE ENERGY DECREASING PRICE PATH solar photovoltaic price trend (R/kWh) [...] R 3,65 [...] R 2,18 [...] R 1,17 [...] R 0,91 BW 1 BW 2 BW 3 BW 4</t>
        </is>
      </c>
      <c r="R4" t="inlineStr">
        <is>
          <t>Graphique 'solar photovoltaic price trend'; année de base des Rands NON précisée sur la diapositive (probablement Rands indexés à une date de référence 2015/2016). Tarif moyen PV par fenêtre; '75% decrease' BW1-&gt;BW4.</t>
        </is>
      </c>
    </row>
    <row r="5">
      <c r="A5" t="inlineStr">
        <is>
          <t>retenu</t>
        </is>
      </c>
      <c r="B5" t="inlineStr">
        <is>
          <t>A_australe</t>
        </is>
      </c>
      <c r="C5" t="inlineStr">
        <is>
          <t>A</t>
        </is>
      </c>
      <c r="D5" t="inlineStr">
        <is>
          <t>ZAF</t>
        </is>
      </c>
      <c r="E5" t="inlineStr">
        <is>
          <t>REIPPPP BW3 - moyenne PV</t>
        </is>
      </c>
      <c r="F5" t="inlineStr">
        <is>
          <t>tarif</t>
        </is>
      </c>
      <c r="G5" t="n">
        <v>1.17</v>
      </c>
      <c r="H5" t="inlineStr">
        <is>
          <t>ZAR/kWh</t>
        </is>
      </c>
      <c r="I5" t="inlineStr">
        <is>
          <t>observée</t>
        </is>
      </c>
      <c r="K5" t="inlineStr">
        <is>
          <t>A</t>
        </is>
      </c>
      <c r="L5" t="inlineStr">
        <is>
          <t>citation_partielle</t>
        </is>
      </c>
      <c r="M5" t="inlineStr">
        <is>
          <t>Department of Energy / IPP Office (présentation au Portfolio Committee on Energy)</t>
        </is>
      </c>
      <c r="N5" t="inlineStr">
        <is>
          <t>Briefing on the South African Independent Power Producers Procurement Programme</t>
        </is>
      </c>
      <c r="O5" t="inlineStr">
        <is>
          <t>https://pmg.org.za/files/160823pcenergyIPPPresentation.pdf</t>
        </is>
      </c>
      <c r="P5" t="inlineStr">
        <is>
          <t>2016-08-23</t>
        </is>
      </c>
      <c r="Q5" t="inlineStr">
        <is>
          <t>RENEWABLE ENERGY DECREASING PRICE PATH solar photovoltaic price trend (R/kWh) [...] R 3,65 [...] R 2,18 [...] R 1,17 [...] R 0,91 BW 1 BW 2 BW 3 BW 4</t>
        </is>
      </c>
      <c r="R5" t="inlineStr">
        <is>
          <t>Graphique 'solar photovoltaic price trend'; année de base des Rands NON précisée sur la diapositive (probablement Rands indexés à une date de référence 2015/2016). Tarif moyen PV par fenêtre; '75% decrease' BW1-&gt;BW4.</t>
        </is>
      </c>
    </row>
    <row r="6">
      <c r="A6" t="inlineStr">
        <is>
          <t>retenu</t>
        </is>
      </c>
      <c r="B6" t="inlineStr">
        <is>
          <t>A_australe</t>
        </is>
      </c>
      <c r="C6" t="inlineStr">
        <is>
          <t>A</t>
        </is>
      </c>
      <c r="D6" t="inlineStr">
        <is>
          <t>ZAF</t>
        </is>
      </c>
      <c r="E6" t="inlineStr">
        <is>
          <t>REIPPPP BW4 - moyenne PV</t>
        </is>
      </c>
      <c r="F6" t="inlineStr">
        <is>
          <t>tarif</t>
        </is>
      </c>
      <c r="G6" t="n">
        <v>0.91</v>
      </c>
      <c r="H6" t="inlineStr">
        <is>
          <t>ZAR/kWh</t>
        </is>
      </c>
      <c r="I6" t="inlineStr">
        <is>
          <t>observée</t>
        </is>
      </c>
      <c r="K6" t="inlineStr">
        <is>
          <t>A</t>
        </is>
      </c>
      <c r="L6" t="inlineStr">
        <is>
          <t>citation_partielle</t>
        </is>
      </c>
      <c r="M6" t="inlineStr">
        <is>
          <t>Department of Energy / IPP Office (présentation au Portfolio Committee on Energy)</t>
        </is>
      </c>
      <c r="N6" t="inlineStr">
        <is>
          <t>Briefing on the South African Independent Power Producers Procurement Programme</t>
        </is>
      </c>
      <c r="O6" t="inlineStr">
        <is>
          <t>https://pmg.org.za/files/160823pcenergyIPPPresentation.pdf</t>
        </is>
      </c>
      <c r="P6" t="inlineStr">
        <is>
          <t>2016-08-23</t>
        </is>
      </c>
      <c r="Q6" t="inlineStr">
        <is>
          <t>RENEWABLE ENERGY DECREASING PRICE PATH solar photovoltaic price trend (R/kWh) [...] R 3,65 [...] R 2,18 [...] R 1,17 [...] R 0,91 BW 1 BW 2 BW 3 BW 4</t>
        </is>
      </c>
      <c r="R6" t="inlineStr">
        <is>
          <t>Graphique 'solar photovoltaic price trend'; année de base des Rands NON précisée sur la diapositive (probablement Rands indexés à une date de référence 2015/2016). Tarif moyen PV par fenêtre; '75% decrease' BW1-&gt;BW4.</t>
        </is>
      </c>
    </row>
    <row r="7">
      <c r="A7" t="inlineStr">
        <is>
          <t>retenu</t>
        </is>
      </c>
      <c r="B7" t="inlineStr">
        <is>
          <t>A_australe</t>
        </is>
      </c>
      <c r="C7" t="inlineStr">
        <is>
          <t>A</t>
        </is>
      </c>
      <c r="D7" t="inlineStr">
        <is>
          <t>ZAF</t>
        </is>
      </c>
      <c r="E7" t="inlineStr">
        <is>
          <t>REIPPPP BW5 - moyenne PV</t>
        </is>
      </c>
      <c r="F7" t="inlineStr">
        <is>
          <t>tarif</t>
        </is>
      </c>
      <c r="G7" t="n">
        <v>428.79</v>
      </c>
      <c r="H7" t="inlineStr">
        <is>
          <t>ZAR/MWh</t>
        </is>
      </c>
      <c r="I7" t="inlineStr">
        <is>
          <t>observée</t>
        </is>
      </c>
      <c r="K7" t="inlineStr">
        <is>
          <t>B</t>
        </is>
      </c>
      <c r="L7" t="inlineStr">
        <is>
          <t>confirmé</t>
        </is>
      </c>
      <c r="M7" t="inlineStr">
        <is>
          <t>SAPVIA (South African Photovoltaic Industry Association)</t>
        </is>
      </c>
      <c r="N7" t="inlineStr">
        <is>
          <t>SAPVIA celebrates industry's contribution... 13 solar PV projects named as preferred bidders in Bid Window 5</t>
        </is>
      </c>
      <c r="O7" t="inlineStr">
        <is>
          <t>https://sapvia.co.za/sapvia-celebrates-industrys-contribution-to-the-countrys-energy-plan-13-solar-pv-projects-named-as-preferred-bidders-in-bid-window-5/</t>
        </is>
      </c>
      <c r="P7" t="inlineStr">
        <is>
          <t>2021-11-04</t>
        </is>
      </c>
      <c r="Q7" t="inlineStr">
        <is>
          <t>Solar PV projects have a weighted average of R428.79/MWh and the lowest bid of R374.79/MWh.</t>
        </is>
      </c>
      <c r="R7" t="inlineStr">
        <is>
          <t>Moyenne pondérée des 13 lauréats PV BW5 (oct. 2021). Année de base non précisée. En conflit avec R454.23 cité par le ministère en 2022.</t>
        </is>
      </c>
    </row>
    <row r="8">
      <c r="A8" t="inlineStr">
        <is>
          <t>retenu</t>
        </is>
      </c>
      <c r="B8" t="inlineStr">
        <is>
          <t>A_australe</t>
        </is>
      </c>
      <c r="C8" t="inlineStr">
        <is>
          <t>A</t>
        </is>
      </c>
      <c r="D8" t="inlineStr">
        <is>
          <t>ZAF</t>
        </is>
      </c>
      <c r="E8" t="inlineStr">
        <is>
          <t>REIPPPP BW5 - plus bas tarif PV</t>
        </is>
      </c>
      <c r="F8" t="inlineStr">
        <is>
          <t>tarif</t>
        </is>
      </c>
      <c r="G8" t="n">
        <v>374.79</v>
      </c>
      <c r="H8" t="inlineStr">
        <is>
          <t>ZAR/MWh</t>
        </is>
      </c>
      <c r="I8" t="inlineStr">
        <is>
          <t>observée</t>
        </is>
      </c>
      <c r="K8" t="inlineStr">
        <is>
          <t>B</t>
        </is>
      </c>
      <c r="L8" t="inlineStr">
        <is>
          <t>confirmé</t>
        </is>
      </c>
      <c r="M8" t="inlineStr">
        <is>
          <t>SAPVIA</t>
        </is>
      </c>
      <c r="N8" t="inlineStr">
        <is>
          <t>SAPVIA celebrates ... Bid Window 5</t>
        </is>
      </c>
      <c r="O8" t="inlineStr">
        <is>
          <t>https://sapvia.co.za/sapvia-celebrates-industrys-contribution-to-the-countrys-energy-plan-13-solar-pv-projects-named-as-preferred-bidders-in-bid-window-5/</t>
        </is>
      </c>
      <c r="P8" t="inlineStr">
        <is>
          <t>2021-11-04</t>
        </is>
      </c>
      <c r="Q8" t="inlineStr">
        <is>
          <t>Solar PV projects have a weighted average of R428.79/MWh and the lowest bid of R374.79/MWh.</t>
        </is>
      </c>
      <c r="R8" t="inlineStr">
        <is>
          <t>Offre PV la plus basse BW5.</t>
        </is>
      </c>
    </row>
    <row r="9">
      <c r="A9" t="inlineStr">
        <is>
          <t>retenu</t>
        </is>
      </c>
      <c r="B9" t="inlineStr">
        <is>
          <t>A_australe</t>
        </is>
      </c>
      <c r="C9" t="inlineStr">
        <is>
          <t>A</t>
        </is>
      </c>
      <c r="D9" t="inlineStr">
        <is>
          <t>ZAF</t>
        </is>
      </c>
      <c r="E9" t="inlineStr">
        <is>
          <t>REIPPPP BW5 - moyenne PV</t>
        </is>
      </c>
      <c r="F9" t="inlineStr">
        <is>
          <t>tarif</t>
        </is>
      </c>
      <c r="G9" t="n">
        <v>454.23</v>
      </c>
      <c r="H9" t="inlineStr">
        <is>
          <t>ZAR (unité non précisée, vraisemblablement /MWh)</t>
        </is>
      </c>
      <c r="I9" t="inlineStr">
        <is>
          <t>observée</t>
        </is>
      </c>
      <c r="K9" t="inlineStr">
        <is>
          <t>A</t>
        </is>
      </c>
      <c r="L9" t="inlineStr">
        <is>
          <t>confirmé</t>
        </is>
      </c>
      <c r="M9" t="inlineStr">
        <is>
          <t>Gouvernement sud-africain (DMRE) - gov.za</t>
        </is>
      </c>
      <c r="N9" t="inlineStr">
        <is>
          <t>Minister Gwede Mantashe announces 5th Bid Window of Renewable Energy IPP Procurement Programme (REIPPPP Bid Window 5) [statement incluant résultats BW6]</t>
        </is>
      </c>
      <c r="O9" t="inlineStr">
        <is>
          <t>https://www.gov.za/node/817980</t>
        </is>
      </c>
      <c r="P9" t="inlineStr">
        <is>
          <t>2022-12-08</t>
        </is>
      </c>
      <c r="Q9" t="inlineStr">
        <is>
          <t>These 5 projects have achieved a weighted average tariff of R490.48 [...] from the tariffs achieved for Solar PV technologies during Bid Window 5 (R454.23).</t>
        </is>
      </c>
      <c r="R9" t="inlineStr">
        <is>
          <t>CONFLIT avec R428.79/MWh (SAPVIA, 2021). Possiblement autre base (indexation/actualisation, ou seulement projets signés). Unité non indiquée.</t>
        </is>
      </c>
    </row>
    <row r="10">
      <c r="A10" t="inlineStr">
        <is>
          <t>retenu</t>
        </is>
      </c>
      <c r="B10" t="inlineStr">
        <is>
          <t>A_australe</t>
        </is>
      </c>
      <c r="C10" t="inlineStr">
        <is>
          <t>A</t>
        </is>
      </c>
      <c r="D10" t="inlineStr">
        <is>
          <t>ZAF</t>
        </is>
      </c>
      <c r="E10" t="inlineStr">
        <is>
          <t>REIPPPP BW5 - ensemble PV</t>
        </is>
      </c>
      <c r="F10" t="inlineStr">
        <is>
          <t>puissance_mwac</t>
        </is>
      </c>
      <c r="G10" t="n">
        <v>975</v>
      </c>
      <c r="H10" t="inlineStr">
        <is>
          <t>MW (contractés)</t>
        </is>
      </c>
      <c r="I10" t="inlineStr">
        <is>
          <t>observée</t>
        </is>
      </c>
      <c r="K10" t="inlineStr">
        <is>
          <t>A</t>
        </is>
      </c>
      <c r="L10" t="inlineStr">
        <is>
          <t>confirmé</t>
        </is>
      </c>
      <c r="M10" t="inlineStr">
        <is>
          <t>Gouvernement sud-africain (DMRE) - gov.za</t>
        </is>
      </c>
      <c r="N10" t="inlineStr">
        <is>
          <t>Minister Gwede Mantashe announces 5th Bid Window of Renewable Energy IPP Procurement Programme (REIPPPP Bid Window 5) [statement incluant résultats BW6]</t>
        </is>
      </c>
      <c r="O10" t="inlineStr">
        <is>
          <t>https://www.gov.za/node/817980</t>
        </is>
      </c>
      <c r="P10" t="inlineStr">
        <is>
          <t>2022-12-08</t>
        </is>
      </c>
      <c r="Q10" t="inlineStr">
        <is>
          <t>Of this, 1608 MW will be procured from 12 Wind projects, and 975 MW from 13 Solar PV projects.</t>
        </is>
      </c>
      <c r="R10" t="inlineStr">
        <is>
          <t>13 projets PV de 75 MW chacun ('project unit sizes of 75MW each'); MW contractés = capacité AC à l'injection (DC/AC non précisé explicitement).</t>
        </is>
      </c>
    </row>
    <row r="11">
      <c r="A11" t="inlineStr">
        <is>
          <t>retenu</t>
        </is>
      </c>
      <c r="B11" t="inlineStr">
        <is>
          <t>A_australe</t>
        </is>
      </c>
      <c r="C11" t="inlineStr">
        <is>
          <t>A</t>
        </is>
      </c>
      <c r="D11" t="inlineStr">
        <is>
          <t>ZAF</t>
        </is>
      </c>
      <c r="E11" t="inlineStr">
        <is>
          <t>REIPPPP BW6 - moyenne PV</t>
        </is>
      </c>
      <c r="F11" t="inlineStr">
        <is>
          <t>tarif</t>
        </is>
      </c>
      <c r="G11" t="n">
        <v>490.48</v>
      </c>
      <c r="H11" t="inlineStr">
        <is>
          <t>ZAR (unité non précisée, vraisemblablement /MWh)</t>
        </is>
      </c>
      <c r="I11" t="inlineStr">
        <is>
          <t>observée</t>
        </is>
      </c>
      <c r="K11" t="inlineStr">
        <is>
          <t>A</t>
        </is>
      </c>
      <c r="L11" t="inlineStr">
        <is>
          <t>confirmé</t>
        </is>
      </c>
      <c r="M11" t="inlineStr">
        <is>
          <t>Gouvernement sud-africain (DMRE) - gov.za</t>
        </is>
      </c>
      <c r="N11" t="inlineStr">
        <is>
          <t>Minister Gwede Mantashe announces 5th Bid Window of Renewable Energy IPP Procurement Programme (REIPPPP Bid Window 5) [statement incluant résultats BW6]</t>
        </is>
      </c>
      <c r="O11" t="inlineStr">
        <is>
          <t>https://www.gov.za/node/817980</t>
        </is>
      </c>
      <c r="P11" t="inlineStr">
        <is>
          <t>2022-12-08</t>
        </is>
      </c>
      <c r="Q11" t="inlineStr">
        <is>
          <t>five (5) Solar PV projects have been appointed as Preferred Bidders, at a total of 860MW. [...] These 5 projects have achieved a weighted average tariff of R490.48</t>
        </is>
      </c>
      <c r="R11" t="inlineStr">
        <is>
          <t>Hausse de ~8% vs BW5 attribuée par le ministère à la hausse des coûts d'intrants.</t>
        </is>
      </c>
    </row>
    <row r="12">
      <c r="A12" t="inlineStr">
        <is>
          <t>retenu</t>
        </is>
      </c>
      <c r="B12" t="inlineStr">
        <is>
          <t>A_australe</t>
        </is>
      </c>
      <c r="C12" t="inlineStr">
        <is>
          <t>A</t>
        </is>
      </c>
      <c r="D12" t="inlineStr">
        <is>
          <t>ZAF</t>
        </is>
      </c>
      <c r="E12" t="inlineStr">
        <is>
          <t>Kutlwano Solar Power Plant</t>
        </is>
      </c>
      <c r="F12" t="inlineStr">
        <is>
          <t>tarif</t>
        </is>
      </c>
      <c r="G12" t="n">
        <v>469.5</v>
      </c>
      <c r="H12" t="inlineStr">
        <is>
          <t>ZAR/MWh (unité non indiquée dans le tableau)</t>
        </is>
      </c>
      <c r="I12" t="inlineStr">
        <is>
          <t>observée</t>
        </is>
      </c>
      <c r="K12" t="inlineStr">
        <is>
          <t>A</t>
        </is>
      </c>
      <c r="L12" t="inlineStr">
        <is>
          <t>citation_partielle</t>
        </is>
      </c>
      <c r="M12" t="inlineStr">
        <is>
          <t>Gouvernement sud-africain (DMRE) - gov.za</t>
        </is>
      </c>
      <c r="N12" t="inlineStr">
        <is>
          <t>Minister Gwede Mantashe announces 5th Bid Window of Renewable Energy IPP Procurement Programme (REIPPPP Bid Window 5) [statement incluant résultats BW6]</t>
        </is>
      </c>
      <c r="O12" t="inlineStr">
        <is>
          <t>https://www.gov.za/node/817980</t>
        </is>
      </c>
      <c r="P12" t="inlineStr">
        <is>
          <t>2022-12-08</t>
        </is>
      </c>
      <c r="Q12" t="inlineStr">
        <is>
          <t>Kutlwano Solar Power Plant | 150,00 | 469,50 | North West</t>
        </is>
      </c>
      <c r="R12" t="inlineStr">
        <is>
          <t>REIPPPP BW6, lauréat (preferred bidder) déc. 2022, province North West. statut: attribué. Colonnes: Contracted Capacity (MW) | Price | Province.</t>
        </is>
      </c>
    </row>
    <row r="13">
      <c r="A13" t="inlineStr">
        <is>
          <t>retenu</t>
        </is>
      </c>
      <c r="B13" t="inlineStr">
        <is>
          <t>A_australe</t>
        </is>
      </c>
      <c r="C13" t="inlineStr">
        <is>
          <t>A</t>
        </is>
      </c>
      <c r="D13" t="inlineStr">
        <is>
          <t>ZAF</t>
        </is>
      </c>
      <c r="E13" t="inlineStr">
        <is>
          <t>Kutlwano Solar Power Plant</t>
        </is>
      </c>
      <c r="F13" t="inlineStr">
        <is>
          <t>puissance_mwac</t>
        </is>
      </c>
      <c r="G13" t="n">
        <v>150</v>
      </c>
      <c r="H13" t="inlineStr">
        <is>
          <t>MW contractés</t>
        </is>
      </c>
      <c r="I13" t="inlineStr">
        <is>
          <t>observée</t>
        </is>
      </c>
      <c r="K13" t="inlineStr">
        <is>
          <t>A</t>
        </is>
      </c>
      <c r="L13" t="inlineStr">
        <is>
          <t>citation_partielle</t>
        </is>
      </c>
      <c r="M13" t="inlineStr">
        <is>
          <t>Gouvernement sud-africain (DMRE) - gov.za</t>
        </is>
      </c>
      <c r="N13" t="inlineStr">
        <is>
          <t>Minister Gwede Mantashe announces 5th Bid Window of Renewable Energy IPP Procurement Programme (REIPPPP Bid Window 5) [statement incluant résultats BW6]</t>
        </is>
      </c>
      <c r="O13" t="inlineStr">
        <is>
          <t>https://www.gov.za/node/817980</t>
        </is>
      </c>
      <c r="P13" t="inlineStr">
        <is>
          <t>2022-12-08</t>
        </is>
      </c>
      <c r="Q13" t="inlineStr">
        <is>
          <t>Kutlwano Solar Power Plant | 150,00 | 469,50 | North West</t>
        </is>
      </c>
      <c r="R13" t="inlineStr">
        <is>
          <t>Capacité contractée (DC/AC non précisé; contracted capacity = export AC en REIPPPP).</t>
        </is>
      </c>
    </row>
    <row r="14">
      <c r="A14" t="inlineStr">
        <is>
          <t>retenu</t>
        </is>
      </c>
      <c r="B14" t="inlineStr">
        <is>
          <t>A_australe</t>
        </is>
      </c>
      <c r="C14" t="inlineStr">
        <is>
          <t>A</t>
        </is>
      </c>
      <c r="D14" t="inlineStr">
        <is>
          <t>ZAF</t>
        </is>
      </c>
      <c r="E14" t="inlineStr">
        <is>
          <t>Boitumelo Solar Power Plant</t>
        </is>
      </c>
      <c r="F14" t="inlineStr">
        <is>
          <t>tarif</t>
        </is>
      </c>
      <c r="G14" t="n">
        <v>469.5</v>
      </c>
      <c r="H14" t="inlineStr">
        <is>
          <t>ZAR/MWh (unité non indiquée dans le tableau)</t>
        </is>
      </c>
      <c r="I14" t="inlineStr">
        <is>
          <t>observée</t>
        </is>
      </c>
      <c r="K14" t="inlineStr">
        <is>
          <t>A</t>
        </is>
      </c>
      <c r="L14" t="inlineStr">
        <is>
          <t>citation_partielle</t>
        </is>
      </c>
      <c r="M14" t="inlineStr">
        <is>
          <t>Gouvernement sud-africain (DMRE) - gov.za</t>
        </is>
      </c>
      <c r="N14" t="inlineStr">
        <is>
          <t>Minister Gwede Mantashe announces 5th Bid Window of Renewable Energy IPP Procurement Programme (REIPPPP Bid Window 5) [statement incluant résultats BW6]</t>
        </is>
      </c>
      <c r="O14" t="inlineStr">
        <is>
          <t>https://www.gov.za/node/817980</t>
        </is>
      </c>
      <c r="P14" t="inlineStr">
        <is>
          <t>2022-12-08</t>
        </is>
      </c>
      <c r="Q14" t="inlineStr">
        <is>
          <t>Boitumelo Solar Power Plant | 150,00 | 469,50 | North West</t>
        </is>
      </c>
      <c r="R14" t="inlineStr">
        <is>
          <t>REIPPPP BW6, lauréat (preferred bidder) déc. 2022, province North West. statut: attribué. Colonnes: Contracted Capacity (MW) | Price | Province.</t>
        </is>
      </c>
    </row>
    <row r="15">
      <c r="A15" t="inlineStr">
        <is>
          <t>retenu</t>
        </is>
      </c>
      <c r="B15" t="inlineStr">
        <is>
          <t>A_australe</t>
        </is>
      </c>
      <c r="C15" t="inlineStr">
        <is>
          <t>A</t>
        </is>
      </c>
      <c r="D15" t="inlineStr">
        <is>
          <t>ZAF</t>
        </is>
      </c>
      <c r="E15" t="inlineStr">
        <is>
          <t>Boitumelo Solar Power Plant</t>
        </is>
      </c>
      <c r="F15" t="inlineStr">
        <is>
          <t>puissance_mwac</t>
        </is>
      </c>
      <c r="G15" t="n">
        <v>150</v>
      </c>
      <c r="H15" t="inlineStr">
        <is>
          <t>MW contractés</t>
        </is>
      </c>
      <c r="I15" t="inlineStr">
        <is>
          <t>observée</t>
        </is>
      </c>
      <c r="K15" t="inlineStr">
        <is>
          <t>A</t>
        </is>
      </c>
      <c r="L15" t="inlineStr">
        <is>
          <t>citation_partielle</t>
        </is>
      </c>
      <c r="M15" t="inlineStr">
        <is>
          <t>Gouvernement sud-africain (DMRE) - gov.za</t>
        </is>
      </c>
      <c r="N15" t="inlineStr">
        <is>
          <t>Minister Gwede Mantashe announces 5th Bid Window of Renewable Energy IPP Procurement Programme (REIPPPP Bid Window 5) [statement incluant résultats BW6]</t>
        </is>
      </c>
      <c r="O15" t="inlineStr">
        <is>
          <t>https://www.gov.za/node/817980</t>
        </is>
      </c>
      <c r="P15" t="inlineStr">
        <is>
          <t>2022-12-08</t>
        </is>
      </c>
      <c r="Q15" t="inlineStr">
        <is>
          <t>Boitumelo Solar Power Plant | 150,00 | 469,50 | North West</t>
        </is>
      </c>
      <c r="R15" t="inlineStr">
        <is>
          <t>Capacité contractée (DC/AC non précisé; contracted capacity = export AC en REIPPPP).</t>
        </is>
      </c>
    </row>
    <row r="16">
      <c r="A16" t="inlineStr">
        <is>
          <t>retenu</t>
        </is>
      </c>
      <c r="B16" t="inlineStr">
        <is>
          <t>A_australe</t>
        </is>
      </c>
      <c r="C16" t="inlineStr">
        <is>
          <t>A</t>
        </is>
      </c>
      <c r="D16" t="inlineStr">
        <is>
          <t>ZAF</t>
        </is>
      </c>
      <c r="E16" t="inlineStr">
        <is>
          <t>Virginia Solar Park</t>
        </is>
      </c>
      <c r="F16" t="inlineStr">
        <is>
          <t>tarif</t>
        </is>
      </c>
      <c r="G16" t="n">
        <v>486.5</v>
      </c>
      <c r="H16" t="inlineStr">
        <is>
          <t>ZAR/MWh (unité non indiquée dans le tableau)</t>
        </is>
      </c>
      <c r="I16" t="inlineStr">
        <is>
          <t>observée</t>
        </is>
      </c>
      <c r="K16" t="inlineStr">
        <is>
          <t>A</t>
        </is>
      </c>
      <c r="L16" t="inlineStr">
        <is>
          <t>citation_partielle</t>
        </is>
      </c>
      <c r="M16" t="inlineStr">
        <is>
          <t>Gouvernement sud-africain (DMRE) - gov.za</t>
        </is>
      </c>
      <c r="N16" t="inlineStr">
        <is>
          <t>Minister Gwede Mantashe announces 5th Bid Window of Renewable Energy IPP Procurement Programme (REIPPPP Bid Window 5) [statement incluant résultats BW6]</t>
        </is>
      </c>
      <c r="O16" t="inlineStr">
        <is>
          <t>https://www.gov.za/node/817980</t>
        </is>
      </c>
      <c r="P16" t="inlineStr">
        <is>
          <t>2022-12-08</t>
        </is>
      </c>
      <c r="Q16" t="inlineStr">
        <is>
          <t>Virginia Solar Park | 240,00 | 486,50 | Free State</t>
        </is>
      </c>
      <c r="R16" t="inlineStr">
        <is>
          <t>REIPPPP BW6, lauréat (preferred bidder) déc. 2022, province Free State. statut: attribué. Colonnes: Contracted Capacity (MW) | Price | Province.</t>
        </is>
      </c>
    </row>
    <row r="17">
      <c r="A17" t="inlineStr">
        <is>
          <t>retenu</t>
        </is>
      </c>
      <c r="B17" t="inlineStr">
        <is>
          <t>A_australe</t>
        </is>
      </c>
      <c r="C17" t="inlineStr">
        <is>
          <t>A</t>
        </is>
      </c>
      <c r="D17" t="inlineStr">
        <is>
          <t>ZAF</t>
        </is>
      </c>
      <c r="E17" t="inlineStr">
        <is>
          <t>Virginia Solar Park</t>
        </is>
      </c>
      <c r="F17" t="inlineStr">
        <is>
          <t>puissance_mwac</t>
        </is>
      </c>
      <c r="G17" t="n">
        <v>240</v>
      </c>
      <c r="H17" t="inlineStr">
        <is>
          <t>MW contractés</t>
        </is>
      </c>
      <c r="I17" t="inlineStr">
        <is>
          <t>observée</t>
        </is>
      </c>
      <c r="K17" t="inlineStr">
        <is>
          <t>A</t>
        </is>
      </c>
      <c r="L17" t="inlineStr">
        <is>
          <t>citation_partielle</t>
        </is>
      </c>
      <c r="M17" t="inlineStr">
        <is>
          <t>Gouvernement sud-africain (DMRE) - gov.za</t>
        </is>
      </c>
      <c r="N17" t="inlineStr">
        <is>
          <t>Minister Gwede Mantashe announces 5th Bid Window of Renewable Energy IPP Procurement Programme (REIPPPP Bid Window 5) [statement incluant résultats BW6]</t>
        </is>
      </c>
      <c r="O17" t="inlineStr">
        <is>
          <t>https://www.gov.za/node/817980</t>
        </is>
      </c>
      <c r="P17" t="inlineStr">
        <is>
          <t>2022-12-08</t>
        </is>
      </c>
      <c r="Q17" t="inlineStr">
        <is>
          <t>Virginia Solar Park | 240,00 | 486,50 | Free State</t>
        </is>
      </c>
      <c r="R17" t="inlineStr">
        <is>
          <t>Capacité contractée (DC/AC non précisé; contracted capacity = export AC en REIPPPP).</t>
        </is>
      </c>
    </row>
    <row r="18">
      <c r="A18" t="inlineStr">
        <is>
          <t>retenu</t>
        </is>
      </c>
      <c r="B18" t="inlineStr">
        <is>
          <t>A_australe</t>
        </is>
      </c>
      <c r="C18" t="inlineStr">
        <is>
          <t>A</t>
        </is>
      </c>
      <c r="D18" t="inlineStr">
        <is>
          <t>ZAF</t>
        </is>
      </c>
      <c r="E18" t="inlineStr">
        <is>
          <t>Good Hope Solar Park</t>
        </is>
      </c>
      <c r="F18" t="inlineStr">
        <is>
          <t>tarif</t>
        </is>
      </c>
      <c r="G18" t="n">
        <v>498.9</v>
      </c>
      <c r="H18" t="inlineStr">
        <is>
          <t>ZAR/MWh (unité non indiquée dans le tableau)</t>
        </is>
      </c>
      <c r="I18" t="inlineStr">
        <is>
          <t>observée</t>
        </is>
      </c>
      <c r="K18" t="inlineStr">
        <is>
          <t>A</t>
        </is>
      </c>
      <c r="L18" t="inlineStr">
        <is>
          <t>citation_partielle</t>
        </is>
      </c>
      <c r="M18" t="inlineStr">
        <is>
          <t>Gouvernement sud-africain (DMRE) - gov.za</t>
        </is>
      </c>
      <c r="N18" t="inlineStr">
        <is>
          <t>Minister Gwede Mantashe announces 5th Bid Window of Renewable Energy IPP Procurement Programme (REIPPPP Bid Window 5) [statement incluant résultats BW6]</t>
        </is>
      </c>
      <c r="O18" t="inlineStr">
        <is>
          <t>https://www.gov.za/node/817980</t>
        </is>
      </c>
      <c r="P18" t="inlineStr">
        <is>
          <t>2022-12-08</t>
        </is>
      </c>
      <c r="Q18" t="inlineStr">
        <is>
          <t>Good Hope Solar Park | 200,00 | 498,90 | Free State</t>
        </is>
      </c>
      <c r="R18" t="inlineStr">
        <is>
          <t>REIPPPP BW6, lauréat (preferred bidder) déc. 2022, province Free State. statut: attribué. Colonnes: Contracted Capacity (MW) | Price | Province.</t>
        </is>
      </c>
    </row>
    <row r="19">
      <c r="A19" t="inlineStr">
        <is>
          <t>retenu</t>
        </is>
      </c>
      <c r="B19" t="inlineStr">
        <is>
          <t>A_australe</t>
        </is>
      </c>
      <c r="C19" t="inlineStr">
        <is>
          <t>A</t>
        </is>
      </c>
      <c r="D19" t="inlineStr">
        <is>
          <t>ZAF</t>
        </is>
      </c>
      <c r="E19" t="inlineStr">
        <is>
          <t>Good Hope Solar Park</t>
        </is>
      </c>
      <c r="F19" t="inlineStr">
        <is>
          <t>puissance_mwac</t>
        </is>
      </c>
      <c r="G19" t="n">
        <v>200</v>
      </c>
      <c r="H19" t="inlineStr">
        <is>
          <t>MW contractés</t>
        </is>
      </c>
      <c r="I19" t="inlineStr">
        <is>
          <t>observée</t>
        </is>
      </c>
      <c r="K19" t="inlineStr">
        <is>
          <t>A</t>
        </is>
      </c>
      <c r="L19" t="inlineStr">
        <is>
          <t>citation_partielle</t>
        </is>
      </c>
      <c r="M19" t="inlineStr">
        <is>
          <t>Gouvernement sud-africain (DMRE) - gov.za</t>
        </is>
      </c>
      <c r="N19" t="inlineStr">
        <is>
          <t>Minister Gwede Mantashe announces 5th Bid Window of Renewable Energy IPP Procurement Programme (REIPPPP Bid Window 5) [statement incluant résultats BW6]</t>
        </is>
      </c>
      <c r="O19" t="inlineStr">
        <is>
          <t>https://www.gov.za/node/817980</t>
        </is>
      </c>
      <c r="P19" t="inlineStr">
        <is>
          <t>2022-12-08</t>
        </is>
      </c>
      <c r="Q19" t="inlineStr">
        <is>
          <t>Good Hope Solar Park | 200,00 | 498,90 | Free State</t>
        </is>
      </c>
      <c r="R19" t="inlineStr">
        <is>
          <t>Capacité contractée (DC/AC non précisé; contracted capacity = export AC en REIPPPP).</t>
        </is>
      </c>
    </row>
    <row r="20">
      <c r="A20" t="inlineStr">
        <is>
          <t>retenu</t>
        </is>
      </c>
      <c r="B20" t="inlineStr">
        <is>
          <t>A_australe</t>
        </is>
      </c>
      <c r="C20" t="inlineStr">
        <is>
          <t>A</t>
        </is>
      </c>
      <c r="D20" t="inlineStr">
        <is>
          <t>ZAF</t>
        </is>
      </c>
      <c r="E20" t="inlineStr">
        <is>
          <t>Doornhoek PV</t>
        </is>
      </c>
      <c r="F20" t="inlineStr">
        <is>
          <t>tarif</t>
        </is>
      </c>
      <c r="G20" t="n">
        <v>540</v>
      </c>
      <c r="H20" t="inlineStr">
        <is>
          <t>ZAR/MWh (unité non indiquée dans le tableau)</t>
        </is>
      </c>
      <c r="I20" t="inlineStr">
        <is>
          <t>observée</t>
        </is>
      </c>
      <c r="K20" t="inlineStr">
        <is>
          <t>A</t>
        </is>
      </c>
      <c r="L20" t="inlineStr">
        <is>
          <t>citation_partielle</t>
        </is>
      </c>
      <c r="M20" t="inlineStr">
        <is>
          <t>Gouvernement sud-africain (DMRE) - gov.za</t>
        </is>
      </c>
      <c r="N20" t="inlineStr">
        <is>
          <t>Minister Gwede Mantashe announces 5th Bid Window of Renewable Energy IPP Procurement Programme (REIPPPP Bid Window 5) [statement incluant résultats BW6]</t>
        </is>
      </c>
      <c r="O20" t="inlineStr">
        <is>
          <t>https://www.gov.za/node/817980</t>
        </is>
      </c>
      <c r="P20" t="inlineStr">
        <is>
          <t>2022-12-08</t>
        </is>
      </c>
      <c r="Q20" t="inlineStr">
        <is>
          <t>Doornhoek PV | 120,00 | 540,00 | North West</t>
        </is>
      </c>
      <c r="R20" t="inlineStr">
        <is>
          <t>REIPPPP BW6, lauréat (preferred bidder) déc. 2022, province North West. statut: attribué. Colonnes: Contracted Capacity (MW) | Price | Province.</t>
        </is>
      </c>
    </row>
    <row r="21">
      <c r="A21" t="inlineStr">
        <is>
          <t>retenu</t>
        </is>
      </c>
      <c r="B21" t="inlineStr">
        <is>
          <t>A_australe</t>
        </is>
      </c>
      <c r="C21" t="inlineStr">
        <is>
          <t>A</t>
        </is>
      </c>
      <c r="D21" t="inlineStr">
        <is>
          <t>ZAF</t>
        </is>
      </c>
      <c r="E21" t="inlineStr">
        <is>
          <t>Doornhoek PV</t>
        </is>
      </c>
      <c r="F21" t="inlineStr">
        <is>
          <t>puissance_mwac</t>
        </is>
      </c>
      <c r="G21" t="n">
        <v>120</v>
      </c>
      <c r="H21" t="inlineStr">
        <is>
          <t>MW contractés</t>
        </is>
      </c>
      <c r="I21" t="inlineStr">
        <is>
          <t>observée</t>
        </is>
      </c>
      <c r="K21" t="inlineStr">
        <is>
          <t>A</t>
        </is>
      </c>
      <c r="L21" t="inlineStr">
        <is>
          <t>citation_partielle</t>
        </is>
      </c>
      <c r="M21" t="inlineStr">
        <is>
          <t>Gouvernement sud-africain (DMRE) - gov.za</t>
        </is>
      </c>
      <c r="N21" t="inlineStr">
        <is>
          <t>Minister Gwede Mantashe announces 5th Bid Window of Renewable Energy IPP Procurement Programme (REIPPPP Bid Window 5) [statement incluant résultats BW6]</t>
        </is>
      </c>
      <c r="O21" t="inlineStr">
        <is>
          <t>https://www.gov.za/node/817980</t>
        </is>
      </c>
      <c r="P21" t="inlineStr">
        <is>
          <t>2022-12-08</t>
        </is>
      </c>
      <c r="Q21" t="inlineStr">
        <is>
          <t>Doornhoek PV | 120,00 | 540,00 | North West</t>
        </is>
      </c>
      <c r="R21" t="inlineStr">
        <is>
          <t>Capacité contractée (DC/AC non précisé; contracted capacity = export AC en REIPPPP).</t>
        </is>
      </c>
    </row>
    <row r="22">
      <c r="A22" t="inlineStr">
        <is>
          <t>retenu</t>
        </is>
      </c>
      <c r="B22" t="inlineStr">
        <is>
          <t>A_australe</t>
        </is>
      </c>
      <c r="C22" t="inlineStr">
        <is>
          <t>A</t>
        </is>
      </c>
      <c r="D22" t="inlineStr">
        <is>
          <t>ZAF</t>
        </is>
      </c>
      <c r="E22" t="inlineStr">
        <is>
          <t>REIPPPP BW6 - offres PV non retenues (Part C)</t>
        </is>
      </c>
      <c r="F22" t="inlineStr">
        <is>
          <t>tarif</t>
        </is>
      </c>
      <c r="G22" t="n">
        <v>451.91</v>
      </c>
      <c r="H22" t="inlineStr">
        <is>
          <t>ZAR/MWh (Fully Indexed Price)</t>
        </is>
      </c>
      <c r="I22" t="inlineStr">
        <is>
          <t>observée</t>
        </is>
      </c>
      <c r="K22" t="inlineStr">
        <is>
          <t>A</t>
        </is>
      </c>
      <c r="L22" t="inlineStr">
        <is>
          <t>confirmé</t>
        </is>
      </c>
      <c r="M22" t="inlineStr">
        <is>
          <t>DMRE (publié par DBSA)</t>
        </is>
      </c>
      <c r="N22" t="inlineStr">
        <is>
          <t>REIPPPP Bid Window 6 - List of unsuccessful bidders (Tender no: DMRE/001/2022/23)</t>
        </is>
      </c>
      <c r="O22" t="inlineStr">
        <is>
          <t>https://www.DBSA.org/sites/default/files/media/documents/2022-12/REIPPPP%20BW%206%20Unsucessful%20Bidders.pdf</t>
        </is>
      </c>
      <c r="P22" t="inlineStr">
        <is>
          <t>2022-12</t>
        </is>
      </c>
      <c r="Q22" t="inlineStr">
        <is>
          <t>RE_PV_0180_001 Salsola PV 451.91 94.40 240.00</t>
        </is>
      </c>
      <c r="R22" t="inlineStr">
        <is>
          <t>Offres PV BW6 non retenues (faute de capacité réseau) allant de 451.91 (Salsola/Hoodia/Rosenia PV, 240 MW chacun) à 845.65 ZAR/MWh (Project Woodhouse Solar). Utile comme distribution des prix offerts; statut: non attribué.</t>
        </is>
      </c>
    </row>
    <row r="23">
      <c r="A23" t="inlineStr">
        <is>
          <t>retenu</t>
        </is>
      </c>
      <c r="B23" t="inlineStr">
        <is>
          <t>A_australe</t>
        </is>
      </c>
      <c r="C23" t="inlineStr">
        <is>
          <t>A</t>
        </is>
      </c>
      <c r="D23" t="inlineStr">
        <is>
          <t>ZAF</t>
        </is>
      </c>
      <c r="E23" t="inlineStr">
        <is>
          <t>Highveld Solar Consortium</t>
        </is>
      </c>
      <c r="F23" t="inlineStr">
        <is>
          <t>tarif</t>
        </is>
      </c>
      <c r="G23" t="n">
        <v>420.74</v>
      </c>
      <c r="H23" t="inlineStr">
        <is>
          <t>ZAR/MWh</t>
        </is>
      </c>
      <c r="I23" t="inlineStr">
        <is>
          <t>observée</t>
        </is>
      </c>
      <c r="K23" t="inlineStr">
        <is>
          <t>A</t>
        </is>
      </c>
      <c r="L23" t="inlineStr">
        <is>
          <t>citation_partielle</t>
        </is>
      </c>
      <c r="M23" t="inlineStr">
        <is>
          <t>Department of Electricity and Energy (publié par DBSA)</t>
        </is>
      </c>
      <c r="N23" t="inlineStr">
        <is>
          <t>REIPPPP Bid Window 7 - List of successful bidders (Tender no: DMRE/014/2023/24)</t>
        </is>
      </c>
      <c r="O23" t="inlineStr">
        <is>
          <t>https://dbsa.org/sites/default/files/media/documents/2025-01/REIPPPP%20BW%207%20Successful%20Bidders.pdf</t>
        </is>
      </c>
      <c r="P23" t="inlineStr">
        <is>
          <t>2024-12-23</t>
        </is>
      </c>
      <c r="Q23" t="inlineStr">
        <is>
          <t>Highveld Solar Consortium Infinity Power Holding SA [...] 240 420,74 [...] Mpumalanga</t>
        </is>
      </c>
      <c r="R23" t="inlineStr">
        <is>
          <t>REIPPPP BW7, 1er lot de lauréats (8 projets PV, 1 760 MW) annoncé le 23/12/2024. Développeur: Infinity Power Holding SA. statut: attribué. Base de prix non précisée.</t>
        </is>
      </c>
    </row>
    <row r="24">
      <c r="A24" t="inlineStr">
        <is>
          <t>retenu</t>
        </is>
      </c>
      <c r="B24" t="inlineStr">
        <is>
          <t>A_australe</t>
        </is>
      </c>
      <c r="C24" t="inlineStr">
        <is>
          <t>A</t>
        </is>
      </c>
      <c r="D24" t="inlineStr">
        <is>
          <t>ZAF</t>
        </is>
      </c>
      <c r="E24" t="inlineStr">
        <is>
          <t>Highveld Solar Consortium</t>
        </is>
      </c>
      <c r="F24" t="inlineStr">
        <is>
          <t>puissance_mwac</t>
        </is>
      </c>
      <c r="G24" t="n">
        <v>240</v>
      </c>
      <c r="H24" t="inlineStr">
        <is>
          <t>MW</t>
        </is>
      </c>
      <c r="I24" t="inlineStr">
        <is>
          <t>observée</t>
        </is>
      </c>
      <c r="K24" t="inlineStr">
        <is>
          <t>A</t>
        </is>
      </c>
      <c r="L24" t="inlineStr">
        <is>
          <t>citation_partielle</t>
        </is>
      </c>
      <c r="M24" t="inlineStr">
        <is>
          <t>Department of Electricity and Energy (publié par DBSA)</t>
        </is>
      </c>
      <c r="N24" t="inlineStr">
        <is>
          <t>REIPPPP Bid Window 7 - List of successful bidders (Tender no: DMRE/014/2023/24)</t>
        </is>
      </c>
      <c r="O24" t="inlineStr">
        <is>
          <t>https://dbsa.org/sites/default/files/media/documents/2025-01/REIPPPP%20BW%207%20Successful%20Bidders.pdf</t>
        </is>
      </c>
      <c r="P24" t="inlineStr">
        <is>
          <t>2024-12-23</t>
        </is>
      </c>
      <c r="Q24" t="inlineStr">
        <is>
          <t>Highveld Solar Consortium Infinity Power Holding SA [...] 240 420,74 [...] Mpumalanga</t>
        </is>
      </c>
      <c r="R24" t="inlineStr">
        <is>
          <t>MW de l'offre (DC/AC non précisé).</t>
        </is>
      </c>
    </row>
    <row r="25">
      <c r="A25" t="inlineStr">
        <is>
          <t>retenu</t>
        </is>
      </c>
      <c r="B25" t="inlineStr">
        <is>
          <t>A_australe</t>
        </is>
      </c>
      <c r="C25" t="inlineStr">
        <is>
          <t>A</t>
        </is>
      </c>
      <c r="D25" t="inlineStr">
        <is>
          <t>ZAF</t>
        </is>
      </c>
      <c r="E25" t="inlineStr">
        <is>
          <t>Palladium Solar 1 Consortium</t>
        </is>
      </c>
      <c r="F25" t="inlineStr">
        <is>
          <t>tarif</t>
        </is>
      </c>
      <c r="G25" t="n">
        <v>435.55</v>
      </c>
      <c r="H25" t="inlineStr">
        <is>
          <t>ZAR/MWh</t>
        </is>
      </c>
      <c r="I25" t="inlineStr">
        <is>
          <t>observée</t>
        </is>
      </c>
      <c r="K25" t="inlineStr">
        <is>
          <t>A</t>
        </is>
      </c>
      <c r="L25" t="inlineStr">
        <is>
          <t>citation_partielle</t>
        </is>
      </c>
      <c r="M25" t="inlineStr">
        <is>
          <t>Department of Electricity and Energy (publié par DBSA)</t>
        </is>
      </c>
      <c r="N25" t="inlineStr">
        <is>
          <t>REIPPPP Bid Window 7 - List of successful bidders (Tender no: DMRE/014/2023/24)</t>
        </is>
      </c>
      <c r="O25" t="inlineStr">
        <is>
          <t>https://dbsa.org/sites/default/files/media/documents/2025-01/REIPPPP%20BW%207%20Successful%20Bidders.pdf</t>
        </is>
      </c>
      <c r="P25" t="inlineStr">
        <is>
          <t>2024-12-23</t>
        </is>
      </c>
      <c r="Q25" t="inlineStr">
        <is>
          <t>Palladium Solar 1 Consortium Infinity Power Holding SA [...] 240 435,55 [...] Limpopo</t>
        </is>
      </c>
      <c r="R25" t="inlineStr">
        <is>
          <t>REIPPPP BW7, 1er lot de lauréats (8 projets PV, 1 760 MW) annoncé le 23/12/2024. Développeur: Infinity Power Holding SA. statut: attribué. Base de prix non précisée.</t>
        </is>
      </c>
    </row>
    <row r="26">
      <c r="A26" t="inlineStr">
        <is>
          <t>retenu</t>
        </is>
      </c>
      <c r="B26" t="inlineStr">
        <is>
          <t>A_australe</t>
        </is>
      </c>
      <c r="C26" t="inlineStr">
        <is>
          <t>A</t>
        </is>
      </c>
      <c r="D26" t="inlineStr">
        <is>
          <t>ZAF</t>
        </is>
      </c>
      <c r="E26" t="inlineStr">
        <is>
          <t>Palladium Solar 1 Consortium</t>
        </is>
      </c>
      <c r="F26" t="inlineStr">
        <is>
          <t>puissance_mwac</t>
        </is>
      </c>
      <c r="G26" t="n">
        <v>240</v>
      </c>
      <c r="H26" t="inlineStr">
        <is>
          <t>MW</t>
        </is>
      </c>
      <c r="I26" t="inlineStr">
        <is>
          <t>observée</t>
        </is>
      </c>
      <c r="K26" t="inlineStr">
        <is>
          <t>A</t>
        </is>
      </c>
      <c r="L26" t="inlineStr">
        <is>
          <t>citation_partielle</t>
        </is>
      </c>
      <c r="M26" t="inlineStr">
        <is>
          <t>Department of Electricity and Energy (publié par DBSA)</t>
        </is>
      </c>
      <c r="N26" t="inlineStr">
        <is>
          <t>REIPPPP Bid Window 7 - List of successful bidders (Tender no: DMRE/014/2023/24)</t>
        </is>
      </c>
      <c r="O26" t="inlineStr">
        <is>
          <t>https://dbsa.org/sites/default/files/media/documents/2025-01/REIPPPP%20BW%207%20Successful%20Bidders.pdf</t>
        </is>
      </c>
      <c r="P26" t="inlineStr">
        <is>
          <t>2024-12-23</t>
        </is>
      </c>
      <c r="Q26" t="inlineStr">
        <is>
          <t>Palladium Solar 1 Consortium Infinity Power Holding SA [...] 240 435,55 [...] Limpopo</t>
        </is>
      </c>
      <c r="R26" t="inlineStr">
        <is>
          <t>MW de l'offre (DC/AC non précisé).</t>
        </is>
      </c>
    </row>
    <row r="27">
      <c r="A27" t="inlineStr">
        <is>
          <t>retenu</t>
        </is>
      </c>
      <c r="B27" t="inlineStr">
        <is>
          <t>A_australe</t>
        </is>
      </c>
      <c r="C27" t="inlineStr">
        <is>
          <t>A</t>
        </is>
      </c>
      <c r="D27" t="inlineStr">
        <is>
          <t>ZAF</t>
        </is>
      </c>
      <c r="E27" t="inlineStr">
        <is>
          <t>Copper Solar 1 Consortium</t>
        </is>
      </c>
      <c r="F27" t="inlineStr">
        <is>
          <t>tarif</t>
        </is>
      </c>
      <c r="G27" t="n">
        <v>435.48</v>
      </c>
      <c r="H27" t="inlineStr">
        <is>
          <t>ZAR/MWh</t>
        </is>
      </c>
      <c r="I27" t="inlineStr">
        <is>
          <t>observée</t>
        </is>
      </c>
      <c r="K27" t="inlineStr">
        <is>
          <t>A</t>
        </is>
      </c>
      <c r="L27" t="inlineStr">
        <is>
          <t>citation_partielle</t>
        </is>
      </c>
      <c r="M27" t="inlineStr">
        <is>
          <t>Department of Electricity and Energy (publié par DBSA)</t>
        </is>
      </c>
      <c r="N27" t="inlineStr">
        <is>
          <t>REIPPPP Bid Window 7 - List of successful bidders (Tender no: DMRE/014/2023/24)</t>
        </is>
      </c>
      <c r="O27" t="inlineStr">
        <is>
          <t>https://dbsa.org/sites/default/files/media/documents/2025-01/REIPPPP%20BW%207%20Successful%20Bidders.pdf</t>
        </is>
      </c>
      <c r="P27" t="inlineStr">
        <is>
          <t>2024-12-23</t>
        </is>
      </c>
      <c r="Q27" t="inlineStr">
        <is>
          <t>Copper Solar 1 Consortium Infinity Power Holding SA [...] 240 435,48 [...] Limpopo</t>
        </is>
      </c>
      <c r="R27" t="inlineStr">
        <is>
          <t>REIPPPP BW7, 1er lot de lauréats (8 projets PV, 1 760 MW) annoncé le 23/12/2024. Développeur: Infinity Power Holding SA. statut: attribué. Base de prix non précisée.</t>
        </is>
      </c>
    </row>
    <row r="28">
      <c r="A28" t="inlineStr">
        <is>
          <t>retenu</t>
        </is>
      </c>
      <c r="B28" t="inlineStr">
        <is>
          <t>A_australe</t>
        </is>
      </c>
      <c r="C28" t="inlineStr">
        <is>
          <t>A</t>
        </is>
      </c>
      <c r="D28" t="inlineStr">
        <is>
          <t>ZAF</t>
        </is>
      </c>
      <c r="E28" t="inlineStr">
        <is>
          <t>Copper Solar 1 Consortium</t>
        </is>
      </c>
      <c r="F28" t="inlineStr">
        <is>
          <t>puissance_mwac</t>
        </is>
      </c>
      <c r="G28" t="n">
        <v>240</v>
      </c>
      <c r="H28" t="inlineStr">
        <is>
          <t>MW</t>
        </is>
      </c>
      <c r="I28" t="inlineStr">
        <is>
          <t>observée</t>
        </is>
      </c>
      <c r="K28" t="inlineStr">
        <is>
          <t>A</t>
        </is>
      </c>
      <c r="L28" t="inlineStr">
        <is>
          <t>citation_partielle</t>
        </is>
      </c>
      <c r="M28" t="inlineStr">
        <is>
          <t>Department of Electricity and Energy (publié par DBSA)</t>
        </is>
      </c>
      <c r="N28" t="inlineStr">
        <is>
          <t>REIPPPP Bid Window 7 - List of successful bidders (Tender no: DMRE/014/2023/24)</t>
        </is>
      </c>
      <c r="O28" t="inlineStr">
        <is>
          <t>https://dbsa.org/sites/default/files/media/documents/2025-01/REIPPPP%20BW%207%20Successful%20Bidders.pdf</t>
        </is>
      </c>
      <c r="P28" t="inlineStr">
        <is>
          <t>2024-12-23</t>
        </is>
      </c>
      <c r="Q28" t="inlineStr">
        <is>
          <t>Copper Solar 1 Consortium Infinity Power Holding SA [...] 240 435,48 [...] Limpopo</t>
        </is>
      </c>
      <c r="R28" t="inlineStr">
        <is>
          <t>MW de l'offre (DC/AC non précisé).</t>
        </is>
      </c>
    </row>
    <row r="29">
      <c r="A29" t="inlineStr">
        <is>
          <t>retenu</t>
        </is>
      </c>
      <c r="B29" t="inlineStr">
        <is>
          <t>A_australe</t>
        </is>
      </c>
      <c r="C29" t="inlineStr">
        <is>
          <t>A</t>
        </is>
      </c>
      <c r="D29" t="inlineStr">
        <is>
          <t>ZAF</t>
        </is>
      </c>
      <c r="E29" t="inlineStr">
        <is>
          <t>Vanadium Solar 1 Consortium</t>
        </is>
      </c>
      <c r="F29" t="inlineStr">
        <is>
          <t>tarif</t>
        </is>
      </c>
      <c r="G29" t="n">
        <v>435.81</v>
      </c>
      <c r="H29" t="inlineStr">
        <is>
          <t>ZAR/MWh</t>
        </is>
      </c>
      <c r="I29" t="inlineStr">
        <is>
          <t>observée</t>
        </is>
      </c>
      <c r="K29" t="inlineStr">
        <is>
          <t>A</t>
        </is>
      </c>
      <c r="L29" t="inlineStr">
        <is>
          <t>citation_partielle</t>
        </is>
      </c>
      <c r="M29" t="inlineStr">
        <is>
          <t>Department of Electricity and Energy (publié par DBSA)</t>
        </is>
      </c>
      <c r="N29" t="inlineStr">
        <is>
          <t>REIPPPP Bid Window 7 - List of successful bidders (Tender no: DMRE/014/2023/24)</t>
        </is>
      </c>
      <c r="O29" t="inlineStr">
        <is>
          <t>https://dbsa.org/sites/default/files/media/documents/2025-01/REIPPPP%20BW%207%20Successful%20Bidders.pdf</t>
        </is>
      </c>
      <c r="P29" t="inlineStr">
        <is>
          <t>2024-12-23</t>
        </is>
      </c>
      <c r="Q29" t="inlineStr">
        <is>
          <t>Vanadium Solar 1 Consortium Infinity Power Holding SA [...] 150 435,81 [...] Limpopo</t>
        </is>
      </c>
      <c r="R29" t="inlineStr">
        <is>
          <t>REIPPPP BW7, 1er lot de lauréats (8 projets PV, 1 760 MW) annoncé le 23/12/2024. Développeur: Infinity Power Holding SA. statut: attribué. Base de prix non précisée.</t>
        </is>
      </c>
    </row>
    <row r="30">
      <c r="A30" t="inlineStr">
        <is>
          <t>retenu</t>
        </is>
      </c>
      <c r="B30" t="inlineStr">
        <is>
          <t>A_australe</t>
        </is>
      </c>
      <c r="C30" t="inlineStr">
        <is>
          <t>A</t>
        </is>
      </c>
      <c r="D30" t="inlineStr">
        <is>
          <t>ZAF</t>
        </is>
      </c>
      <c r="E30" t="inlineStr">
        <is>
          <t>Vanadium Solar 1 Consortium</t>
        </is>
      </c>
      <c r="F30" t="inlineStr">
        <is>
          <t>puissance_mwac</t>
        </is>
      </c>
      <c r="G30" t="n">
        <v>150</v>
      </c>
      <c r="H30" t="inlineStr">
        <is>
          <t>MW</t>
        </is>
      </c>
      <c r="I30" t="inlineStr">
        <is>
          <t>observée</t>
        </is>
      </c>
      <c r="K30" t="inlineStr">
        <is>
          <t>A</t>
        </is>
      </c>
      <c r="L30" t="inlineStr">
        <is>
          <t>citation_partielle</t>
        </is>
      </c>
      <c r="M30" t="inlineStr">
        <is>
          <t>Department of Electricity and Energy (publié par DBSA)</t>
        </is>
      </c>
      <c r="N30" t="inlineStr">
        <is>
          <t>REIPPPP Bid Window 7 - List of successful bidders (Tender no: DMRE/014/2023/24)</t>
        </is>
      </c>
      <c r="O30" t="inlineStr">
        <is>
          <t>https://dbsa.org/sites/default/files/media/documents/2025-01/REIPPPP%20BW%207%20Successful%20Bidders.pdf</t>
        </is>
      </c>
      <c r="P30" t="inlineStr">
        <is>
          <t>2024-12-23</t>
        </is>
      </c>
      <c r="Q30" t="inlineStr">
        <is>
          <t>Vanadium Solar 1 Consortium Infinity Power Holding SA [...] 150 435,81 [...] Limpopo</t>
        </is>
      </c>
      <c r="R30" t="inlineStr">
        <is>
          <t>MW de l'offre (DC/AC non précisé).</t>
        </is>
      </c>
    </row>
    <row r="31">
      <c r="A31" t="inlineStr">
        <is>
          <t>retenu</t>
        </is>
      </c>
      <c r="B31" t="inlineStr">
        <is>
          <t>A_australe</t>
        </is>
      </c>
      <c r="C31" t="inlineStr">
        <is>
          <t>A</t>
        </is>
      </c>
      <c r="D31" t="inlineStr">
        <is>
          <t>ZAF</t>
        </is>
      </c>
      <c r="E31" t="inlineStr">
        <is>
          <t>Middlepunt Solar PV</t>
        </is>
      </c>
      <c r="F31" t="inlineStr">
        <is>
          <t>tarif</t>
        </is>
      </c>
      <c r="G31" t="n">
        <v>490.1</v>
      </c>
      <c r="H31" t="inlineStr">
        <is>
          <t>ZAR/MWh</t>
        </is>
      </c>
      <c r="I31" t="inlineStr">
        <is>
          <t>observée</t>
        </is>
      </c>
      <c r="K31" t="inlineStr">
        <is>
          <t>A</t>
        </is>
      </c>
      <c r="L31" t="inlineStr">
        <is>
          <t>citation_partielle</t>
        </is>
      </c>
      <c r="M31" t="inlineStr">
        <is>
          <t>Department of Electricity and Energy (publié par DBSA)</t>
        </is>
      </c>
      <c r="N31" t="inlineStr">
        <is>
          <t>REIPPPP Bid Window 7 - List of successful bidders (Tender no: DMRE/014/2023/24)</t>
        </is>
      </c>
      <c r="O31" t="inlineStr">
        <is>
          <t>https://dbsa.org/sites/default/files/media/documents/2025-01/REIPPPP%20BW%207%20Successful%20Bidders.pdf</t>
        </is>
      </c>
      <c r="P31" t="inlineStr">
        <is>
          <t>2024-12-23</t>
        </is>
      </c>
      <c r="Q31" t="inlineStr">
        <is>
          <t>Middlepunt Solar PV Mulilo Renewable Project Developments [...] 240 490,10 [...] Free State</t>
        </is>
      </c>
      <c r="R31" t="inlineStr">
        <is>
          <t>REIPPPP BW7, 1er lot de lauréats (8 projets PV, 1 760 MW) annoncé le 23/12/2024. Développeur: Mulilo Renewable Project Developments. statut: attribué. Base de prix non précisée.</t>
        </is>
      </c>
    </row>
    <row r="32">
      <c r="A32" t="inlineStr">
        <is>
          <t>retenu</t>
        </is>
      </c>
      <c r="B32" t="inlineStr">
        <is>
          <t>A_australe</t>
        </is>
      </c>
      <c r="C32" t="inlineStr">
        <is>
          <t>A</t>
        </is>
      </c>
      <c r="D32" t="inlineStr">
        <is>
          <t>ZAF</t>
        </is>
      </c>
      <c r="E32" t="inlineStr">
        <is>
          <t>Middlepunt Solar PV</t>
        </is>
      </c>
      <c r="F32" t="inlineStr">
        <is>
          <t>puissance_mwac</t>
        </is>
      </c>
      <c r="G32" t="n">
        <v>240</v>
      </c>
      <c r="H32" t="inlineStr">
        <is>
          <t>MW</t>
        </is>
      </c>
      <c r="I32" t="inlineStr">
        <is>
          <t>observée</t>
        </is>
      </c>
      <c r="K32" t="inlineStr">
        <is>
          <t>A</t>
        </is>
      </c>
      <c r="L32" t="inlineStr">
        <is>
          <t>citation_partielle</t>
        </is>
      </c>
      <c r="M32" t="inlineStr">
        <is>
          <t>Department of Electricity and Energy (publié par DBSA)</t>
        </is>
      </c>
      <c r="N32" t="inlineStr">
        <is>
          <t>REIPPPP Bid Window 7 - List of successful bidders (Tender no: DMRE/014/2023/24)</t>
        </is>
      </c>
      <c r="O32" t="inlineStr">
        <is>
          <t>https://dbsa.org/sites/default/files/media/documents/2025-01/REIPPPP%20BW%207%20Successful%20Bidders.pdf</t>
        </is>
      </c>
      <c r="P32" t="inlineStr">
        <is>
          <t>2024-12-23</t>
        </is>
      </c>
      <c r="Q32" t="inlineStr">
        <is>
          <t>Middlepunt Solar PV Mulilo Renewable Project Developments [...] 240 490,10 [...] Free State</t>
        </is>
      </c>
      <c r="R32" t="inlineStr">
        <is>
          <t>MW de l'offre (DC/AC non précisé).</t>
        </is>
      </c>
    </row>
    <row r="33">
      <c r="A33" t="inlineStr">
        <is>
          <t>retenu</t>
        </is>
      </c>
      <c r="B33" t="inlineStr">
        <is>
          <t>A_australe</t>
        </is>
      </c>
      <c r="C33" t="inlineStr">
        <is>
          <t>A</t>
        </is>
      </c>
      <c r="D33" t="inlineStr">
        <is>
          <t>ZAF</t>
        </is>
      </c>
      <c r="E33" t="inlineStr">
        <is>
          <t>Mercury Solar PV 2</t>
        </is>
      </c>
      <c r="F33" t="inlineStr">
        <is>
          <t>tarif</t>
        </is>
      </c>
      <c r="G33" t="n">
        <v>486.86</v>
      </c>
      <c r="H33" t="inlineStr">
        <is>
          <t>ZAR/MWh</t>
        </is>
      </c>
      <c r="I33" t="inlineStr">
        <is>
          <t>observée</t>
        </is>
      </c>
      <c r="K33" t="inlineStr">
        <is>
          <t>A</t>
        </is>
      </c>
      <c r="L33" t="inlineStr">
        <is>
          <t>citation_partielle</t>
        </is>
      </c>
      <c r="M33" t="inlineStr">
        <is>
          <t>Department of Electricity and Energy (publié par DBSA)</t>
        </is>
      </c>
      <c r="N33" t="inlineStr">
        <is>
          <t>REIPPPP Bid Window 7 - List of successful bidders (Tender no: DMRE/014/2023/24)</t>
        </is>
      </c>
      <c r="O33" t="inlineStr">
        <is>
          <t>https://dbsa.org/sites/default/files/media/documents/2025-01/REIPPPP%20BW%207%20Successful%20Bidders.pdf</t>
        </is>
      </c>
      <c r="P33" t="inlineStr">
        <is>
          <t>2024-12-23</t>
        </is>
      </c>
      <c r="Q33" t="inlineStr">
        <is>
          <t>Mercury Solar PV 2 Scatec Solar Africa Pty Ltd [...] 240 486,86 [...] Free State</t>
        </is>
      </c>
      <c r="R33" t="inlineStr">
        <is>
          <t>REIPPPP BW7, 1er lot de lauréats (8 projets PV, 1 760 MW) annoncé le 23/12/2024. Développeur: Scatec Solar Africa Pty Ltd. statut: attribué. Base de prix non précisée.</t>
        </is>
      </c>
    </row>
    <row r="34">
      <c r="A34" t="inlineStr">
        <is>
          <t>retenu</t>
        </is>
      </c>
      <c r="B34" t="inlineStr">
        <is>
          <t>A_australe</t>
        </is>
      </c>
      <c r="C34" t="inlineStr">
        <is>
          <t>A</t>
        </is>
      </c>
      <c r="D34" t="inlineStr">
        <is>
          <t>ZAF</t>
        </is>
      </c>
      <c r="E34" t="inlineStr">
        <is>
          <t>Mercury Solar PV 2</t>
        </is>
      </c>
      <c r="F34" t="inlineStr">
        <is>
          <t>puissance_mwac</t>
        </is>
      </c>
      <c r="G34" t="n">
        <v>240</v>
      </c>
      <c r="H34" t="inlineStr">
        <is>
          <t>MW</t>
        </is>
      </c>
      <c r="I34" t="inlineStr">
        <is>
          <t>observée</t>
        </is>
      </c>
      <c r="K34" t="inlineStr">
        <is>
          <t>A</t>
        </is>
      </c>
      <c r="L34" t="inlineStr">
        <is>
          <t>citation_partielle</t>
        </is>
      </c>
      <c r="M34" t="inlineStr">
        <is>
          <t>Department of Electricity and Energy (publié par DBSA)</t>
        </is>
      </c>
      <c r="N34" t="inlineStr">
        <is>
          <t>REIPPPP Bid Window 7 - List of successful bidders (Tender no: DMRE/014/2023/24)</t>
        </is>
      </c>
      <c r="O34" t="inlineStr">
        <is>
          <t>https://dbsa.org/sites/default/files/media/documents/2025-01/REIPPPP%20BW%207%20Successful%20Bidders.pdf</t>
        </is>
      </c>
      <c r="P34" t="inlineStr">
        <is>
          <t>2024-12-23</t>
        </is>
      </c>
      <c r="Q34" t="inlineStr">
        <is>
          <t>Mercury Solar PV 2 Scatec Solar Africa Pty Ltd [...] 240 486,86 [...] Free State</t>
        </is>
      </c>
      <c r="R34" t="inlineStr">
        <is>
          <t>MW de l'offre (DC/AC non précisé).</t>
        </is>
      </c>
    </row>
    <row r="35">
      <c r="A35" t="inlineStr">
        <is>
          <t>retenu</t>
        </is>
      </c>
      <c r="B35" t="inlineStr">
        <is>
          <t>A_australe</t>
        </is>
      </c>
      <c r="C35" t="inlineStr">
        <is>
          <t>A</t>
        </is>
      </c>
      <c r="D35" t="inlineStr">
        <is>
          <t>ZAF</t>
        </is>
      </c>
      <c r="E35" t="inlineStr">
        <is>
          <t>Onderstepoort Solar 1 Consortium</t>
        </is>
      </c>
      <c r="F35" t="inlineStr">
        <is>
          <t>tarif</t>
        </is>
      </c>
      <c r="G35" t="n">
        <v>492.03</v>
      </c>
      <c r="H35" t="inlineStr">
        <is>
          <t>ZAR/MWh</t>
        </is>
      </c>
      <c r="I35" t="inlineStr">
        <is>
          <t>observée</t>
        </is>
      </c>
      <c r="K35" t="inlineStr">
        <is>
          <t>A</t>
        </is>
      </c>
      <c r="L35" t="inlineStr">
        <is>
          <t>citation_partielle</t>
        </is>
      </c>
      <c r="M35" t="inlineStr">
        <is>
          <t>Department of Electricity and Energy (publié par DBSA)</t>
        </is>
      </c>
      <c r="N35" t="inlineStr">
        <is>
          <t>REIPPPP Bid Window 7 - List of successful bidders (Tender no: DMRE/014/2023/24)</t>
        </is>
      </c>
      <c r="O35" t="inlineStr">
        <is>
          <t>https://dbsa.org/sites/default/files/media/documents/2025-01/REIPPPP%20BW%207%20Successful%20Bidders.pdf</t>
        </is>
      </c>
      <c r="P35" t="inlineStr">
        <is>
          <t>2024-12-23</t>
        </is>
      </c>
      <c r="Q35" t="inlineStr">
        <is>
          <t>Onderstepoort Solar 1 Consortium Infinity Power Holding SA [...] 220 492,03 [...] North West</t>
        </is>
      </c>
      <c r="R35" t="inlineStr">
        <is>
          <t>REIPPPP BW7, 1er lot de lauréats (8 projets PV, 1 760 MW) annoncé le 23/12/2024. Développeur: Infinity Power Holding SA. statut: attribué. Base de prix non précisée.</t>
        </is>
      </c>
    </row>
    <row r="36">
      <c r="A36" t="inlineStr">
        <is>
          <t>retenu</t>
        </is>
      </c>
      <c r="B36" t="inlineStr">
        <is>
          <t>A_australe</t>
        </is>
      </c>
      <c r="C36" t="inlineStr">
        <is>
          <t>A</t>
        </is>
      </c>
      <c r="D36" t="inlineStr">
        <is>
          <t>ZAF</t>
        </is>
      </c>
      <c r="E36" t="inlineStr">
        <is>
          <t>Onderstepoort Solar 1 Consortium</t>
        </is>
      </c>
      <c r="F36" t="inlineStr">
        <is>
          <t>puissance_mwac</t>
        </is>
      </c>
      <c r="G36" t="n">
        <v>220</v>
      </c>
      <c r="H36" t="inlineStr">
        <is>
          <t>MW</t>
        </is>
      </c>
      <c r="I36" t="inlineStr">
        <is>
          <t>observée</t>
        </is>
      </c>
      <c r="K36" t="inlineStr">
        <is>
          <t>A</t>
        </is>
      </c>
      <c r="L36" t="inlineStr">
        <is>
          <t>citation_partielle</t>
        </is>
      </c>
      <c r="M36" t="inlineStr">
        <is>
          <t>Department of Electricity and Energy (publié par DBSA)</t>
        </is>
      </c>
      <c r="N36" t="inlineStr">
        <is>
          <t>REIPPPP Bid Window 7 - List of successful bidders (Tender no: DMRE/014/2023/24)</t>
        </is>
      </c>
      <c r="O36" t="inlineStr">
        <is>
          <t>https://dbsa.org/sites/default/files/media/documents/2025-01/REIPPPP%20BW%207%20Successful%20Bidders.pdf</t>
        </is>
      </c>
      <c r="P36" t="inlineStr">
        <is>
          <t>2024-12-23</t>
        </is>
      </c>
      <c r="Q36" t="inlineStr">
        <is>
          <t>Onderstepoort Solar 1 Consortium Infinity Power Holding SA [...] 220 492,03 [...] North West</t>
        </is>
      </c>
      <c r="R36" t="inlineStr">
        <is>
          <t>MW de l'offre (DC/AC non précisé).</t>
        </is>
      </c>
    </row>
    <row r="37">
      <c r="A37" t="inlineStr">
        <is>
          <t>retenu</t>
        </is>
      </c>
      <c r="B37" t="inlineStr">
        <is>
          <t>A_australe</t>
        </is>
      </c>
      <c r="C37" t="inlineStr">
        <is>
          <t>A</t>
        </is>
      </c>
      <c r="D37" t="inlineStr">
        <is>
          <t>ZAF</t>
        </is>
      </c>
      <c r="E37" t="inlineStr">
        <is>
          <t>Onderstepoort Solar 2 Consortium</t>
        </is>
      </c>
      <c r="F37" t="inlineStr">
        <is>
          <t>tarif</t>
        </is>
      </c>
      <c r="G37" t="n">
        <v>492.2</v>
      </c>
      <c r="H37" t="inlineStr">
        <is>
          <t>ZAR/MWh</t>
        </is>
      </c>
      <c r="I37" t="inlineStr">
        <is>
          <t>observée</t>
        </is>
      </c>
      <c r="K37" t="inlineStr">
        <is>
          <t>A</t>
        </is>
      </c>
      <c r="L37" t="inlineStr">
        <is>
          <t>citation_partielle</t>
        </is>
      </c>
      <c r="M37" t="inlineStr">
        <is>
          <t>Department of Electricity and Energy (publié par DBSA)</t>
        </is>
      </c>
      <c r="N37" t="inlineStr">
        <is>
          <t>REIPPPP Bid Window 7 - List of successful bidders (Tender no: DMRE/014/2023/24)</t>
        </is>
      </c>
      <c r="O37" t="inlineStr">
        <is>
          <t>https://dbsa.org/sites/default/files/media/documents/2025-01/REIPPPP%20BW%207%20Successful%20Bidders.pdf</t>
        </is>
      </c>
      <c r="P37" t="inlineStr">
        <is>
          <t>2024-12-23</t>
        </is>
      </c>
      <c r="Q37" t="inlineStr">
        <is>
          <t>Onderstepoort Solar 2 Consortium Infinity Power Holding SA [...] 190 492,20 [...] North West</t>
        </is>
      </c>
      <c r="R37" t="inlineStr">
        <is>
          <t>REIPPPP BW7, 1er lot de lauréats (8 projets PV, 1 760 MW) annoncé le 23/12/2024. Développeur: Infinity Power Holding SA. statut: attribué. Base de prix non précisée.</t>
        </is>
      </c>
    </row>
    <row r="38">
      <c r="A38" t="inlineStr">
        <is>
          <t>retenu</t>
        </is>
      </c>
      <c r="B38" t="inlineStr">
        <is>
          <t>A_australe</t>
        </is>
      </c>
      <c r="C38" t="inlineStr">
        <is>
          <t>A</t>
        </is>
      </c>
      <c r="D38" t="inlineStr">
        <is>
          <t>ZAF</t>
        </is>
      </c>
      <c r="E38" t="inlineStr">
        <is>
          <t>Onderstepoort Solar 2 Consortium</t>
        </is>
      </c>
      <c r="F38" t="inlineStr">
        <is>
          <t>puissance_mwac</t>
        </is>
      </c>
      <c r="G38" t="n">
        <v>190</v>
      </c>
      <c r="H38" t="inlineStr">
        <is>
          <t>MW</t>
        </is>
      </c>
      <c r="I38" t="inlineStr">
        <is>
          <t>observée</t>
        </is>
      </c>
      <c r="K38" t="inlineStr">
        <is>
          <t>A</t>
        </is>
      </c>
      <c r="L38" t="inlineStr">
        <is>
          <t>citation_partielle</t>
        </is>
      </c>
      <c r="M38" t="inlineStr">
        <is>
          <t>Department of Electricity and Energy (publié par DBSA)</t>
        </is>
      </c>
      <c r="N38" t="inlineStr">
        <is>
          <t>REIPPPP Bid Window 7 - List of successful bidders (Tender no: DMRE/014/2023/24)</t>
        </is>
      </c>
      <c r="O38" t="inlineStr">
        <is>
          <t>https://dbsa.org/sites/default/files/media/documents/2025-01/REIPPPP%20BW%207%20Successful%20Bidders.pdf</t>
        </is>
      </c>
      <c r="P38" t="inlineStr">
        <is>
          <t>2024-12-23</t>
        </is>
      </c>
      <c r="Q38" t="inlineStr">
        <is>
          <t>Onderstepoort Solar 2 Consortium Infinity Power Holding SA [...] 190 492,20 [...] North West</t>
        </is>
      </c>
      <c r="R38" t="inlineStr">
        <is>
          <t>MW de l'offre (DC/AC non précisé).</t>
        </is>
      </c>
    </row>
    <row r="39">
      <c r="A39" t="inlineStr">
        <is>
          <t>retenu</t>
        </is>
      </c>
      <c r="B39" t="inlineStr">
        <is>
          <t>A_australe</t>
        </is>
      </c>
      <c r="C39" t="inlineStr">
        <is>
          <t>A</t>
        </is>
      </c>
      <c r="D39" t="inlineStr">
        <is>
          <t>ZAF</t>
        </is>
      </c>
      <c r="E39" t="inlineStr">
        <is>
          <t>Dwaalboom 3 Solar</t>
        </is>
      </c>
      <c r="F39" t="inlineStr">
        <is>
          <t>tarif</t>
        </is>
      </c>
      <c r="G39" t="n">
        <v>499.99</v>
      </c>
      <c r="H39" t="inlineStr">
        <is>
          <t>ZAR/MWh</t>
        </is>
      </c>
      <c r="I39" t="inlineStr">
        <is>
          <t>observée</t>
        </is>
      </c>
      <c r="K39" t="inlineStr">
        <is>
          <t>A</t>
        </is>
      </c>
      <c r="L39" t="inlineStr">
        <is>
          <t>citation_partielle</t>
        </is>
      </c>
      <c r="M39" t="inlineStr">
        <is>
          <t>Department of Electricity and Energy (publié par DBSA)</t>
        </is>
      </c>
      <c r="N39" t="inlineStr">
        <is>
          <t>REIPPPP Bid Window 7 - List of successful bidders (additional, re-allocation wind-&gt;PV)</t>
        </is>
      </c>
      <c r="O39" t="inlineStr">
        <is>
          <t>https://www.dbsa.org/sites/default/files/media/documents/2025-07/REIPPPP%20BW%207%20Additional%20Bidders%20Final.pdf</t>
        </is>
      </c>
      <c r="P39" t="inlineStr">
        <is>
          <t>2025-07-21</t>
        </is>
      </c>
      <c r="Q39" t="inlineStr">
        <is>
          <t>Dwaalboom 3 Solar Red Rocket South Africa [...] 180.00 499.99 [...] Limpopo</t>
        </is>
      </c>
      <c r="R39" t="inlineStr">
        <is>
          <t>REIPPPP BW7, lauréats additionnels (6 projets PV, 1 290 MW) annoncés le 21/07/2025. Développeur: Red Rocket South Africa. statut: attribué.</t>
        </is>
      </c>
    </row>
    <row r="40">
      <c r="A40" t="inlineStr">
        <is>
          <t>retenu</t>
        </is>
      </c>
      <c r="B40" t="inlineStr">
        <is>
          <t>A_australe</t>
        </is>
      </c>
      <c r="C40" t="inlineStr">
        <is>
          <t>A</t>
        </is>
      </c>
      <c r="D40" t="inlineStr">
        <is>
          <t>ZAF</t>
        </is>
      </c>
      <c r="E40" t="inlineStr">
        <is>
          <t>Dwaalboom 3 Solar</t>
        </is>
      </c>
      <c r="F40" t="inlineStr">
        <is>
          <t>puissance_mwac</t>
        </is>
      </c>
      <c r="G40" t="n">
        <v>180</v>
      </c>
      <c r="H40" t="inlineStr">
        <is>
          <t>MW</t>
        </is>
      </c>
      <c r="I40" t="inlineStr">
        <is>
          <t>observée</t>
        </is>
      </c>
      <c r="K40" t="inlineStr">
        <is>
          <t>A</t>
        </is>
      </c>
      <c r="L40" t="inlineStr">
        <is>
          <t>citation_partielle</t>
        </is>
      </c>
      <c r="M40" t="inlineStr">
        <is>
          <t>Department of Electricity and Energy (publié par DBSA)</t>
        </is>
      </c>
      <c r="N40" t="inlineStr">
        <is>
          <t>REIPPPP Bid Window 7 - List of successful bidders (additional, re-allocation wind-&gt;PV)</t>
        </is>
      </c>
      <c r="O40" t="inlineStr">
        <is>
          <t>https://www.dbsa.org/sites/default/files/media/documents/2025-07/REIPPPP%20BW%207%20Additional%20Bidders%20Final.pdf</t>
        </is>
      </c>
      <c r="P40" t="inlineStr">
        <is>
          <t>2025-07-21</t>
        </is>
      </c>
      <c r="Q40" t="inlineStr">
        <is>
          <t>Dwaalboom 3 Solar Red Rocket South Africa [...] 180.00 499.99 [...] Limpopo</t>
        </is>
      </c>
      <c r="R40" t="inlineStr">
        <is>
          <t>DC/AC non précisé.</t>
        </is>
      </c>
    </row>
    <row r="41">
      <c r="A41" t="inlineStr">
        <is>
          <t>retenu</t>
        </is>
      </c>
      <c r="B41" t="inlineStr">
        <is>
          <t>A_australe</t>
        </is>
      </c>
      <c r="C41" t="inlineStr">
        <is>
          <t>A</t>
        </is>
      </c>
      <c r="D41" t="inlineStr">
        <is>
          <t>ZAF</t>
        </is>
      </c>
      <c r="E41" t="inlineStr">
        <is>
          <t>Virginia 4 Solar Park</t>
        </is>
      </c>
      <c r="F41" t="inlineStr">
        <is>
          <t>tarif</t>
        </is>
      </c>
      <c r="G41" t="n">
        <v>504.87</v>
      </c>
      <c r="H41" t="inlineStr">
        <is>
          <t>ZAR/MWh</t>
        </is>
      </c>
      <c r="I41" t="inlineStr">
        <is>
          <t>observée</t>
        </is>
      </c>
      <c r="K41" t="inlineStr">
        <is>
          <t>A</t>
        </is>
      </c>
      <c r="L41" t="inlineStr">
        <is>
          <t>citation_partielle</t>
        </is>
      </c>
      <c r="M41" t="inlineStr">
        <is>
          <t>Department of Electricity and Energy (publié par DBSA)</t>
        </is>
      </c>
      <c r="N41" t="inlineStr">
        <is>
          <t>REIPPPP Bid Window 7 - List of successful bidders (additional, re-allocation wind-&gt;PV)</t>
        </is>
      </c>
      <c r="O41" t="inlineStr">
        <is>
          <t>https://www.dbsa.org/sites/default/files/media/documents/2025-07/REIPPPP%20BW%207%20Additional%20Bidders%20Final.pdf</t>
        </is>
      </c>
      <c r="P41" t="inlineStr">
        <is>
          <t>2025-07-21</t>
        </is>
      </c>
      <c r="Q41" t="inlineStr">
        <is>
          <t>Virginia 4 Solar Park Red Rocket South Africa [...] 210.00 504.87 [...] Free State</t>
        </is>
      </c>
      <c r="R41" t="inlineStr">
        <is>
          <t>REIPPPP BW7, lauréats additionnels (6 projets PV, 1 290 MW) annoncés le 21/07/2025. Développeur: Red Rocket South Africa. statut: attribué.</t>
        </is>
      </c>
    </row>
    <row r="42">
      <c r="A42" t="inlineStr">
        <is>
          <t>retenu</t>
        </is>
      </c>
      <c r="B42" t="inlineStr">
        <is>
          <t>A_australe</t>
        </is>
      </c>
      <c r="C42" t="inlineStr">
        <is>
          <t>A</t>
        </is>
      </c>
      <c r="D42" t="inlineStr">
        <is>
          <t>ZAF</t>
        </is>
      </c>
      <c r="E42" t="inlineStr">
        <is>
          <t>Virginia 4 Solar Park</t>
        </is>
      </c>
      <c r="F42" t="inlineStr">
        <is>
          <t>puissance_mwac</t>
        </is>
      </c>
      <c r="G42" t="n">
        <v>210</v>
      </c>
      <c r="H42" t="inlineStr">
        <is>
          <t>MW</t>
        </is>
      </c>
      <c r="I42" t="inlineStr">
        <is>
          <t>observée</t>
        </is>
      </c>
      <c r="K42" t="inlineStr">
        <is>
          <t>A</t>
        </is>
      </c>
      <c r="L42" t="inlineStr">
        <is>
          <t>citation_partielle</t>
        </is>
      </c>
      <c r="M42" t="inlineStr">
        <is>
          <t>Department of Electricity and Energy (publié par DBSA)</t>
        </is>
      </c>
      <c r="N42" t="inlineStr">
        <is>
          <t>REIPPPP Bid Window 7 - List of successful bidders (additional, re-allocation wind-&gt;PV)</t>
        </is>
      </c>
      <c r="O42" t="inlineStr">
        <is>
          <t>https://www.dbsa.org/sites/default/files/media/documents/2025-07/REIPPPP%20BW%207%20Additional%20Bidders%20Final.pdf</t>
        </is>
      </c>
      <c r="P42" t="inlineStr">
        <is>
          <t>2025-07-21</t>
        </is>
      </c>
      <c r="Q42" t="inlineStr">
        <is>
          <t>Virginia 4 Solar Park Red Rocket South Africa [...] 210.00 504.87 [...] Free State</t>
        </is>
      </c>
      <c r="R42" t="inlineStr">
        <is>
          <t>DC/AC non précisé.</t>
        </is>
      </c>
    </row>
    <row r="43">
      <c r="A43" t="inlineStr">
        <is>
          <t>retenu</t>
        </is>
      </c>
      <c r="B43" t="inlineStr">
        <is>
          <t>A_australe</t>
        </is>
      </c>
      <c r="C43" t="inlineStr">
        <is>
          <t>A</t>
        </is>
      </c>
      <c r="D43" t="inlineStr">
        <is>
          <t>ZAF</t>
        </is>
      </c>
      <c r="E43" t="inlineStr">
        <is>
          <t>Florida Solar Park</t>
        </is>
      </c>
      <c r="F43" t="inlineStr">
        <is>
          <t>tarif</t>
        </is>
      </c>
      <c r="G43" t="n">
        <v>506.89</v>
      </c>
      <c r="H43" t="inlineStr">
        <is>
          <t>ZAR/MWh</t>
        </is>
      </c>
      <c r="I43" t="inlineStr">
        <is>
          <t>observée</t>
        </is>
      </c>
      <c r="K43" t="inlineStr">
        <is>
          <t>A</t>
        </is>
      </c>
      <c r="L43" t="inlineStr">
        <is>
          <t>citation_partielle</t>
        </is>
      </c>
      <c r="M43" t="inlineStr">
        <is>
          <t>Department of Electricity and Energy (publié par DBSA)</t>
        </is>
      </c>
      <c r="N43" t="inlineStr">
        <is>
          <t>REIPPPP Bid Window 7 - List of successful bidders (additional, re-allocation wind-&gt;PV)</t>
        </is>
      </c>
      <c r="O43" t="inlineStr">
        <is>
          <t>https://www.dbsa.org/sites/default/files/media/documents/2025-07/REIPPPP%20BW%207%20Additional%20Bidders%20Final.pdf</t>
        </is>
      </c>
      <c r="P43" t="inlineStr">
        <is>
          <t>2025-07-21</t>
        </is>
      </c>
      <c r="Q43" t="inlineStr">
        <is>
          <t>Florida Solar Park Red Rocket South Africa [...] 200.00 506.89 [...] Free State</t>
        </is>
      </c>
      <c r="R43" t="inlineStr">
        <is>
          <t>REIPPPP BW7, lauréats additionnels (6 projets PV, 1 290 MW) annoncés le 21/07/2025. Développeur: Red Rocket South Africa. statut: attribué.</t>
        </is>
      </c>
    </row>
    <row r="44">
      <c r="A44" t="inlineStr">
        <is>
          <t>retenu</t>
        </is>
      </c>
      <c r="B44" t="inlineStr">
        <is>
          <t>A_australe</t>
        </is>
      </c>
      <c r="C44" t="inlineStr">
        <is>
          <t>A</t>
        </is>
      </c>
      <c r="D44" t="inlineStr">
        <is>
          <t>ZAF</t>
        </is>
      </c>
      <c r="E44" t="inlineStr">
        <is>
          <t>Florida Solar Park</t>
        </is>
      </c>
      <c r="F44" t="inlineStr">
        <is>
          <t>puissance_mwac</t>
        </is>
      </c>
      <c r="G44" t="n">
        <v>200</v>
      </c>
      <c r="H44" t="inlineStr">
        <is>
          <t>MW</t>
        </is>
      </c>
      <c r="I44" t="inlineStr">
        <is>
          <t>observée</t>
        </is>
      </c>
      <c r="K44" t="inlineStr">
        <is>
          <t>A</t>
        </is>
      </c>
      <c r="L44" t="inlineStr">
        <is>
          <t>citation_partielle</t>
        </is>
      </c>
      <c r="M44" t="inlineStr">
        <is>
          <t>Department of Electricity and Energy (publié par DBSA)</t>
        </is>
      </c>
      <c r="N44" t="inlineStr">
        <is>
          <t>REIPPPP Bid Window 7 - List of successful bidders (additional, re-allocation wind-&gt;PV)</t>
        </is>
      </c>
      <c r="O44" t="inlineStr">
        <is>
          <t>https://www.dbsa.org/sites/default/files/media/documents/2025-07/REIPPPP%20BW%207%20Additional%20Bidders%20Final.pdf</t>
        </is>
      </c>
      <c r="P44" t="inlineStr">
        <is>
          <t>2025-07-21</t>
        </is>
      </c>
      <c r="Q44" t="inlineStr">
        <is>
          <t>Florida Solar Park Red Rocket South Africa [...] 200.00 506.89 [...] Free State</t>
        </is>
      </c>
      <c r="R44" t="inlineStr">
        <is>
          <t>DC/AC non précisé.</t>
        </is>
      </c>
    </row>
    <row r="45">
      <c r="A45" t="inlineStr">
        <is>
          <t>retenu</t>
        </is>
      </c>
      <c r="B45" t="inlineStr">
        <is>
          <t>A_australe</t>
        </is>
      </c>
      <c r="C45" t="inlineStr">
        <is>
          <t>A</t>
        </is>
      </c>
      <c r="D45" t="inlineStr">
        <is>
          <t>ZAF</t>
        </is>
      </c>
      <c r="E45" t="inlineStr">
        <is>
          <t>Oslaagte Solar 2</t>
        </is>
      </c>
      <c r="F45" t="inlineStr">
        <is>
          <t>tarif</t>
        </is>
      </c>
      <c r="G45" t="n">
        <v>509.02</v>
      </c>
      <c r="H45" t="inlineStr">
        <is>
          <t>ZAR/MWh</t>
        </is>
      </c>
      <c r="I45" t="inlineStr">
        <is>
          <t>observée</t>
        </is>
      </c>
      <c r="K45" t="inlineStr">
        <is>
          <t>A</t>
        </is>
      </c>
      <c r="L45" t="inlineStr">
        <is>
          <t>citation_partielle</t>
        </is>
      </c>
      <c r="M45" t="inlineStr">
        <is>
          <t>Department of Electricity and Energy (publié par DBSA)</t>
        </is>
      </c>
      <c r="N45" t="inlineStr">
        <is>
          <t>REIPPPP Bid Window 7 - List of successful bidders (additional, re-allocation wind-&gt;PV)</t>
        </is>
      </c>
      <c r="O45" t="inlineStr">
        <is>
          <t>https://www.dbsa.org/sites/default/files/media/documents/2025-07/REIPPPP%20BW%207%20Additional%20Bidders%20Final.pdf</t>
        </is>
      </c>
      <c r="P45" t="inlineStr">
        <is>
          <t>2025-07-21</t>
        </is>
      </c>
      <c r="Q45" t="inlineStr">
        <is>
          <t>Oslaagte Solar 2 Scatec Solar Africa Pty Ltd [...] 240.00 509.02 [...] Free State</t>
        </is>
      </c>
      <c r="R45" t="inlineStr">
        <is>
          <t>REIPPPP BW7, lauréats additionnels (6 projets PV, 1 290 MW) annoncés le 21/07/2025. Développeur: Scatec Solar Africa Pty Ltd. statut: attribué.</t>
        </is>
      </c>
    </row>
    <row r="46">
      <c r="A46" t="inlineStr">
        <is>
          <t>retenu</t>
        </is>
      </c>
      <c r="B46" t="inlineStr">
        <is>
          <t>A_australe</t>
        </is>
      </c>
      <c r="C46" t="inlineStr">
        <is>
          <t>A</t>
        </is>
      </c>
      <c r="D46" t="inlineStr">
        <is>
          <t>ZAF</t>
        </is>
      </c>
      <c r="E46" t="inlineStr">
        <is>
          <t>Oslaagte Solar 2</t>
        </is>
      </c>
      <c r="F46" t="inlineStr">
        <is>
          <t>puissance_mwac</t>
        </is>
      </c>
      <c r="G46" t="n">
        <v>240</v>
      </c>
      <c r="H46" t="inlineStr">
        <is>
          <t>MW</t>
        </is>
      </c>
      <c r="I46" t="inlineStr">
        <is>
          <t>observée</t>
        </is>
      </c>
      <c r="K46" t="inlineStr">
        <is>
          <t>A</t>
        </is>
      </c>
      <c r="L46" t="inlineStr">
        <is>
          <t>citation_partielle</t>
        </is>
      </c>
      <c r="M46" t="inlineStr">
        <is>
          <t>Department of Electricity and Energy (publié par DBSA)</t>
        </is>
      </c>
      <c r="N46" t="inlineStr">
        <is>
          <t>REIPPPP Bid Window 7 - List of successful bidders (additional, re-allocation wind-&gt;PV)</t>
        </is>
      </c>
      <c r="O46" t="inlineStr">
        <is>
          <t>https://www.dbsa.org/sites/default/files/media/documents/2025-07/REIPPPP%20BW%207%20Additional%20Bidders%20Final.pdf</t>
        </is>
      </c>
      <c r="P46" t="inlineStr">
        <is>
          <t>2025-07-21</t>
        </is>
      </c>
      <c r="Q46" t="inlineStr">
        <is>
          <t>Oslaagte Solar 2 Scatec Solar Africa Pty Ltd [...] 240.00 509.02 [...] Free State</t>
        </is>
      </c>
      <c r="R46" t="inlineStr">
        <is>
          <t>DC/AC non précisé.</t>
        </is>
      </c>
    </row>
    <row r="47">
      <c r="A47" t="inlineStr">
        <is>
          <t>retenu</t>
        </is>
      </c>
      <c r="B47" t="inlineStr">
        <is>
          <t>A_australe</t>
        </is>
      </c>
      <c r="C47" t="inlineStr">
        <is>
          <t>A</t>
        </is>
      </c>
      <c r="D47" t="inlineStr">
        <is>
          <t>ZAF</t>
        </is>
      </c>
      <c r="E47" t="inlineStr">
        <is>
          <t>Oslaagte Solar 3</t>
        </is>
      </c>
      <c r="F47" t="inlineStr">
        <is>
          <t>tarif</t>
        </is>
      </c>
      <c r="G47" t="n">
        <v>509.02</v>
      </c>
      <c r="H47" t="inlineStr">
        <is>
          <t>ZAR/MWh</t>
        </is>
      </c>
      <c r="I47" t="inlineStr">
        <is>
          <t>observée</t>
        </is>
      </c>
      <c r="K47" t="inlineStr">
        <is>
          <t>A</t>
        </is>
      </c>
      <c r="L47" t="inlineStr">
        <is>
          <t>citation_partielle</t>
        </is>
      </c>
      <c r="M47" t="inlineStr">
        <is>
          <t>Department of Electricity and Energy (publié par DBSA)</t>
        </is>
      </c>
      <c r="N47" t="inlineStr">
        <is>
          <t>REIPPPP Bid Window 7 - List of successful bidders (additional, re-allocation wind-&gt;PV)</t>
        </is>
      </c>
      <c r="O47" t="inlineStr">
        <is>
          <t>https://www.dbsa.org/sites/default/files/media/documents/2025-07/REIPPPP%20BW%207%20Additional%20Bidders%20Final.pdf</t>
        </is>
      </c>
      <c r="P47" t="inlineStr">
        <is>
          <t>2025-07-21</t>
        </is>
      </c>
      <c r="Q47" t="inlineStr">
        <is>
          <t>Oslaagte Solar 3 Scatec Solar Africa Pty Ltd [...] 240.00 509.02 [...] Free State</t>
        </is>
      </c>
      <c r="R47" t="inlineStr">
        <is>
          <t>REIPPPP BW7, lauréats additionnels (6 projets PV, 1 290 MW) annoncés le 21/07/2025. Développeur: Scatec Solar Africa Pty Ltd. statut: attribué.</t>
        </is>
      </c>
    </row>
    <row r="48">
      <c r="A48" t="inlineStr">
        <is>
          <t>retenu</t>
        </is>
      </c>
      <c r="B48" t="inlineStr">
        <is>
          <t>A_australe</t>
        </is>
      </c>
      <c r="C48" t="inlineStr">
        <is>
          <t>A</t>
        </is>
      </c>
      <c r="D48" t="inlineStr">
        <is>
          <t>ZAF</t>
        </is>
      </c>
      <c r="E48" t="inlineStr">
        <is>
          <t>Oslaagte Solar 3</t>
        </is>
      </c>
      <c r="F48" t="inlineStr">
        <is>
          <t>puissance_mwac</t>
        </is>
      </c>
      <c r="G48" t="n">
        <v>240</v>
      </c>
      <c r="H48" t="inlineStr">
        <is>
          <t>MW</t>
        </is>
      </c>
      <c r="I48" t="inlineStr">
        <is>
          <t>observée</t>
        </is>
      </c>
      <c r="K48" t="inlineStr">
        <is>
          <t>A</t>
        </is>
      </c>
      <c r="L48" t="inlineStr">
        <is>
          <t>citation_partielle</t>
        </is>
      </c>
      <c r="M48" t="inlineStr">
        <is>
          <t>Department of Electricity and Energy (publié par DBSA)</t>
        </is>
      </c>
      <c r="N48" t="inlineStr">
        <is>
          <t>REIPPPP Bid Window 7 - List of successful bidders (additional, re-allocation wind-&gt;PV)</t>
        </is>
      </c>
      <c r="O48" t="inlineStr">
        <is>
          <t>https://www.dbsa.org/sites/default/files/media/documents/2025-07/REIPPPP%20BW%207%20Additional%20Bidders%20Final.pdf</t>
        </is>
      </c>
      <c r="P48" t="inlineStr">
        <is>
          <t>2025-07-21</t>
        </is>
      </c>
      <c r="Q48" t="inlineStr">
        <is>
          <t>Oslaagte Solar 3 Scatec Solar Africa Pty Ltd [...] 240.00 509.02 [...] Free State</t>
        </is>
      </c>
      <c r="R48" t="inlineStr">
        <is>
          <t>DC/AC non précisé.</t>
        </is>
      </c>
    </row>
    <row r="49">
      <c r="A49" t="inlineStr">
        <is>
          <t>retenu</t>
        </is>
      </c>
      <c r="B49" t="inlineStr">
        <is>
          <t>A_australe</t>
        </is>
      </c>
      <c r="C49" t="inlineStr">
        <is>
          <t>A</t>
        </is>
      </c>
      <c r="D49" t="inlineStr">
        <is>
          <t>ZAF</t>
        </is>
      </c>
      <c r="E49" t="inlineStr">
        <is>
          <t>Leeuwspruit Solar 1</t>
        </is>
      </c>
      <c r="F49" t="inlineStr">
        <is>
          <t>tarif</t>
        </is>
      </c>
      <c r="G49" t="n">
        <v>514.0599999999999</v>
      </c>
      <c r="H49" t="inlineStr">
        <is>
          <t>ZAR/MWh</t>
        </is>
      </c>
      <c r="I49" t="inlineStr">
        <is>
          <t>observée</t>
        </is>
      </c>
      <c r="K49" t="inlineStr">
        <is>
          <t>A</t>
        </is>
      </c>
      <c r="L49" t="inlineStr">
        <is>
          <t>citation_partielle</t>
        </is>
      </c>
      <c r="M49" t="inlineStr">
        <is>
          <t>Department of Electricity and Energy (publié par DBSA)</t>
        </is>
      </c>
      <c r="N49" t="inlineStr">
        <is>
          <t>REIPPPP Bid Window 7 - List of successful bidders (additional, re-allocation wind-&gt;PV)</t>
        </is>
      </c>
      <c r="O49" t="inlineStr">
        <is>
          <t>https://www.dbsa.org/sites/default/files/media/documents/2025-07/REIPPPP%20BW%207%20Additional%20Bidders%20Final.pdf</t>
        </is>
      </c>
      <c r="P49" t="inlineStr">
        <is>
          <t>2025-07-21</t>
        </is>
      </c>
      <c r="Q49" t="inlineStr">
        <is>
          <t>Leeuwspruit Solar 1 Scatec Solar Africa Pty Ltd [...] 220.00 514.06 [...] Free State</t>
        </is>
      </c>
      <c r="R49" t="inlineStr">
        <is>
          <t>REIPPPP BW7, lauréats additionnels (6 projets PV, 1 290 MW) annoncés le 21/07/2025. Développeur: Scatec Solar Africa Pty Ltd. statut: attribué.</t>
        </is>
      </c>
    </row>
    <row r="50">
      <c r="A50" t="inlineStr">
        <is>
          <t>retenu</t>
        </is>
      </c>
      <c r="B50" t="inlineStr">
        <is>
          <t>A_australe</t>
        </is>
      </c>
      <c r="C50" t="inlineStr">
        <is>
          <t>A</t>
        </is>
      </c>
      <c r="D50" t="inlineStr">
        <is>
          <t>ZAF</t>
        </is>
      </c>
      <c r="E50" t="inlineStr">
        <is>
          <t>Leeuwspruit Solar 1</t>
        </is>
      </c>
      <c r="F50" t="inlineStr">
        <is>
          <t>puissance_mwac</t>
        </is>
      </c>
      <c r="G50" t="n">
        <v>220</v>
      </c>
      <c r="H50" t="inlineStr">
        <is>
          <t>MW</t>
        </is>
      </c>
      <c r="I50" t="inlineStr">
        <is>
          <t>observée</t>
        </is>
      </c>
      <c r="K50" t="inlineStr">
        <is>
          <t>A</t>
        </is>
      </c>
      <c r="L50" t="inlineStr">
        <is>
          <t>citation_partielle</t>
        </is>
      </c>
      <c r="M50" t="inlineStr">
        <is>
          <t>Department of Electricity and Energy (publié par DBSA)</t>
        </is>
      </c>
      <c r="N50" t="inlineStr">
        <is>
          <t>REIPPPP Bid Window 7 - List of successful bidders (additional, re-allocation wind-&gt;PV)</t>
        </is>
      </c>
      <c r="O50" t="inlineStr">
        <is>
          <t>https://www.dbsa.org/sites/default/files/media/documents/2025-07/REIPPPP%20BW%207%20Additional%20Bidders%20Final.pdf</t>
        </is>
      </c>
      <c r="P50" t="inlineStr">
        <is>
          <t>2025-07-21</t>
        </is>
      </c>
      <c r="Q50" t="inlineStr">
        <is>
          <t>Leeuwspruit Solar 1 Scatec Solar Africa Pty Ltd [...] 220.00 514.06 [...] Free State</t>
        </is>
      </c>
      <c r="R50" t="inlineStr">
        <is>
          <t>DC/AC non précisé.</t>
        </is>
      </c>
    </row>
    <row r="51">
      <c r="A51" t="inlineStr">
        <is>
          <t>retenu</t>
        </is>
      </c>
      <c r="B51" t="inlineStr">
        <is>
          <t>A_australe</t>
        </is>
      </c>
      <c r="C51" t="inlineStr">
        <is>
          <t>A</t>
        </is>
      </c>
      <c r="D51" t="inlineStr">
        <is>
          <t>ZAF</t>
        </is>
      </c>
      <c r="E51" t="inlineStr">
        <is>
          <t>Rondebosch Solar Park</t>
        </is>
      </c>
      <c r="F51" t="inlineStr">
        <is>
          <t>tarif</t>
        </is>
      </c>
      <c r="G51" t="n">
        <v>532.99</v>
      </c>
      <c r="H51" t="inlineStr">
        <is>
          <t>ZAR/MWh</t>
        </is>
      </c>
      <c r="I51" t="inlineStr">
        <is>
          <t>observée</t>
        </is>
      </c>
      <c r="K51" t="inlineStr">
        <is>
          <t>A</t>
        </is>
      </c>
      <c r="L51" t="inlineStr">
        <is>
          <t>citation_partielle</t>
        </is>
      </c>
      <c r="M51" t="inlineStr">
        <is>
          <t>Ministry of Electricity and Energy (RSA)</t>
        </is>
      </c>
      <c r="N51" t="inlineStr">
        <is>
          <t>Media statement: Announcement of pre-qualified bidders under the ITP programme and additional preferred bidders under Bid Window 7 of the REIPPPP</t>
        </is>
      </c>
      <c r="O51" t="inlineStr">
        <is>
          <t>https://www.ipp-renewables.co.za/_entity/annotation/613d59d6-de10-d6db-83a6-86b1a2031c32</t>
        </is>
      </c>
      <c r="P51" t="inlineStr">
        <is>
          <t>2025-12-15</t>
        </is>
      </c>
      <c r="Q51" t="inlineStr">
        <is>
          <t>Rondebosch Solar Park Red Rocket South Africa [...] 240,00 532,99 [...] Free State</t>
        </is>
      </c>
      <c r="R51" t="inlineStr">
        <is>
          <t>REIPPPP BW7, 3e lot (après négociations Value for Money), 4 projets PV, 890 MW. Développeur: Red Rocket South Africa. statut: attribué.</t>
        </is>
      </c>
    </row>
    <row r="52">
      <c r="A52" t="inlineStr">
        <is>
          <t>retenu</t>
        </is>
      </c>
      <c r="B52" t="inlineStr">
        <is>
          <t>A_australe</t>
        </is>
      </c>
      <c r="C52" t="inlineStr">
        <is>
          <t>A</t>
        </is>
      </c>
      <c r="D52" t="inlineStr">
        <is>
          <t>ZAF</t>
        </is>
      </c>
      <c r="E52" t="inlineStr">
        <is>
          <t>Rondebosch Solar Park</t>
        </is>
      </c>
      <c r="F52" t="inlineStr">
        <is>
          <t>puissance_mwac</t>
        </is>
      </c>
      <c r="G52" t="n">
        <v>240</v>
      </c>
      <c r="H52" t="inlineStr">
        <is>
          <t>MW</t>
        </is>
      </c>
      <c r="I52" t="inlineStr">
        <is>
          <t>observée</t>
        </is>
      </c>
      <c r="K52" t="inlineStr">
        <is>
          <t>A</t>
        </is>
      </c>
      <c r="L52" t="inlineStr">
        <is>
          <t>citation_partielle</t>
        </is>
      </c>
      <c r="M52" t="inlineStr">
        <is>
          <t>Ministry of Electricity and Energy (RSA)</t>
        </is>
      </c>
      <c r="N52" t="inlineStr">
        <is>
          <t>Media statement: Announcement of pre-qualified bidders under the ITP programme and additional preferred bidders under Bid Window 7 of the REIPPPP</t>
        </is>
      </c>
      <c r="O52" t="inlineStr">
        <is>
          <t>https://www.ipp-renewables.co.za/_entity/annotation/613d59d6-de10-d6db-83a6-86b1a2031c32</t>
        </is>
      </c>
      <c r="P52" t="inlineStr">
        <is>
          <t>2025-12-15</t>
        </is>
      </c>
      <c r="Q52" t="inlineStr">
        <is>
          <t>Rondebosch Solar Park Red Rocket South Africa [...] 240,00 532,99 [...] Free State</t>
        </is>
      </c>
      <c r="R52" t="inlineStr">
        <is>
          <t>DC/AC non précisé.</t>
        </is>
      </c>
    </row>
    <row r="53">
      <c r="A53" t="inlineStr">
        <is>
          <t>retenu</t>
        </is>
      </c>
      <c r="B53" t="inlineStr">
        <is>
          <t>A_australe</t>
        </is>
      </c>
      <c r="C53" t="inlineStr">
        <is>
          <t>A</t>
        </is>
      </c>
      <c r="D53" t="inlineStr">
        <is>
          <t>ZAF</t>
        </is>
      </c>
      <c r="E53" t="inlineStr">
        <is>
          <t>Springhaas Solar Facility 1</t>
        </is>
      </c>
      <c r="F53" t="inlineStr">
        <is>
          <t>tarif</t>
        </is>
      </c>
      <c r="G53" t="n">
        <v>532.99</v>
      </c>
      <c r="H53" t="inlineStr">
        <is>
          <t>ZAR/MWh</t>
        </is>
      </c>
      <c r="I53" t="inlineStr">
        <is>
          <t>observée</t>
        </is>
      </c>
      <c r="K53" t="inlineStr">
        <is>
          <t>A</t>
        </is>
      </c>
      <c r="L53" t="inlineStr">
        <is>
          <t>citation_partielle</t>
        </is>
      </c>
      <c r="M53" t="inlineStr">
        <is>
          <t>Ministry of Electricity and Energy (RSA)</t>
        </is>
      </c>
      <c r="N53" t="inlineStr">
        <is>
          <t>Media statement: Announcement of pre-qualified bidders under the ITP programme and additional preferred bidders under Bid Window 7 of the REIPPPP</t>
        </is>
      </c>
      <c r="O53" t="inlineStr">
        <is>
          <t>https://www.ipp-renewables.co.za/_entity/annotation/613d59d6-de10-d6db-83a6-86b1a2031c32</t>
        </is>
      </c>
      <c r="P53" t="inlineStr">
        <is>
          <t>2025-12-15</t>
        </is>
      </c>
      <c r="Q53" t="inlineStr">
        <is>
          <t>Springhaas Solar Facility 1 Red Rocket South Africa [...] 240,00 532,99 [...] Free State</t>
        </is>
      </c>
      <c r="R53" t="inlineStr">
        <is>
          <t>REIPPPP BW7, 3e lot (après négociations Value for Money), 4 projets PV, 890 MW. Développeur: Red Rocket South Africa. statut: attribué.</t>
        </is>
      </c>
    </row>
    <row r="54">
      <c r="A54" t="inlineStr">
        <is>
          <t>retenu</t>
        </is>
      </c>
      <c r="B54" t="inlineStr">
        <is>
          <t>A_australe</t>
        </is>
      </c>
      <c r="C54" t="inlineStr">
        <is>
          <t>A</t>
        </is>
      </c>
      <c r="D54" t="inlineStr">
        <is>
          <t>ZAF</t>
        </is>
      </c>
      <c r="E54" t="inlineStr">
        <is>
          <t>Springhaas Solar Facility 1</t>
        </is>
      </c>
      <c r="F54" t="inlineStr">
        <is>
          <t>puissance_mwac</t>
        </is>
      </c>
      <c r="G54" t="n">
        <v>240</v>
      </c>
      <c r="H54" t="inlineStr">
        <is>
          <t>MW</t>
        </is>
      </c>
      <c r="I54" t="inlineStr">
        <is>
          <t>observée</t>
        </is>
      </c>
      <c r="K54" t="inlineStr">
        <is>
          <t>A</t>
        </is>
      </c>
      <c r="L54" t="inlineStr">
        <is>
          <t>citation_partielle</t>
        </is>
      </c>
      <c r="M54" t="inlineStr">
        <is>
          <t>Ministry of Electricity and Energy (RSA)</t>
        </is>
      </c>
      <c r="N54" t="inlineStr">
        <is>
          <t>Media statement: Announcement of pre-qualified bidders under the ITP programme and additional preferred bidders under Bid Window 7 of the REIPPPP</t>
        </is>
      </c>
      <c r="O54" t="inlineStr">
        <is>
          <t>https://www.ipp-renewables.co.za/_entity/annotation/613d59d6-de10-d6db-83a6-86b1a2031c32</t>
        </is>
      </c>
      <c r="P54" t="inlineStr">
        <is>
          <t>2025-12-15</t>
        </is>
      </c>
      <c r="Q54" t="inlineStr">
        <is>
          <t>Springhaas Solar Facility 1 Red Rocket South Africa [...] 240,00 532,99 [...] Free State</t>
        </is>
      </c>
      <c r="R54" t="inlineStr">
        <is>
          <t>DC/AC non précisé.</t>
        </is>
      </c>
    </row>
    <row r="55">
      <c r="A55" t="inlineStr">
        <is>
          <t>retenu</t>
        </is>
      </c>
      <c r="B55" t="inlineStr">
        <is>
          <t>A_australe</t>
        </is>
      </c>
      <c r="C55" t="inlineStr">
        <is>
          <t>A</t>
        </is>
      </c>
      <c r="D55" t="inlineStr">
        <is>
          <t>ZAF</t>
        </is>
      </c>
      <c r="E55" t="inlineStr">
        <is>
          <t>Springhaas Solar Facility 6</t>
        </is>
      </c>
      <c r="F55" t="inlineStr">
        <is>
          <t>tarif</t>
        </is>
      </c>
      <c r="G55" t="n">
        <v>532.99</v>
      </c>
      <c r="H55" t="inlineStr">
        <is>
          <t>ZAR/MWh</t>
        </is>
      </c>
      <c r="I55" t="inlineStr">
        <is>
          <t>observée</t>
        </is>
      </c>
      <c r="K55" t="inlineStr">
        <is>
          <t>A</t>
        </is>
      </c>
      <c r="L55" t="inlineStr">
        <is>
          <t>citation_partielle</t>
        </is>
      </c>
      <c r="M55" t="inlineStr">
        <is>
          <t>Ministry of Electricity and Energy (RSA)</t>
        </is>
      </c>
      <c r="N55" t="inlineStr">
        <is>
          <t>Media statement: Announcement of pre-qualified bidders under the ITP programme and additional preferred bidders under Bid Window 7 of the REIPPPP</t>
        </is>
      </c>
      <c r="O55" t="inlineStr">
        <is>
          <t>https://www.ipp-renewables.co.za/_entity/annotation/613d59d6-de10-d6db-83a6-86b1a2031c32</t>
        </is>
      </c>
      <c r="P55" t="inlineStr">
        <is>
          <t>2025-12-15</t>
        </is>
      </c>
      <c r="Q55" t="inlineStr">
        <is>
          <t>Springhaas Solar Facility 6 Red Rocket South Africa [...] 170,00 532,99 [...] Free State</t>
        </is>
      </c>
      <c r="R55" t="inlineStr">
        <is>
          <t>REIPPPP BW7, 3e lot (après négociations Value for Money), 4 projets PV, 890 MW. Développeur: Red Rocket South Africa. statut: attribué.</t>
        </is>
      </c>
    </row>
    <row r="56">
      <c r="A56" t="inlineStr">
        <is>
          <t>retenu</t>
        </is>
      </c>
      <c r="B56" t="inlineStr">
        <is>
          <t>A_australe</t>
        </is>
      </c>
      <c r="C56" t="inlineStr">
        <is>
          <t>A</t>
        </is>
      </c>
      <c r="D56" t="inlineStr">
        <is>
          <t>ZAF</t>
        </is>
      </c>
      <c r="E56" t="inlineStr">
        <is>
          <t>Springhaas Solar Facility 6</t>
        </is>
      </c>
      <c r="F56" t="inlineStr">
        <is>
          <t>puissance_mwac</t>
        </is>
      </c>
      <c r="G56" t="n">
        <v>170</v>
      </c>
      <c r="H56" t="inlineStr">
        <is>
          <t>MW</t>
        </is>
      </c>
      <c r="I56" t="inlineStr">
        <is>
          <t>observée</t>
        </is>
      </c>
      <c r="K56" t="inlineStr">
        <is>
          <t>A</t>
        </is>
      </c>
      <c r="L56" t="inlineStr">
        <is>
          <t>citation_partielle</t>
        </is>
      </c>
      <c r="M56" t="inlineStr">
        <is>
          <t>Ministry of Electricity and Energy (RSA)</t>
        </is>
      </c>
      <c r="N56" t="inlineStr">
        <is>
          <t>Media statement: Announcement of pre-qualified bidders under the ITP programme and additional preferred bidders under Bid Window 7 of the REIPPPP</t>
        </is>
      </c>
      <c r="O56" t="inlineStr">
        <is>
          <t>https://www.ipp-renewables.co.za/_entity/annotation/613d59d6-de10-d6db-83a6-86b1a2031c32</t>
        </is>
      </c>
      <c r="P56" t="inlineStr">
        <is>
          <t>2025-12-15</t>
        </is>
      </c>
      <c r="Q56" t="inlineStr">
        <is>
          <t>Springhaas Solar Facility 6 Red Rocket South Africa [...] 170,00 532,99 [...] Free State</t>
        </is>
      </c>
      <c r="R56" t="inlineStr">
        <is>
          <t>DC/AC non précisé.</t>
        </is>
      </c>
    </row>
    <row r="57">
      <c r="A57" t="inlineStr">
        <is>
          <t>retenu</t>
        </is>
      </c>
      <c r="B57" t="inlineStr">
        <is>
          <t>A_australe</t>
        </is>
      </c>
      <c r="C57" t="inlineStr">
        <is>
          <t>A</t>
        </is>
      </c>
      <c r="D57" t="inlineStr">
        <is>
          <t>ZAF</t>
        </is>
      </c>
      <c r="E57" t="inlineStr">
        <is>
          <t>Corona Solar PV Project</t>
        </is>
      </c>
      <c r="F57" t="inlineStr">
        <is>
          <t>tarif</t>
        </is>
      </c>
      <c r="G57" t="n">
        <v>532</v>
      </c>
      <c r="H57" t="inlineStr">
        <is>
          <t>ZAR/MWh</t>
        </is>
      </c>
      <c r="I57" t="inlineStr">
        <is>
          <t>observée</t>
        </is>
      </c>
      <c r="K57" t="inlineStr">
        <is>
          <t>A</t>
        </is>
      </c>
      <c r="L57" t="inlineStr">
        <is>
          <t>citation_partielle</t>
        </is>
      </c>
      <c r="M57" t="inlineStr">
        <is>
          <t>Ministry of Electricity and Energy (RSA)</t>
        </is>
      </c>
      <c r="N57" t="inlineStr">
        <is>
          <t>Media statement: Announcement of pre-qualified bidders under the ITP programme and additional preferred bidders under Bid Window 7 of the REIPPPP</t>
        </is>
      </c>
      <c r="O57" t="inlineStr">
        <is>
          <t>https://www.ipp-renewables.co.za/_entity/annotation/613d59d6-de10-d6db-83a6-86b1a2031c32</t>
        </is>
      </c>
      <c r="P57" t="inlineStr">
        <is>
          <t>2025-12-15</t>
        </is>
      </c>
      <c r="Q57" t="inlineStr">
        <is>
          <t>Corona Solar PV Project ENGIE [...] 240,00 532,00 [...] North West</t>
        </is>
      </c>
      <c r="R57" t="inlineStr">
        <is>
          <t>REIPPPP BW7, 3e lot (après négociations Value for Money), 4 projets PV, 890 MW. Développeur: ENGIE. statut: attribué.</t>
        </is>
      </c>
    </row>
    <row r="58">
      <c r="A58" t="inlineStr">
        <is>
          <t>retenu</t>
        </is>
      </c>
      <c r="B58" t="inlineStr">
        <is>
          <t>A_australe</t>
        </is>
      </c>
      <c r="C58" t="inlineStr">
        <is>
          <t>A</t>
        </is>
      </c>
      <c r="D58" t="inlineStr">
        <is>
          <t>ZAF</t>
        </is>
      </c>
      <c r="E58" t="inlineStr">
        <is>
          <t>Corona Solar PV Project</t>
        </is>
      </c>
      <c r="F58" t="inlineStr">
        <is>
          <t>puissance_mwac</t>
        </is>
      </c>
      <c r="G58" t="n">
        <v>240</v>
      </c>
      <c r="H58" t="inlineStr">
        <is>
          <t>MW</t>
        </is>
      </c>
      <c r="I58" t="inlineStr">
        <is>
          <t>observée</t>
        </is>
      </c>
      <c r="K58" t="inlineStr">
        <is>
          <t>A</t>
        </is>
      </c>
      <c r="L58" t="inlineStr">
        <is>
          <t>citation_partielle</t>
        </is>
      </c>
      <c r="M58" t="inlineStr">
        <is>
          <t>Ministry of Electricity and Energy (RSA)</t>
        </is>
      </c>
      <c r="N58" t="inlineStr">
        <is>
          <t>Media statement: Announcement of pre-qualified bidders under the ITP programme and additional preferred bidders under Bid Window 7 of the REIPPPP</t>
        </is>
      </c>
      <c r="O58" t="inlineStr">
        <is>
          <t>https://www.ipp-renewables.co.za/_entity/annotation/613d59d6-de10-d6db-83a6-86b1a2031c32</t>
        </is>
      </c>
      <c r="P58" t="inlineStr">
        <is>
          <t>2025-12-15</t>
        </is>
      </c>
      <c r="Q58" t="inlineStr">
        <is>
          <t>Corona Solar PV Project ENGIE [...] 240,00 532,00 [...] North West</t>
        </is>
      </c>
      <c r="R58" t="inlineStr">
        <is>
          <t>DC/AC non précisé.</t>
        </is>
      </c>
    </row>
    <row r="59">
      <c r="A59" t="inlineStr">
        <is>
          <t>retenu</t>
        </is>
      </c>
      <c r="B59" t="inlineStr">
        <is>
          <t>A_australe</t>
        </is>
      </c>
      <c r="C59" t="inlineStr">
        <is>
          <t>A</t>
        </is>
      </c>
      <c r="D59" t="inlineStr">
        <is>
          <t>ZAF</t>
        </is>
      </c>
      <c r="E59" t="inlineStr">
        <is>
          <t>REIPPPP BW7 - 3e lot (4 projets PV, 890 MW)</t>
        </is>
      </c>
      <c r="F59" t="inlineStr">
        <is>
          <t>capex_total</t>
        </is>
      </c>
      <c r="G59" t="n">
        <v>16000000000</v>
      </c>
      <c r="H59" t="inlineStr">
        <is>
          <t>ZAR</t>
        </is>
      </c>
      <c r="I59" t="inlineStr">
        <is>
          <t>déclarée</t>
        </is>
      </c>
      <c r="J59" t="n">
        <v>2025</v>
      </c>
      <c r="K59" t="inlineStr">
        <is>
          <t>A</t>
        </is>
      </c>
      <c r="L59" t="inlineStr">
        <is>
          <t>confirmé</t>
        </is>
      </c>
      <c r="M59" t="inlineStr">
        <is>
          <t>Ministry of Electricity and Energy (RSA)</t>
        </is>
      </c>
      <c r="N59" t="inlineStr">
        <is>
          <t>Media statement: Announcement of pre-qualified bidders under the ITP programme and additional preferred bidders under Bid Window 7 of the REIPPPP</t>
        </is>
      </c>
      <c r="O59" t="inlineStr">
        <is>
          <t>https://www.ipp-renewables.co.za/_entity/annotation/613d59d6-de10-d6db-83a6-86b1a2031c32</t>
        </is>
      </c>
      <c r="P59" t="inlineStr">
        <is>
          <t>2025-12-15</t>
        </is>
      </c>
      <c r="Q59" t="inlineStr">
        <is>
          <t>The total investment from the additional four (4) Solar PV Preferred Bidders announced today is R16 billion.</t>
        </is>
      </c>
      <c r="R59" t="inlineStr">
        <is>
          <t>Investissement déclaré pour 890 MW PV, soit ~R18 M/MW (calcul). Année de valeur supposée 2025.</t>
        </is>
      </c>
    </row>
    <row r="60">
      <c r="A60" t="inlineStr">
        <is>
          <t>retenu</t>
        </is>
      </c>
      <c r="B60" t="inlineStr">
        <is>
          <t>A_australe</t>
        </is>
      </c>
      <c r="C60" t="inlineStr">
        <is>
          <t>A</t>
        </is>
      </c>
      <c r="D60" t="inlineStr">
        <is>
          <t>ZAF</t>
        </is>
      </c>
      <c r="E60" t="inlineStr">
        <is>
          <t>REIPPPP BW7 - total</t>
        </is>
      </c>
      <c r="F60" t="inlineStr">
        <is>
          <t>puissance_mwac</t>
        </is>
      </c>
      <c r="G60" t="n">
        <v>3940</v>
      </c>
      <c r="H60" t="inlineStr">
        <is>
          <t>MW</t>
        </is>
      </c>
      <c r="I60" t="inlineStr">
        <is>
          <t>observée</t>
        </is>
      </c>
      <c r="K60" t="inlineStr">
        <is>
          <t>A</t>
        </is>
      </c>
      <c r="L60" t="inlineStr">
        <is>
          <t>confirmé</t>
        </is>
      </c>
      <c r="M60" t="inlineStr">
        <is>
          <t>Ministry of Electricity and Energy (RSA)</t>
        </is>
      </c>
      <c r="N60" t="inlineStr">
        <is>
          <t>Media statement: Announcement of pre-qualified bidders under the ITP programme and additional preferred bidders under Bid Window 7 of the REIPPPP</t>
        </is>
      </c>
      <c r="O60" t="inlineStr">
        <is>
          <t>https://www.ipp-renewables.co.za/_entity/annotation/613d59d6-de10-d6db-83a6-86b1a2031c32</t>
        </is>
      </c>
      <c r="P60" t="inlineStr">
        <is>
          <t>2025-12-15</t>
        </is>
      </c>
      <c r="Q60" t="inlineStr">
        <is>
          <t>the total capacity procured under the REIPPPP Bid Window 7 now amounts to 3 940MW. The capacity will be built by 18 Solar PV IPP projects</t>
        </is>
      </c>
      <c r="R60" t="inlineStr">
        <is>
          <t>BW7 entièrement PV (18 projets) au 15/12/2025. PPA de 20 ans ('over the 20-year lifetime of the projects').</t>
        </is>
      </c>
    </row>
    <row r="61">
      <c r="A61" t="inlineStr">
        <is>
          <t>retenu</t>
        </is>
      </c>
      <c r="B61" t="inlineStr">
        <is>
          <t>A_australe</t>
        </is>
      </c>
      <c r="C61" t="inlineStr">
        <is>
          <t>A</t>
        </is>
      </c>
      <c r="D61" t="inlineStr">
        <is>
          <t>ZAF</t>
        </is>
      </c>
      <c r="E61" t="inlineStr">
        <is>
          <t>REIPPPP BW7 - total</t>
        </is>
      </c>
      <c r="F61" t="inlineStr">
        <is>
          <t>ppa_duree</t>
        </is>
      </c>
      <c r="G61" t="n">
        <v>20</v>
      </c>
      <c r="H61" t="inlineStr">
        <is>
          <t>ans</t>
        </is>
      </c>
      <c r="I61" t="inlineStr">
        <is>
          <t>observée</t>
        </is>
      </c>
      <c r="K61" t="inlineStr">
        <is>
          <t>A</t>
        </is>
      </c>
      <c r="L61" t="inlineStr">
        <is>
          <t>confirmé</t>
        </is>
      </c>
      <c r="M61" t="inlineStr">
        <is>
          <t>Ministry of Electricity and Energy (RSA)</t>
        </is>
      </c>
      <c r="N61" t="inlineStr">
        <is>
          <t>Media statement: Announcement of pre-qualified bidders under the ITP programme and additional preferred bidders under Bid Window 7 of the REIPPPP</t>
        </is>
      </c>
      <c r="O61" t="inlineStr">
        <is>
          <t>https://www.ipp-renewables.co.za/_entity/annotation/613d59d6-de10-d6db-83a6-86b1a2031c32</t>
        </is>
      </c>
      <c r="P61" t="inlineStr">
        <is>
          <t>2025-12-15</t>
        </is>
      </c>
      <c r="Q61" t="inlineStr">
        <is>
          <t>invest a further R163 million in economic development initiatives [...] during construction and over the 20-year lifetime of the projects.</t>
        </is>
      </c>
      <c r="R61" t="inlineStr">
        <is>
          <t>Durée contractuelle déduite de 'lifetime of the projects' (PPA Eskom).</t>
        </is>
      </c>
    </row>
    <row r="62">
      <c r="A62" t="inlineStr">
        <is>
          <t>retenu</t>
        </is>
      </c>
      <c r="B62" t="inlineStr">
        <is>
          <t>A_australe</t>
        </is>
      </c>
      <c r="C62" t="inlineStr">
        <is>
          <t>A</t>
        </is>
      </c>
      <c r="D62" t="inlineStr">
        <is>
          <t>ZAF</t>
        </is>
      </c>
      <c r="E62" t="inlineStr">
        <is>
          <t>Grootfontein PV 1</t>
        </is>
      </c>
      <c r="F62" t="inlineStr">
        <is>
          <t>annee_mise_en_service</t>
        </is>
      </c>
      <c r="G62" t="n">
        <v>2025</v>
      </c>
      <c r="H62" t="inlineStr">
        <is>
          <t>année</t>
        </is>
      </c>
      <c r="I62" t="inlineStr">
        <is>
          <t>observée</t>
        </is>
      </c>
      <c r="K62" t="inlineStr">
        <is>
          <t>A</t>
        </is>
      </c>
      <c r="L62" t="inlineStr">
        <is>
          <t>citation_partielle</t>
        </is>
      </c>
      <c r="M62" t="inlineStr">
        <is>
          <t>Ministry of Electricity and Energy (RSA)</t>
        </is>
      </c>
      <c r="N62" t="inlineStr">
        <is>
          <t>Media statement: Announcement of pre-qualified bidders under the ITP programme and additional preferred bidders under Bid Window 7 of the REIPPPP</t>
        </is>
      </c>
      <c r="O62" t="inlineStr">
        <is>
          <t>https://www.ipp-renewables.co.za/_entity/annotation/613d59d6-de10-d6db-83a6-86b1a2031c32</t>
        </is>
      </c>
      <c r="P62" t="inlineStr">
        <is>
          <t>2025-12-15</t>
        </is>
      </c>
      <c r="Q62" t="inlineStr">
        <is>
          <t>REIPPPP BW5 Grootfontein PV 1 Scatec SA 28 June 2023 06 December 2025 WC PV 75,00</t>
        </is>
      </c>
      <c r="R62" t="inlineStr">
        <is>
          <t>COD 06/12/2025; financial close 28/06/2023; capacité contractée 75 MW; Western Cape.</t>
        </is>
      </c>
    </row>
    <row r="63">
      <c r="A63" t="inlineStr">
        <is>
          <t>retenu</t>
        </is>
      </c>
      <c r="B63" t="inlineStr">
        <is>
          <t>A_australe</t>
        </is>
      </c>
      <c r="C63" t="inlineStr">
        <is>
          <t>A</t>
        </is>
      </c>
      <c r="D63" t="inlineStr">
        <is>
          <t>ZAF</t>
        </is>
      </c>
      <c r="E63" t="inlineStr">
        <is>
          <t>Grootfontein PV 2</t>
        </is>
      </c>
      <c r="F63" t="inlineStr">
        <is>
          <t>annee_mise_en_service</t>
        </is>
      </c>
      <c r="G63" t="n">
        <v>2025</v>
      </c>
      <c r="H63" t="inlineStr">
        <is>
          <t>année</t>
        </is>
      </c>
      <c r="I63" t="inlineStr">
        <is>
          <t>observée</t>
        </is>
      </c>
      <c r="K63" t="inlineStr">
        <is>
          <t>A</t>
        </is>
      </c>
      <c r="L63" t="inlineStr">
        <is>
          <t>citation_partielle</t>
        </is>
      </c>
      <c r="M63" t="inlineStr">
        <is>
          <t>Ministry of Electricity and Energy (RSA)</t>
        </is>
      </c>
      <c r="N63" t="inlineStr">
        <is>
          <t>Media statement: Announcement of pre-qualified bidders under the ITP programme and additional preferred bidders under Bid Window 7 of the REIPPPP</t>
        </is>
      </c>
      <c r="O63" t="inlineStr">
        <is>
          <t>https://www.ipp-renewables.co.za/_entity/annotation/613d59d6-de10-d6db-83a6-86b1a2031c32</t>
        </is>
      </c>
      <c r="P63" t="inlineStr">
        <is>
          <t>2025-12-15</t>
        </is>
      </c>
      <c r="Q63" t="inlineStr">
        <is>
          <t>REIPPPP BW5 Grootfontein PV 2 Scatec SA 28 June 2023 06 December 2025 WC PV 75,00</t>
        </is>
      </c>
      <c r="R63" t="inlineStr">
        <is>
          <t>COD 06/12/2025; financial close 28/06/2023; capacité contractée 75 MW; Western Cape.</t>
        </is>
      </c>
    </row>
    <row r="64">
      <c r="A64" t="inlineStr">
        <is>
          <t>retenu</t>
        </is>
      </c>
      <c r="B64" t="inlineStr">
        <is>
          <t>A_australe</t>
        </is>
      </c>
      <c r="C64" t="inlineStr">
        <is>
          <t>A</t>
        </is>
      </c>
      <c r="D64" t="inlineStr">
        <is>
          <t>ZAF</t>
        </is>
      </c>
      <c r="E64" t="inlineStr">
        <is>
          <t>Grootfontein PV 3</t>
        </is>
      </c>
      <c r="F64" t="inlineStr">
        <is>
          <t>annee_mise_en_service</t>
        </is>
      </c>
      <c r="G64" t="n">
        <v>2025</v>
      </c>
      <c r="H64" t="inlineStr">
        <is>
          <t>année</t>
        </is>
      </c>
      <c r="I64" t="inlineStr">
        <is>
          <t>observée</t>
        </is>
      </c>
      <c r="K64" t="inlineStr">
        <is>
          <t>A</t>
        </is>
      </c>
      <c r="L64" t="inlineStr">
        <is>
          <t>citation_partielle</t>
        </is>
      </c>
      <c r="M64" t="inlineStr">
        <is>
          <t>Ministry of Electricity and Energy (RSA)</t>
        </is>
      </c>
      <c r="N64" t="inlineStr">
        <is>
          <t>Media statement: Announcement of pre-qualified bidders under the ITP programme and additional preferred bidders under Bid Window 7 of the REIPPPP</t>
        </is>
      </c>
      <c r="O64" t="inlineStr">
        <is>
          <t>https://www.ipp-renewables.co.za/_entity/annotation/613d59d6-de10-d6db-83a6-86b1a2031c32</t>
        </is>
      </c>
      <c r="P64" t="inlineStr">
        <is>
          <t>2025-12-15</t>
        </is>
      </c>
      <c r="Q64" t="inlineStr">
        <is>
          <t>REIPPPP BW5 Grootfontein PV 3 Scatec SA 28 June 2023 06 December 2025 WC PV 75,00</t>
        </is>
      </c>
      <c r="R64" t="inlineStr">
        <is>
          <t>COD 06/12/2025; financial close 28/06/2023; capacité contractée 75 MW; Western Cape.</t>
        </is>
      </c>
    </row>
    <row r="65">
      <c r="A65" t="inlineStr">
        <is>
          <t>retenu</t>
        </is>
      </c>
      <c r="B65" t="inlineStr">
        <is>
          <t>A_australe</t>
        </is>
      </c>
      <c r="C65" t="inlineStr">
        <is>
          <t>A</t>
        </is>
      </c>
      <c r="D65" t="inlineStr">
        <is>
          <t>ZAF</t>
        </is>
      </c>
      <c r="E65" t="inlineStr">
        <is>
          <t>Grootfontein PV 1-3 (ensemble)</t>
        </is>
      </c>
      <c r="F65" t="inlineStr">
        <is>
          <t>puissance_mwp</t>
        </is>
      </c>
      <c r="G65" t="n">
        <v>273</v>
      </c>
      <c r="H65" t="inlineStr">
        <is>
          <t>MW (probablement MWp)</t>
        </is>
      </c>
      <c r="I65" t="inlineStr">
        <is>
          <t>déclarée</t>
        </is>
      </c>
      <c r="K65" t="inlineStr">
        <is>
          <t>B</t>
        </is>
      </c>
      <c r="L65" t="inlineStr">
        <is>
          <t>confirmé</t>
        </is>
      </c>
      <c r="M65" t="inlineStr">
        <is>
          <t>Scatec (relayé par Renewable Energy Magazine)</t>
        </is>
      </c>
      <c r="N65" t="inlineStr">
        <is>
          <t>Scatec reaches financial close for its Grootfontein solar projects in South Africa</t>
        </is>
      </c>
      <c r="O65" t="inlineStr">
        <is>
          <t>https://www.renewableenergymagazine.com/pv_solar/scatec-reaches-financial-close-for-its-grootfontein-20230630</t>
        </is>
      </c>
      <c r="P65" t="inlineStr">
        <is>
          <t>2023-06-30</t>
        </is>
      </c>
      <c r="Q65" t="inlineStr">
        <is>
          <t>have a total capacity of 273 MW solar power</t>
        </is>
      </c>
      <c r="R65" t="inlineStr">
        <is>
          <t>CONFLIT apparent avec 3 x 75 = 225 MW contractés (ministère). Probablement 273 MWp DC vs 225 MWac contractés; non confirmé par la source.</t>
        </is>
      </c>
    </row>
    <row r="66">
      <c r="A66" t="inlineStr">
        <is>
          <t>retenu</t>
        </is>
      </c>
      <c r="B66" t="inlineStr">
        <is>
          <t>A_australe</t>
        </is>
      </c>
      <c r="C66" t="inlineStr">
        <is>
          <t>A</t>
        </is>
      </c>
      <c r="D66" t="inlineStr">
        <is>
          <t>ZAF</t>
        </is>
      </c>
      <c r="E66" t="inlineStr">
        <is>
          <t>Grootfontein PV 1-3 (ensemble)</t>
        </is>
      </c>
      <c r="F66" t="inlineStr">
        <is>
          <t>capex_total</t>
        </is>
      </c>
      <c r="G66" t="n">
        <v>5100000000</v>
      </c>
      <c r="H66" t="inlineStr">
        <is>
          <t>ZAR</t>
        </is>
      </c>
      <c r="I66" t="inlineStr">
        <is>
          <t>déclarée</t>
        </is>
      </c>
      <c r="J66" t="n">
        <v>2023</v>
      </c>
      <c r="K66" t="inlineStr">
        <is>
          <t>B</t>
        </is>
      </c>
      <c r="L66" t="inlineStr">
        <is>
          <t>confirmé</t>
        </is>
      </c>
      <c r="M66" t="inlineStr">
        <is>
          <t>Scatec (relayé par Renewable Energy Magazine)</t>
        </is>
      </c>
      <c r="N66" t="inlineStr">
        <is>
          <t>Scatec reaches financial close for its Grootfontein solar projects in South Africa</t>
        </is>
      </c>
      <c r="O66" t="inlineStr">
        <is>
          <t>https://www.renewableenergymagazine.com/pv_solar/scatec-reaches-financial-close-for-its-grootfontein-20230630</t>
        </is>
      </c>
      <c r="P66" t="inlineStr">
        <is>
          <t>2023-06-30</t>
        </is>
      </c>
      <c r="Q66" t="inlineStr">
        <is>
          <t>The power plants have an estimated total project cost of ZAR 5.1 billion (US$270 million)</t>
        </is>
      </c>
      <c r="R66" t="inlineStr">
        <is>
          <t>Équivalent US$270 M selon la source.</t>
        </is>
      </c>
    </row>
    <row r="67">
      <c r="A67" t="inlineStr">
        <is>
          <t>qualitatif</t>
        </is>
      </c>
      <c r="B67" t="inlineStr">
        <is>
          <t>A_australe</t>
        </is>
      </c>
      <c r="C67" t="inlineStr">
        <is>
          <t>A</t>
        </is>
      </c>
      <c r="D67" t="inlineStr">
        <is>
          <t>ZAF</t>
        </is>
      </c>
      <c r="E67" t="inlineStr">
        <is>
          <t>Grootfontein PV 1-3 (ensemble)</t>
        </is>
      </c>
      <c r="F67" t="inlineStr">
        <is>
          <t>financeurs</t>
        </is>
      </c>
      <c r="G67" t="inlineStr">
        <is>
          <t>Standard Bank of South Africa (dette senior non-recours ZAR 4.5 Md)</t>
        </is>
      </c>
      <c r="H67" t="inlineStr">
        <is>
          <t>texte</t>
        </is>
      </c>
      <c r="I67" t="inlineStr">
        <is>
          <t>observée</t>
        </is>
      </c>
      <c r="J67" t="n">
        <v>2023</v>
      </c>
      <c r="K67" t="inlineStr">
        <is>
          <t>B</t>
        </is>
      </c>
      <c r="L67" t="inlineStr">
        <is>
          <t>qualitatif_citation_ok</t>
        </is>
      </c>
      <c r="M67" t="inlineStr">
        <is>
          <t>Scatec (relayé par Renewable Energy Magazine)</t>
        </is>
      </c>
      <c r="N67" t="inlineStr">
        <is>
          <t>Scatec reaches financial close for its Grootfontein solar projects in South Africa</t>
        </is>
      </c>
      <c r="O67" t="inlineStr">
        <is>
          <t>https://www.renewableenergymagazine.com/pv_solar/scatec-reaches-financial-close-for-its-grootfontein-20230630</t>
        </is>
      </c>
      <c r="P67" t="inlineStr">
        <is>
          <t>2023-06-30</t>
        </is>
      </c>
      <c r="Q67" t="inlineStr">
        <is>
          <t>ZAR 4.5 billion (US$241 million) of non-recourse project finance debt provided by Standard Bank of South Africa</t>
        </is>
      </c>
      <c r="R67" t="inlineStr">
        <is>
          <t>Part de dette ≈ 4.5/5.1 = 88% (calcul).</t>
        </is>
      </c>
    </row>
    <row r="68">
      <c r="A68" t="inlineStr">
        <is>
          <t>retenu</t>
        </is>
      </c>
      <c r="B68" t="inlineStr">
        <is>
          <t>A_australe</t>
        </is>
      </c>
      <c r="C68" t="inlineStr">
        <is>
          <t>A</t>
        </is>
      </c>
      <c r="D68" t="inlineStr">
        <is>
          <t>ZAF</t>
        </is>
      </c>
      <c r="E68" t="inlineStr">
        <is>
          <t>Grootfontein PV 1-3 (ensemble)</t>
        </is>
      </c>
      <c r="F68" t="inlineStr">
        <is>
          <t>ppa_duree</t>
        </is>
      </c>
      <c r="G68" t="n">
        <v>20</v>
      </c>
      <c r="H68" t="inlineStr">
        <is>
          <t>ans</t>
        </is>
      </c>
      <c r="I68" t="inlineStr">
        <is>
          <t>observée</t>
        </is>
      </c>
      <c r="K68" t="inlineStr">
        <is>
          <t>B</t>
        </is>
      </c>
      <c r="L68" t="inlineStr">
        <is>
          <t>confirmé</t>
        </is>
      </c>
      <c r="M68" t="inlineStr">
        <is>
          <t>Scatec (relayé par Renewable Energy Magazine)</t>
        </is>
      </c>
      <c r="N68" t="inlineStr">
        <is>
          <t>Scatec reaches financial close for its Grootfontein solar projects in South Africa</t>
        </is>
      </c>
      <c r="O68" t="inlineStr">
        <is>
          <t>https://www.renewableenergymagazine.com/pv_solar/scatec-reaches-financial-close-for-its-grootfontein-20230630</t>
        </is>
      </c>
      <c r="P68" t="inlineStr">
        <is>
          <t>2023-06-30</t>
        </is>
      </c>
      <c r="Q68" t="inlineStr">
        <is>
          <t>under a 20-year Power Purchase Agreement</t>
        </is>
      </c>
      <c r="R68" t="inlineStr">
        <is>
          <t>Acheteur Eskom (non nommé dans l'article).</t>
        </is>
      </c>
    </row>
    <row r="69">
      <c r="A69" t="inlineStr">
        <is>
          <t>retenu</t>
        </is>
      </c>
      <c r="B69" t="inlineStr">
        <is>
          <t>A_australe</t>
        </is>
      </c>
      <c r="C69" t="inlineStr">
        <is>
          <t>A</t>
        </is>
      </c>
      <c r="D69" t="inlineStr">
        <is>
          <t>ZAF</t>
        </is>
      </c>
      <c r="E69" t="inlineStr">
        <is>
          <t>Kenhardt 1-3 (RMIPPPP, PV+stockage)</t>
        </is>
      </c>
      <c r="F69" t="inlineStr">
        <is>
          <t>puissance_mwp</t>
        </is>
      </c>
      <c r="G69" t="n">
        <v>540</v>
      </c>
      <c r="H69" t="inlineStr">
        <is>
          <t>MW (DC/AC non précisé)</t>
        </is>
      </c>
      <c r="I69" t="inlineStr">
        <is>
          <t>déclarée</t>
        </is>
      </c>
      <c r="K69" t="inlineStr">
        <is>
          <t>B</t>
        </is>
      </c>
      <c r="L69" t="inlineStr">
        <is>
          <t>citation_partielle</t>
        </is>
      </c>
      <c r="M69" t="inlineStr">
        <is>
          <t>Scatec (communiqué via pv magazine)</t>
        </is>
      </c>
      <c r="N69" t="inlineStr">
        <is>
          <t>Scatec is starting construction of solar and battery project in South Africa after reaching financial close</t>
        </is>
      </c>
      <c r="O69" t="inlineStr">
        <is>
          <t>https://www.pv-magazine.com/press-releases/scatec-is-starting-construction-of-solar-and-battery-project-in-south-africa-after-reaching-financial-close/</t>
        </is>
      </c>
      <c r="P69" t="inlineStr">
        <is>
          <t>2022-07-20</t>
        </is>
      </c>
      <c r="Q69" t="inlineStr">
        <is>
          <t>Once operational the project will have a total solar capacity of 540 MW.</t>
        </is>
      </c>
      <c r="R69" t="inlineStr">
        <is>
          <t>PV+STOCKAGE (marqué). 150 MW dispatchable sous PPA 20 ans. RMIPPPP.</t>
        </is>
      </c>
    </row>
    <row r="70">
      <c r="A70" t="inlineStr">
        <is>
          <t>retenu</t>
        </is>
      </c>
      <c r="B70" t="inlineStr">
        <is>
          <t>A_australe</t>
        </is>
      </c>
      <c r="C70" t="inlineStr">
        <is>
          <t>A</t>
        </is>
      </c>
      <c r="D70" t="inlineStr">
        <is>
          <t>ZAF</t>
        </is>
      </c>
      <c r="E70" t="inlineStr">
        <is>
          <t>Kenhardt 1-3 (RMIPPPP, PV+stockage)</t>
        </is>
      </c>
      <c r="F70" t="inlineStr">
        <is>
          <t>stockage_mwh</t>
        </is>
      </c>
      <c r="G70" t="n">
        <v>1140</v>
      </c>
      <c r="H70" t="inlineStr">
        <is>
          <t>MWh</t>
        </is>
      </c>
      <c r="I70" t="inlineStr">
        <is>
          <t>déclarée</t>
        </is>
      </c>
      <c r="K70" t="inlineStr">
        <is>
          <t>B</t>
        </is>
      </c>
      <c r="L70" t="inlineStr">
        <is>
          <t>confirmé</t>
        </is>
      </c>
      <c r="M70" t="inlineStr">
        <is>
          <t>Scatec (communiqué via pv magazine)</t>
        </is>
      </c>
      <c r="N70" t="inlineStr">
        <is>
          <t>Scatec is starting construction of solar and battery project in South Africa after reaching financial close</t>
        </is>
      </c>
      <c r="O70" t="inlineStr">
        <is>
          <t>https://www.pv-magazine.com/press-releases/scatec-is-starting-construction-of-solar-and-battery-project-in-south-africa-after-reaching-financial-close/</t>
        </is>
      </c>
      <c r="P70" t="inlineStr">
        <is>
          <t>2022-07-20</t>
        </is>
      </c>
      <c r="Q70" t="inlineStr">
        <is>
          <t>battery storage capacity of 225MW/1,140MWh</t>
        </is>
      </c>
      <c r="R70" t="inlineStr">
        <is>
          <t>PV+stockage.</t>
        </is>
      </c>
    </row>
    <row r="71">
      <c r="A71" t="inlineStr">
        <is>
          <t>retenu</t>
        </is>
      </c>
      <c r="B71" t="inlineStr">
        <is>
          <t>A_australe</t>
        </is>
      </c>
      <c r="C71" t="inlineStr">
        <is>
          <t>A</t>
        </is>
      </c>
      <c r="D71" t="inlineStr">
        <is>
          <t>ZAF</t>
        </is>
      </c>
      <c r="E71" t="inlineStr">
        <is>
          <t>Kenhardt 1-3 (RMIPPPP, PV+stockage)</t>
        </is>
      </c>
      <c r="F71" t="inlineStr">
        <is>
          <t>capex_total</t>
        </is>
      </c>
      <c r="G71" t="n">
        <v>16400000000</v>
      </c>
      <c r="H71" t="inlineStr">
        <is>
          <t>ZAR</t>
        </is>
      </c>
      <c r="I71" t="inlineStr">
        <is>
          <t>déclarée</t>
        </is>
      </c>
      <c r="J71" t="n">
        <v>2022</v>
      </c>
      <c r="K71" t="inlineStr">
        <is>
          <t>B</t>
        </is>
      </c>
      <c r="L71" t="inlineStr">
        <is>
          <t>confirmé</t>
        </is>
      </c>
      <c r="M71" t="inlineStr">
        <is>
          <t>Scatec (communiqué via pv magazine)</t>
        </is>
      </c>
      <c r="N71" t="inlineStr">
        <is>
          <t>Scatec is starting construction of solar and battery project in South Africa after reaching financial close</t>
        </is>
      </c>
      <c r="O71" t="inlineStr">
        <is>
          <t>https://www.pv-magazine.com/press-releases/scatec-is-starting-construction-of-solar-and-battery-project-in-south-africa-after-reaching-financial-close/</t>
        </is>
      </c>
      <c r="P71" t="inlineStr">
        <is>
          <t>2022-07-20</t>
        </is>
      </c>
      <c r="Q71" t="inlineStr">
        <is>
          <t>a total capex of approximately ZAR 16.4 billion (USD 962 million)</t>
        </is>
      </c>
      <c r="R71" t="inlineStr">
        <is>
          <t>PV+stockage; capex inclut BESS.</t>
        </is>
      </c>
    </row>
    <row r="72">
      <c r="A72" t="inlineStr">
        <is>
          <t>qualitatif</t>
        </is>
      </c>
      <c r="B72" t="inlineStr">
        <is>
          <t>A_australe</t>
        </is>
      </c>
      <c r="C72" t="inlineStr">
        <is>
          <t>A</t>
        </is>
      </c>
      <c r="D72" t="inlineStr">
        <is>
          <t>ZAF</t>
        </is>
      </c>
      <c r="E72" t="inlineStr">
        <is>
          <t>Kenhardt 1-3 (RMIPPPP, PV+stockage)</t>
        </is>
      </c>
      <c r="F72" t="inlineStr">
        <is>
          <t>financeurs</t>
        </is>
      </c>
      <c r="G72" t="inlineStr">
        <is>
          <t>Standard Bank Group (arrangeur), British International Investment; dette ZAR 12.4 Md</t>
        </is>
      </c>
      <c r="H72" t="inlineStr">
        <is>
          <t>texte</t>
        </is>
      </c>
      <c r="I72" t="inlineStr">
        <is>
          <t>observée</t>
        </is>
      </c>
      <c r="J72" t="n">
        <v>2022</v>
      </c>
      <c r="K72" t="inlineStr">
        <is>
          <t>B</t>
        </is>
      </c>
      <c r="L72" t="inlineStr">
        <is>
          <t>qualitatif_citation_ok</t>
        </is>
      </c>
      <c r="M72" t="inlineStr">
        <is>
          <t>Scatec (communiqué via pv magazine)</t>
        </is>
      </c>
      <c r="N72" t="inlineStr">
        <is>
          <t>Scatec is starting construction of solar and battery project in South Africa after reaching financial close</t>
        </is>
      </c>
      <c r="O72" t="inlineStr">
        <is>
          <t>https://www.pv-magazine.com/press-releases/scatec-is-starting-construction-of-solar-and-battery-project-in-south-africa-after-reaching-financial-close/</t>
        </is>
      </c>
      <c r="P72" t="inlineStr">
        <is>
          <t>2022-07-20</t>
        </is>
      </c>
      <c r="Q72" t="inlineStr">
        <is>
          <t>ZAR 12.4 billion (USD 727 million) in non-recourse project debt. [...] The debt will be provided by a group of Lenders which includes The Standard Bank Group as arranger.</t>
        </is>
      </c>
      <c r="R72" t="inlineStr">
        <is>
          <t>Part de dette ≈ 76% (12.4/16.4, calcul).</t>
        </is>
      </c>
    </row>
    <row r="73">
      <c r="A73" t="inlineStr">
        <is>
          <t>retenu</t>
        </is>
      </c>
      <c r="B73" t="inlineStr">
        <is>
          <t>A_australe</t>
        </is>
      </c>
      <c r="C73" t="inlineStr">
        <is>
          <t>A</t>
        </is>
      </c>
      <c r="D73" t="inlineStr">
        <is>
          <t>ZAF</t>
        </is>
      </c>
      <c r="E73" t="inlineStr">
        <is>
          <t>Kenhardt 1-3 (RMIPPPP, PV+stockage)</t>
        </is>
      </c>
      <c r="F73" t="inlineStr">
        <is>
          <t>ppa_duree</t>
        </is>
      </c>
      <c r="G73" t="n">
        <v>20</v>
      </c>
      <c r="H73" t="inlineStr">
        <is>
          <t>ans</t>
        </is>
      </c>
      <c r="I73" t="inlineStr">
        <is>
          <t>observée</t>
        </is>
      </c>
      <c r="K73" t="inlineStr">
        <is>
          <t>B</t>
        </is>
      </c>
      <c r="L73" t="inlineStr">
        <is>
          <t>confirmé</t>
        </is>
      </c>
      <c r="M73" t="inlineStr">
        <is>
          <t>Scatec (communiqué via pv magazine)</t>
        </is>
      </c>
      <c r="N73" t="inlineStr">
        <is>
          <t>Scatec is starting construction of solar and battery project in South Africa after reaching financial close</t>
        </is>
      </c>
      <c r="O73" t="inlineStr">
        <is>
          <t>https://www.pv-magazine.com/press-releases/scatec-is-starting-construction-of-solar-and-battery-project-in-south-africa-after-reaching-financial-close/</t>
        </is>
      </c>
      <c r="P73" t="inlineStr">
        <is>
          <t>2022-07-20</t>
        </is>
      </c>
      <c r="Q73" t="inlineStr">
        <is>
          <t>provide 150 MW of dispatchable power under a 20-year Power Purchase Agreement</t>
        </is>
      </c>
      <c r="R73" t="inlineStr"/>
    </row>
    <row r="74">
      <c r="A74" t="inlineStr">
        <is>
          <t>retenu</t>
        </is>
      </c>
      <c r="B74" t="inlineStr">
        <is>
          <t>A_australe</t>
        </is>
      </c>
      <c r="C74" t="inlineStr">
        <is>
          <t>A</t>
        </is>
      </c>
      <c r="D74" t="inlineStr">
        <is>
          <t>ZAF</t>
        </is>
      </c>
      <c r="E74" t="inlineStr">
        <is>
          <t>RMIPPPP - ensemble des lauréats (toutes technologies)</t>
        </is>
      </c>
      <c r="F74" t="inlineStr">
        <is>
          <t>tarif</t>
        </is>
      </c>
      <c r="G74" t="n">
        <v>1575</v>
      </c>
      <c r="H74" t="inlineStr">
        <is>
          <t>ZAR/MWh</t>
        </is>
      </c>
      <c r="I74" t="inlineStr">
        <is>
          <t>observée</t>
        </is>
      </c>
      <c r="K74" t="inlineStr">
        <is>
          <t>A</t>
        </is>
      </c>
      <c r="L74" t="inlineStr">
        <is>
          <t>citation_partielle</t>
        </is>
      </c>
      <c r="M74" t="inlineStr">
        <is>
          <t>SAnews (South African Government News Agency)</t>
        </is>
      </c>
      <c r="N74" t="inlineStr">
        <is>
          <t>IPP preferred bidders announced</t>
        </is>
      </c>
      <c r="O74" t="inlineStr">
        <is>
          <t>https://www.sanews.gov.za/node/51085</t>
        </is>
      </c>
      <c r="P74" t="inlineStr">
        <is>
          <t>2021-03-19</t>
        </is>
      </c>
      <c r="Q74" t="inlineStr">
        <is>
          <t>The weighted average price is R1 575 per MWh.</t>
        </is>
      </c>
      <c r="R74" t="inlineStr">
        <is>
          <t>Moyenne pondérée de TOUTES les solutions RMIPPPP (PV, éolien, GNL/powerships, batteries) - pas spécifique au PV. Fourchette R1 468 - R1 885/MWh.</t>
        </is>
      </c>
    </row>
    <row r="75">
      <c r="A75" t="inlineStr">
        <is>
          <t>qualitatif</t>
        </is>
      </c>
      <c r="B75" t="inlineStr">
        <is>
          <t>A_australe</t>
        </is>
      </c>
      <c r="C75" t="inlineStr">
        <is>
          <t>A</t>
        </is>
      </c>
      <c r="D75" t="inlineStr">
        <is>
          <t>ZAF</t>
        </is>
      </c>
      <c r="E75" t="inlineStr">
        <is>
          <t>Umoyilanga Energy (RMIPPPP, éolien+PV+BESS)</t>
        </is>
      </c>
      <c r="F75" t="inlineStr">
        <is>
          <t>statut</t>
        </is>
      </c>
      <c r="G75" t="inlineStr">
        <is>
          <t>en service partiel (1 installation en Early Operation 06/12/2025, 2e en construction)</t>
        </is>
      </c>
      <c r="H75" t="inlineStr">
        <is>
          <t>texte</t>
        </is>
      </c>
      <c r="I75" t="inlineStr">
        <is>
          <t>observée</t>
        </is>
      </c>
      <c r="K75" t="inlineStr">
        <is>
          <t>A</t>
        </is>
      </c>
      <c r="L75" t="inlineStr">
        <is>
          <t>qualitatif_citation_ok</t>
        </is>
      </c>
      <c r="M75" t="inlineStr">
        <is>
          <t>Ministry of Electricity and Energy (RSA)</t>
        </is>
      </c>
      <c r="N75" t="inlineStr">
        <is>
          <t>Media statement: Announcement of pre-qualified bidders under the ITP programme and additional preferred bidders under Bid Window 7 of the REIPPPP</t>
        </is>
      </c>
      <c r="O75" t="inlineStr">
        <is>
          <t>https://www.ipp-renewables.co.za/_entity/annotation/613d59d6-de10-d6db-83a6-86b1a2031c32</t>
        </is>
      </c>
      <c r="P75" t="inlineStr">
        <is>
          <t>2025-12-15</t>
        </is>
      </c>
      <c r="Q75" t="inlineStr">
        <is>
          <t>Umoyilanga Energy EDF Renewables 28 November 2023 One facility in Early Operation (EOP) on 6 December 2025, Second facility in construction NC Wind, PV, BESS 75,00 (55.06 in EOP)</t>
        </is>
      </c>
      <c r="R75" t="inlineStr">
        <is>
          <t>Hybride éolien+PV+stockage; 75 MW contractés.</t>
        </is>
      </c>
    </row>
    <row r="76">
      <c r="A76" t="inlineStr">
        <is>
          <t>retenu</t>
        </is>
      </c>
      <c r="B76" t="inlineStr">
        <is>
          <t>A_australe</t>
        </is>
      </c>
      <c r="C76" t="inlineStr">
        <is>
          <t>A</t>
        </is>
      </c>
      <c r="D76" t="inlineStr">
        <is>
          <t>ZMB</t>
        </is>
      </c>
      <c r="E76" t="inlineStr">
        <is>
          <t>Bangweulu (Scaling Solar, West Lunga)</t>
        </is>
      </c>
      <c r="F76" t="inlineStr">
        <is>
          <t>tarif</t>
        </is>
      </c>
      <c r="G76" t="n">
        <v>60.15</v>
      </c>
      <c r="H76" t="inlineStr">
        <is>
          <t>USD/MWh</t>
        </is>
      </c>
      <c r="I76" t="inlineStr">
        <is>
          <t>observée</t>
        </is>
      </c>
      <c r="J76" t="n">
        <v>2017</v>
      </c>
      <c r="K76" t="inlineStr">
        <is>
          <t>B</t>
        </is>
      </c>
      <c r="L76" t="inlineStr">
        <is>
          <t>confirmé</t>
        </is>
      </c>
      <c r="M76" t="inlineStr">
        <is>
          <t>Neoen</t>
        </is>
      </c>
      <c r="N76" t="inlineStr">
        <is>
          <t>Zambia: beginning of works on a solar park</t>
        </is>
      </c>
      <c r="O76" t="inlineStr">
        <is>
          <t>https://neoen.com/en/news/2017/zambia-beginning-of-works-on-a-solar-park/</t>
        </is>
      </c>
      <c r="P76" t="inlineStr">
        <is>
          <t>2017-12-21</t>
        </is>
      </c>
      <c r="Q76" t="inlineStr">
        <is>
          <t>for the next 25 years at a rate of 60.15 US Dollars per MWh</t>
        </is>
      </c>
      <c r="R76" t="inlineStr">
        <is>
          <t>Tarif fixe 25 ans, non indexé (UCT: 'non-indexed price').</t>
        </is>
      </c>
    </row>
    <row r="77">
      <c r="A77" t="inlineStr">
        <is>
          <t>retenu</t>
        </is>
      </c>
      <c r="B77" t="inlineStr">
        <is>
          <t>A_australe</t>
        </is>
      </c>
      <c r="C77" t="inlineStr">
        <is>
          <t>A</t>
        </is>
      </c>
      <c r="D77" t="inlineStr">
        <is>
          <t>ZMB</t>
        </is>
      </c>
      <c r="E77" t="inlineStr">
        <is>
          <t>Bangweulu (Scaling Solar, West Lunga)</t>
        </is>
      </c>
      <c r="F77" t="inlineStr">
        <is>
          <t>tarif</t>
        </is>
      </c>
      <c r="G77" t="n">
        <v>6.015</v>
      </c>
      <c r="H77" t="inlineStr">
        <is>
          <t>US cents/kWh</t>
        </is>
      </c>
      <c r="I77" t="inlineStr">
        <is>
          <t>observée</t>
        </is>
      </c>
      <c r="J77" t="n">
        <v>2016</v>
      </c>
      <c r="K77" t="inlineStr">
        <is>
          <t>B</t>
        </is>
      </c>
      <c r="L77" t="inlineStr">
        <is>
          <t>confirmé</t>
        </is>
      </c>
      <c r="M77" t="inlineStr">
        <is>
          <t>UCT GSB Power Futures Lab (Kruger &amp; Eberhard)</t>
        </is>
      </c>
      <c r="N77" t="inlineStr">
        <is>
          <t>Zambia Country Report - Energy and Economic Growth Research Programme</t>
        </is>
      </c>
      <c r="O77" t="inlineStr">
        <is>
          <t>https://www.gsb.uct.ac.za/files/Zambia_Country_Report.pdf</t>
        </is>
      </c>
      <c r="P77" t="inlineStr">
        <is>
          <t>2019-07</t>
        </is>
      </c>
      <c r="Q77" t="inlineStr">
        <is>
          <t>The West Lunga site project went to the Neoen/First Solar consortium at a non-indexed price of US$c 6,015/kWh</t>
        </is>
      </c>
      <c r="R77" t="inlineStr">
        <is>
          <t>Concorde avec 60.15 USD/MWh.</t>
        </is>
      </c>
    </row>
    <row r="78">
      <c r="A78" t="inlineStr">
        <is>
          <t>retenu</t>
        </is>
      </c>
      <c r="B78" t="inlineStr">
        <is>
          <t>A_australe</t>
        </is>
      </c>
      <c r="C78" t="inlineStr">
        <is>
          <t>A</t>
        </is>
      </c>
      <c r="D78" t="inlineStr">
        <is>
          <t>ZMB</t>
        </is>
      </c>
      <c r="E78" t="inlineStr">
        <is>
          <t>Bangweulu (Scaling Solar, West Lunga)</t>
        </is>
      </c>
      <c r="F78" t="inlineStr">
        <is>
          <t>tarif</t>
        </is>
      </c>
      <c r="G78" t="n">
        <v>6.02</v>
      </c>
      <c r="H78" t="inlineStr">
        <is>
          <t>US cents/kWh</t>
        </is>
      </c>
      <c r="I78" t="inlineStr">
        <is>
          <t>observée</t>
        </is>
      </c>
      <c r="J78" t="n">
        <v>2016</v>
      </c>
      <c r="K78" t="inlineStr">
        <is>
          <t>B</t>
        </is>
      </c>
      <c r="L78" t="inlineStr">
        <is>
          <t>confirmé</t>
        </is>
      </c>
      <c r="M78" t="inlineStr">
        <is>
          <t>IDC Zambia</t>
        </is>
      </c>
      <c r="N78" t="inlineStr">
        <is>
          <t>First 'Scaling Solar' Auctions in Zambia Yield Record Low Tariffs amid Electricity Shortages</t>
        </is>
      </c>
      <c r="O78" t="inlineStr">
        <is>
          <t>https://www.idc.co.zm/?p=861</t>
        </is>
      </c>
      <c r="P78" t="inlineStr">
        <is>
          <t>2016-05 (page datée 2018-07-09)</t>
        </is>
      </c>
      <c r="Q78" t="inlineStr">
        <is>
          <t>at tariffs of 6.02¢ / kWh and 7.84¢ / kWh respectively</t>
        </is>
      </c>
      <c r="R78" t="inlineStr">
        <is>
          <t>Tarif d'offre arrondi annoncé à l'ouverture; 'these proposed tariffs will remain fixed for 25 years'.</t>
        </is>
      </c>
    </row>
    <row r="79">
      <c r="A79" t="inlineStr">
        <is>
          <t>retenu</t>
        </is>
      </c>
      <c r="B79" t="inlineStr">
        <is>
          <t>A_australe</t>
        </is>
      </c>
      <c r="C79" t="inlineStr">
        <is>
          <t>A</t>
        </is>
      </c>
      <c r="D79" t="inlineStr">
        <is>
          <t>ZMB</t>
        </is>
      </c>
      <c r="E79" t="inlineStr">
        <is>
          <t>Bangweulu (Scaling Solar, West Lunga)</t>
        </is>
      </c>
      <c r="F79" t="inlineStr">
        <is>
          <t>puissance_mwp</t>
        </is>
      </c>
      <c r="G79" t="n">
        <v>54.3</v>
      </c>
      <c r="H79" t="inlineStr">
        <is>
          <t>MWp</t>
        </is>
      </c>
      <c r="I79" t="inlineStr">
        <is>
          <t>déclarée</t>
        </is>
      </c>
      <c r="K79" t="inlineStr">
        <is>
          <t>B</t>
        </is>
      </c>
      <c r="L79" t="inlineStr">
        <is>
          <t>confirmé</t>
        </is>
      </c>
      <c r="M79" t="inlineStr">
        <is>
          <t>Neoen</t>
        </is>
      </c>
      <c r="N79" t="inlineStr">
        <is>
          <t>Zambia: beginning of works on a solar park</t>
        </is>
      </c>
      <c r="O79" t="inlineStr">
        <is>
          <t>https://neoen.com/en/news/2017/zambia-beginning-of-works-on-a-solar-park/</t>
        </is>
      </c>
      <c r="P79" t="inlineStr">
        <is>
          <t>2017-12-21</t>
        </is>
      </c>
      <c r="Q79" t="inlineStr">
        <is>
          <t>Work has commenced on the 52-hectare, 54.3 MWp Bangweulu solar park</t>
        </is>
      </c>
      <c r="R79" t="inlineStr"/>
    </row>
    <row r="80">
      <c r="A80" t="inlineStr">
        <is>
          <t>retenu</t>
        </is>
      </c>
      <c r="B80" t="inlineStr">
        <is>
          <t>A_australe</t>
        </is>
      </c>
      <c r="C80" t="inlineStr">
        <is>
          <t>A</t>
        </is>
      </c>
      <c r="D80" t="inlineStr">
        <is>
          <t>ZMB</t>
        </is>
      </c>
      <c r="E80" t="inlineStr">
        <is>
          <t>Bangweulu (Scaling Solar, West Lunga)</t>
        </is>
      </c>
      <c r="F80" t="inlineStr">
        <is>
          <t>puissance_mwp</t>
        </is>
      </c>
      <c r="G80" t="n">
        <v>55</v>
      </c>
      <c r="H80" t="inlineStr">
        <is>
          <t>MWp</t>
        </is>
      </c>
      <c r="I80" t="inlineStr">
        <is>
          <t>déclarée</t>
        </is>
      </c>
      <c r="K80" t="inlineStr">
        <is>
          <t>A</t>
        </is>
      </c>
      <c r="L80" t="inlineStr">
        <is>
          <t>confirmé</t>
        </is>
      </c>
      <c r="M80" t="inlineStr">
        <is>
          <t>IFC</t>
        </is>
      </c>
      <c r="N80" t="inlineStr">
        <is>
          <t>SS Zambia 2 - Summary of Investment Information (Project 38685)</t>
        </is>
      </c>
      <c r="O80" t="inlineStr">
        <is>
          <t>https://disclosures.ifc.org/project-detail/SII/38685/ss-zambia-2</t>
        </is>
      </c>
      <c r="P80" t="inlineStr">
        <is>
          <t>2017-01-13</t>
        </is>
      </c>
      <c r="Q80" t="inlineStr">
        <is>
          <t>The Project consists of the development, financing, construction, operation and maintenance of a new 55MWp solar photovoltaic</t>
        </is>
      </c>
      <c r="R80" t="inlineStr">
        <is>
          <t>Arrondi pré-construction.</t>
        </is>
      </c>
    </row>
    <row r="81">
      <c r="A81" t="inlineStr">
        <is>
          <t>retenu</t>
        </is>
      </c>
      <c r="B81" t="inlineStr">
        <is>
          <t>A_australe</t>
        </is>
      </c>
      <c r="C81" t="inlineStr">
        <is>
          <t>A</t>
        </is>
      </c>
      <c r="D81" t="inlineStr">
        <is>
          <t>ZMB</t>
        </is>
      </c>
      <c r="E81" t="inlineStr">
        <is>
          <t>Bangweulu (Scaling Solar, West Lunga)</t>
        </is>
      </c>
      <c r="F81" t="inlineStr">
        <is>
          <t>puissance_mwp</t>
        </is>
      </c>
      <c r="G81" t="n">
        <v>55</v>
      </c>
      <c r="H81" t="inlineStr">
        <is>
          <t>MW (DC)</t>
        </is>
      </c>
      <c r="I81" t="inlineStr">
        <is>
          <t>déclarée</t>
        </is>
      </c>
      <c r="K81" t="inlineStr">
        <is>
          <t>A</t>
        </is>
      </c>
      <c r="L81" t="inlineStr">
        <is>
          <t>confirmé</t>
        </is>
      </c>
      <c r="M81" t="inlineStr">
        <is>
          <t>OPIC (aujourd'hui DFC)</t>
        </is>
      </c>
      <c r="N81" t="inlineStr">
        <is>
          <t>Information Summary for the Public - Bangweulu Power Company Limited</t>
        </is>
      </c>
      <c r="O81" t="inlineStr">
        <is>
          <t>https://ewsdata.rightsindevelopment.org/files/documents/er/DFC-2017-bangweulupower.pdf</t>
        </is>
      </c>
      <c r="P81" t="inlineStr">
        <is>
          <t>2017</t>
        </is>
      </c>
      <c r="Q81" t="inlineStr">
        <is>
          <t>a solar photovoltaic independent power project with a generating capacity of approximately 55 MW (DC)</t>
        </is>
      </c>
      <c r="R81" t="inlineStr"/>
    </row>
    <row r="82">
      <c r="A82" t="inlineStr">
        <is>
          <t>retenu</t>
        </is>
      </c>
      <c r="B82" t="inlineStr">
        <is>
          <t>A_australe</t>
        </is>
      </c>
      <c r="C82" t="inlineStr">
        <is>
          <t>A</t>
        </is>
      </c>
      <c r="D82" t="inlineStr">
        <is>
          <t>ZMB</t>
        </is>
      </c>
      <c r="E82" t="inlineStr">
        <is>
          <t>Bangweulu (Scaling Solar, West Lunga)</t>
        </is>
      </c>
      <c r="F82" t="inlineStr">
        <is>
          <t>puissance_mwac</t>
        </is>
      </c>
      <c r="G82" t="n">
        <v>47.5</v>
      </c>
      <c r="H82" t="inlineStr">
        <is>
          <t>MW (AC implicite)</t>
        </is>
      </c>
      <c r="I82" t="inlineStr">
        <is>
          <t>observée</t>
        </is>
      </c>
      <c r="K82" t="inlineStr">
        <is>
          <t>B</t>
        </is>
      </c>
      <c r="L82" t="inlineStr">
        <is>
          <t>citation_partielle</t>
        </is>
      </c>
      <c r="M82" t="inlineStr">
        <is>
          <t>UCT GSB Power Futures Lab (Kruger &amp; Eberhard)</t>
        </is>
      </c>
      <c r="N82" t="inlineStr">
        <is>
          <t>Zambia Country Report - Energy and Economic Growth Research Programme</t>
        </is>
      </c>
      <c r="O82" t="inlineStr">
        <is>
          <t>https://www.gsb.uct.ac.za/files/Zambia_Country_Report.pdf</t>
        </is>
      </c>
      <c r="P82" t="inlineStr">
        <is>
          <t>2019-07</t>
        </is>
      </c>
      <c r="Q82" t="inlineStr">
        <is>
          <t>Bangweulu Solar Power Plant Lusaka South Multi-Facility Economic Zone Solar, PV 47,5 IPP (Scaling solar) 2019</t>
        </is>
      </c>
      <c r="R82" t="inlineStr">
        <is>
          <t>Tableau des centrales; unité AC non explicitée dans le tableau mais cohérente avec 47.5 MWac rapporté par l'IFC (communiqué non consulté, serveur indisponible).</t>
        </is>
      </c>
    </row>
    <row r="83">
      <c r="A83" t="inlineStr">
        <is>
          <t>retenu</t>
        </is>
      </c>
      <c r="B83" t="inlineStr">
        <is>
          <t>A_australe</t>
        </is>
      </c>
      <c r="C83" t="inlineStr">
        <is>
          <t>A</t>
        </is>
      </c>
      <c r="D83" t="inlineStr">
        <is>
          <t>ZMB</t>
        </is>
      </c>
      <c r="E83" t="inlineStr">
        <is>
          <t>Bangweulu (Scaling Solar, West Lunga)</t>
        </is>
      </c>
      <c r="F83" t="inlineStr">
        <is>
          <t>capex_total</t>
        </is>
      </c>
      <c r="G83" t="n">
        <v>60000000</v>
      </c>
      <c r="H83" t="inlineStr">
        <is>
          <t>USD</t>
        </is>
      </c>
      <c r="I83" t="inlineStr">
        <is>
          <t>déclarée</t>
        </is>
      </c>
      <c r="J83" t="n">
        <v>2017</v>
      </c>
      <c r="K83" t="inlineStr">
        <is>
          <t>B</t>
        </is>
      </c>
      <c r="L83" t="inlineStr">
        <is>
          <t>confirmé</t>
        </is>
      </c>
      <c r="M83" t="inlineStr">
        <is>
          <t>Neoen</t>
        </is>
      </c>
      <c r="N83" t="inlineStr">
        <is>
          <t>Zambia: beginning of works on a solar park</t>
        </is>
      </c>
      <c r="O83" t="inlineStr">
        <is>
          <t>https://neoen.com/en/news/2017/zambia-beginning-of-works-on-a-solar-park/</t>
        </is>
      </c>
      <c r="P83" t="inlineStr">
        <is>
          <t>2017-12-21</t>
        </is>
      </c>
      <c r="Q83" t="inlineStr">
        <is>
          <t>The project represents a total investment of 60 million US dollars, 39 million of which are contributed by IFC and OPIC.</t>
        </is>
      </c>
      <c r="R83" t="inlineStr"/>
    </row>
    <row r="84">
      <c r="A84" t="inlineStr">
        <is>
          <t>retenu</t>
        </is>
      </c>
      <c r="B84" t="inlineStr">
        <is>
          <t>A_australe</t>
        </is>
      </c>
      <c r="C84" t="inlineStr">
        <is>
          <t>A</t>
        </is>
      </c>
      <c r="D84" t="inlineStr">
        <is>
          <t>ZMB</t>
        </is>
      </c>
      <c r="E84" t="inlineStr">
        <is>
          <t>Bangweulu (Scaling Solar, West Lunga)</t>
        </is>
      </c>
      <c r="F84" t="inlineStr">
        <is>
          <t>capex_total</t>
        </is>
      </c>
      <c r="G84" t="n">
        <v>59000000</v>
      </c>
      <c r="H84" t="inlineStr">
        <is>
          <t>USD</t>
        </is>
      </c>
      <c r="I84" t="inlineStr">
        <is>
          <t>déclarée</t>
        </is>
      </c>
      <c r="J84" t="n">
        <v>2017</v>
      </c>
      <c r="K84" t="inlineStr">
        <is>
          <t>A</t>
        </is>
      </c>
      <c r="L84" t="inlineStr">
        <is>
          <t>confirmé</t>
        </is>
      </c>
      <c r="M84" t="inlineStr">
        <is>
          <t>IFC</t>
        </is>
      </c>
      <c r="N84" t="inlineStr">
        <is>
          <t>SS Zambia 2 - Summary of Investment Information (Project 38685)</t>
        </is>
      </c>
      <c r="O84" t="inlineStr">
        <is>
          <t>https://disclosures.ifc.org/project-detail/SII/38685/ss-zambia-2</t>
        </is>
      </c>
      <c r="P84" t="inlineStr">
        <is>
          <t>2017-01-13</t>
        </is>
      </c>
      <c r="Q84" t="inlineStr">
        <is>
          <t>The Project cost is estimated at US$59 million</t>
        </is>
      </c>
      <c r="R84" t="inlineStr">
        <is>
          <t>Léger écart avec 60 M (Neoen, OPIC).</t>
        </is>
      </c>
    </row>
    <row r="85">
      <c r="A85" t="inlineStr">
        <is>
          <t>qualitatif</t>
        </is>
      </c>
      <c r="B85" t="inlineStr">
        <is>
          <t>A_australe</t>
        </is>
      </c>
      <c r="C85" t="inlineStr">
        <is>
          <t>A</t>
        </is>
      </c>
      <c r="D85" t="inlineStr">
        <is>
          <t>ZMB</t>
        </is>
      </c>
      <c r="E85" t="inlineStr">
        <is>
          <t>Bangweulu (Scaling Solar, West Lunga)</t>
        </is>
      </c>
      <c r="F85" t="inlineStr">
        <is>
          <t>financeurs</t>
        </is>
      </c>
      <c r="G85" t="inlineStr">
        <is>
          <t>IFC A-loan jusqu'à 14 M USD + IFC Blended Finance (Canada Climate Change Program) 14 M USD + OPIC solde</t>
        </is>
      </c>
      <c r="H85" t="inlineStr">
        <is>
          <t>texte</t>
        </is>
      </c>
      <c r="I85" t="inlineStr">
        <is>
          <t>déclarée</t>
        </is>
      </c>
      <c r="J85" t="n">
        <v>2017</v>
      </c>
      <c r="K85" t="inlineStr">
        <is>
          <t>A</t>
        </is>
      </c>
      <c r="L85" t="inlineStr">
        <is>
          <t>qualitatif_citation_ok</t>
        </is>
      </c>
      <c r="M85" t="inlineStr">
        <is>
          <t>IFC</t>
        </is>
      </c>
      <c r="N85" t="inlineStr">
        <is>
          <t>SS Zambia 2 - Summary of Investment Information (Project 38685)</t>
        </is>
      </c>
      <c r="O85" t="inlineStr">
        <is>
          <t>https://disclosures.ifc.org/project-detail/SII/38685/ss-zambia-2</t>
        </is>
      </c>
      <c r="P85" t="inlineStr">
        <is>
          <t>2017-01-13</t>
        </is>
      </c>
      <c r="Q85" t="inlineStr">
        <is>
          <t>the proposed IFC investment is up to US$28 million comprising of an A-Loan of up to US$14 million and an IFC Blended Finance Senior Loan of the same amount from the Canada Climate Change Program.</t>
        </is>
      </c>
      <c r="R85" t="inlineStr">
        <is>
          <t>Montant approuvé au Board: 17.0 M (Loan 14.0 + Guarantee 3.0). UCT donne IFC A loan 12 M -&gt; conflit.</t>
        </is>
      </c>
    </row>
    <row r="86">
      <c r="A86" t="inlineStr">
        <is>
          <t>retenu</t>
        </is>
      </c>
      <c r="B86" t="inlineStr">
        <is>
          <t>A_australe</t>
        </is>
      </c>
      <c r="C86" t="inlineStr">
        <is>
          <t>A</t>
        </is>
      </c>
      <c r="D86" t="inlineStr">
        <is>
          <t>ZMB</t>
        </is>
      </c>
      <c r="E86" t="inlineStr">
        <is>
          <t>Bangweulu (Scaling Solar, West Lunga)</t>
        </is>
      </c>
      <c r="F86" t="inlineStr">
        <is>
          <t>dette_duree</t>
        </is>
      </c>
      <c r="G86" t="n">
        <v>20</v>
      </c>
      <c r="H86" t="inlineStr">
        <is>
          <t>ans après COD (prêt OPIC)</t>
        </is>
      </c>
      <c r="I86" t="inlineStr">
        <is>
          <t>observée</t>
        </is>
      </c>
      <c r="J86" t="n">
        <v>2017</v>
      </c>
      <c r="K86" t="inlineStr">
        <is>
          <t>A</t>
        </is>
      </c>
      <c r="L86" t="inlineStr">
        <is>
          <t>confirmé</t>
        </is>
      </c>
      <c r="M86" t="inlineStr">
        <is>
          <t>OPIC (aujourd'hui DFC)</t>
        </is>
      </c>
      <c r="N86" t="inlineStr">
        <is>
          <t>Information Summary for the Public - Bangweulu Power Company Limited</t>
        </is>
      </c>
      <c r="O86" t="inlineStr">
        <is>
          <t>https://ewsdata.rightsindevelopment.org/files/documents/er/DFC-2017-bangweulupower.pdf</t>
        </is>
      </c>
      <c r="P86" t="inlineStr">
        <is>
          <t>2017</t>
        </is>
      </c>
      <c r="Q86" t="inlineStr">
        <is>
          <t>Proposed OPIC Loan: Up to $19,900,000, for a term of 20-years after the commercial operations date.</t>
        </is>
      </c>
      <c r="R86" t="inlineStr"/>
    </row>
    <row r="87">
      <c r="A87" t="inlineStr">
        <is>
          <t>qualitatif</t>
        </is>
      </c>
      <c r="B87" t="inlineStr">
        <is>
          <t>A_australe</t>
        </is>
      </c>
      <c r="C87" t="inlineStr">
        <is>
          <t>A</t>
        </is>
      </c>
      <c r="D87" t="inlineStr">
        <is>
          <t>ZMB</t>
        </is>
      </c>
      <c r="E87" t="inlineStr">
        <is>
          <t>Bangweulu (Scaling Solar, West Lunga)</t>
        </is>
      </c>
      <c r="F87" t="inlineStr">
        <is>
          <t>dette_taux</t>
        </is>
      </c>
      <c r="G87" t="inlineStr">
        <is>
          <t>Tranche concessionnelle IFC-Canada: LIBOR + 0, 20 ans; OPIC aligné sur la moyenne pondérée des tranches IFC</t>
        </is>
      </c>
      <c r="H87" t="inlineStr">
        <is>
          <t>texte</t>
        </is>
      </c>
      <c r="I87" t="inlineStr">
        <is>
          <t>observée</t>
        </is>
      </c>
      <c r="K87" t="inlineStr">
        <is>
          <t>B</t>
        </is>
      </c>
      <c r="L87" t="inlineStr">
        <is>
          <t>qualitatif_citation_ok</t>
        </is>
      </c>
      <c r="M87" t="inlineStr">
        <is>
          <t>UCT GSB Power Futures Lab (Kruger &amp; Eberhard)</t>
        </is>
      </c>
      <c r="N87" t="inlineStr">
        <is>
          <t>Zambia Country Report - Energy and Economic Growth Research Programme</t>
        </is>
      </c>
      <c r="O87" t="inlineStr">
        <is>
          <t>https://www.gsb.uct.ac.za/files/Zambia_Country_Report.pdf</t>
        </is>
      </c>
      <c r="P87" t="inlineStr">
        <is>
          <t>2019-07</t>
        </is>
      </c>
      <c r="Q87" t="inlineStr">
        <is>
          <t>another tranche on concessional terms (LIBOR +0 at 20 year tenor) based on available grant funding from the Canada Climate Change programme</t>
        </is>
      </c>
      <c r="R87" t="inlineStr">
        <is>
          <t>Taux de la tranche commerciale IFC non publié.</t>
        </is>
      </c>
    </row>
    <row r="88">
      <c r="A88" t="inlineStr">
        <is>
          <t>retenu</t>
        </is>
      </c>
      <c r="B88" t="inlineStr">
        <is>
          <t>A_australe</t>
        </is>
      </c>
      <c r="C88" t="inlineStr">
        <is>
          <t>A</t>
        </is>
      </c>
      <c r="D88" t="inlineStr">
        <is>
          <t>ZMB</t>
        </is>
      </c>
      <c r="E88" t="inlineStr">
        <is>
          <t>Bangweulu (Scaling Solar, West Lunga)</t>
        </is>
      </c>
      <c r="F88" t="inlineStr">
        <is>
          <t>ppa_duree</t>
        </is>
      </c>
      <c r="G88" t="n">
        <v>25</v>
      </c>
      <c r="H88" t="inlineStr">
        <is>
          <t>ans</t>
        </is>
      </c>
      <c r="I88" t="inlineStr">
        <is>
          <t>observée</t>
        </is>
      </c>
      <c r="K88" t="inlineStr">
        <is>
          <t>A</t>
        </is>
      </c>
      <c r="L88" t="inlineStr">
        <is>
          <t>confirmé</t>
        </is>
      </c>
      <c r="M88" t="inlineStr">
        <is>
          <t>IFC</t>
        </is>
      </c>
      <c r="N88" t="inlineStr">
        <is>
          <t>SS Zambia 2 - Summary of Investment Information (Project 38685)</t>
        </is>
      </c>
      <c r="O88" t="inlineStr">
        <is>
          <t>https://disclosures.ifc.org/project-detail/SII/38685/ss-zambia-2</t>
        </is>
      </c>
      <c r="P88" t="inlineStr">
        <is>
          <t>2017-01-13</t>
        </is>
      </c>
      <c r="Q88" t="inlineStr">
        <is>
          <t>sold to Zambia's state-owned electricity utility, ZESCO through a 25-year Power Purchase Agreement</t>
        </is>
      </c>
      <c r="R88" t="inlineStr">
        <is>
          <t>Acheteur: ZESCO.</t>
        </is>
      </c>
    </row>
    <row r="89">
      <c r="A89" t="inlineStr">
        <is>
          <t>qualitatif</t>
        </is>
      </c>
      <c r="B89" t="inlineStr">
        <is>
          <t>A_australe</t>
        </is>
      </c>
      <c r="C89" t="inlineStr">
        <is>
          <t>A</t>
        </is>
      </c>
      <c r="D89" t="inlineStr">
        <is>
          <t>ZMB</t>
        </is>
      </c>
      <c r="E89" t="inlineStr">
        <is>
          <t>Bangweulu (Scaling Solar, West Lunga)</t>
        </is>
      </c>
      <c r="F89" t="inlineStr">
        <is>
          <t>garanties</t>
        </is>
      </c>
      <c r="G89" t="inlineStr">
        <is>
          <t>Garantie IDA/Banque mondiale de paiement (PRG) + rehaussement de crédit IFC (garantie 3 M USD)</t>
        </is>
      </c>
      <c r="H89" t="inlineStr">
        <is>
          <t>texte</t>
        </is>
      </c>
      <c r="I89" t="inlineStr">
        <is>
          <t>observée</t>
        </is>
      </c>
      <c r="K89" t="inlineStr">
        <is>
          <t>A</t>
        </is>
      </c>
      <c r="L89" t="inlineStr">
        <is>
          <t>qualitatif_citation_ok</t>
        </is>
      </c>
      <c r="M89" t="inlineStr">
        <is>
          <t>IFC</t>
        </is>
      </c>
      <c r="N89" t="inlineStr">
        <is>
          <t>SS Zambia 2 - Summary of Investment Information (Project 38685)</t>
        </is>
      </c>
      <c r="O89" t="inlineStr">
        <is>
          <t>https://disclosures.ifc.org/project-detail/SII/38685/ss-zambia-2</t>
        </is>
      </c>
      <c r="P89" t="inlineStr">
        <is>
          <t>2017-01-13</t>
        </is>
      </c>
      <c r="Q89" t="inlineStr">
        <is>
          <t>credit enhancement for the Project off-taker</t>
        </is>
      </c>
      <c r="R89" t="inlineStr">
        <is>
          <t>Composante 'Risk Management 3.0 (Guarantee)' au Board.</t>
        </is>
      </c>
    </row>
    <row r="90">
      <c r="A90" t="inlineStr">
        <is>
          <t>retenu</t>
        </is>
      </c>
      <c r="B90" t="inlineStr">
        <is>
          <t>A_australe</t>
        </is>
      </c>
      <c r="C90" t="inlineStr">
        <is>
          <t>A</t>
        </is>
      </c>
      <c r="D90" t="inlineStr">
        <is>
          <t>ZMB</t>
        </is>
      </c>
      <c r="E90" t="inlineStr">
        <is>
          <t>Bangweulu (Scaling Solar, West Lunga)</t>
        </is>
      </c>
      <c r="F90" t="inlineStr">
        <is>
          <t>annee_mise_en_service</t>
        </is>
      </c>
      <c r="G90" t="n">
        <v>2019</v>
      </c>
      <c r="H90" t="inlineStr">
        <is>
          <t>année</t>
        </is>
      </c>
      <c r="I90" t="inlineStr">
        <is>
          <t>observée</t>
        </is>
      </c>
      <c r="K90" t="inlineStr">
        <is>
          <t>B</t>
        </is>
      </c>
      <c r="L90" t="inlineStr">
        <is>
          <t>confirmé</t>
        </is>
      </c>
      <c r="M90" t="inlineStr">
        <is>
          <t>UCT GSB Power Futures Lab (Kruger &amp; Eberhard)</t>
        </is>
      </c>
      <c r="N90" t="inlineStr">
        <is>
          <t>Zambia Country Report - Energy and Economic Growth Research Programme</t>
        </is>
      </c>
      <c r="O90" t="inlineStr">
        <is>
          <t>https://www.gsb.uct.ac.za/files/Zambia_Country_Report.pdf</t>
        </is>
      </c>
      <c r="P90" t="inlineStr">
        <is>
          <t>2019-07</t>
        </is>
      </c>
      <c r="Q90" t="inlineStr">
        <is>
          <t>Financial close was originally foreseen for March 2017 [...] it was only achieved in December 2017. [...] Commercial operation commenced in March 2019.</t>
        </is>
      </c>
      <c r="R90" t="inlineStr">
        <is>
          <t>FC déc. 2017; COD mars 2019.</t>
        </is>
      </c>
    </row>
    <row r="91">
      <c r="A91" t="inlineStr">
        <is>
          <t>qualitatif</t>
        </is>
      </c>
      <c r="B91" t="inlineStr">
        <is>
          <t>A_australe</t>
        </is>
      </c>
      <c r="C91" t="inlineStr">
        <is>
          <t>A</t>
        </is>
      </c>
      <c r="D91" t="inlineStr">
        <is>
          <t>ZMB</t>
        </is>
      </c>
      <c r="E91" t="inlineStr">
        <is>
          <t>Bangweulu (Scaling Solar, West Lunga)</t>
        </is>
      </c>
      <c r="F91" t="inlineStr">
        <is>
          <t>developpeur</t>
        </is>
      </c>
      <c r="G91" t="inlineStr">
        <is>
          <t>Neoen 55% / First Solar 25% / IDC 20% (IFC)</t>
        </is>
      </c>
      <c r="H91" t="inlineStr">
        <is>
          <t>texte</t>
        </is>
      </c>
      <c r="I91" t="inlineStr">
        <is>
          <t>observée</t>
        </is>
      </c>
      <c r="K91" t="inlineStr">
        <is>
          <t>A</t>
        </is>
      </c>
      <c r="L91" t="inlineStr">
        <is>
          <t>qualitatif_citation_ok</t>
        </is>
      </c>
      <c r="M91" t="inlineStr">
        <is>
          <t>IFC</t>
        </is>
      </c>
      <c r="N91" t="inlineStr">
        <is>
          <t>SS Zambia 2 - Summary of Investment Information (Project 38685)</t>
        </is>
      </c>
      <c r="O91" t="inlineStr">
        <is>
          <t>https://disclosures.ifc.org/project-detail/SII/38685/ss-zambia-2</t>
        </is>
      </c>
      <c r="P91" t="inlineStr">
        <is>
          <t>2017-01-13</t>
        </is>
      </c>
      <c r="Q91" t="inlineStr">
        <is>
          <t>The Company is 55% owned by Neoen S.A.S. (“Neoen”), 25% by First Solar Inc. (“First Solar”)</t>
        </is>
      </c>
      <c r="R91" t="inlineStr">
        <is>
          <t>CONFLIT: UCT donne Neoen 67% / First Solar 13% / IDC 20% (répartition post-FC probable).</t>
        </is>
      </c>
    </row>
    <row r="92">
      <c r="A92" t="inlineStr">
        <is>
          <t>retenu</t>
        </is>
      </c>
      <c r="B92" t="inlineStr">
        <is>
          <t>A_australe</t>
        </is>
      </c>
      <c r="C92" t="inlineStr">
        <is>
          <t>A</t>
        </is>
      </c>
      <c r="D92" t="inlineStr">
        <is>
          <t>ZMB</t>
        </is>
      </c>
      <c r="E92" t="inlineStr">
        <is>
          <t>Ngonye (Scaling Solar, Mosi-oa-Tunya)</t>
        </is>
      </c>
      <c r="F92" t="inlineStr">
        <is>
          <t>puissance_mwac</t>
        </is>
      </c>
      <c r="G92" t="n">
        <v>28</v>
      </c>
      <c r="H92" t="inlineStr">
        <is>
          <t>MWac</t>
        </is>
      </c>
      <c r="I92" t="inlineStr">
        <is>
          <t>déclarée</t>
        </is>
      </c>
      <c r="K92" t="inlineStr">
        <is>
          <t>B</t>
        </is>
      </c>
      <c r="L92" t="inlineStr">
        <is>
          <t>confirmé</t>
        </is>
      </c>
      <c r="M92" t="inlineStr">
        <is>
          <t>Enel Green Power</t>
        </is>
      </c>
      <c r="N92" t="inlineStr">
        <is>
          <t>Enel and IDC sign 34 million US dollar financing agreement with IFC and EIB for solar project in Zambia</t>
        </is>
      </c>
      <c r="O92" t="inlineStr">
        <is>
          <t>https://www.enelgreenpower.com/megamenu/media/press/2018/06/enel-and-idc-sign-34-million-us-dollar-financing-agreement-with-ifc-and-eib-for-solar-project-in-zambia</t>
        </is>
      </c>
      <c r="P92" t="inlineStr">
        <is>
          <t>2018-06-20</t>
        </is>
      </c>
      <c r="Q92" t="inlineStr">
        <is>
          <t>Dc capacity, equivalent to 28 MWac.</t>
        </is>
      </c>
      <c r="R92" t="inlineStr"/>
    </row>
    <row r="93">
      <c r="A93" t="inlineStr">
        <is>
          <t>retenu</t>
        </is>
      </c>
      <c r="B93" t="inlineStr">
        <is>
          <t>A_australe</t>
        </is>
      </c>
      <c r="C93" t="inlineStr">
        <is>
          <t>A</t>
        </is>
      </c>
      <c r="D93" t="inlineStr">
        <is>
          <t>ZMB</t>
        </is>
      </c>
      <c r="E93" t="inlineStr">
        <is>
          <t>Ngonye (Scaling Solar, Mosi-oa-Tunya)</t>
        </is>
      </c>
      <c r="F93" t="inlineStr">
        <is>
          <t>tarif</t>
        </is>
      </c>
      <c r="G93" t="n">
        <v>7.84</v>
      </c>
      <c r="H93" t="inlineStr">
        <is>
          <t>US cents/kWh</t>
        </is>
      </c>
      <c r="I93" t="inlineStr">
        <is>
          <t>observée</t>
        </is>
      </c>
      <c r="J93" t="n">
        <v>2016</v>
      </c>
      <c r="K93" t="inlineStr">
        <is>
          <t>B</t>
        </is>
      </c>
      <c r="L93" t="inlineStr">
        <is>
          <t>confirmé</t>
        </is>
      </c>
      <c r="M93" t="inlineStr">
        <is>
          <t>IDC Zambia</t>
        </is>
      </c>
      <c r="N93" t="inlineStr">
        <is>
          <t>First 'Scaling Solar' Auctions in Zambia Yield Record Low Tariffs amid Electricity Shortages</t>
        </is>
      </c>
      <c r="O93" t="inlineStr">
        <is>
          <t>https://www.idc.co.zm/?p=861</t>
        </is>
      </c>
      <c r="P93" t="inlineStr">
        <is>
          <t>2016-05 (page datée 2018-07-09)</t>
        </is>
      </c>
      <c r="Q93" t="inlineStr">
        <is>
          <t>at tariffs of 6.02¢ / kWh and 7.84¢ / kWh respectively</t>
        </is>
      </c>
      <c r="R93" t="inlineStr">
        <is>
          <t>Fixe 25 ans.</t>
        </is>
      </c>
    </row>
    <row r="94">
      <c r="A94" t="inlineStr">
        <is>
          <t>retenu</t>
        </is>
      </c>
      <c r="B94" t="inlineStr">
        <is>
          <t>A_australe</t>
        </is>
      </c>
      <c r="C94" t="inlineStr">
        <is>
          <t>A</t>
        </is>
      </c>
      <c r="D94" t="inlineStr">
        <is>
          <t>ZMB</t>
        </is>
      </c>
      <c r="E94" t="inlineStr">
        <is>
          <t>Ngonye (Scaling Solar, Mosi-oa-Tunya)</t>
        </is>
      </c>
      <c r="F94" t="inlineStr">
        <is>
          <t>tarif</t>
        </is>
      </c>
      <c r="G94" t="n">
        <v>7.83</v>
      </c>
      <c r="H94" t="inlineStr">
        <is>
          <t>US cents/kWh</t>
        </is>
      </c>
      <c r="I94" t="inlineStr">
        <is>
          <t>observée</t>
        </is>
      </c>
      <c r="J94" t="n">
        <v>2016</v>
      </c>
      <c r="K94" t="inlineStr">
        <is>
          <t>B</t>
        </is>
      </c>
      <c r="L94" t="inlineStr">
        <is>
          <t>citation_partielle</t>
        </is>
      </c>
      <c r="M94" t="inlineStr">
        <is>
          <t>UCT GSB Power Futures Lab (Kruger &amp; Eberhard)</t>
        </is>
      </c>
      <c r="N94" t="inlineStr">
        <is>
          <t>Zambia Country Report - Energy and Economic Growth Research Programme</t>
        </is>
      </c>
      <c r="O94" t="inlineStr">
        <is>
          <t>https://www.gsb.uct.ac.za/files/Zambia_Country_Report.pdf</t>
        </is>
      </c>
      <c r="P94" t="inlineStr">
        <is>
          <t>2019-07</t>
        </is>
      </c>
      <c r="Q94" t="inlineStr">
        <is>
          <t>the Mosi-oa Tunya site was awarded to ENEL Green Power (US$c 7,83/kWh)</t>
        </is>
      </c>
      <c r="R94" t="inlineStr">
        <is>
          <t>Légère différence d'arrondi avec 7.84.</t>
        </is>
      </c>
    </row>
    <row r="95">
      <c r="A95" t="inlineStr">
        <is>
          <t>retenu</t>
        </is>
      </c>
      <c r="B95" t="inlineStr">
        <is>
          <t>A_australe</t>
        </is>
      </c>
      <c r="C95" t="inlineStr">
        <is>
          <t>A</t>
        </is>
      </c>
      <c r="D95" t="inlineStr">
        <is>
          <t>ZMB</t>
        </is>
      </c>
      <c r="E95" t="inlineStr">
        <is>
          <t>Ngonye (Scaling Solar, Mosi-oa-Tunya)</t>
        </is>
      </c>
      <c r="F95" t="inlineStr">
        <is>
          <t>capex_total</t>
        </is>
      </c>
      <c r="G95" t="n">
        <v>40000000</v>
      </c>
      <c r="H95" t="inlineStr">
        <is>
          <t>USD</t>
        </is>
      </c>
      <c r="I95" t="inlineStr">
        <is>
          <t>déclarée</t>
        </is>
      </c>
      <c r="J95" t="n">
        <v>2018</v>
      </c>
      <c r="K95" t="inlineStr">
        <is>
          <t>B</t>
        </is>
      </c>
      <c r="L95" t="inlineStr">
        <is>
          <t>confirmé</t>
        </is>
      </c>
      <c r="M95" t="inlineStr">
        <is>
          <t>Enel Green Power</t>
        </is>
      </c>
      <c r="N95" t="inlineStr">
        <is>
          <t>Enel and IDC sign 34 million US dollar financing agreement with IFC and EIB for solar project in Zambia</t>
        </is>
      </c>
      <c r="O95" t="inlineStr">
        <is>
          <t>https://www.enelgreenpower.com/megamenu/media/press/2018/06/enel-and-idc-sign-34-million-us-dollar-financing-agreement-with-ifc-and-eib-for-solar-project-in-zambia</t>
        </is>
      </c>
      <c r="P95" t="inlineStr">
        <is>
          <t>2018-06-20</t>
        </is>
      </c>
      <c r="Q95" t="inlineStr">
        <is>
          <t>Enel will be investing a total of approximately 40 million US dollars in the construction of the facility</t>
        </is>
      </c>
      <c r="R95" t="inlineStr">
        <is>
          <t>CONFLIT: UCT indique US$45 M.</t>
        </is>
      </c>
    </row>
    <row r="96">
      <c r="A96" t="inlineStr">
        <is>
          <t>retenu</t>
        </is>
      </c>
      <c r="B96" t="inlineStr">
        <is>
          <t>A_australe</t>
        </is>
      </c>
      <c r="C96" t="inlineStr">
        <is>
          <t>A</t>
        </is>
      </c>
      <c r="D96" t="inlineStr">
        <is>
          <t>ZMB</t>
        </is>
      </c>
      <c r="E96" t="inlineStr">
        <is>
          <t>Ngonye (Scaling Solar, Mosi-oa-Tunya)</t>
        </is>
      </c>
      <c r="F96" t="inlineStr">
        <is>
          <t>capex_total</t>
        </is>
      </c>
      <c r="G96" t="n">
        <v>45000000</v>
      </c>
      <c r="H96" t="inlineStr">
        <is>
          <t>USD</t>
        </is>
      </c>
      <c r="I96" t="inlineStr">
        <is>
          <t>déclarée</t>
        </is>
      </c>
      <c r="K96" t="inlineStr">
        <is>
          <t>B</t>
        </is>
      </c>
      <c r="L96" t="inlineStr">
        <is>
          <t>confirmé</t>
        </is>
      </c>
      <c r="M96" t="inlineStr">
        <is>
          <t>UCT GSB Power Futures Lab (Kruger &amp; Eberhard)</t>
        </is>
      </c>
      <c r="N96" t="inlineStr">
        <is>
          <t>Zambia Country Report - Energy and Economic Growth Research Programme</t>
        </is>
      </c>
      <c r="O96" t="inlineStr">
        <is>
          <t>https://www.gsb.uct.ac.za/files/Zambia_Country_Report.pdf</t>
        </is>
      </c>
      <c r="P96" t="inlineStr">
        <is>
          <t>2019-07</t>
        </is>
      </c>
      <c r="Q96" t="inlineStr">
        <is>
          <t>ENEL's Ngonye project (US$45 million) PPA was signed only in April 2017</t>
        </is>
      </c>
      <c r="R96" t="inlineStr"/>
    </row>
    <row r="97">
      <c r="A97" t="inlineStr">
        <is>
          <t>qualitatif</t>
        </is>
      </c>
      <c r="B97" t="inlineStr">
        <is>
          <t>A_australe</t>
        </is>
      </c>
      <c r="C97" t="inlineStr">
        <is>
          <t>A</t>
        </is>
      </c>
      <c r="D97" t="inlineStr">
        <is>
          <t>ZMB</t>
        </is>
      </c>
      <c r="E97" t="inlineStr">
        <is>
          <t>Ngonye (Scaling Solar, Mosi-oa-Tunya)</t>
        </is>
      </c>
      <c r="F97" t="inlineStr">
        <is>
          <t>financeurs</t>
        </is>
      </c>
      <c r="G97" t="inlineStr">
        <is>
          <t>IFC 10 M USD, IFC-Canada Climate Change Program 12 M USD, BEI 11.75 M USD</t>
        </is>
      </c>
      <c r="H97" t="inlineStr">
        <is>
          <t>texte</t>
        </is>
      </c>
      <c r="I97" t="inlineStr">
        <is>
          <t>observée</t>
        </is>
      </c>
      <c r="J97" t="n">
        <v>2018</v>
      </c>
      <c r="K97" t="inlineStr">
        <is>
          <t>B</t>
        </is>
      </c>
      <c r="L97" t="inlineStr">
        <is>
          <t>qualitatif_citation_ok</t>
        </is>
      </c>
      <c r="M97" t="inlineStr">
        <is>
          <t>Enel Green Power</t>
        </is>
      </c>
      <c r="N97" t="inlineStr">
        <is>
          <t>Enel and IDC sign 34 million US dollar financing agreement with IFC and EIB for solar project in Zambia</t>
        </is>
      </c>
      <c r="O97" t="inlineStr">
        <is>
          <t>https://www.enelgreenpower.com/megamenu/media/press/2018/06/enel-and-idc-sign-34-million-us-dollar-financing-agreement-with-ifc-and-eib-for-solar-project-in-zambia</t>
        </is>
      </c>
      <c r="P97" t="inlineStr">
        <is>
          <t>2018-06-20</t>
        </is>
      </c>
      <c r="Q97" t="inlineStr">
        <is>
          <t>senior loans of up to 10 million US dollars from the International Financing Corporation (IFC) [...] up to 12 million from the IFC-Canada Climate Change Program [...] up to 11.75 million from the European Investment Bank (EIB).</t>
        </is>
      </c>
      <c r="R97" t="inlineStr"/>
    </row>
    <row r="98">
      <c r="A98" t="inlineStr">
        <is>
          <t>retenu</t>
        </is>
      </c>
      <c r="B98" t="inlineStr">
        <is>
          <t>A_australe</t>
        </is>
      </c>
      <c r="C98" t="inlineStr">
        <is>
          <t>A</t>
        </is>
      </c>
      <c r="D98" t="inlineStr">
        <is>
          <t>ZMB</t>
        </is>
      </c>
      <c r="E98" t="inlineStr">
        <is>
          <t>Ngonye (Scaling Solar, Mosi-oa-Tunya)</t>
        </is>
      </c>
      <c r="F98" t="inlineStr">
        <is>
          <t>dette_part</t>
        </is>
      </c>
      <c r="G98" t="n">
        <v>0.75</v>
      </c>
      <c r="H98" t="inlineStr">
        <is>
          <t>fraction</t>
        </is>
      </c>
      <c r="I98" t="inlineStr">
        <is>
          <t>observée</t>
        </is>
      </c>
      <c r="K98" t="inlineStr">
        <is>
          <t>B</t>
        </is>
      </c>
      <c r="L98" t="inlineStr">
        <is>
          <t>confirmé</t>
        </is>
      </c>
      <c r="M98" t="inlineStr">
        <is>
          <t>UCT GSB Power Futures Lab (Kruger &amp; Eberhard)</t>
        </is>
      </c>
      <c r="N98" t="inlineStr">
        <is>
          <t>Zambia Country Report - Energy and Economic Growth Research Programme</t>
        </is>
      </c>
      <c r="O98" t="inlineStr">
        <is>
          <t>https://www.gsb.uct.ac.za/files/Zambia_Country_Report.pdf</t>
        </is>
      </c>
      <c r="P98" t="inlineStr">
        <is>
          <t>2019-07</t>
        </is>
      </c>
      <c r="Q98" t="inlineStr">
        <is>
          <t>The ENEL project secured financing from the European Investment Bank (EIB) at a very high (75/25) gearing ratio.</t>
        </is>
      </c>
      <c r="R98" t="inlineStr">
        <is>
          <t>Gearing dette/fonds propres 75/25.</t>
        </is>
      </c>
    </row>
    <row r="99">
      <c r="A99" t="inlineStr">
        <is>
          <t>retenu</t>
        </is>
      </c>
      <c r="B99" t="inlineStr">
        <is>
          <t>A_australe</t>
        </is>
      </c>
      <c r="C99" t="inlineStr">
        <is>
          <t>A</t>
        </is>
      </c>
      <c r="D99" t="inlineStr">
        <is>
          <t>ZMB</t>
        </is>
      </c>
      <c r="E99" t="inlineStr">
        <is>
          <t>Ngonye (Scaling Solar, Mosi-oa-Tunya)</t>
        </is>
      </c>
      <c r="F99" t="inlineStr">
        <is>
          <t>production_gwh_an</t>
        </is>
      </c>
      <c r="G99" t="n">
        <v>70</v>
      </c>
      <c r="H99" t="inlineStr">
        <is>
          <t>GWh/an</t>
        </is>
      </c>
      <c r="I99" t="inlineStr">
        <is>
          <t>déclarée</t>
        </is>
      </c>
      <c r="K99" t="inlineStr">
        <is>
          <t>B</t>
        </is>
      </c>
      <c r="L99" t="inlineStr">
        <is>
          <t>confirmé</t>
        </is>
      </c>
      <c r="M99" t="inlineStr">
        <is>
          <t>Enel Green Power</t>
        </is>
      </c>
      <c r="N99" t="inlineStr">
        <is>
          <t>Enel and IDC sign 34 million US dollar financing agreement with IFC and EIB for solar project in Zambia</t>
        </is>
      </c>
      <c r="O99" t="inlineStr">
        <is>
          <t>https://www.enelgreenpower.com/megamenu/media/press/2018/06/enel-and-idc-sign-34-million-us-dollar-financing-agreement-with-ifc-and-eib-for-solar-project-in-zambia</t>
        </is>
      </c>
      <c r="P99" t="inlineStr">
        <is>
          <t>2018-06-20</t>
        </is>
      </c>
      <c r="Q99" t="inlineStr">
        <is>
          <t>which is expected to produce around 70 GWh per year</t>
        </is>
      </c>
      <c r="R99" t="inlineStr"/>
    </row>
    <row r="100">
      <c r="A100" t="inlineStr">
        <is>
          <t>retenu</t>
        </is>
      </c>
      <c r="B100" t="inlineStr">
        <is>
          <t>A_australe</t>
        </is>
      </c>
      <c r="C100" t="inlineStr">
        <is>
          <t>A</t>
        </is>
      </c>
      <c r="D100" t="inlineStr">
        <is>
          <t>ZMB</t>
        </is>
      </c>
      <c r="E100" t="inlineStr">
        <is>
          <t>Ngonye (Scaling Solar, Mosi-oa-Tunya)</t>
        </is>
      </c>
      <c r="F100" t="inlineStr">
        <is>
          <t>ppa_duree</t>
        </is>
      </c>
      <c r="G100" t="n">
        <v>25</v>
      </c>
      <c r="H100" t="inlineStr">
        <is>
          <t>ans</t>
        </is>
      </c>
      <c r="I100" t="inlineStr">
        <is>
          <t>observée</t>
        </is>
      </c>
      <c r="K100" t="inlineStr">
        <is>
          <t>B</t>
        </is>
      </c>
      <c r="L100" t="inlineStr">
        <is>
          <t>confirmé</t>
        </is>
      </c>
      <c r="M100" t="inlineStr">
        <is>
          <t>Enel Green Power</t>
        </is>
      </c>
      <c r="N100" t="inlineStr">
        <is>
          <t>Enel and IDC sign 34 million US dollar financing agreement with IFC and EIB for solar project in Zambia</t>
        </is>
      </c>
      <c r="O100" t="inlineStr">
        <is>
          <t>https://www.enelgreenpower.com/megamenu/media/press/2018/06/enel-and-idc-sign-34-million-us-dollar-financing-agreement-with-ifc-and-eib-for-solar-project-in-zambia</t>
        </is>
      </c>
      <c r="P100" t="inlineStr">
        <is>
          <t>2018-06-20</t>
        </is>
      </c>
      <c r="Q100" t="inlineStr">
        <is>
          <t>a 25-year power purchase agreement signed with Zambia's state-owned utility ZESCO</t>
        </is>
      </c>
      <c r="R100" t="inlineStr">
        <is>
          <t>Acheteur ZESCO.</t>
        </is>
      </c>
    </row>
    <row r="101">
      <c r="A101" t="inlineStr">
        <is>
          <t>retenu</t>
        </is>
      </c>
      <c r="B101" t="inlineStr">
        <is>
          <t>A_australe</t>
        </is>
      </c>
      <c r="C101" t="inlineStr">
        <is>
          <t>A</t>
        </is>
      </c>
      <c r="D101" t="inlineStr">
        <is>
          <t>ZMB</t>
        </is>
      </c>
      <c r="E101" t="inlineStr">
        <is>
          <t>Ngonye (Scaling Solar, Mosi-oa-Tunya)</t>
        </is>
      </c>
      <c r="F101" t="inlineStr">
        <is>
          <t>annee_mise_en_service</t>
        </is>
      </c>
      <c r="G101" t="n">
        <v>2019</v>
      </c>
      <c r="H101" t="inlineStr">
        <is>
          <t>année</t>
        </is>
      </c>
      <c r="I101" t="inlineStr">
        <is>
          <t>observée</t>
        </is>
      </c>
      <c r="K101" t="inlineStr">
        <is>
          <t>B</t>
        </is>
      </c>
      <c r="L101" t="inlineStr">
        <is>
          <t>confirmé</t>
        </is>
      </c>
      <c r="M101" t="inlineStr">
        <is>
          <t>UCT GSB Power Futures Lab (Kruger &amp; Eberhard)</t>
        </is>
      </c>
      <c r="N101" t="inlineStr">
        <is>
          <t>Zambia Country Report - Energy and Economic Growth Research Programme</t>
        </is>
      </c>
      <c r="O101" t="inlineStr">
        <is>
          <t>https://www.gsb.uct.ac.za/files/Zambia_Country_Report.pdf</t>
        </is>
      </c>
      <c r="P101" t="inlineStr">
        <is>
          <t>2019-07</t>
        </is>
      </c>
      <c r="Q101" t="inlineStr">
        <is>
          <t>Nonetheless the project reached commercial operation in April 2019</t>
        </is>
      </c>
      <c r="R101" t="inlineStr"/>
    </row>
    <row r="102">
      <c r="A102" t="inlineStr">
        <is>
          <t>qualitatif</t>
        </is>
      </c>
      <c r="B102" t="inlineStr">
        <is>
          <t>A_australe</t>
        </is>
      </c>
      <c r="C102" t="inlineStr">
        <is>
          <t>A</t>
        </is>
      </c>
      <c r="D102" t="inlineStr">
        <is>
          <t>ZMB</t>
        </is>
      </c>
      <c r="E102" t="inlineStr">
        <is>
          <t>Ngonye (Scaling Solar, Mosi-oa-Tunya)</t>
        </is>
      </c>
      <c r="F102" t="inlineStr">
        <is>
          <t>developpeur</t>
        </is>
      </c>
      <c r="G102" t="inlineStr">
        <is>
          <t>Enel Green Power 80% / IDC 20%</t>
        </is>
      </c>
      <c r="H102" t="inlineStr">
        <is>
          <t>texte</t>
        </is>
      </c>
      <c r="I102" t="inlineStr">
        <is>
          <t>observée</t>
        </is>
      </c>
      <c r="K102" t="inlineStr">
        <is>
          <t>B</t>
        </is>
      </c>
      <c r="L102" t="inlineStr">
        <is>
          <t>qualitatif_citation_ok</t>
        </is>
      </c>
      <c r="M102" t="inlineStr">
        <is>
          <t>Enel Green Power</t>
        </is>
      </c>
      <c r="N102" t="inlineStr">
        <is>
          <t>Enel and IDC sign 34 million US dollar financing agreement with IFC and EIB for solar project in Zambia</t>
        </is>
      </c>
      <c r="O102" t="inlineStr">
        <is>
          <t>https://www.enelgreenpower.com/megamenu/media/press/2018/06/enel-and-idc-sign-34-million-us-dollar-financing-agreement-with-ifc-and-eib-for-solar-project-in-zambia</t>
        </is>
      </c>
      <c r="P102" t="inlineStr">
        <is>
          <t>2018-06-20</t>
        </is>
      </c>
      <c r="Q102" t="inlineStr">
        <is>
          <t>in which EGP will hold 80% [...] the Industrial Development Corporation of Zambia (IDC) will have a 20% minority stake.</t>
        </is>
      </c>
      <c r="R102" t="inlineStr"/>
    </row>
    <row r="103">
      <c r="A103" t="inlineStr">
        <is>
          <t>retenu</t>
        </is>
      </c>
      <c r="B103" t="inlineStr">
        <is>
          <t>A_australe</t>
        </is>
      </c>
      <c r="C103" t="inlineStr">
        <is>
          <t>A</t>
        </is>
      </c>
      <c r="D103" t="inlineStr">
        <is>
          <t>ZMB</t>
        </is>
      </c>
      <c r="E103" t="inlineStr">
        <is>
          <t>Bulemu East &amp; West (GET FiT Zambia)</t>
        </is>
      </c>
      <c r="F103" t="inlineStr">
        <is>
          <t>tarif</t>
        </is>
      </c>
      <c r="G103" t="n">
        <v>3.999</v>
      </c>
      <c r="H103" t="inlineStr">
        <is>
          <t>US cents/kWh</t>
        </is>
      </c>
      <c r="I103" t="inlineStr">
        <is>
          <t>observée</t>
        </is>
      </c>
      <c r="J103" t="n">
        <v>2019</v>
      </c>
      <c r="K103" t="inlineStr">
        <is>
          <t>B</t>
        </is>
      </c>
      <c r="L103" t="inlineStr">
        <is>
          <t>confirmé</t>
        </is>
      </c>
      <c r="M103" t="inlineStr">
        <is>
          <t>UCT GSB Power Futures Lab (Kruger &amp; Eberhard)</t>
        </is>
      </c>
      <c r="N103" t="inlineStr">
        <is>
          <t>Zambia Country Report - Energy and Economic Growth Research Programme</t>
        </is>
      </c>
      <c r="O103" t="inlineStr">
        <is>
          <t>https://www.gsb.uct.ac.za/files/Zambia_Country_Report.pdf</t>
        </is>
      </c>
      <c r="P103" t="inlineStr">
        <is>
          <t>2019-07</t>
        </is>
      </c>
      <c r="Q103" t="inlineStr">
        <is>
          <t>Bulemu East &amp; West Building Energy &amp; Pele Green Energy 2 x 20 MWac US$c 3,999/kWh</t>
        </is>
      </c>
      <c r="R103" t="inlineStr">
        <is>
          <t>GET FiT Zambia, attribution avril 2019; tarif d'offre (sans top-up). statut: attribué, financial close non atteint (cf. note statut).</t>
        </is>
      </c>
    </row>
    <row r="104">
      <c r="A104" t="inlineStr">
        <is>
          <t>retenu</t>
        </is>
      </c>
      <c r="B104" t="inlineStr">
        <is>
          <t>A_australe</t>
        </is>
      </c>
      <c r="C104" t="inlineStr">
        <is>
          <t>A</t>
        </is>
      </c>
      <c r="D104" t="inlineStr">
        <is>
          <t>ZMB</t>
        </is>
      </c>
      <c r="E104" t="inlineStr">
        <is>
          <t>Aurora Sola One &amp; Two (GET FiT Zambia)</t>
        </is>
      </c>
      <c r="F104" t="inlineStr">
        <is>
          <t>tarif</t>
        </is>
      </c>
      <c r="G104" t="n">
        <v>4.52</v>
      </c>
      <c r="H104" t="inlineStr">
        <is>
          <t>US cents/kWh</t>
        </is>
      </c>
      <c r="I104" t="inlineStr">
        <is>
          <t>observée</t>
        </is>
      </c>
      <c r="J104" t="n">
        <v>2019</v>
      </c>
      <c r="K104" t="inlineStr">
        <is>
          <t>B</t>
        </is>
      </c>
      <c r="L104" t="inlineStr">
        <is>
          <t>confirmé</t>
        </is>
      </c>
      <c r="M104" t="inlineStr">
        <is>
          <t>UCT GSB Power Futures Lab (Kruger &amp; Eberhard)</t>
        </is>
      </c>
      <c r="N104" t="inlineStr">
        <is>
          <t>Zambia Country Report - Energy and Economic Growth Research Programme</t>
        </is>
      </c>
      <c r="O104" t="inlineStr">
        <is>
          <t>https://www.gsb.uct.ac.za/files/Zambia_Country_Report.pdf</t>
        </is>
      </c>
      <c r="P104" t="inlineStr">
        <is>
          <t>2019-07</t>
        </is>
      </c>
      <c r="Q104" t="inlineStr">
        <is>
          <t>Aurora Sola One &amp; Two Globeleq &amp; Aurora Power Solutions 2 x 20 MWac US$c 4,52/kWh</t>
        </is>
      </c>
      <c r="R104" t="inlineStr">
        <is>
          <t>GET FiT Zambia, attribution avril 2019; tarif d'offre (sans top-up). statut: attribué, financial close non atteint (cf. note statut).</t>
        </is>
      </c>
    </row>
    <row r="105">
      <c r="A105" t="inlineStr">
        <is>
          <t>retenu</t>
        </is>
      </c>
      <c r="B105" t="inlineStr">
        <is>
          <t>A_australe</t>
        </is>
      </c>
      <c r="C105" t="inlineStr">
        <is>
          <t>A</t>
        </is>
      </c>
      <c r="D105" t="inlineStr">
        <is>
          <t>ZMB</t>
        </is>
      </c>
      <c r="E105" t="inlineStr">
        <is>
          <t>Garneton North &amp; South (GET FiT Zambia)</t>
        </is>
      </c>
      <c r="F105" t="inlineStr">
        <is>
          <t>tarif</t>
        </is>
      </c>
      <c r="G105" t="n">
        <v>4.8</v>
      </c>
      <c r="H105" t="inlineStr">
        <is>
          <t>US cents/kWh</t>
        </is>
      </c>
      <c r="I105" t="inlineStr">
        <is>
          <t>observée</t>
        </is>
      </c>
      <c r="J105" t="n">
        <v>2019</v>
      </c>
      <c r="K105" t="inlineStr">
        <is>
          <t>B</t>
        </is>
      </c>
      <c r="L105" t="inlineStr">
        <is>
          <t>citation_partielle</t>
        </is>
      </c>
      <c r="M105" t="inlineStr">
        <is>
          <t>UCT GSB Power Futures Lab (Kruger &amp; Eberhard)</t>
        </is>
      </c>
      <c r="N105" t="inlineStr">
        <is>
          <t>Zambia Country Report - Energy and Economic Growth Research Programme</t>
        </is>
      </c>
      <c r="O105" t="inlineStr">
        <is>
          <t>https://www.gsb.uct.ac.za/files/Zambia_Country_Report.pdf</t>
        </is>
      </c>
      <c r="P105" t="inlineStr">
        <is>
          <t>2019-07</t>
        </is>
      </c>
      <c r="Q105" t="inlineStr">
        <is>
          <t>Garneton North &amp; South Innovent &amp; CEC 2 x 20 MWac US$c 4,8/kWh</t>
        </is>
      </c>
      <c r="R105" t="inlineStr">
        <is>
          <t>GET FiT Zambia, attribution avril 2019; tarif d'offre (sans top-up). statut: attribué, financial close non atteint (cf. note statut).</t>
        </is>
      </c>
    </row>
    <row r="106">
      <c r="A106" t="inlineStr">
        <is>
          <t>qualitatif</t>
        </is>
      </c>
      <c r="B106" t="inlineStr">
        <is>
          <t>A_australe</t>
        </is>
      </c>
      <c r="C106" t="inlineStr">
        <is>
          <t>A</t>
        </is>
      </c>
      <c r="D106" t="inlineStr">
        <is>
          <t>ZMB</t>
        </is>
      </c>
      <c r="E106" t="inlineStr">
        <is>
          <t>GET FiT Zambia - 6 projets PV (120 MWac)</t>
        </is>
      </c>
      <c r="F106" t="inlineStr">
        <is>
          <t>statut</t>
        </is>
      </c>
      <c r="G106" t="inlineStr">
        <is>
          <t>attribué, bloqué avant financial close (2021)</t>
        </is>
      </c>
      <c r="H106" t="inlineStr">
        <is>
          <t>texte</t>
        </is>
      </c>
      <c r="I106" t="inlineStr">
        <is>
          <t>observée</t>
        </is>
      </c>
      <c r="K106" t="inlineStr">
        <is>
          <t>C</t>
        </is>
      </c>
      <c r="L106" t="inlineStr">
        <is>
          <t>qualitatif_citation_ok</t>
        </is>
      </c>
      <c r="M106" t="inlineStr">
        <is>
          <t>Green Building Africa / PV Transact</t>
        </is>
      </c>
      <c r="N106" t="inlineStr">
        <is>
          <t>GET FiT Zambia Solar PV Tender Failure</t>
        </is>
      </c>
      <c r="O106" t="inlineStr">
        <is>
          <t>https://www.greenbuildingafrica.co.za/get-fit-zambia-solar-pv-tender-failure/</t>
        </is>
      </c>
      <c r="P106" t="inlineStr">
        <is>
          <t>2021-04-22</t>
        </is>
      </c>
      <c r="Q106" t="inlineStr">
        <is>
          <t>continued to pose challenges for the solar PV projects selected under GET FiT Zambia to achieve financial close</t>
        </is>
      </c>
      <c r="R106" t="inlineStr">
        <is>
          <t>Citation du rapport annuel GET FiT Zambia rapportée par la presse. Statut 2022-2026 non vérifié (aucune trace de mise en service trouvée).</t>
        </is>
      </c>
    </row>
    <row r="107">
      <c r="A107" t="inlineStr">
        <is>
          <t>retenu</t>
        </is>
      </c>
      <c r="B107" t="inlineStr">
        <is>
          <t>A_australe</t>
        </is>
      </c>
      <c r="C107" t="inlineStr">
        <is>
          <t>A</t>
        </is>
      </c>
      <c r="D107" t="inlineStr">
        <is>
          <t>ZMB</t>
        </is>
      </c>
      <c r="E107" t="inlineStr">
        <is>
          <t>Chisamba Solar phase I (ZESCO/KNBEPC)</t>
        </is>
      </c>
      <c r="F107" t="inlineStr">
        <is>
          <t>capex_total</t>
        </is>
      </c>
      <c r="G107" t="n">
        <v>100000000</v>
      </c>
      <c r="H107" t="inlineStr">
        <is>
          <t>USD</t>
        </is>
      </c>
      <c r="I107" t="inlineStr">
        <is>
          <t>déclarée</t>
        </is>
      </c>
      <c r="J107" t="n">
        <v>2025</v>
      </c>
      <c r="K107" t="inlineStr">
        <is>
          <t>C</t>
        </is>
      </c>
      <c r="L107" t="inlineStr">
        <is>
          <t>confirmé</t>
        </is>
      </c>
      <c r="M107" t="inlineStr">
        <is>
          <t>pv magazine</t>
        </is>
      </c>
      <c r="N107" t="inlineStr">
        <is>
          <t>Zambia completes 100 MW solar farm</t>
        </is>
      </c>
      <c r="O107" t="inlineStr">
        <is>
          <t>https://www.pv-magazine.com/2025/05/26/zambia-completes-100-mw-solar-farm/</t>
        </is>
      </c>
      <c r="P107" t="inlineStr">
        <is>
          <t>2025-05-26</t>
        </is>
      </c>
      <c r="Q107" t="inlineStr">
        <is>
          <t>Zesco and Knbepc each provided $30 million in equity for the $100 million project</t>
        </is>
      </c>
      <c r="R107" t="inlineStr">
        <is>
          <t>EPC Power China. Incohérence interne: 2 x 30 M de fonds propres (60%) vs prêt Stanbic couvrant 'the remaining 70%'.</t>
        </is>
      </c>
    </row>
    <row r="108">
      <c r="A108" t="inlineStr">
        <is>
          <t>retenu</t>
        </is>
      </c>
      <c r="B108" t="inlineStr">
        <is>
          <t>A_australe</t>
        </is>
      </c>
      <c r="C108" t="inlineStr">
        <is>
          <t>A</t>
        </is>
      </c>
      <c r="D108" t="inlineStr">
        <is>
          <t>ZMB</t>
        </is>
      </c>
      <c r="E108" t="inlineStr">
        <is>
          <t>Chisamba Solar phase I (ZESCO/KNBEPC)</t>
        </is>
      </c>
      <c r="F108" t="inlineStr">
        <is>
          <t>puissance_mwac</t>
        </is>
      </c>
      <c r="G108" t="n">
        <v>100</v>
      </c>
      <c r="H108" t="inlineStr">
        <is>
          <t>MW (DC/AC non précisé)</t>
        </is>
      </c>
      <c r="I108" t="inlineStr">
        <is>
          <t>déclarée</t>
        </is>
      </c>
      <c r="K108" t="inlineStr">
        <is>
          <t>C</t>
        </is>
      </c>
      <c r="L108" t="inlineStr">
        <is>
          <t>citation_partielle</t>
        </is>
      </c>
      <c r="M108" t="inlineStr">
        <is>
          <t>pv magazine</t>
        </is>
      </c>
      <c r="N108" t="inlineStr">
        <is>
          <t>Zambia completes 100 MW solar farm</t>
        </is>
      </c>
      <c r="O108" t="inlineStr">
        <is>
          <t>https://www.pv-magazine.com/2025/05/26/zambia-completes-100-mw-solar-farm/</t>
        </is>
      </c>
      <c r="P108" t="inlineStr">
        <is>
          <t>2025-05-26</t>
        </is>
      </c>
      <c r="Q108" t="inlineStr">
        <is>
          <t>Zesco has completed the 100 MW Chisamba solar farm in southern Zambia.</t>
        </is>
      </c>
      <c r="R108" t="inlineStr">
        <is>
          <t>Prêt mené par Stanbic Bank Zambia; PPA 13 ans arrangé par GreenCo avec First Quantum Minerals (selon l'article). Mise en service: achevée mai 2025, mise en service officielle juin 2025 selon autres articles (non consultés).</t>
        </is>
      </c>
    </row>
    <row r="109">
      <c r="A109" t="inlineStr">
        <is>
          <t>qualitatif</t>
        </is>
      </c>
      <c r="B109" t="inlineStr">
        <is>
          <t>A_australe</t>
        </is>
      </c>
      <c r="C109" t="inlineStr">
        <is>
          <t>A</t>
        </is>
      </c>
      <c r="D109" t="inlineStr">
        <is>
          <t>ZMB</t>
        </is>
      </c>
      <c r="E109" t="inlineStr">
        <is>
          <t>Chisamba Solar phase I (ZESCO/KNBEPC)</t>
        </is>
      </c>
      <c r="F109" t="inlineStr">
        <is>
          <t>financeurs</t>
        </is>
      </c>
      <c r="G109" t="inlineStr">
        <is>
          <t>Stanbic Bank Zambia (prêt), fonds propres ZESCO et KNBEPC</t>
        </is>
      </c>
      <c r="H109" t="inlineStr">
        <is>
          <t>texte</t>
        </is>
      </c>
      <c r="I109" t="inlineStr">
        <is>
          <t>observée</t>
        </is>
      </c>
      <c r="J109" t="n">
        <v>2025</v>
      </c>
      <c r="K109" t="inlineStr">
        <is>
          <t>C</t>
        </is>
      </c>
      <c r="L109" t="inlineStr">
        <is>
          <t>qualitatif_citation_ok</t>
        </is>
      </c>
      <c r="M109" t="inlineStr">
        <is>
          <t>pv magazine</t>
        </is>
      </c>
      <c r="N109" t="inlineStr">
        <is>
          <t>Zambia completes 100 MW solar farm</t>
        </is>
      </c>
      <c r="O109" t="inlineStr">
        <is>
          <t>https://www.pv-magazine.com/2025/05/26/zambia-completes-100-mw-solar-farm/</t>
        </is>
      </c>
      <c r="P109" t="inlineStr">
        <is>
          <t>2025-05-26</t>
        </is>
      </c>
      <c r="Q109" t="inlineStr">
        <is>
          <t>Stanbic Bank Zambia led a loan to cover the remaining 70%.</t>
        </is>
      </c>
      <c r="R109" t="inlineStr"/>
    </row>
    <row r="110">
      <c r="A110" t="inlineStr">
        <is>
          <t>retenu</t>
        </is>
      </c>
      <c r="B110" t="inlineStr">
        <is>
          <t>A_australe</t>
        </is>
      </c>
      <c r="C110" t="inlineStr">
        <is>
          <t>A</t>
        </is>
      </c>
      <c r="D110" t="inlineStr">
        <is>
          <t>ZMB</t>
        </is>
      </c>
      <c r="E110" t="inlineStr">
        <is>
          <t>Chisamba Solar phase II (ZESCO)</t>
        </is>
      </c>
      <c r="F110" t="inlineStr">
        <is>
          <t>capex_total</t>
        </is>
      </c>
      <c r="G110" t="n">
        <v>70000000</v>
      </c>
      <c r="H110" t="inlineStr">
        <is>
          <t>USD</t>
        </is>
      </c>
      <c r="I110" t="inlineStr">
        <is>
          <t>observée</t>
        </is>
      </c>
      <c r="J110" t="n">
        <v>2026</v>
      </c>
      <c r="K110" t="inlineStr">
        <is>
          <t>C</t>
        </is>
      </c>
      <c r="L110" t="inlineStr">
        <is>
          <t>confirmé</t>
        </is>
      </c>
      <c r="M110" t="inlineStr">
        <is>
          <t>pv magazine</t>
        </is>
      </c>
      <c r="N110" t="inlineStr">
        <is>
          <t>Zambia doubles capacity of Chisamba solar project</t>
        </is>
      </c>
      <c r="O110" t="inlineStr">
        <is>
          <t>https://www.pv-magazine.com/2026/07/28/zambia-doubles-capacity-of-chisamba-solar-project/</t>
        </is>
      </c>
      <c r="P110" t="inlineStr">
        <is>
          <t>2026-07-28</t>
        </is>
      </c>
      <c r="Q110" t="inlineStr">
        <is>
          <t>The expansion cost $70 million instead of an initially estimated $100 million.</t>
        </is>
      </c>
      <c r="R110" t="inlineStr">
        <is>
          <t>+100 MW, construction 7 mois; mise en service 2026.</t>
        </is>
      </c>
    </row>
    <row r="111">
      <c r="A111" t="inlineStr">
        <is>
          <t>retenu</t>
        </is>
      </c>
      <c r="B111" t="inlineStr">
        <is>
          <t>A_australe</t>
        </is>
      </c>
      <c r="C111" t="inlineStr">
        <is>
          <t>A</t>
        </is>
      </c>
      <c r="D111" t="inlineStr">
        <is>
          <t>ZMB</t>
        </is>
      </c>
      <c r="E111" t="inlineStr">
        <is>
          <t>Riverside Solar PV (CEC, Kitwe) - extension</t>
        </is>
      </c>
      <c r="F111" t="inlineStr">
        <is>
          <t>puissance_mwp</t>
        </is>
      </c>
      <c r="G111" t="n">
        <v>33.11</v>
      </c>
      <c r="H111" t="inlineStr">
        <is>
          <t>MWp</t>
        </is>
      </c>
      <c r="I111" t="inlineStr">
        <is>
          <t>observée</t>
        </is>
      </c>
      <c r="K111" t="inlineStr">
        <is>
          <t>A</t>
        </is>
      </c>
      <c r="L111" t="inlineStr">
        <is>
          <t>confirmé</t>
        </is>
      </c>
      <c r="M111" t="inlineStr">
        <is>
          <t>Copperbelt Energy Corporation PLC (annonce LuSE)</t>
        </is>
      </c>
      <c r="N111" t="inlineStr">
        <is>
          <t>Market Announcement - CEC Renewables</t>
        </is>
      </c>
      <c r="O111" t="inlineStr">
        <is>
          <t>https://luse.co.zm/wp-content/uploads/2024/02/CEC-PLC-Market-Announcement_CEC-Renewables_02032023_.pdf</t>
        </is>
      </c>
      <c r="P111" t="inlineStr">
        <is>
          <t>2023-03-02</t>
        </is>
      </c>
      <c r="Q111" t="inlineStr">
        <is>
          <t>CEC Renewables Limited has constructed the 33.11MWp Solar PV Plant, expanding the 1.04MWp Solar PV Plant in Kitwe, Zambia (the “Riverside Solar PV Plant”), bringing the current total capacity to 34.15MWp.</t>
        </is>
      </c>
      <c r="R111" t="inlineStr">
        <is>
          <t>Total 34.15 MWp. Annonce boursière réglementée.</t>
        </is>
      </c>
    </row>
    <row r="112">
      <c r="A112" t="inlineStr">
        <is>
          <t>retenu</t>
        </is>
      </c>
      <c r="B112" t="inlineStr">
        <is>
          <t>A_australe</t>
        </is>
      </c>
      <c r="C112" t="inlineStr">
        <is>
          <t>A</t>
        </is>
      </c>
      <c r="D112" t="inlineStr">
        <is>
          <t>ZMB</t>
        </is>
      </c>
      <c r="E112" t="inlineStr">
        <is>
          <t>Riverside Solar PV (CEC, Kitwe) - extension</t>
        </is>
      </c>
      <c r="F112" t="inlineStr">
        <is>
          <t>annee_mise_en_service</t>
        </is>
      </c>
      <c r="G112" t="n">
        <v>2023</v>
      </c>
      <c r="H112" t="inlineStr">
        <is>
          <t>année</t>
        </is>
      </c>
      <c r="I112" t="inlineStr">
        <is>
          <t>observée</t>
        </is>
      </c>
      <c r="K112" t="inlineStr">
        <is>
          <t>A</t>
        </is>
      </c>
      <c r="L112" t="inlineStr">
        <is>
          <t>confirmé</t>
        </is>
      </c>
      <c r="M112" t="inlineStr">
        <is>
          <t>Copperbelt Energy Corporation PLC (annonce LuSE)</t>
        </is>
      </c>
      <c r="N112" t="inlineStr">
        <is>
          <t>Market Announcement - CEC Renewables</t>
        </is>
      </c>
      <c r="O112" t="inlineStr">
        <is>
          <t>https://luse.co.zm/wp-content/uploads/2024/02/CEC-PLC-Market-Announcement_CEC-Renewables_02032023_.pdf</t>
        </is>
      </c>
      <c r="P112" t="inlineStr">
        <is>
          <t>2023-03-02</t>
        </is>
      </c>
      <c r="Q112" t="inlineStr">
        <is>
          <t>The 34.15MWp Riverside Solar PV Plant was commissioned by Mr Hakainde Hichilema, the President of the Republic of Zambia, on 15th February 2023</t>
        </is>
      </c>
      <c r="R112" t="inlineStr"/>
    </row>
    <row r="113">
      <c r="A113" t="inlineStr">
        <is>
          <t>retenu</t>
        </is>
      </c>
      <c r="B113" t="inlineStr">
        <is>
          <t>A_australe</t>
        </is>
      </c>
      <c r="C113" t="inlineStr">
        <is>
          <t>A</t>
        </is>
      </c>
      <c r="D113" t="inlineStr">
        <is>
          <t>ZMB</t>
        </is>
      </c>
      <c r="E113" t="inlineStr">
        <is>
          <t>Riverside Solar PV (CEC, Kitwe) - extension</t>
        </is>
      </c>
      <c r="F113" t="inlineStr">
        <is>
          <t>capex_total</t>
        </is>
      </c>
      <c r="G113" t="n">
        <v>19200000</v>
      </c>
      <c r="H113" t="inlineStr">
        <is>
          <t>USD (contrat EPC seulement)</t>
        </is>
      </c>
      <c r="I113" t="inlineStr">
        <is>
          <t>observée</t>
        </is>
      </c>
      <c r="J113" t="n">
        <v>2021</v>
      </c>
      <c r="K113" t="inlineStr">
        <is>
          <t>B</t>
        </is>
      </c>
      <c r="L113" t="inlineStr">
        <is>
          <t>confirmé</t>
        </is>
      </c>
      <c r="M113" t="inlineStr">
        <is>
          <t>Copperbelt Energy Corporation PLC</t>
        </is>
      </c>
      <c r="N113" t="inlineStr">
        <is>
          <t>CEC signs EPC contract for 33MW solar expansion project</t>
        </is>
      </c>
      <c r="O113" t="inlineStr">
        <is>
          <t>https://www.cec.com.zm/cec-signs-epc-contract-for-33mw-solar-expansion-project</t>
        </is>
      </c>
      <c r="P113" t="inlineStr">
        <is>
          <t>2021-11-19</t>
        </is>
      </c>
      <c r="Q113" t="inlineStr">
        <is>
          <t>has signed an Engineering, Procurement and Construction (EPC) contract worth USD19.2 million with Sinohydro Corporation Zambia Limited</t>
        </is>
      </c>
      <c r="R113" t="inlineStr">
        <is>
          <t>Contrat EPC, pas le capex total (presse: ~22 M USD, non vérifié).</t>
        </is>
      </c>
    </row>
    <row r="114">
      <c r="A114" t="inlineStr">
        <is>
          <t>retenu</t>
        </is>
      </c>
      <c r="B114" t="inlineStr">
        <is>
          <t>A_australe</t>
        </is>
      </c>
      <c r="C114" t="inlineStr">
        <is>
          <t>A</t>
        </is>
      </c>
      <c r="D114" t="inlineStr">
        <is>
          <t>ZMB</t>
        </is>
      </c>
      <c r="E114" t="inlineStr">
        <is>
          <t>Riverside Solar PV (CEC, Kitwe) - extension</t>
        </is>
      </c>
      <c r="F114" t="inlineStr">
        <is>
          <t>production_gwh_an</t>
        </is>
      </c>
      <c r="G114" t="n">
        <v>56.5</v>
      </c>
      <c r="H114" t="inlineStr">
        <is>
          <t>GWh/an</t>
        </is>
      </c>
      <c r="I114" t="inlineStr">
        <is>
          <t>déclarée</t>
        </is>
      </c>
      <c r="K114" t="inlineStr">
        <is>
          <t>B</t>
        </is>
      </c>
      <c r="L114" t="inlineStr">
        <is>
          <t>confirmé</t>
        </is>
      </c>
      <c r="M114" t="inlineStr">
        <is>
          <t>Copperbelt Energy Corporation PLC</t>
        </is>
      </c>
      <c r="N114" t="inlineStr">
        <is>
          <t>CEC signs EPC contract for 33MW solar expansion project</t>
        </is>
      </c>
      <c r="O114" t="inlineStr">
        <is>
          <t>https://www.cec.com.zm/cec-signs-epc-contract-for-33mw-solar-expansion-project</t>
        </is>
      </c>
      <c r="P114" t="inlineStr">
        <is>
          <t>2021-11-19</t>
        </is>
      </c>
      <c r="Q114" t="inlineStr">
        <is>
          <t>average annual energy output of 56.5GWh</t>
        </is>
      </c>
      <c r="R114" t="inlineStr"/>
    </row>
    <row r="115">
      <c r="A115" t="inlineStr">
        <is>
          <t>qualitatif</t>
        </is>
      </c>
      <c r="B115" t="inlineStr">
        <is>
          <t>A_australe</t>
        </is>
      </c>
      <c r="C115" t="inlineStr">
        <is>
          <t>A</t>
        </is>
      </c>
      <c r="D115" t="inlineStr">
        <is>
          <t>ZMB</t>
        </is>
      </c>
      <c r="E115" t="inlineStr">
        <is>
          <t>Itimpi Solar phase I (CEC, Kitwe)</t>
        </is>
      </c>
      <c r="F115" t="inlineStr">
        <is>
          <t>statut</t>
        </is>
      </c>
      <c r="G115" t="inlineStr">
        <is>
          <t>en construction (2023)</t>
        </is>
      </c>
      <c r="H115" t="inlineStr">
        <is>
          <t>texte</t>
        </is>
      </c>
      <c r="I115" t="inlineStr">
        <is>
          <t>observée</t>
        </is>
      </c>
      <c r="K115" t="inlineStr">
        <is>
          <t>A</t>
        </is>
      </c>
      <c r="L115" t="inlineStr">
        <is>
          <t>qualitatif_citation_ok</t>
        </is>
      </c>
      <c r="M115" t="inlineStr">
        <is>
          <t>Copperbelt Energy Corporation PLC (annonce LuSE)</t>
        </is>
      </c>
      <c r="N115" t="inlineStr">
        <is>
          <t>Market Announcement - CEC Renewables</t>
        </is>
      </c>
      <c r="O115" t="inlineStr">
        <is>
          <t>https://luse.co.zm/wp-content/uploads/2024/02/CEC-PLC-Market-Announcement_CEC-Renewables_02032023_.pdf</t>
        </is>
      </c>
      <c r="P115" t="inlineStr">
        <is>
          <t>2023-03-02</t>
        </is>
      </c>
      <c r="Q115" t="inlineStr">
        <is>
          <t>construction of the Itimpi Solar Development Project-Phase I, a greenfield utility scale 60MWp solar PV facility, is underway</t>
        </is>
      </c>
      <c r="R115" t="inlineStr">
        <is>
          <t>60 MWp; statut 2024-2026 non vérifié.</t>
        </is>
      </c>
    </row>
    <row r="116">
      <c r="A116" t="inlineStr">
        <is>
          <t>retenu</t>
        </is>
      </c>
      <c r="B116" t="inlineStr">
        <is>
          <t>A_australe</t>
        </is>
      </c>
      <c r="C116" t="inlineStr">
        <is>
          <t>A</t>
        </is>
      </c>
      <c r="D116" t="inlineStr">
        <is>
          <t>NAM</t>
        </is>
      </c>
      <c r="E116" t="inlineStr">
        <is>
          <t>Hardap Solar PV (Mariental)</t>
        </is>
      </c>
      <c r="F116" t="inlineStr">
        <is>
          <t>puissance_mwp</t>
        </is>
      </c>
      <c r="G116" t="n">
        <v>45.5</v>
      </c>
      <c r="H116" t="inlineStr">
        <is>
          <t>MWp</t>
        </is>
      </c>
      <c r="I116" t="inlineStr">
        <is>
          <t>déclarée</t>
        </is>
      </c>
      <c r="K116" t="inlineStr">
        <is>
          <t>B</t>
        </is>
      </c>
      <c r="L116" t="inlineStr">
        <is>
          <t>confirmé</t>
        </is>
      </c>
      <c r="M116" t="inlineStr">
        <is>
          <t>ALTEN Energías Renovables</t>
        </is>
      </c>
      <c r="N116" t="inlineStr">
        <is>
          <t>Namibia: ALTEN Energías Renovables wins one of the biggest solar PV plant in Sub-Saharan Africa</t>
        </is>
      </c>
      <c r="O116" t="inlineStr">
        <is>
          <t>https://alten-energy.com/?p=5741</t>
        </is>
      </c>
      <c r="P116" t="inlineStr">
        <is>
          <t>2017-05-23</t>
        </is>
      </c>
      <c r="Q116" t="inlineStr">
        <is>
          <t>will be one of the biggest in Sub-Saharan Africa with capacity of 45.5 MWp (37 MWac)</t>
        </is>
      </c>
      <c r="R116" t="inlineStr">
        <is>
          <t>UCT indique 45 MWp.</t>
        </is>
      </c>
    </row>
    <row r="117">
      <c r="A117" t="inlineStr">
        <is>
          <t>retenu</t>
        </is>
      </c>
      <c r="B117" t="inlineStr">
        <is>
          <t>A_australe</t>
        </is>
      </c>
      <c r="C117" t="inlineStr">
        <is>
          <t>A</t>
        </is>
      </c>
      <c r="D117" t="inlineStr">
        <is>
          <t>NAM</t>
        </is>
      </c>
      <c r="E117" t="inlineStr">
        <is>
          <t>Hardap Solar PV (Mariental)</t>
        </is>
      </c>
      <c r="F117" t="inlineStr">
        <is>
          <t>puissance_mwac</t>
        </is>
      </c>
      <c r="G117" t="n">
        <v>37</v>
      </c>
      <c r="H117" t="inlineStr">
        <is>
          <t>MWac</t>
        </is>
      </c>
      <c r="I117" t="inlineStr">
        <is>
          <t>observée</t>
        </is>
      </c>
      <c r="K117" t="inlineStr">
        <is>
          <t>B</t>
        </is>
      </c>
      <c r="L117" t="inlineStr">
        <is>
          <t>confirmé</t>
        </is>
      </c>
      <c r="M117" t="inlineStr">
        <is>
          <t>UCT GSB Power Futures Lab (Kruger, Alao &amp; Eberhard)</t>
        </is>
      </c>
      <c r="N117" t="inlineStr">
        <is>
          <t>Namibia Country Report - Energy and Economic Growth Research Programme</t>
        </is>
      </c>
      <c r="O117" t="inlineStr">
        <is>
          <t>https://gsb.uct.ac.za/files/Namibia_Country_Report.pdf</t>
        </is>
      </c>
      <c r="P117" t="inlineStr">
        <is>
          <t>2019-12</t>
        </is>
      </c>
      <c r="Q117" t="inlineStr">
        <is>
          <t>The Hardap PV plant has been developed as a 45 MWp facility with a maximum export capacity of 37 MWac.</t>
        </is>
      </c>
      <c r="R117" t="inlineStr"/>
    </row>
    <row r="118">
      <c r="A118" t="inlineStr">
        <is>
          <t>retenu</t>
        </is>
      </c>
      <c r="B118" t="inlineStr">
        <is>
          <t>A_australe</t>
        </is>
      </c>
      <c r="C118" t="inlineStr">
        <is>
          <t>A</t>
        </is>
      </c>
      <c r="D118" t="inlineStr">
        <is>
          <t>NAM</t>
        </is>
      </c>
      <c r="E118" t="inlineStr">
        <is>
          <t>Hardap Solar PV (Mariental)</t>
        </is>
      </c>
      <c r="F118" t="inlineStr">
        <is>
          <t>tarif</t>
        </is>
      </c>
      <c r="G118" t="n">
        <v>0.8070000000000001</v>
      </c>
      <c r="H118" t="inlineStr">
        <is>
          <t>NAD/kWh</t>
        </is>
      </c>
      <c r="I118" t="inlineStr">
        <is>
          <t>observée</t>
        </is>
      </c>
      <c r="J118" t="n">
        <v>2016</v>
      </c>
      <c r="K118" t="inlineStr">
        <is>
          <t>B</t>
        </is>
      </c>
      <c r="L118" t="inlineStr">
        <is>
          <t>confirmé</t>
        </is>
      </c>
      <c r="M118" t="inlineStr">
        <is>
          <t>UCT GSB Power Futures Lab (Kruger, Alao &amp; Eberhard)</t>
        </is>
      </c>
      <c r="N118" t="inlineStr">
        <is>
          <t>Namibia Country Report - Energy and Economic Growth Research Programme</t>
        </is>
      </c>
      <c r="O118" t="inlineStr">
        <is>
          <t>https://gsb.uct.ac.za/files/Namibia_Country_Report.pdf</t>
        </is>
      </c>
      <c r="P118" t="inlineStr">
        <is>
          <t>2019-12</t>
        </is>
      </c>
      <c r="Q118" t="inlineStr">
        <is>
          <t>who had submitted a bid tariff of NA$80,7/kWh</t>
        </is>
      </c>
      <c r="R118" t="inlineStr">
        <is>
          <t>Coquille dans la source ('NA$80,7/kWh'): à lire NA$c 80,7/kWh soit 0.807 NAD/kWh (cohérent avec le graphique Figure 2 en NA$c/kWh). PPA libellé en ZAR (parité NAD-ZAR). Indexation non précisée.</t>
        </is>
      </c>
    </row>
    <row r="119">
      <c r="A119" t="inlineStr">
        <is>
          <t>retenu</t>
        </is>
      </c>
      <c r="B119" t="inlineStr">
        <is>
          <t>A_australe</t>
        </is>
      </c>
      <c r="C119" t="inlineStr">
        <is>
          <t>A</t>
        </is>
      </c>
      <c r="D119" t="inlineStr">
        <is>
          <t>NAM</t>
        </is>
      </c>
      <c r="E119" t="inlineStr">
        <is>
          <t>Hardap Solar PV (Mariental)</t>
        </is>
      </c>
      <c r="F119" t="inlineStr">
        <is>
          <t>capex_total</t>
        </is>
      </c>
      <c r="G119" t="n">
        <v>45000000</v>
      </c>
      <c r="H119" t="inlineStr">
        <is>
          <t>USD</t>
        </is>
      </c>
      <c r="I119" t="inlineStr">
        <is>
          <t>déclarée</t>
        </is>
      </c>
      <c r="J119" t="n">
        <v>2017</v>
      </c>
      <c r="K119" t="inlineStr">
        <is>
          <t>B</t>
        </is>
      </c>
      <c r="L119" t="inlineStr">
        <is>
          <t>confirmé</t>
        </is>
      </c>
      <c r="M119" t="inlineStr">
        <is>
          <t>ALTEN Energías Renovables</t>
        </is>
      </c>
      <c r="N119" t="inlineStr">
        <is>
          <t>Namibia: ALTEN Energías Renovables wins one of the biggest solar PV plant in Sub-Saharan Africa</t>
        </is>
      </c>
      <c r="O119" t="inlineStr">
        <is>
          <t>https://alten-energy.com/?p=5741</t>
        </is>
      </c>
      <c r="P119" t="inlineStr">
        <is>
          <t>2017-05-23</t>
        </is>
      </c>
      <c r="Q119" t="inlineStr">
        <is>
          <t>with installed capacity of 45.5 MWp, an investment forecast at US$45M and a useful life of 25 years</t>
        </is>
      </c>
      <c r="R119" t="inlineStr">
        <is>
          <t>Prévision à l'attribution; presse cite aussi 70 M USD (non vérifié).</t>
        </is>
      </c>
    </row>
    <row r="120">
      <c r="A120" t="inlineStr">
        <is>
          <t>retenu</t>
        </is>
      </c>
      <c r="B120" t="inlineStr">
        <is>
          <t>A_australe</t>
        </is>
      </c>
      <c r="C120" t="inlineStr">
        <is>
          <t>A</t>
        </is>
      </c>
      <c r="D120" t="inlineStr">
        <is>
          <t>NAM</t>
        </is>
      </c>
      <c r="E120" t="inlineStr">
        <is>
          <t>Hardap Solar PV (Mariental)</t>
        </is>
      </c>
      <c r="F120" t="inlineStr">
        <is>
          <t>production_gwh_an</t>
        </is>
      </c>
      <c r="G120" t="n">
        <v>116</v>
      </c>
      <c r="H120" t="inlineStr">
        <is>
          <t>GWh/an</t>
        </is>
      </c>
      <c r="I120" t="inlineStr">
        <is>
          <t>déclarée</t>
        </is>
      </c>
      <c r="K120" t="inlineStr">
        <is>
          <t>B</t>
        </is>
      </c>
      <c r="L120" t="inlineStr">
        <is>
          <t>confirmé</t>
        </is>
      </c>
      <c r="M120" t="inlineStr">
        <is>
          <t>ALTEN Energías Renovables</t>
        </is>
      </c>
      <c r="N120" t="inlineStr">
        <is>
          <t>Namibia: ALTEN Energías Renovables wins one of the biggest solar PV plant in Sub-Saharan Africa</t>
        </is>
      </c>
      <c r="O120" t="inlineStr">
        <is>
          <t>https://alten-energy.com/?p=5741</t>
        </is>
      </c>
      <c r="P120" t="inlineStr">
        <is>
          <t>2017-05-23</t>
        </is>
      </c>
      <c r="Q120" t="inlineStr">
        <is>
          <t>with an estimated annual production of 116 GWh</t>
        </is>
      </c>
      <c r="R120" t="inlineStr">
        <is>
          <t>Facteur de capacité AC an 1: 34,5% (UCT).</t>
        </is>
      </c>
    </row>
    <row r="121">
      <c r="A121" t="inlineStr">
        <is>
          <t>retenu</t>
        </is>
      </c>
      <c r="B121" t="inlineStr">
        <is>
          <t>A_australe</t>
        </is>
      </c>
      <c r="C121" t="inlineStr">
        <is>
          <t>A</t>
        </is>
      </c>
      <c r="D121" t="inlineStr">
        <is>
          <t>NAM</t>
        </is>
      </c>
      <c r="E121" t="inlineStr">
        <is>
          <t>Hardap Solar PV (Mariental)</t>
        </is>
      </c>
      <c r="F121" t="inlineStr">
        <is>
          <t>annee_mise_en_service</t>
        </is>
      </c>
      <c r="G121" t="n">
        <v>2018</v>
      </c>
      <c r="H121" t="inlineStr">
        <is>
          <t>année</t>
        </is>
      </c>
      <c r="I121" t="inlineStr">
        <is>
          <t>observée</t>
        </is>
      </c>
      <c r="K121" t="inlineStr">
        <is>
          <t>B</t>
        </is>
      </c>
      <c r="L121" t="inlineStr">
        <is>
          <t>confirmé</t>
        </is>
      </c>
      <c r="M121" t="inlineStr">
        <is>
          <t>UCT GSB Power Futures Lab (Kruger, Alao &amp; Eberhard)</t>
        </is>
      </c>
      <c r="N121" t="inlineStr">
        <is>
          <t>Namibia Country Report - Energy and Economic Growth Research Programme</t>
        </is>
      </c>
      <c r="O121" t="inlineStr">
        <is>
          <t>https://gsb.uct.ac.za/files/Namibia_Country_Report.pdf</t>
        </is>
      </c>
      <c r="P121" t="inlineStr">
        <is>
          <t>2019-12</t>
        </is>
      </c>
      <c r="Q121" t="inlineStr">
        <is>
          <t>COD was eventually achieved on 15 November 2018.</t>
        </is>
      </c>
      <c r="R121" t="inlineStr">
        <is>
          <t>Wikipedia indique juin 2019 (non retenu, non primaire).</t>
        </is>
      </c>
    </row>
    <row r="122">
      <c r="A122" t="inlineStr">
        <is>
          <t>qualitatif</t>
        </is>
      </c>
      <c r="B122" t="inlineStr">
        <is>
          <t>A_australe</t>
        </is>
      </c>
      <c r="C122" t="inlineStr">
        <is>
          <t>A</t>
        </is>
      </c>
      <c r="D122" t="inlineStr">
        <is>
          <t>NAM</t>
        </is>
      </c>
      <c r="E122" t="inlineStr">
        <is>
          <t>Hardap Solar PV (Mariental)</t>
        </is>
      </c>
      <c r="F122" t="inlineStr">
        <is>
          <t>financeurs</t>
        </is>
      </c>
      <c r="G122" t="inlineStr">
        <is>
          <t>Standard Bank (prêt ZAR 760 M) avec garantie Proparco</t>
        </is>
      </c>
      <c r="H122" t="inlineStr">
        <is>
          <t>texte</t>
        </is>
      </c>
      <c r="I122" t="inlineStr">
        <is>
          <t>observée</t>
        </is>
      </c>
      <c r="K122" t="inlineStr">
        <is>
          <t>B</t>
        </is>
      </c>
      <c r="L122" t="inlineStr">
        <is>
          <t>qualitatif_citation_ok</t>
        </is>
      </c>
      <c r="M122" t="inlineStr">
        <is>
          <t>UCT GSB Power Futures Lab (Kruger, Alao &amp; Eberhard)</t>
        </is>
      </c>
      <c r="N122" t="inlineStr">
        <is>
          <t>Namibia Country Report - Energy and Economic Growth Research Programme</t>
        </is>
      </c>
      <c r="O122" t="inlineStr">
        <is>
          <t>https://gsb.uct.ac.za/files/Namibia_Country_Report.pdf</t>
        </is>
      </c>
      <c r="P122" t="inlineStr">
        <is>
          <t>2019-12</t>
        </is>
      </c>
      <c r="Q122" t="inlineStr">
        <is>
          <t>enabled Standard Bank to provide a ZAR760 million (US$56,4 million) loan to the project.</t>
        </is>
      </c>
      <c r="R122" t="inlineStr"/>
    </row>
    <row r="123">
      <c r="A123" t="inlineStr">
        <is>
          <t>retenu</t>
        </is>
      </c>
      <c r="B123" t="inlineStr">
        <is>
          <t>A_australe</t>
        </is>
      </c>
      <c r="C123" t="inlineStr">
        <is>
          <t>A</t>
        </is>
      </c>
      <c r="D123" t="inlineStr">
        <is>
          <t>NAM</t>
        </is>
      </c>
      <c r="E123" t="inlineStr">
        <is>
          <t>Hardap Solar PV (Mariental)</t>
        </is>
      </c>
      <c r="F123" t="inlineStr">
        <is>
          <t>dette_duree</t>
        </is>
      </c>
      <c r="G123" t="n">
        <v>15</v>
      </c>
      <c r="H123" t="inlineStr">
        <is>
          <t>ans</t>
        </is>
      </c>
      <c r="I123" t="inlineStr">
        <is>
          <t>observée</t>
        </is>
      </c>
      <c r="K123" t="inlineStr">
        <is>
          <t>B</t>
        </is>
      </c>
      <c r="L123" t="inlineStr">
        <is>
          <t>confirmé</t>
        </is>
      </c>
      <c r="M123" t="inlineStr">
        <is>
          <t>UCT GSB Power Futures Lab (Kruger, Alao &amp; Eberhard)</t>
        </is>
      </c>
      <c r="N123" t="inlineStr">
        <is>
          <t>Namibia Country Report - Energy and Economic Growth Research Programme</t>
        </is>
      </c>
      <c r="O123" t="inlineStr">
        <is>
          <t>https://gsb.uct.ac.za/files/Namibia_Country_Report.pdf</t>
        </is>
      </c>
      <c r="P123" t="inlineStr">
        <is>
          <t>2019-12</t>
        </is>
      </c>
      <c r="Q123" t="inlineStr">
        <is>
          <t>A guarantee offered by Proparco [...] enabled Standard Bank to stretch the loan term to 15 years.</t>
        </is>
      </c>
      <c r="R123" t="inlineStr">
        <is>
          <t>Sans garantie: 8 ans seulement.</t>
        </is>
      </c>
    </row>
    <row r="124">
      <c r="A124" t="inlineStr">
        <is>
          <t>retenu</t>
        </is>
      </c>
      <c r="B124" t="inlineStr">
        <is>
          <t>A_australe</t>
        </is>
      </c>
      <c r="C124" t="inlineStr">
        <is>
          <t>A</t>
        </is>
      </c>
      <c r="D124" t="inlineStr">
        <is>
          <t>NAM</t>
        </is>
      </c>
      <c r="E124" t="inlineStr">
        <is>
          <t>Hardap Solar PV (Mariental)</t>
        </is>
      </c>
      <c r="F124" t="inlineStr">
        <is>
          <t>dette_part</t>
        </is>
      </c>
      <c r="G124" t="n">
        <v>0.8</v>
      </c>
      <c r="H124" t="inlineStr">
        <is>
          <t>fraction</t>
        </is>
      </c>
      <c r="I124" t="inlineStr">
        <is>
          <t>observée</t>
        </is>
      </c>
      <c r="K124" t="inlineStr">
        <is>
          <t>B</t>
        </is>
      </c>
      <c r="L124" t="inlineStr">
        <is>
          <t>confirmé</t>
        </is>
      </c>
      <c r="M124" t="inlineStr">
        <is>
          <t>UCT GSB Power Futures Lab (Kruger, Alao &amp; Eberhard)</t>
        </is>
      </c>
      <c r="N124" t="inlineStr">
        <is>
          <t>Namibia Country Report - Energy and Economic Growth Research Programme</t>
        </is>
      </c>
      <c r="O124" t="inlineStr">
        <is>
          <t>https://gsb.uct.ac.za/files/Namibia_Country_Report.pdf</t>
        </is>
      </c>
      <c r="P124" t="inlineStr">
        <is>
          <t>2019-12</t>
        </is>
      </c>
      <c r="Q124" t="inlineStr">
        <is>
          <t>The project was financed on an 80:20 Debt:Equity basis.</t>
        </is>
      </c>
      <c r="R124" t="inlineStr"/>
    </row>
    <row r="125">
      <c r="A125" t="inlineStr">
        <is>
          <t>qualitatif</t>
        </is>
      </c>
      <c r="B125" t="inlineStr">
        <is>
          <t>A_australe</t>
        </is>
      </c>
      <c r="C125" t="inlineStr">
        <is>
          <t>A</t>
        </is>
      </c>
      <c r="D125" t="inlineStr">
        <is>
          <t>NAM</t>
        </is>
      </c>
      <c r="E125" t="inlineStr">
        <is>
          <t>Hardap Solar PV (Mariental)</t>
        </is>
      </c>
      <c r="F125" t="inlineStr">
        <is>
          <t>garanties</t>
        </is>
      </c>
      <c r="G125" t="inlineStr">
        <is>
          <t>Garantie Proparco couvrant 30% du service de la dette an 1, croissant à 100% an 8; pas de garantie souveraine</t>
        </is>
      </c>
      <c r="H125" t="inlineStr">
        <is>
          <t>texte</t>
        </is>
      </c>
      <c r="I125" t="inlineStr">
        <is>
          <t>observée</t>
        </is>
      </c>
      <c r="K125" t="inlineStr">
        <is>
          <t>B</t>
        </is>
      </c>
      <c r="L125" t="inlineStr">
        <is>
          <t>qualitatif_citation_ok</t>
        </is>
      </c>
      <c r="M125" t="inlineStr">
        <is>
          <t>UCT GSB Power Futures Lab (Kruger, Alao &amp; Eberhard)</t>
        </is>
      </c>
      <c r="N125" t="inlineStr">
        <is>
          <t>Namibia Country Report - Energy and Economic Growth Research Programme</t>
        </is>
      </c>
      <c r="O125" t="inlineStr">
        <is>
          <t>https://gsb.uct.ac.za/files/Namibia_Country_Report.pdf</t>
        </is>
      </c>
      <c r="P125" t="inlineStr">
        <is>
          <t>2019-12</t>
        </is>
      </c>
      <c r="Q125" t="inlineStr">
        <is>
          <t>The guarantee was structured in such a way that it covered 30% of the debt (principal and interest) in year 1, increasing to 100% in year 8 of operations.</t>
        </is>
      </c>
      <c r="R125" t="inlineStr"/>
    </row>
    <row r="126">
      <c r="A126" t="inlineStr">
        <is>
          <t>qualitatif</t>
        </is>
      </c>
      <c r="B126" t="inlineStr">
        <is>
          <t>A_australe</t>
        </is>
      </c>
      <c r="C126" t="inlineStr">
        <is>
          <t>A</t>
        </is>
      </c>
      <c r="D126" t="inlineStr">
        <is>
          <t>NAM</t>
        </is>
      </c>
      <c r="E126" t="inlineStr">
        <is>
          <t>Hardap Solar PV (Mariental)</t>
        </is>
      </c>
      <c r="F126" t="inlineStr">
        <is>
          <t>developpeur</t>
        </is>
      </c>
      <c r="G126" t="inlineStr">
        <is>
          <t>Alten Africa 51%, NamPower 19%, Mangrove 12%, Talyeni 6%, First Place 12%</t>
        </is>
      </c>
      <c r="H126" t="inlineStr">
        <is>
          <t>texte</t>
        </is>
      </c>
      <c r="I126" t="inlineStr">
        <is>
          <t>observée</t>
        </is>
      </c>
      <c r="K126" t="inlineStr">
        <is>
          <t>B</t>
        </is>
      </c>
      <c r="L126" t="inlineStr">
        <is>
          <t>qualitatif_citation_ok</t>
        </is>
      </c>
      <c r="M126" t="inlineStr">
        <is>
          <t>UCT GSB Power Futures Lab (Kruger, Alao &amp; Eberhard)</t>
        </is>
      </c>
      <c r="N126" t="inlineStr">
        <is>
          <t>Namibia Country Report - Energy and Economic Growth Research Programme</t>
        </is>
      </c>
      <c r="O126" t="inlineStr">
        <is>
          <t>https://gsb.uct.ac.za/files/Namibia_Country_Report.pdf</t>
        </is>
      </c>
      <c r="P126" t="inlineStr">
        <is>
          <t>2019-12</t>
        </is>
      </c>
      <c r="Q126" t="inlineStr">
        <is>
          <t>The Hardap project company has five shareholders: Alten Africa (51%), NamPower (19%) and three PDN entities: Mangrove (12%), Talyeni Investments (6%) and First Place Investments (12%).</t>
        </is>
      </c>
      <c r="R126" t="inlineStr">
        <is>
          <t>Acheteur: NamPower. Procédure: appel d'offres international (ICB).</t>
        </is>
      </c>
    </row>
    <row r="127">
      <c r="A127" t="inlineStr">
        <is>
          <t>retenu</t>
        </is>
      </c>
      <c r="B127" t="inlineStr">
        <is>
          <t>A_australe</t>
        </is>
      </c>
      <c r="C127" t="inlineStr">
        <is>
          <t>A</t>
        </is>
      </c>
      <c r="D127" t="inlineStr">
        <is>
          <t>NAM</t>
        </is>
      </c>
      <c r="E127" t="inlineStr">
        <is>
          <t>Hardap Solar PV (Mariental)</t>
        </is>
      </c>
      <c r="F127" t="inlineStr">
        <is>
          <t>annee_attribution</t>
        </is>
      </c>
      <c r="G127" t="n">
        <v>2016</v>
      </c>
      <c r="H127" t="inlineStr">
        <is>
          <t>année</t>
        </is>
      </c>
      <c r="I127" t="inlineStr">
        <is>
          <t>observée</t>
        </is>
      </c>
      <c r="K127" t="inlineStr">
        <is>
          <t>B</t>
        </is>
      </c>
      <c r="L127" t="inlineStr">
        <is>
          <t>confirmé</t>
        </is>
      </c>
      <c r="M127" t="inlineStr">
        <is>
          <t>UCT GSB Power Futures Lab (Kruger, Alao &amp; Eberhard)</t>
        </is>
      </c>
      <c r="N127" t="inlineStr">
        <is>
          <t>Namibia Country Report - Energy and Economic Growth Research Programme</t>
        </is>
      </c>
      <c r="O127" t="inlineStr">
        <is>
          <t>https://gsb.uct.ac.za/files/Namibia_Country_Report.pdf</t>
        </is>
      </c>
      <c r="P127" t="inlineStr">
        <is>
          <t>2019-12</t>
        </is>
      </c>
      <c r="Q127" t="inlineStr">
        <is>
          <t>Negotiations between NamPower and the highest ranked bidder (Alten) concluded in November 2016</t>
        </is>
      </c>
      <c r="R127" t="inlineStr">
        <is>
          <t>Annonce publique Alten mai 2017. Date de FC: UCT écrit '31 January to 28 February 2017' alors que la presse rapporte un FC en avril 2018 -&gt; incohérence non résolue.</t>
        </is>
      </c>
    </row>
    <row r="128">
      <c r="A128" t="inlineStr">
        <is>
          <t>retenu</t>
        </is>
      </c>
      <c r="B128" t="inlineStr">
        <is>
          <t>A_australe</t>
        </is>
      </c>
      <c r="C128" t="inlineStr">
        <is>
          <t>A</t>
        </is>
      </c>
      <c r="D128" t="inlineStr">
        <is>
          <t>NAM</t>
        </is>
      </c>
      <c r="E128" t="inlineStr">
        <is>
          <t>REFIT Namibie - 14 projets PV/éolien de 5 MW</t>
        </is>
      </c>
      <c r="F128" t="inlineStr">
        <is>
          <t>tarif</t>
        </is>
      </c>
      <c r="G128" t="n">
        <v>1.37</v>
      </c>
      <c r="H128" t="inlineStr">
        <is>
          <t>NAD/kWh</t>
        </is>
      </c>
      <c r="I128" t="inlineStr">
        <is>
          <t>observée</t>
        </is>
      </c>
      <c r="J128" t="n">
        <v>2016</v>
      </c>
      <c r="K128" t="inlineStr">
        <is>
          <t>B</t>
        </is>
      </c>
      <c r="L128" t="inlineStr">
        <is>
          <t>confirmé</t>
        </is>
      </c>
      <c r="M128" t="inlineStr">
        <is>
          <t>UCT GSB Power Futures Lab (Kruger, Alao &amp; Eberhard)</t>
        </is>
      </c>
      <c r="N128" t="inlineStr">
        <is>
          <t>Namibia Country Report - Energy and Economic Growth Research Programme</t>
        </is>
      </c>
      <c r="O128" t="inlineStr">
        <is>
          <t>https://gsb.uct.ac.za/files/Namibia_Country_Report.pdf</t>
        </is>
      </c>
      <c r="P128" t="inlineStr">
        <is>
          <t>2019-12</t>
        </is>
      </c>
      <c r="Q128" t="inlineStr">
        <is>
          <t>Solar PV 5 MW 1,37 9,9</t>
        </is>
      </c>
      <c r="R128" t="inlineStr">
        <is>
          <t>Tableau 3 (source ECB 2017): FIT PV 1,37 NA$/kWh = 9,9 US c/kWh, indexé à l'inflation. 14 projets x 5 MW (70 MW), FC en 2016, COD 2016-2018 (Ejuva 1&amp;2, Camelthorn, Momentous, Hopsol, Sertum, Aloe, ALCON, Osona, Metdecci, etc.). Projets à 5 MW = seuil du volet.</t>
        </is>
      </c>
    </row>
    <row r="129">
      <c r="A129" t="inlineStr">
        <is>
          <t>retenu</t>
        </is>
      </c>
      <c r="B129" t="inlineStr">
        <is>
          <t>A_australe</t>
        </is>
      </c>
      <c r="C129" t="inlineStr">
        <is>
          <t>A</t>
        </is>
      </c>
      <c r="D129" t="inlineStr">
        <is>
          <t>NAM</t>
        </is>
      </c>
      <c r="E129" t="inlineStr">
        <is>
          <t>REFIT Namibie - 14 projets de 5 MW</t>
        </is>
      </c>
      <c r="F129" t="inlineStr">
        <is>
          <t>capex_total</t>
        </is>
      </c>
      <c r="G129" t="n">
        <v>123000000</v>
      </c>
      <c r="H129" t="inlineStr">
        <is>
          <t>USD (pour 70 MW)</t>
        </is>
      </c>
      <c r="I129" t="inlineStr">
        <is>
          <t>observée</t>
        </is>
      </c>
      <c r="J129" t="n">
        <v>2016</v>
      </c>
      <c r="K129" t="inlineStr">
        <is>
          <t>B</t>
        </is>
      </c>
      <c r="L129" t="inlineStr">
        <is>
          <t>confirmé</t>
        </is>
      </c>
      <c r="M129" t="inlineStr">
        <is>
          <t>UCT GSB Power Futures Lab (Kruger, Alao &amp; Eberhard)</t>
        </is>
      </c>
      <c r="N129" t="inlineStr">
        <is>
          <t>Namibia Country Report - Energy and Economic Growth Research Programme</t>
        </is>
      </c>
      <c r="O129" t="inlineStr">
        <is>
          <t>https://gsb.uct.ac.za/files/Namibia_Country_Report.pdf</t>
        </is>
      </c>
      <c r="P129" t="inlineStr">
        <is>
          <t>2019-12</t>
        </is>
      </c>
      <c r="Q129" t="inlineStr">
        <is>
          <t>In 2016, 14 REFIT projects (5 MW each), totalling 70 MW and more than US$123 million worth of private investment, reached financial close</t>
        </is>
      </c>
      <c r="R129" t="inlineStr">
        <is>
          <t>≈1.76 M USD/MW (calcul).</t>
        </is>
      </c>
    </row>
    <row r="130">
      <c r="A130" t="inlineStr">
        <is>
          <t>retenu</t>
        </is>
      </c>
      <c r="B130" t="inlineStr">
        <is>
          <t>A_australe</t>
        </is>
      </c>
      <c r="C130" t="inlineStr">
        <is>
          <t>A</t>
        </is>
      </c>
      <c r="D130" t="inlineStr">
        <is>
          <t>NAM</t>
        </is>
      </c>
      <c r="E130" t="inlineStr">
        <is>
          <t>Greenam 2 x 10 MW (Mariental &amp; Keetmanshoop)</t>
        </is>
      </c>
      <c r="F130" t="inlineStr">
        <is>
          <t>tarif</t>
        </is>
      </c>
      <c r="G130" t="n">
        <v>1.16</v>
      </c>
      <c r="H130" t="inlineStr">
        <is>
          <t>NAD/kWh</t>
        </is>
      </c>
      <c r="I130" t="inlineStr">
        <is>
          <t>observée</t>
        </is>
      </c>
      <c r="J130" t="n">
        <v>2016</v>
      </c>
      <c r="K130" t="inlineStr">
        <is>
          <t>B</t>
        </is>
      </c>
      <c r="L130" t="inlineStr">
        <is>
          <t>confirmé</t>
        </is>
      </c>
      <c r="M130" t="inlineStr">
        <is>
          <t>UCT GSB Power Futures Lab (Kruger, Alao &amp; Eberhard)</t>
        </is>
      </c>
      <c r="N130" t="inlineStr">
        <is>
          <t>Namibia Country Report - Energy and Economic Growth Research Programme</t>
        </is>
      </c>
      <c r="O130" t="inlineStr">
        <is>
          <t>https://gsb.uct.ac.za/files/Namibia_Country_Report.pdf</t>
        </is>
      </c>
      <c r="P130" t="inlineStr">
        <is>
          <t>2019-12</t>
        </is>
      </c>
      <c r="Q130" t="inlineStr">
        <is>
          <t>Greenam also signed a PPA with NamPower in 2016 after long negotiations for 2 x 10 MW solar PV projects close to Mariental (Hardap) and Keetmanshoop at NA$1,16/kWh</t>
        </is>
      </c>
      <c r="R130" t="inlineStr">
        <is>
          <t>Négociation directe (départ à NA$2,40/kWh); COD 2019.</t>
        </is>
      </c>
    </row>
    <row r="131">
      <c r="A131" t="inlineStr">
        <is>
          <t>retenu</t>
        </is>
      </c>
      <c r="B131" t="inlineStr">
        <is>
          <t>A_australe</t>
        </is>
      </c>
      <c r="C131" t="inlineStr">
        <is>
          <t>A</t>
        </is>
      </c>
      <c r="D131" t="inlineStr">
        <is>
          <t>NAM</t>
        </is>
      </c>
      <c r="E131" t="inlineStr">
        <is>
          <t>Omburu 20 MW PV Power Station (NamPower)</t>
        </is>
      </c>
      <c r="F131" t="inlineStr">
        <is>
          <t>capex_total</t>
        </is>
      </c>
      <c r="G131" t="n">
        <v>317000000</v>
      </c>
      <c r="H131" t="inlineStr">
        <is>
          <t>NAD</t>
        </is>
      </c>
      <c r="I131" t="inlineStr">
        <is>
          <t>observée</t>
        </is>
      </c>
      <c r="J131" t="n">
        <v>2022</v>
      </c>
      <c r="K131" t="inlineStr">
        <is>
          <t>C</t>
        </is>
      </c>
      <c r="L131" t="inlineStr">
        <is>
          <t>confirmé</t>
        </is>
      </c>
      <c r="M131" t="inlineStr">
        <is>
          <t>The Namibian</t>
        </is>
      </c>
      <c r="N131" t="inlineStr">
        <is>
          <t>NamPower invests N$317m in Omburu plant costs</t>
        </is>
      </c>
      <c r="O131" t="inlineStr">
        <is>
          <t>https://www.namibian.com.na/nampower-invests-n317m-in-omburu-plant-costs/</t>
        </is>
      </c>
      <c r="P131" t="inlineStr">
        <is>
          <t>2022-06-28</t>
        </is>
      </c>
      <c r="Q131" t="inlineStr">
        <is>
          <t>has invested N$317 million in its Omburu power plant.</t>
        </is>
      </c>
      <c r="R131" t="inlineStr">
        <is>
          <t>Projet propriété de NamPower, financé via fonds LRMC approuvés par l'ECB ('ultimately customer funded'). EPC Hopsol Africa / Tulive JV (déc. 2020).</t>
        </is>
      </c>
    </row>
    <row r="132">
      <c r="A132" t="inlineStr">
        <is>
          <t>retenu</t>
        </is>
      </c>
      <c r="B132" t="inlineStr">
        <is>
          <t>A_australe</t>
        </is>
      </c>
      <c r="C132" t="inlineStr">
        <is>
          <t>A</t>
        </is>
      </c>
      <c r="D132" t="inlineStr">
        <is>
          <t>NAM</t>
        </is>
      </c>
      <c r="E132" t="inlineStr">
        <is>
          <t>Omburu 20 MW PV Power Station (NamPower)</t>
        </is>
      </c>
      <c r="F132" t="inlineStr">
        <is>
          <t>capex_total</t>
        </is>
      </c>
      <c r="G132" t="n">
        <v>420000000</v>
      </c>
      <c r="H132" t="inlineStr">
        <is>
          <t>NAD (budget initial)</t>
        </is>
      </c>
      <c r="I132" t="inlineStr">
        <is>
          <t>déclarée</t>
        </is>
      </c>
      <c r="K132" t="inlineStr">
        <is>
          <t>C</t>
        </is>
      </c>
      <c r="L132" t="inlineStr">
        <is>
          <t>confirmé</t>
        </is>
      </c>
      <c r="M132" t="inlineStr">
        <is>
          <t>The Namibian</t>
        </is>
      </c>
      <c r="N132" t="inlineStr">
        <is>
          <t>NamPower invests N$317m in Omburu plant costs</t>
        </is>
      </c>
      <c r="O132" t="inlineStr">
        <is>
          <t>https://www.namibian.com.na/nampower-invests-n317m-in-omburu-plant-costs/</t>
        </is>
      </c>
      <c r="P132" t="inlineStr">
        <is>
          <t>2022-06-28</t>
        </is>
      </c>
      <c r="Q132" t="inlineStr">
        <is>
          <t>initially projected to cost N$420 million, for both development and construction.</t>
        </is>
      </c>
      <c r="R132" t="inlineStr">
        <is>
          <t>CONFLIT avec 'initial project estimates of N$500 million' (The Brief).</t>
        </is>
      </c>
    </row>
    <row r="133">
      <c r="A133" t="inlineStr">
        <is>
          <t>retenu</t>
        </is>
      </c>
      <c r="B133" t="inlineStr">
        <is>
          <t>A_australe</t>
        </is>
      </c>
      <c r="C133" t="inlineStr">
        <is>
          <t>A</t>
        </is>
      </c>
      <c r="D133" t="inlineStr">
        <is>
          <t>NAM</t>
        </is>
      </c>
      <c r="E133" t="inlineStr">
        <is>
          <t>Omburu 20 MW PV Power Station (NamPower)</t>
        </is>
      </c>
      <c r="F133" t="inlineStr">
        <is>
          <t>capex_total</t>
        </is>
      </c>
      <c r="G133" t="n">
        <v>500000000</v>
      </c>
      <c r="H133" t="inlineStr">
        <is>
          <t>NAD (estimation initiale)</t>
        </is>
      </c>
      <c r="I133" t="inlineStr">
        <is>
          <t>déclarée</t>
        </is>
      </c>
      <c r="K133" t="inlineStr">
        <is>
          <t>C</t>
        </is>
      </c>
      <c r="L133" t="inlineStr">
        <is>
          <t>confirmé</t>
        </is>
      </c>
      <c r="M133" t="inlineStr">
        <is>
          <t>The Brief (Namibie)</t>
        </is>
      </c>
      <c r="N133" t="inlineStr">
        <is>
          <t>Omburu 20MW solar power plant inaugurated</t>
        </is>
      </c>
      <c r="O133" t="inlineStr">
        <is>
          <t>https://thebrief.com.na/2022/06/omburu-20mw-solar-power-plant-inaugurated</t>
        </is>
      </c>
      <c r="P133" t="inlineStr">
        <is>
          <t>2022-06-26</t>
        </is>
      </c>
      <c r="Q133" t="inlineStr">
        <is>
          <t>The Solar PV plant was built at a cost of N$317 million from initial project estimates of N$500 million.</t>
        </is>
      </c>
      <c r="R133" t="inlineStr"/>
    </row>
    <row r="134">
      <c r="A134" t="inlineStr">
        <is>
          <t>retenu</t>
        </is>
      </c>
      <c r="B134" t="inlineStr">
        <is>
          <t>A_australe</t>
        </is>
      </c>
      <c r="C134" t="inlineStr">
        <is>
          <t>A</t>
        </is>
      </c>
      <c r="D134" t="inlineStr">
        <is>
          <t>NAM</t>
        </is>
      </c>
      <c r="E134" t="inlineStr">
        <is>
          <t>Omburu 20 MW PV Power Station (NamPower)</t>
        </is>
      </c>
      <c r="F134" t="inlineStr">
        <is>
          <t>annee_mise_en_service</t>
        </is>
      </c>
      <c r="G134" t="n">
        <v>2022</v>
      </c>
      <c r="H134" t="inlineStr">
        <is>
          <t>année</t>
        </is>
      </c>
      <c r="I134" t="inlineStr">
        <is>
          <t>observée</t>
        </is>
      </c>
      <c r="K134" t="inlineStr">
        <is>
          <t>C</t>
        </is>
      </c>
      <c r="L134" t="inlineStr">
        <is>
          <t>confirmé</t>
        </is>
      </c>
      <c r="M134" t="inlineStr">
        <is>
          <t>The Brief (Namibie)</t>
        </is>
      </c>
      <c r="N134" t="inlineStr">
        <is>
          <t>Omburu 20MW solar power plant inaugurated</t>
        </is>
      </c>
      <c r="O134" t="inlineStr">
        <is>
          <t>https://thebrief.com.na/2022/06/omburu-20mw-solar-power-plant-inaugurated</t>
        </is>
      </c>
      <c r="P134" t="inlineStr">
        <is>
          <t>2022-06-26</t>
        </is>
      </c>
      <c r="Q134" t="inlineStr">
        <is>
          <t>the solar plant was connected to the national grid in March, 2022</t>
        </is>
      </c>
      <c r="R134" t="inlineStr">
        <is>
          <t>Inauguration juin 2022.</t>
        </is>
      </c>
    </row>
    <row r="135">
      <c r="A135" t="inlineStr">
        <is>
          <t>retenu</t>
        </is>
      </c>
      <c r="B135" t="inlineStr">
        <is>
          <t>A_australe</t>
        </is>
      </c>
      <c r="C135" t="inlineStr">
        <is>
          <t>A</t>
        </is>
      </c>
      <c r="D135" t="inlineStr">
        <is>
          <t>NAM</t>
        </is>
      </c>
      <c r="E135" t="inlineStr">
        <is>
          <t>Khan Solar (Usakos, 20 MW)</t>
        </is>
      </c>
      <c r="F135" t="inlineStr">
        <is>
          <t>tarif</t>
        </is>
      </c>
      <c r="G135" t="n">
        <v>0.4905</v>
      </c>
      <c r="H135" t="inlineStr">
        <is>
          <t>NAD/kWh</t>
        </is>
      </c>
      <c r="I135" t="inlineStr">
        <is>
          <t>observée</t>
        </is>
      </c>
      <c r="J135" t="n">
        <v>2022</v>
      </c>
      <c r="K135" t="inlineStr">
        <is>
          <t>C</t>
        </is>
      </c>
      <c r="L135" t="inlineStr">
        <is>
          <t>confirmé</t>
        </is>
      </c>
      <c r="M135" t="inlineStr">
        <is>
          <t>The Brief (Namibie)</t>
        </is>
      </c>
      <c r="N135" t="inlineStr">
        <is>
          <t>ANIREP, partners invest N$300m in solar plant</t>
        </is>
      </c>
      <c r="O135" t="inlineStr">
        <is>
          <t>https://thebrief.com.na/?p=1761</t>
        </is>
      </c>
      <c r="P135" t="inlineStr">
        <is>
          <t>2022-03-28</t>
        </is>
      </c>
      <c r="Q135" t="inlineStr">
        <is>
          <t>offering a tariff of 49.05 cents per kWh with fixed escalation of power annually</t>
        </is>
      </c>
      <c r="R135" t="inlineStr">
        <is>
          <t>Escalade annuelle fixe (taux non précisé). PPA 25 ans avec NamPower. Investisseurs: ANIREP et partenaires.</t>
        </is>
      </c>
    </row>
    <row r="136">
      <c r="A136" t="inlineStr">
        <is>
          <t>retenu</t>
        </is>
      </c>
      <c r="B136" t="inlineStr">
        <is>
          <t>A_australe</t>
        </is>
      </c>
      <c r="C136" t="inlineStr">
        <is>
          <t>A</t>
        </is>
      </c>
      <c r="D136" t="inlineStr">
        <is>
          <t>NAM</t>
        </is>
      </c>
      <c r="E136" t="inlineStr">
        <is>
          <t>Khan Solar (Usakos, 20 MW)</t>
        </is>
      </c>
      <c r="F136" t="inlineStr">
        <is>
          <t>capex_total</t>
        </is>
      </c>
      <c r="G136" t="n">
        <v>300000000</v>
      </c>
      <c r="H136" t="inlineStr">
        <is>
          <t>NAD</t>
        </is>
      </c>
      <c r="I136" t="inlineStr">
        <is>
          <t>déclarée</t>
        </is>
      </c>
      <c r="J136" t="n">
        <v>2022</v>
      </c>
      <c r="K136" t="inlineStr">
        <is>
          <t>C</t>
        </is>
      </c>
      <c r="L136" t="inlineStr">
        <is>
          <t>confirmé</t>
        </is>
      </c>
      <c r="M136" t="inlineStr">
        <is>
          <t>The Brief (Namibie)</t>
        </is>
      </c>
      <c r="N136" t="inlineStr">
        <is>
          <t>ANIREP, partners invest N$300m in solar plant</t>
        </is>
      </c>
      <c r="O136" t="inlineStr">
        <is>
          <t>https://thebrief.com.na/?p=1761</t>
        </is>
      </c>
      <c r="P136" t="inlineStr">
        <is>
          <t>2022-03-28</t>
        </is>
      </c>
      <c r="Q136" t="inlineStr">
        <is>
          <t>are set to invest N$300 million in the construction of a 20-megawatt solar plant</t>
        </is>
      </c>
      <c r="R136" t="inlineStr"/>
    </row>
    <row r="137">
      <c r="A137" t="inlineStr">
        <is>
          <t>retenu</t>
        </is>
      </c>
      <c r="B137" t="inlineStr">
        <is>
          <t>A_australe</t>
        </is>
      </c>
      <c r="C137" t="inlineStr">
        <is>
          <t>A</t>
        </is>
      </c>
      <c r="D137" t="inlineStr">
        <is>
          <t>NAM</t>
        </is>
      </c>
      <c r="E137" t="inlineStr">
        <is>
          <t>Khan Solar (Usakos, 20 MW)</t>
        </is>
      </c>
      <c r="F137" t="inlineStr">
        <is>
          <t>ppa_duree</t>
        </is>
      </c>
      <c r="G137" t="n">
        <v>25</v>
      </c>
      <c r="H137" t="inlineStr">
        <is>
          <t>ans</t>
        </is>
      </c>
      <c r="I137" t="inlineStr">
        <is>
          <t>observée</t>
        </is>
      </c>
      <c r="K137" t="inlineStr">
        <is>
          <t>C</t>
        </is>
      </c>
      <c r="L137" t="inlineStr">
        <is>
          <t>confirmé</t>
        </is>
      </c>
      <c r="M137" t="inlineStr">
        <is>
          <t>The Brief (Namibie)</t>
        </is>
      </c>
      <c r="N137" t="inlineStr">
        <is>
          <t>ANIREP, partners invest N$300m in solar plant</t>
        </is>
      </c>
      <c r="O137" t="inlineStr">
        <is>
          <t>https://thebrief.com.na/?p=1761</t>
        </is>
      </c>
      <c r="P137" t="inlineStr">
        <is>
          <t>2022-03-28</t>
        </is>
      </c>
      <c r="Q137" t="inlineStr">
        <is>
          <t>has secured a 25-year power purchase agreement (PPA) from NamPower</t>
        </is>
      </c>
      <c r="R137" t="inlineStr"/>
    </row>
    <row r="138">
      <c r="A138" t="inlineStr">
        <is>
          <t>qualitatif</t>
        </is>
      </c>
      <c r="B138" t="inlineStr">
        <is>
          <t>A_australe</t>
        </is>
      </c>
      <c r="C138" t="inlineStr">
        <is>
          <t>A</t>
        </is>
      </c>
      <c r="D138" t="inlineStr">
        <is>
          <t>NAM</t>
        </is>
      </c>
      <c r="E138" t="inlineStr">
        <is>
          <t>Khan Solar (Usakos, 20 MW)</t>
        </is>
      </c>
      <c r="F138" t="inlineStr">
        <is>
          <t>statut</t>
        </is>
      </c>
      <c r="G138" t="inlineStr">
        <is>
          <t>en construction (COD attendue T2 2024)</t>
        </is>
      </c>
      <c r="H138" t="inlineStr">
        <is>
          <t>texte</t>
        </is>
      </c>
      <c r="I138" t="inlineStr">
        <is>
          <t>déclarée</t>
        </is>
      </c>
      <c r="K138" t="inlineStr">
        <is>
          <t>C</t>
        </is>
      </c>
      <c r="L138" t="inlineStr">
        <is>
          <t>qualitatif_citation_ok</t>
        </is>
      </c>
      <c r="M138" t="inlineStr">
        <is>
          <t>New Era (Namibie)</t>
        </is>
      </c>
      <c r="N138" t="inlineStr">
        <is>
          <t>Southern Africa's power crisis escalates…renewable energy plants to bolster Namibia's security of supply</t>
        </is>
      </c>
      <c r="O138" t="inlineStr">
        <is>
          <t>https://neweralive.na/?p=259181</t>
        </is>
      </c>
      <c r="P138" t="inlineStr">
        <is>
          <t>2023-01-16</t>
        </is>
      </c>
      <c r="Q138" t="inlineStr">
        <is>
          <t>The Commercial Operation Date (COD) of the power plant is expected to be in the second quarter of 2024.</t>
        </is>
      </c>
      <c r="R138" t="inlineStr">
        <is>
          <t>Mise en service effective non confirmée.</t>
        </is>
      </c>
    </row>
    <row r="139">
      <c r="A139" t="inlineStr">
        <is>
          <t>qualitatif</t>
        </is>
      </c>
      <c r="B139" t="inlineStr">
        <is>
          <t>A_australe</t>
        </is>
      </c>
      <c r="C139" t="inlineStr">
        <is>
          <t>A</t>
        </is>
      </c>
      <c r="D139" t="inlineStr">
        <is>
          <t>NAM</t>
        </is>
      </c>
      <c r="E139" t="inlineStr">
        <is>
          <t>NamPower 70 MW Solar PV (Anixas/ autre site)</t>
        </is>
      </c>
      <c r="F139" t="inlineStr">
        <is>
          <t>statut</t>
        </is>
      </c>
      <c r="G139" t="inlineStr">
        <is>
          <t>annoncé (achèvement prévu 2025)</t>
        </is>
      </c>
      <c r="H139" t="inlineStr">
        <is>
          <t>texte</t>
        </is>
      </c>
      <c r="I139" t="inlineStr">
        <is>
          <t>déclarée</t>
        </is>
      </c>
      <c r="K139" t="inlineStr">
        <is>
          <t>C</t>
        </is>
      </c>
      <c r="L139" t="inlineStr">
        <is>
          <t>qualitatif_citation_ok</t>
        </is>
      </c>
      <c r="M139" t="inlineStr">
        <is>
          <t>New Era (Namibie)</t>
        </is>
      </c>
      <c r="N139" t="inlineStr">
        <is>
          <t>Southern Africa's power crisis escalates…renewable energy plants to bolster Namibia's security of supply</t>
        </is>
      </c>
      <c r="O139" t="inlineStr">
        <is>
          <t>https://neweralive.na/?p=259181</t>
        </is>
      </c>
      <c r="P139" t="inlineStr">
        <is>
          <t>2023-01-16</t>
        </is>
      </c>
      <c r="Q139" t="inlineStr">
        <is>
          <t>70MW Solar PV Project: The project completion is planned for 2025.</t>
        </is>
      </c>
      <c r="R139" t="inlineStr">
        <is>
          <t>Propriété NamPower. Statut 2026 non vérifié.</t>
        </is>
      </c>
    </row>
    <row r="140">
      <c r="A140" t="inlineStr">
        <is>
          <t>retenu</t>
        </is>
      </c>
      <c r="B140" t="inlineStr">
        <is>
          <t>A_australe</t>
        </is>
      </c>
      <c r="C140" t="inlineStr">
        <is>
          <t>A</t>
        </is>
      </c>
      <c r="D140" t="inlineStr">
        <is>
          <t>ZWE</t>
        </is>
      </c>
      <c r="E140" t="inlineStr">
        <is>
          <t>Centragrid Nyabira Solar PV Park</t>
        </is>
      </c>
      <c r="F140" t="inlineStr">
        <is>
          <t>puissance_mwp</t>
        </is>
      </c>
      <c r="G140" t="n">
        <v>25</v>
      </c>
      <c r="H140" t="inlineStr">
        <is>
          <t>MWp</t>
        </is>
      </c>
      <c r="I140" t="inlineStr">
        <is>
          <t>observée</t>
        </is>
      </c>
      <c r="K140" t="inlineStr">
        <is>
          <t>C</t>
        </is>
      </c>
      <c r="L140" t="inlineStr">
        <is>
          <t>confirmé</t>
        </is>
      </c>
      <c r="M140" t="inlineStr">
        <is>
          <t>CleanTechnica (R. J. Kuhudzai)</t>
        </is>
      </c>
      <c r="N140" t="inlineStr">
        <is>
          <t>After A Long Wait, Zimbabwe's Utility-Scale Solar PV Sector Is Starting To Grow</t>
        </is>
      </c>
      <c r="O140" t="inlineStr">
        <is>
          <t>https://cleantechnica.com/2024/11/23/after-a-long-wait-zimbabwes-utility-scale-solar-pv-sector-is-starting-to-grow/</t>
        </is>
      </c>
      <c r="P140" t="inlineStr">
        <is>
          <t>2024-11-23</t>
        </is>
      </c>
      <c r="Q140" t="inlineStr">
        <is>
          <t>has recently completed the 25 MWp plant</t>
        </is>
      </c>
      <c r="R140" t="inlineStr">
        <is>
          <t>IPP; financé par fonds de pension locaux (NSSA) et Old Mutual. Tarif/acheteur non trouvés.</t>
        </is>
      </c>
    </row>
    <row r="141">
      <c r="A141" t="inlineStr">
        <is>
          <t>qualitatif</t>
        </is>
      </c>
      <c r="B141" t="inlineStr">
        <is>
          <t>A_australe</t>
        </is>
      </c>
      <c r="C141" t="inlineStr">
        <is>
          <t>A</t>
        </is>
      </c>
      <c r="D141" t="inlineStr">
        <is>
          <t>ZWE</t>
        </is>
      </c>
      <c r="E141" t="inlineStr">
        <is>
          <t>Centragrid Nyabira Solar PV Park</t>
        </is>
      </c>
      <c r="F141" t="inlineStr">
        <is>
          <t>financeurs</t>
        </is>
      </c>
      <c r="G141" t="inlineStr">
        <is>
          <t>NSSA, Old Mutual (bras d'investissement)</t>
        </is>
      </c>
      <c r="H141" t="inlineStr">
        <is>
          <t>texte</t>
        </is>
      </c>
      <c r="I141" t="inlineStr">
        <is>
          <t>observée</t>
        </is>
      </c>
      <c r="K141" t="inlineStr">
        <is>
          <t>C</t>
        </is>
      </c>
      <c r="L141" t="inlineStr">
        <is>
          <t>qualitatif_citation_ok</t>
        </is>
      </c>
      <c r="M141" t="inlineStr">
        <is>
          <t>CleanTechnica (R. J. Kuhudzai)</t>
        </is>
      </c>
      <c r="N141" t="inlineStr">
        <is>
          <t>After A Long Wait, Zimbabwe's Utility-Scale Solar PV Sector Is Starting To Grow</t>
        </is>
      </c>
      <c r="O141" t="inlineStr">
        <is>
          <t>https://cleantechnica.com/2024/11/23/after-a-long-wait-zimbabwes-utility-scale-solar-pv-sector-is-starting-to-grow/</t>
        </is>
      </c>
      <c r="P141" t="inlineStr">
        <is>
          <t>2024-11-23</t>
        </is>
      </c>
      <c r="Q141" t="inlineStr">
        <is>
          <t>Local pension funds such as NSSA, as well as investment arms of Old Mutual, helped make this project a reality.</t>
        </is>
      </c>
      <c r="R141" t="inlineStr"/>
    </row>
    <row r="142">
      <c r="A142" t="inlineStr">
        <is>
          <t>retenu</t>
        </is>
      </c>
      <c r="B142" t="inlineStr">
        <is>
          <t>A_australe</t>
        </is>
      </c>
      <c r="C142" t="inlineStr">
        <is>
          <t>A</t>
        </is>
      </c>
      <c r="D142" t="inlineStr">
        <is>
          <t>ZWE</t>
        </is>
      </c>
      <c r="E142" t="inlineStr">
        <is>
          <t>Zimplats Selous Solar phase 1 (captif)</t>
        </is>
      </c>
      <c r="F142" t="inlineStr">
        <is>
          <t>capex_total</t>
        </is>
      </c>
      <c r="G142" t="n">
        <v>37000000</v>
      </c>
      <c r="H142" t="inlineStr">
        <is>
          <t>USD</t>
        </is>
      </c>
      <c r="I142" t="inlineStr">
        <is>
          <t>déclarée</t>
        </is>
      </c>
      <c r="K142" t="inlineStr">
        <is>
          <t>C</t>
        </is>
      </c>
      <c r="L142" t="inlineStr">
        <is>
          <t>confirmé</t>
        </is>
      </c>
      <c r="M142" t="inlineStr">
        <is>
          <t>CleanTechnica (R. J. Kuhudzai)</t>
        </is>
      </c>
      <c r="N142" t="inlineStr">
        <is>
          <t>After A Long Wait, Zimbabwe's Utility-Scale Solar PV Sector Is Starting To Grow</t>
        </is>
      </c>
      <c r="O142" t="inlineStr">
        <is>
          <t>https://cleantechnica.com/2024/11/23/after-a-long-wait-zimbabwes-utility-scale-solar-pv-sector-is-starting-to-grow/</t>
        </is>
      </c>
      <c r="P142" t="inlineStr">
        <is>
          <t>2024-11-23</t>
        </is>
      </c>
      <c r="Q142" t="inlineStr">
        <is>
          <t>The first phase had a budget of $37 million.</t>
        </is>
      </c>
      <c r="R142" t="inlineStr">
        <is>
          <t>Centrale CAPTIVE minière (Selous Metallurgical Complex) - à classer hors IPP réseau; 35 MW phase 1 d'un programme de 185 MW (~201 M USD).</t>
        </is>
      </c>
    </row>
    <row r="143">
      <c r="A143" t="inlineStr">
        <is>
          <t>retenu</t>
        </is>
      </c>
      <c r="B143" t="inlineStr">
        <is>
          <t>A_centre_est</t>
        </is>
      </c>
      <c r="C143" t="inlineStr">
        <is>
          <t>A</t>
        </is>
      </c>
      <c r="D143" t="inlineStr">
        <is>
          <t>UGA</t>
        </is>
      </c>
      <c r="E143" t="inlineStr">
        <is>
          <t>Soroti Solar (Access Uganda Solar)</t>
        </is>
      </c>
      <c r="F143" t="inlineStr">
        <is>
          <t>tarif</t>
        </is>
      </c>
      <c r="G143" t="n">
        <v>0.1637</v>
      </c>
      <c r="H143" t="inlineStr">
        <is>
          <t>USD/kWh (moyenne des 2 lauréats, nivelée)</t>
        </is>
      </c>
      <c r="I143" t="inlineStr">
        <is>
          <t>observée</t>
        </is>
      </c>
      <c r="J143" t="n">
        <v>2014</v>
      </c>
      <c r="K143" t="inlineStr">
        <is>
          <t>A</t>
        </is>
      </c>
      <c r="L143" t="inlineStr">
        <is>
          <t>citation_partielle</t>
        </is>
      </c>
      <c r="M143" t="inlineStr">
        <is>
          <t>Banque mondiale (ESMAP Live Wire 2015/49, Meyer &amp; Tenenbaum et al.)</t>
        </is>
      </c>
      <c r="N143" t="inlineStr">
        <is>
          <t>Uganda's GET FiT Solar Facility: lessons from the first donor-subsidized competitive bidding for grid-connected solar PV in SSA</t>
        </is>
      </c>
      <c r="O143" t="inlineStr">
        <is>
          <t>https://www.uncclearn.org/wp-content/uploads/library/wb24032016.pdf</t>
        </is>
      </c>
      <c r="P143" t="inlineStr">
        <is>
          <t>2015-11</t>
        </is>
      </c>
      <c r="Q143" t="inlineStr">
        <is>
          <t>Two winning bidders were selected with an average levelized tariff of USc 16.37/kWh, well below the initially anticipated levels of USc 18/ kWh. Both winning developers bid 10 MW in total by providing bids for two side-by-side 5 MW plants.</t>
        </is>
      </c>
      <c r="R143" t="inlineStr">
        <is>
          <t>Prix moyen des 2 lauréats (Soroti et Tororo), pas un prix individuel par projet. Composé de 11 USc/kWh FiT payé par UETCL + 5,37 USc/kWh prime GET FiT (donateurs). Indexation non précisée.</t>
        </is>
      </c>
    </row>
    <row r="144">
      <c r="A144" t="inlineStr">
        <is>
          <t>qualitatif</t>
        </is>
      </c>
      <c r="B144" t="inlineStr">
        <is>
          <t>A_centre_est</t>
        </is>
      </c>
      <c r="C144" t="inlineStr">
        <is>
          <t>A</t>
        </is>
      </c>
      <c r="D144" t="inlineStr">
        <is>
          <t>UGA</t>
        </is>
      </c>
      <c r="E144" t="inlineStr">
        <is>
          <t>Soroti Solar (Access Uganda Solar)</t>
        </is>
      </c>
      <c r="F144" t="inlineStr">
        <is>
          <t>procedure</t>
        </is>
      </c>
      <c r="G144" t="inlineStr">
        <is>
          <t>appel d'offres (enchère GET FiT Solar Facility, offre de prix scellée, pondération prix 70 % / non-prix 30 %)</t>
        </is>
      </c>
      <c r="H144" t="inlineStr">
        <is>
          <t>texte</t>
        </is>
      </c>
      <c r="I144" t="inlineStr">
        <is>
          <t>observée</t>
        </is>
      </c>
      <c r="J144" t="n">
        <v>2014</v>
      </c>
      <c r="K144" t="inlineStr">
        <is>
          <t>A</t>
        </is>
      </c>
      <c r="L144" t="inlineStr">
        <is>
          <t>qualitatif_citation_ok</t>
        </is>
      </c>
      <c r="M144" t="inlineStr">
        <is>
          <t>Banque mondiale (ESMAP Live Wire 2015/49, Meyer &amp; Tenenbaum et al.)</t>
        </is>
      </c>
      <c r="N144" t="inlineStr">
        <is>
          <t>Uganda's GET FiT Solar Facility: lessons from the first donor-subsidized competitive bidding for grid-connected solar PV in SSA</t>
        </is>
      </c>
      <c r="O144" t="inlineStr">
        <is>
          <t>https://www.uncclearn.org/wp-content/uploads/library/wb24032016.pdf</t>
        </is>
      </c>
      <c r="P144" t="inlineStr">
        <is>
          <t>2015-11</t>
        </is>
      </c>
      <c r="Q144" t="inlineStr">
        <is>
          <t>Bidders were given a one-time opportunity to submit a sealed, written price bid. The winners were told that they would be paid the price that they bid.</t>
        </is>
      </c>
      <c r="R144" t="inlineStr"/>
    </row>
    <row r="145">
      <c r="A145" t="inlineStr">
        <is>
          <t>qualitatif</t>
        </is>
      </c>
      <c r="B145" t="inlineStr">
        <is>
          <t>A_centre_est</t>
        </is>
      </c>
      <c r="C145" t="inlineStr">
        <is>
          <t>A</t>
        </is>
      </c>
      <c r="D145" t="inlineStr">
        <is>
          <t>UGA</t>
        </is>
      </c>
      <c r="E145" t="inlineStr">
        <is>
          <t>Soroti Solar (Access Uganda Solar)</t>
        </is>
      </c>
      <c r="F145" t="inlineStr">
        <is>
          <t>garanties</t>
        </is>
      </c>
      <c r="G145" t="inlineStr">
        <is>
          <t>Garantie partielle de risque (PRG) Banque mondiale proposée, mais non souscrite (à oct. 2015)</t>
        </is>
      </c>
      <c r="H145" t="inlineStr">
        <is>
          <t>texte</t>
        </is>
      </c>
      <c r="I145" t="inlineStr">
        <is>
          <t>observée</t>
        </is>
      </c>
      <c r="J145" t="n">
        <v>2015</v>
      </c>
      <c r="K145" t="inlineStr">
        <is>
          <t>A</t>
        </is>
      </c>
      <c r="L145" t="inlineStr">
        <is>
          <t>qualitatif_citation_ok</t>
        </is>
      </c>
      <c r="M145" t="inlineStr">
        <is>
          <t>Banque mondiale (ESMAP Live Wire 2015/49, Meyer &amp; Tenenbaum et al.)</t>
        </is>
      </c>
      <c r="N145" t="inlineStr">
        <is>
          <t>Uganda's GET FiT Solar Facility: lessons from the first donor-subsidized competitive bidding for grid-connected solar PV in SSA</t>
        </is>
      </c>
      <c r="O145" t="inlineStr">
        <is>
          <t>https://www.uncclearn.org/wp-content/uploads/library/wb24032016.pdf</t>
        </is>
      </c>
      <c r="P145" t="inlineStr">
        <is>
          <t>2015-11</t>
        </is>
      </c>
      <c r="Q145" t="inlineStr">
        <is>
          <t>The PRG offered by the World Bank in Uganda was meant to deal with the issue of delayed payments. Yet, to date none of the GET FiT SPPs have applied for the guarantee.</t>
        </is>
      </c>
      <c r="R145" t="inlineStr"/>
    </row>
    <row r="146">
      <c r="A146" t="inlineStr">
        <is>
          <t>qualitatif</t>
        </is>
      </c>
      <c r="B146" t="inlineStr">
        <is>
          <t>A_centre_est</t>
        </is>
      </c>
      <c r="C146" t="inlineStr">
        <is>
          <t>A</t>
        </is>
      </c>
      <c r="D146" t="inlineStr">
        <is>
          <t>UGA</t>
        </is>
      </c>
      <c r="E146" t="inlineStr">
        <is>
          <t>Soroti Solar (Access Uganda Solar)</t>
        </is>
      </c>
      <c r="F146" t="inlineStr">
        <is>
          <t>acheteur</t>
        </is>
      </c>
      <c r="G146" t="inlineStr">
        <is>
          <t>UETCL (Uganda Electricity Transmission Company Ltd)</t>
        </is>
      </c>
      <c r="H146" t="inlineStr">
        <is>
          <t>texte</t>
        </is>
      </c>
      <c r="I146" t="inlineStr">
        <is>
          <t>observée</t>
        </is>
      </c>
      <c r="J146" t="n">
        <v>2014</v>
      </c>
      <c r="K146" t="inlineStr">
        <is>
          <t>A</t>
        </is>
      </c>
      <c r="L146" t="inlineStr">
        <is>
          <t>qualitatif_citation_ok</t>
        </is>
      </c>
      <c r="M146" t="inlineStr">
        <is>
          <t>Banque mondiale (ESMAP Live Wire 2015/49, Meyer &amp; Tenenbaum et al.)</t>
        </is>
      </c>
      <c r="N146" t="inlineStr">
        <is>
          <t>Uganda's GET FiT Solar Facility: lessons from the first donor-subsidized competitive bidding for grid-connected solar PV in SSA</t>
        </is>
      </c>
      <c r="O146" t="inlineStr">
        <is>
          <t>https://www.uncclearn.org/wp-content/uploads/library/wb24032016.pdf</t>
        </is>
      </c>
      <c r="P146" t="inlineStr">
        <is>
          <t>2015-11</t>
        </is>
      </c>
      <c r="Q146" t="inlineStr">
        <is>
          <t>the risk of delayed payments for the electricity sold to the Uganda Electricity Transmission Company Limited (UETCL), the government-owned enterprise that was designated to purchase the output of all SPPs</t>
        </is>
      </c>
      <c r="R146" t="inlineStr"/>
    </row>
    <row r="147">
      <c r="A147" t="inlineStr">
        <is>
          <t>retenu</t>
        </is>
      </c>
      <c r="B147" t="inlineStr">
        <is>
          <t>A_centre_est</t>
        </is>
      </c>
      <c r="C147" t="inlineStr">
        <is>
          <t>A</t>
        </is>
      </c>
      <c r="D147" t="inlineStr">
        <is>
          <t>UGA</t>
        </is>
      </c>
      <c r="E147" t="inlineStr">
        <is>
          <t>Tororo Solar North (Building Energy)</t>
        </is>
      </c>
      <c r="F147" t="inlineStr">
        <is>
          <t>tarif</t>
        </is>
      </c>
      <c r="G147" t="n">
        <v>0.1637</v>
      </c>
      <c r="H147" t="inlineStr">
        <is>
          <t>USD/kWh (moyenne des 2 lauréats, nivelée)</t>
        </is>
      </c>
      <c r="I147" t="inlineStr">
        <is>
          <t>observée</t>
        </is>
      </c>
      <c r="J147" t="n">
        <v>2014</v>
      </c>
      <c r="K147" t="inlineStr">
        <is>
          <t>A</t>
        </is>
      </c>
      <c r="L147" t="inlineStr">
        <is>
          <t>citation_partielle</t>
        </is>
      </c>
      <c r="M147" t="inlineStr">
        <is>
          <t>Banque mondiale (ESMAP Live Wire 2015/49, Meyer &amp; Tenenbaum et al.)</t>
        </is>
      </c>
      <c r="N147" t="inlineStr">
        <is>
          <t>Uganda's GET FiT Solar Facility: lessons from the first donor-subsidized competitive bidding for grid-connected solar PV in SSA</t>
        </is>
      </c>
      <c r="O147" t="inlineStr">
        <is>
          <t>https://www.uncclearn.org/wp-content/uploads/library/wb24032016.pdf</t>
        </is>
      </c>
      <c r="P147" t="inlineStr">
        <is>
          <t>2015-11</t>
        </is>
      </c>
      <c r="Q147" t="inlineStr">
        <is>
          <t>Two winning bidders were selected with an average levelized tariff of USc 16.37/kWh, well below the initially anticipated levels of USc 18/ kWh. Both winning developers bid 10 MW in total by providing bids for two side-by-side 5 MW plants.</t>
        </is>
      </c>
      <c r="R147" t="inlineStr">
        <is>
          <t>Prix moyen des 2 lauréats (Soroti et Tororo), pas un prix individuel par projet. Composé de 11 USc/kWh FiT payé par UETCL + 5,37 USc/kWh prime GET FiT (donateurs). Indexation non précisée.</t>
        </is>
      </c>
    </row>
    <row r="148">
      <c r="A148" t="inlineStr">
        <is>
          <t>qualitatif</t>
        </is>
      </c>
      <c r="B148" t="inlineStr">
        <is>
          <t>A_centre_est</t>
        </is>
      </c>
      <c r="C148" t="inlineStr">
        <is>
          <t>A</t>
        </is>
      </c>
      <c r="D148" t="inlineStr">
        <is>
          <t>UGA</t>
        </is>
      </c>
      <c r="E148" t="inlineStr">
        <is>
          <t>Tororo Solar North (Building Energy)</t>
        </is>
      </c>
      <c r="F148" t="inlineStr">
        <is>
          <t>procedure</t>
        </is>
      </c>
      <c r="G148" t="inlineStr">
        <is>
          <t>appel d'offres (enchère GET FiT Solar Facility, offre de prix scellée, pondération prix 70 % / non-prix 30 %)</t>
        </is>
      </c>
      <c r="H148" t="inlineStr">
        <is>
          <t>texte</t>
        </is>
      </c>
      <c r="I148" t="inlineStr">
        <is>
          <t>observée</t>
        </is>
      </c>
      <c r="J148" t="n">
        <v>2014</v>
      </c>
      <c r="K148" t="inlineStr">
        <is>
          <t>A</t>
        </is>
      </c>
      <c r="L148" t="inlineStr">
        <is>
          <t>qualitatif_citation_ok</t>
        </is>
      </c>
      <c r="M148" t="inlineStr">
        <is>
          <t>Banque mondiale (ESMAP Live Wire 2015/49, Meyer &amp; Tenenbaum et al.)</t>
        </is>
      </c>
      <c r="N148" t="inlineStr">
        <is>
          <t>Uganda's GET FiT Solar Facility: lessons from the first donor-subsidized competitive bidding for grid-connected solar PV in SSA</t>
        </is>
      </c>
      <c r="O148" t="inlineStr">
        <is>
          <t>https://www.uncclearn.org/wp-content/uploads/library/wb24032016.pdf</t>
        </is>
      </c>
      <c r="P148" t="inlineStr">
        <is>
          <t>2015-11</t>
        </is>
      </c>
      <c r="Q148" t="inlineStr">
        <is>
          <t>Bidders were given a one-time opportunity to submit a sealed, written price bid. The winners were told that they would be paid the price that they bid.</t>
        </is>
      </c>
      <c r="R148" t="inlineStr"/>
    </row>
    <row r="149">
      <c r="A149" t="inlineStr">
        <is>
          <t>qualitatif</t>
        </is>
      </c>
      <c r="B149" t="inlineStr">
        <is>
          <t>A_centre_est</t>
        </is>
      </c>
      <c r="C149" t="inlineStr">
        <is>
          <t>A</t>
        </is>
      </c>
      <c r="D149" t="inlineStr">
        <is>
          <t>UGA</t>
        </is>
      </c>
      <c r="E149" t="inlineStr">
        <is>
          <t>Tororo Solar North (Building Energy)</t>
        </is>
      </c>
      <c r="F149" t="inlineStr">
        <is>
          <t>garanties</t>
        </is>
      </c>
      <c r="G149" t="inlineStr">
        <is>
          <t>Garantie partielle de risque (PRG) Banque mondiale proposée, mais non souscrite (à oct. 2015)</t>
        </is>
      </c>
      <c r="H149" t="inlineStr">
        <is>
          <t>texte</t>
        </is>
      </c>
      <c r="I149" t="inlineStr">
        <is>
          <t>observée</t>
        </is>
      </c>
      <c r="J149" t="n">
        <v>2015</v>
      </c>
      <c r="K149" t="inlineStr">
        <is>
          <t>A</t>
        </is>
      </c>
      <c r="L149" t="inlineStr">
        <is>
          <t>qualitatif_citation_ok</t>
        </is>
      </c>
      <c r="M149" t="inlineStr">
        <is>
          <t>Banque mondiale (ESMAP Live Wire 2015/49, Meyer &amp; Tenenbaum et al.)</t>
        </is>
      </c>
      <c r="N149" t="inlineStr">
        <is>
          <t>Uganda's GET FiT Solar Facility: lessons from the first donor-subsidized competitive bidding for grid-connected solar PV in SSA</t>
        </is>
      </c>
      <c r="O149" t="inlineStr">
        <is>
          <t>https://www.uncclearn.org/wp-content/uploads/library/wb24032016.pdf</t>
        </is>
      </c>
      <c r="P149" t="inlineStr">
        <is>
          <t>2015-11</t>
        </is>
      </c>
      <c r="Q149" t="inlineStr">
        <is>
          <t>The PRG offered by the World Bank in Uganda was meant to deal with the issue of delayed payments. Yet, to date none of the GET FiT SPPs have applied for the guarantee.</t>
        </is>
      </c>
      <c r="R149" t="inlineStr"/>
    </row>
    <row r="150">
      <c r="A150" t="inlineStr">
        <is>
          <t>qualitatif</t>
        </is>
      </c>
      <c r="B150" t="inlineStr">
        <is>
          <t>A_centre_est</t>
        </is>
      </c>
      <c r="C150" t="inlineStr">
        <is>
          <t>A</t>
        </is>
      </c>
      <c r="D150" t="inlineStr">
        <is>
          <t>UGA</t>
        </is>
      </c>
      <c r="E150" t="inlineStr">
        <is>
          <t>Tororo Solar North (Building Energy)</t>
        </is>
      </c>
      <c r="F150" t="inlineStr">
        <is>
          <t>acheteur</t>
        </is>
      </c>
      <c r="G150" t="inlineStr">
        <is>
          <t>UETCL (Uganda Electricity Transmission Company Ltd)</t>
        </is>
      </c>
      <c r="H150" t="inlineStr">
        <is>
          <t>texte</t>
        </is>
      </c>
      <c r="I150" t="inlineStr">
        <is>
          <t>observée</t>
        </is>
      </c>
      <c r="J150" t="n">
        <v>2014</v>
      </c>
      <c r="K150" t="inlineStr">
        <is>
          <t>A</t>
        </is>
      </c>
      <c r="L150" t="inlineStr">
        <is>
          <t>qualitatif_citation_ok</t>
        </is>
      </c>
      <c r="M150" t="inlineStr">
        <is>
          <t>Banque mondiale (ESMAP Live Wire 2015/49, Meyer &amp; Tenenbaum et al.)</t>
        </is>
      </c>
      <c r="N150" t="inlineStr">
        <is>
          <t>Uganda's GET FiT Solar Facility: lessons from the first donor-subsidized competitive bidding for grid-connected solar PV in SSA</t>
        </is>
      </c>
      <c r="O150" t="inlineStr">
        <is>
          <t>https://www.uncclearn.org/wp-content/uploads/library/wb24032016.pdf</t>
        </is>
      </c>
      <c r="P150" t="inlineStr">
        <is>
          <t>2015-11</t>
        </is>
      </c>
      <c r="Q150" t="inlineStr">
        <is>
          <t>the risk of delayed payments for the electricity sold to the Uganda Electricity Transmission Company Limited (UETCL), the government-owned enterprise that was designated to purchase the output of all SPPs</t>
        </is>
      </c>
      <c r="R150" t="inlineStr"/>
    </row>
    <row r="151">
      <c r="A151" t="inlineStr">
        <is>
          <t>retenu</t>
        </is>
      </c>
      <c r="B151" t="inlineStr">
        <is>
          <t>A_centre_est</t>
        </is>
      </c>
      <c r="C151" t="inlineStr">
        <is>
          <t>A</t>
        </is>
      </c>
      <c r="D151" t="inlineStr">
        <is>
          <t>UGA</t>
        </is>
      </c>
      <c r="E151" t="inlineStr">
        <is>
          <t>GET FiT Solar Facility (Soroti + Tororo)</t>
        </is>
      </c>
      <c r="F151" t="inlineStr">
        <is>
          <t>tarif</t>
        </is>
      </c>
      <c r="G151" t="n">
        <v>0.11</v>
      </c>
      <c r="H151" t="inlineStr">
        <is>
          <t>USD/kWh (FiT payé par UETCL, hors prime)</t>
        </is>
      </c>
      <c r="I151" t="inlineStr">
        <is>
          <t>observée</t>
        </is>
      </c>
      <c r="J151" t="n">
        <v>2014</v>
      </c>
      <c r="K151" t="inlineStr">
        <is>
          <t>A</t>
        </is>
      </c>
      <c r="L151" t="inlineStr">
        <is>
          <t>citation_partielle</t>
        </is>
      </c>
      <c r="M151" t="inlineStr">
        <is>
          <t>Banque mondiale (ESMAP Live Wire 2015/49, Meyer &amp; Tenenbaum et al.)</t>
        </is>
      </c>
      <c r="N151" t="inlineStr">
        <is>
          <t>Uganda's GET FiT Solar Facility: lessons from the first donor-subsidized competitive bidding for grid-connected solar PV in SSA</t>
        </is>
      </c>
      <c r="O151" t="inlineStr">
        <is>
          <t>https://www.uncclearn.org/wp-content/uploads/library/wb24032016.pdf</t>
        </is>
      </c>
      <c r="P151" t="inlineStr">
        <is>
          <t>2015-11</t>
        </is>
      </c>
      <c r="Q151" t="inlineStr">
        <is>
          <t>Under the GET FiT Solar Facility in Uganda, SPPs will receive a donor-funded premium payment of USc 5.37/kWh on top of a FiT of USc 11/kWh. Hence, the donor top-up payments will account for a third of the revenues</t>
        </is>
      </c>
      <c r="R151" t="inlineStr">
        <is>
          <t>Prime donateurs 0,0537 USD/kWh en sus. Attribution 2014 (avant la fenêtre 2016-2026) mais mises en service 2016/2017.</t>
        </is>
      </c>
    </row>
    <row r="152">
      <c r="A152" t="inlineStr">
        <is>
          <t>retenu</t>
        </is>
      </c>
      <c r="B152" t="inlineStr">
        <is>
          <t>A_centre_est</t>
        </is>
      </c>
      <c r="C152" t="inlineStr">
        <is>
          <t>A</t>
        </is>
      </c>
      <c r="D152" t="inlineStr">
        <is>
          <t>UGA</t>
        </is>
      </c>
      <c r="E152" t="inlineStr">
        <is>
          <t>Soroti Solar (Access Uganda Solar)</t>
        </is>
      </c>
      <c r="F152" t="inlineStr">
        <is>
          <t>capex_total</t>
        </is>
      </c>
      <c r="G152" t="n">
        <v>19</v>
      </c>
      <c r="H152" t="inlineStr">
        <is>
          <t>millions USD</t>
        </is>
      </c>
      <c r="I152" t="inlineStr">
        <is>
          <t>déclarée</t>
        </is>
      </c>
      <c r="J152" t="n">
        <v>2016</v>
      </c>
      <c r="K152" t="inlineStr">
        <is>
          <t>B</t>
        </is>
      </c>
      <c r="L152" t="inlineStr">
        <is>
          <t>confirmé</t>
        </is>
      </c>
      <c r="M152" t="inlineStr">
        <is>
          <t>FMO</t>
        </is>
      </c>
      <c r="N152" t="inlineStr">
        <is>
          <t>FMO finances East Africa's largest privately funded solar project</t>
        </is>
      </c>
      <c r="O152" t="inlineStr">
        <is>
          <t>https://www.fmo.nl/news-detail/770a8efe-3843-4f1d-8425-03d74ccad7f6/fmo-finances-east-africa-s-largest-privately-funded-solar-project</t>
        </is>
      </c>
      <c r="P152" t="inlineStr">
        <is>
          <t>2016-02-17</t>
        </is>
      </c>
      <c r="Q152" t="inlineStr">
        <is>
          <t>At a cost of $19 million</t>
        </is>
      </c>
      <c r="R152" t="inlineStr">
        <is>
          <t>Coût annoncé avant mise en service ; devise USD.</t>
        </is>
      </c>
    </row>
    <row r="153">
      <c r="A153" t="inlineStr">
        <is>
          <t>retenu</t>
        </is>
      </c>
      <c r="B153" t="inlineStr">
        <is>
          <t>A_centre_est</t>
        </is>
      </c>
      <c r="C153" t="inlineStr">
        <is>
          <t>A</t>
        </is>
      </c>
      <c r="D153" t="inlineStr">
        <is>
          <t>UGA</t>
        </is>
      </c>
      <c r="E153" t="inlineStr">
        <is>
          <t>Soroti Solar (Access Uganda Solar)</t>
        </is>
      </c>
      <c r="F153" t="inlineStr">
        <is>
          <t>puissance_mwp</t>
        </is>
      </c>
      <c r="G153" t="n">
        <v>10</v>
      </c>
      <c r="H153" t="inlineStr">
        <is>
          <t>MW (DC/AC non précisé)</t>
        </is>
      </c>
      <c r="I153" t="inlineStr">
        <is>
          <t>déclarée</t>
        </is>
      </c>
      <c r="J153" t="n">
        <v>2016</v>
      </c>
      <c r="K153" t="inlineStr">
        <is>
          <t>B</t>
        </is>
      </c>
      <c r="L153" t="inlineStr">
        <is>
          <t>confirmé</t>
        </is>
      </c>
      <c r="M153" t="inlineStr">
        <is>
          <t>FMO</t>
        </is>
      </c>
      <c r="N153" t="inlineStr">
        <is>
          <t>FMO finances East Africa's largest privately funded solar project</t>
        </is>
      </c>
      <c r="O153" t="inlineStr">
        <is>
          <t>https://www.fmo.nl/news-detail/770a8efe-3843-4f1d-8425-03d74ccad7f6/fmo-finances-east-africa-s-largest-privately-funded-solar-project</t>
        </is>
      </c>
      <c r="P153" t="inlineStr">
        <is>
          <t>2016-02-17</t>
        </is>
      </c>
      <c r="Q153" t="inlineStr">
        <is>
          <t>a 10 megawatt (MW) solar photovoltaic project in Uganda</t>
        </is>
      </c>
      <c r="R153" t="inlineStr">
        <is>
          <t>EAIF indique 10,13 MW 'at full capacity'.</t>
        </is>
      </c>
    </row>
    <row r="154">
      <c r="A154" t="inlineStr">
        <is>
          <t>retenu</t>
        </is>
      </c>
      <c r="B154" t="inlineStr">
        <is>
          <t>A_centre_est</t>
        </is>
      </c>
      <c r="C154" t="inlineStr">
        <is>
          <t>A</t>
        </is>
      </c>
      <c r="D154" t="inlineStr">
        <is>
          <t>UGA</t>
        </is>
      </c>
      <c r="E154" t="inlineStr">
        <is>
          <t>Soroti Solar (Access Uganda Solar)</t>
        </is>
      </c>
      <c r="F154" t="inlineStr">
        <is>
          <t>annee_mise_en_service</t>
        </is>
      </c>
      <c r="G154" t="n">
        <v>2016</v>
      </c>
      <c r="H154" t="inlineStr">
        <is>
          <t>année</t>
        </is>
      </c>
      <c r="I154" t="inlineStr">
        <is>
          <t>déclarée</t>
        </is>
      </c>
      <c r="J154" t="n">
        <v>2016</v>
      </c>
      <c r="K154" t="inlineStr">
        <is>
          <t>B</t>
        </is>
      </c>
      <c r="L154" t="inlineStr">
        <is>
          <t>confirmé</t>
        </is>
      </c>
      <c r="M154" t="inlineStr">
        <is>
          <t>FMO</t>
        </is>
      </c>
      <c r="N154" t="inlineStr">
        <is>
          <t>FMO finances East Africa's largest privately funded solar project</t>
        </is>
      </c>
      <c r="O154" t="inlineStr">
        <is>
          <t>https://www.fmo.nl/news-detail/770a8efe-3843-4f1d-8425-03d74ccad7f6/fmo-finances-east-africa-s-largest-privately-funded-solar-project</t>
        </is>
      </c>
      <c r="P154" t="inlineStr">
        <is>
          <t>2016-02-17</t>
        </is>
      </c>
      <c r="Q154" t="inlineStr">
        <is>
          <t>expected to be operational and connected to the national grid in July 2016</t>
        </is>
      </c>
      <c r="R154" t="inlineStr">
        <is>
          <t>The Observer (2025) : 'Access Power became the first company to commission its 10MW Soroti Solar Power Project in late 2016.'</t>
        </is>
      </c>
    </row>
    <row r="155">
      <c r="A155" t="inlineStr">
        <is>
          <t>retenu</t>
        </is>
      </c>
      <c r="B155" t="inlineStr">
        <is>
          <t>A_centre_est</t>
        </is>
      </c>
      <c r="C155" t="inlineStr">
        <is>
          <t>A</t>
        </is>
      </c>
      <c r="D155" t="inlineStr">
        <is>
          <t>UGA</t>
        </is>
      </c>
      <c r="E155" t="inlineStr">
        <is>
          <t>Soroti Solar (Access Uganda Solar)</t>
        </is>
      </c>
      <c r="F155" t="inlineStr">
        <is>
          <t>production_gwh_an</t>
        </is>
      </c>
      <c r="G155" t="n">
        <v>16.2</v>
      </c>
      <c r="H155" t="inlineStr">
        <is>
          <t>GWh/an</t>
        </is>
      </c>
      <c r="I155" t="inlineStr">
        <is>
          <t>déclarée</t>
        </is>
      </c>
      <c r="J155" t="n">
        <v>2015</v>
      </c>
      <c r="K155" t="inlineStr">
        <is>
          <t>A</t>
        </is>
      </c>
      <c r="L155" t="inlineStr">
        <is>
          <t>confirmé</t>
        </is>
      </c>
      <c r="M155" t="inlineStr">
        <is>
          <t>FMO</t>
        </is>
      </c>
      <c r="N155" t="inlineStr">
        <is>
          <t>Project detail 44956 - Access Uganda Solar Ltd.</t>
        </is>
      </c>
      <c r="O155" t="inlineStr">
        <is>
          <t>https://www.fmo.nl/project-detail/44956</t>
        </is>
      </c>
      <c r="P155" t="inlineStr">
        <is>
          <t>2015-11-27</t>
        </is>
      </c>
      <c r="Q155" t="inlineStr">
        <is>
          <t>16.2 GWh per year</t>
        </is>
      </c>
      <c r="R155" t="inlineStr">
        <is>
          <t>Fiche projet DFI.</t>
        </is>
      </c>
    </row>
    <row r="156">
      <c r="A156" t="inlineStr">
        <is>
          <t>qualitatif</t>
        </is>
      </c>
      <c r="B156" t="inlineStr">
        <is>
          <t>A_centre_est</t>
        </is>
      </c>
      <c r="C156" t="inlineStr">
        <is>
          <t>A</t>
        </is>
      </c>
      <c r="D156" t="inlineStr">
        <is>
          <t>UGA</t>
        </is>
      </c>
      <c r="E156" t="inlineStr">
        <is>
          <t>Soroti Solar (Access Uganda Solar)</t>
        </is>
      </c>
      <c r="F156" t="inlineStr">
        <is>
          <t>developpeur</t>
        </is>
      </c>
      <c r="G156" t="inlineStr">
        <is>
          <t>EREN Renewable Energy S.A. et Access Consultants DMCC (Access Infra Africa)</t>
        </is>
      </c>
      <c r="H156" t="inlineStr">
        <is>
          <t>texte</t>
        </is>
      </c>
      <c r="I156" t="inlineStr">
        <is>
          <t>observée</t>
        </is>
      </c>
      <c r="J156" t="n">
        <v>2015</v>
      </c>
      <c r="K156" t="inlineStr">
        <is>
          <t>A</t>
        </is>
      </c>
      <c r="L156" t="inlineStr">
        <is>
          <t>qualitatif_citation_ok</t>
        </is>
      </c>
      <c r="M156" t="inlineStr">
        <is>
          <t>FMO</t>
        </is>
      </c>
      <c r="N156" t="inlineStr">
        <is>
          <t>Project detail 44956 - Access Uganda Solar Ltd.</t>
        </is>
      </c>
      <c r="O156" t="inlineStr">
        <is>
          <t>https://www.fmo.nl/project-detail/44956</t>
        </is>
      </c>
      <c r="P156" t="inlineStr">
        <is>
          <t>2015-11-27</t>
        </is>
      </c>
      <c r="Q156" t="inlineStr">
        <is>
          <t>EREN Renewable Energy S.A. and Access Consultants DMCC</t>
        </is>
      </c>
      <c r="R156" t="inlineStr"/>
    </row>
    <row r="157">
      <c r="A157" t="inlineStr">
        <is>
          <t>qualitatif</t>
        </is>
      </c>
      <c r="B157" t="inlineStr">
        <is>
          <t>A_centre_est</t>
        </is>
      </c>
      <c r="C157" t="inlineStr">
        <is>
          <t>A</t>
        </is>
      </c>
      <c r="D157" t="inlineStr">
        <is>
          <t>UGA</t>
        </is>
      </c>
      <c r="E157" t="inlineStr">
        <is>
          <t>Soroti Solar (Access Uganda Solar)</t>
        </is>
      </c>
      <c r="F157" t="inlineStr">
        <is>
          <t>financeurs</t>
        </is>
      </c>
      <c r="G157" t="inlineStr">
        <is>
          <t>Dette senior FMO (arrangeur) 10,7 M USD au total, dont EAIF 5,35 M USD ; prime GET FiT</t>
        </is>
      </c>
      <c r="H157" t="inlineStr">
        <is>
          <t>texte</t>
        </is>
      </c>
      <c r="I157" t="inlineStr">
        <is>
          <t>observée</t>
        </is>
      </c>
      <c r="J157" t="n">
        <v>2016</v>
      </c>
      <c r="K157" t="inlineStr">
        <is>
          <t>A</t>
        </is>
      </c>
      <c r="L157" t="inlineStr">
        <is>
          <t>qualitatif_citation_ok</t>
        </is>
      </c>
      <c r="M157" t="inlineStr">
        <is>
          <t>EAIF / PIDG</t>
        </is>
      </c>
      <c r="N157" t="inlineStr">
        <is>
          <t>EAIF participates in Uganda solar farm project financing led by FMO</t>
        </is>
      </c>
      <c r="O157" t="inlineStr">
        <is>
          <t>https://www.eaif.com/eaif-participates-in-uganda-solar-farm-project-financing-led-by-fmo/</t>
        </is>
      </c>
      <c r="P157" t="inlineStr">
        <is>
          <t>2016</t>
        </is>
      </c>
      <c r="Q157" t="inlineStr">
        <is>
          <t>EAIF contributed US$5.35 million to FMO's total loan to its client of US$10.7 million.</t>
        </is>
      </c>
      <c r="R157" t="inlineStr">
        <is>
          <t>Date de la page non affichée (déduite ~2016). Fiche FMO: financement FMO 'USD 5.35 MLN'. Dette/capex = 10,7/19 ≈ 56 % (calcul).</t>
        </is>
      </c>
    </row>
    <row r="158">
      <c r="A158" t="inlineStr">
        <is>
          <t>retenu</t>
        </is>
      </c>
      <c r="B158" t="inlineStr">
        <is>
          <t>A_centre_est</t>
        </is>
      </c>
      <c r="C158" t="inlineStr">
        <is>
          <t>A</t>
        </is>
      </c>
      <c r="D158" t="inlineStr">
        <is>
          <t>UGA</t>
        </is>
      </c>
      <c r="E158" t="inlineStr">
        <is>
          <t>Tororo Solar North (Building Energy)</t>
        </is>
      </c>
      <c r="F158" t="inlineStr">
        <is>
          <t>capex_total</t>
        </is>
      </c>
      <c r="G158" t="n">
        <v>19.6</v>
      </c>
      <c r="H158" t="inlineStr">
        <is>
          <t>millions USD (investissement de construction)</t>
        </is>
      </c>
      <c r="I158" t="inlineStr">
        <is>
          <t>déclarée</t>
        </is>
      </c>
      <c r="J158" t="n">
        <v>2017</v>
      </c>
      <c r="K158" t="inlineStr">
        <is>
          <t>B</t>
        </is>
      </c>
      <c r="L158" t="inlineStr">
        <is>
          <t>confirmé</t>
        </is>
      </c>
      <c r="M158" t="inlineStr">
        <is>
          <t>Délégation UE en Ouganda (EEAS)</t>
        </is>
      </c>
      <c r="N158" t="inlineStr">
        <is>
          <t>Inauguration of Tororo solar power plant (GET FiT / EU-AITF)</t>
        </is>
      </c>
      <c r="O158" t="inlineStr">
        <is>
          <t>https://www.eeas.europa.eu/node/34013</t>
        </is>
      </c>
      <c r="P158" t="inlineStr">
        <is>
          <t>2017-10-16</t>
        </is>
      </c>
      <c r="Q158" t="inlineStr">
        <is>
          <t>$19.6 million construction investment</t>
        </is>
      </c>
      <c r="R158" t="inlineStr"/>
    </row>
    <row r="159">
      <c r="A159" t="inlineStr">
        <is>
          <t>retenu</t>
        </is>
      </c>
      <c r="B159" t="inlineStr">
        <is>
          <t>A_centre_est</t>
        </is>
      </c>
      <c r="C159" t="inlineStr">
        <is>
          <t>A</t>
        </is>
      </c>
      <c r="D159" t="inlineStr">
        <is>
          <t>UGA</t>
        </is>
      </c>
      <c r="E159" t="inlineStr">
        <is>
          <t>Tororo Solar North (Building Energy)</t>
        </is>
      </c>
      <c r="F159" t="inlineStr">
        <is>
          <t>puissance_mwp</t>
        </is>
      </c>
      <c r="G159" t="n">
        <v>10</v>
      </c>
      <c r="H159" t="inlineStr">
        <is>
          <t>MWp</t>
        </is>
      </c>
      <c r="I159" t="inlineStr">
        <is>
          <t>observée</t>
        </is>
      </c>
      <c r="J159" t="n">
        <v>2017</v>
      </c>
      <c r="K159" t="inlineStr">
        <is>
          <t>B</t>
        </is>
      </c>
      <c r="L159" t="inlineStr">
        <is>
          <t>confirmé</t>
        </is>
      </c>
      <c r="M159" t="inlineStr">
        <is>
          <t>Délégation UE en Ouganda (EEAS)</t>
        </is>
      </c>
      <c r="N159" t="inlineStr">
        <is>
          <t>Inauguration of Tororo solar power plant (GET FiT / EU-AITF)</t>
        </is>
      </c>
      <c r="O159" t="inlineStr">
        <is>
          <t>https://www.eeas.europa.eu/node/34013</t>
        </is>
      </c>
      <c r="P159" t="inlineStr">
        <is>
          <t>2017-10-16</t>
        </is>
      </c>
      <c r="Q159" t="inlineStr">
        <is>
          <t>10 MWp</t>
        </is>
      </c>
      <c r="R159" t="inlineStr">
        <is>
          <t>32 240 panneaux sur 14 ha.</t>
        </is>
      </c>
    </row>
    <row r="160">
      <c r="A160" t="inlineStr">
        <is>
          <t>retenu</t>
        </is>
      </c>
      <c r="B160" t="inlineStr">
        <is>
          <t>A_centre_est</t>
        </is>
      </c>
      <c r="C160" t="inlineStr">
        <is>
          <t>A</t>
        </is>
      </c>
      <c r="D160" t="inlineStr">
        <is>
          <t>UGA</t>
        </is>
      </c>
      <c r="E160" t="inlineStr">
        <is>
          <t>Tororo Solar North (Building Energy)</t>
        </is>
      </c>
      <c r="F160" t="inlineStr">
        <is>
          <t>production_gwh_an</t>
        </is>
      </c>
      <c r="G160" t="n">
        <v>16</v>
      </c>
      <c r="H160" t="inlineStr">
        <is>
          <t>GWh/an</t>
        </is>
      </c>
      <c r="I160" t="inlineStr">
        <is>
          <t>déclarée</t>
        </is>
      </c>
      <c r="J160" t="n">
        <v>2017</v>
      </c>
      <c r="K160" t="inlineStr">
        <is>
          <t>B</t>
        </is>
      </c>
      <c r="L160" t="inlineStr">
        <is>
          <t>confirmé</t>
        </is>
      </c>
      <c r="M160" t="inlineStr">
        <is>
          <t>Délégation UE en Ouganda (EEAS)</t>
        </is>
      </c>
      <c r="N160" t="inlineStr">
        <is>
          <t>Inauguration of Tororo solar power plant (GET FiT / EU-AITF)</t>
        </is>
      </c>
      <c r="O160" t="inlineStr">
        <is>
          <t>https://www.eeas.europa.eu/node/34013</t>
        </is>
      </c>
      <c r="P160" t="inlineStr">
        <is>
          <t>2017-10-16</t>
        </is>
      </c>
      <c r="Q160" t="inlineStr">
        <is>
          <t>16 GWh per year</t>
        </is>
      </c>
      <c r="R160" t="inlineStr"/>
    </row>
    <row r="161">
      <c r="A161" t="inlineStr">
        <is>
          <t>retenu</t>
        </is>
      </c>
      <c r="B161" t="inlineStr">
        <is>
          <t>A_centre_est</t>
        </is>
      </c>
      <c r="C161" t="inlineStr">
        <is>
          <t>A</t>
        </is>
      </c>
      <c r="D161" t="inlineStr">
        <is>
          <t>UGA</t>
        </is>
      </c>
      <c r="E161" t="inlineStr">
        <is>
          <t>Tororo Solar North (Building Energy)</t>
        </is>
      </c>
      <c r="F161" t="inlineStr">
        <is>
          <t>ppa_duree</t>
        </is>
      </c>
      <c r="G161" t="n">
        <v>20</v>
      </c>
      <c r="H161" t="inlineStr">
        <is>
          <t>ans</t>
        </is>
      </c>
      <c r="I161" t="inlineStr">
        <is>
          <t>déclarée</t>
        </is>
      </c>
      <c r="J161" t="n">
        <v>2017</v>
      </c>
      <c r="K161" t="inlineStr">
        <is>
          <t>B</t>
        </is>
      </c>
      <c r="L161" t="inlineStr">
        <is>
          <t>confirmé</t>
        </is>
      </c>
      <c r="M161" t="inlineStr">
        <is>
          <t>Délégation UE en Ouganda (EEAS)</t>
        </is>
      </c>
      <c r="N161" t="inlineStr">
        <is>
          <t>Inauguration of Tororo solar power plant (GET FiT / EU-AITF)</t>
        </is>
      </c>
      <c r="O161" t="inlineStr">
        <is>
          <t>https://www.eeas.europa.eu/node/34013</t>
        </is>
      </c>
      <c r="P161" t="inlineStr">
        <is>
          <t>2017-10-16</t>
        </is>
      </c>
      <c r="Q161" t="inlineStr">
        <is>
          <t>over 20 years</t>
        </is>
      </c>
      <c r="R161" t="inlineStr">
        <is>
          <t>Durée de la prime GET FiT (top-up par kWh 'over 20 years'); durée PPA non citée explicitement par cette page.</t>
        </is>
      </c>
    </row>
    <row r="162">
      <c r="A162" t="inlineStr">
        <is>
          <t>retenu</t>
        </is>
      </c>
      <c r="B162" t="inlineStr">
        <is>
          <t>A_centre_est</t>
        </is>
      </c>
      <c r="C162" t="inlineStr">
        <is>
          <t>A</t>
        </is>
      </c>
      <c r="D162" t="inlineStr">
        <is>
          <t>UGA</t>
        </is>
      </c>
      <c r="E162" t="inlineStr">
        <is>
          <t>Mayuge / Bufulubi Solar (Tryba Energy)</t>
        </is>
      </c>
      <c r="F162" t="inlineStr">
        <is>
          <t>tarif</t>
        </is>
      </c>
      <c r="G162" t="n">
        <v>0.11</v>
      </c>
      <c r="H162" t="inlineStr">
        <is>
          <t>USD/kWh</t>
        </is>
      </c>
      <c r="I162" t="inlineStr">
        <is>
          <t>observée</t>
        </is>
      </c>
      <c r="J162" t="n">
        <v>2017</v>
      </c>
      <c r="K162" t="inlineStr">
        <is>
          <t>C</t>
        </is>
      </c>
      <c r="L162" t="inlineStr">
        <is>
          <t>confirmé</t>
        </is>
      </c>
      <c r="M162" t="inlineStr">
        <is>
          <t>Green Building Africa</t>
        </is>
      </c>
      <c r="N162" t="inlineStr">
        <is>
          <t>10 MW solar PV plant commissioned in Bufulbi, Uganda</t>
        </is>
      </c>
      <c r="O162" t="inlineStr">
        <is>
          <t>https://www.greenbuildingafrica.co.za/10-mw-solar-pv-plant-commissioned-in-bufulbi-uganda/</t>
        </is>
      </c>
      <c r="P162" t="inlineStr">
        <is>
          <t>2019-06-11</t>
        </is>
      </c>
      <c r="Q162" t="inlineStr">
        <is>
          <t>net feed in tariff of 11 US cents per kWh</t>
        </is>
      </c>
      <c r="R162" t="inlineStr">
        <is>
          <t>PPA signé avec UETCL en avril 2017. Indexation non précisée.</t>
        </is>
      </c>
    </row>
    <row r="163">
      <c r="A163" t="inlineStr">
        <is>
          <t>retenu</t>
        </is>
      </c>
      <c r="B163" t="inlineStr">
        <is>
          <t>A_centre_est</t>
        </is>
      </c>
      <c r="C163" t="inlineStr">
        <is>
          <t>A</t>
        </is>
      </c>
      <c r="D163" t="inlineStr">
        <is>
          <t>UGA</t>
        </is>
      </c>
      <c r="E163" t="inlineStr">
        <is>
          <t>Mayuge / Bufulubi Solar (Tryba Energy)</t>
        </is>
      </c>
      <c r="F163" t="inlineStr">
        <is>
          <t>puissance_mwp</t>
        </is>
      </c>
      <c r="G163" t="n">
        <v>10.02</v>
      </c>
      <c r="H163" t="inlineStr">
        <is>
          <t>MWp (DC)</t>
        </is>
      </c>
      <c r="I163" t="inlineStr">
        <is>
          <t>observée</t>
        </is>
      </c>
      <c r="J163" t="n">
        <v>2019</v>
      </c>
      <c r="K163" t="inlineStr">
        <is>
          <t>C</t>
        </is>
      </c>
      <c r="L163" t="inlineStr">
        <is>
          <t>confirmé</t>
        </is>
      </c>
      <c r="M163" t="inlineStr">
        <is>
          <t>Green Building Africa</t>
        </is>
      </c>
      <c r="N163" t="inlineStr">
        <is>
          <t>10 MW solar PV plant commissioned in Bufulbi, Uganda</t>
        </is>
      </c>
      <c r="O163" t="inlineStr">
        <is>
          <t>https://www.greenbuildingafrica.co.za/10-mw-solar-pv-plant-commissioned-in-bufulbi-uganda/</t>
        </is>
      </c>
      <c r="P163" t="inlineStr">
        <is>
          <t>2019-06-11</t>
        </is>
      </c>
      <c r="Q163" t="inlineStr">
        <is>
          <t>a 10.020 MW DC PV solar project</t>
        </is>
      </c>
      <c r="R163" t="inlineStr">
        <is>
          <t>Suivi mono-axe ; EPC Metka EGN.</t>
        </is>
      </c>
    </row>
    <row r="164">
      <c r="A164" t="inlineStr">
        <is>
          <t>retenu</t>
        </is>
      </c>
      <c r="B164" t="inlineStr">
        <is>
          <t>A_centre_est</t>
        </is>
      </c>
      <c r="C164" t="inlineStr">
        <is>
          <t>A</t>
        </is>
      </c>
      <c r="D164" t="inlineStr">
        <is>
          <t>UGA</t>
        </is>
      </c>
      <c r="E164" t="inlineStr">
        <is>
          <t>Mayuge / Bufulubi Solar (Tryba Energy)</t>
        </is>
      </c>
      <c r="F164" t="inlineStr">
        <is>
          <t>annee_attribution</t>
        </is>
      </c>
      <c r="G164" t="n">
        <v>2017</v>
      </c>
      <c r="H164" t="inlineStr">
        <is>
          <t>année (signature PPA)</t>
        </is>
      </c>
      <c r="I164" t="inlineStr">
        <is>
          <t>observée</t>
        </is>
      </c>
      <c r="J164" t="n">
        <v>2017</v>
      </c>
      <c r="K164" t="inlineStr">
        <is>
          <t>C</t>
        </is>
      </c>
      <c r="L164" t="inlineStr">
        <is>
          <t>confirmé</t>
        </is>
      </c>
      <c r="M164" t="inlineStr">
        <is>
          <t>Green Building Africa</t>
        </is>
      </c>
      <c r="N164" t="inlineStr">
        <is>
          <t>10 MW solar PV plant commissioned in Bufulbi, Uganda</t>
        </is>
      </c>
      <c r="O164" t="inlineStr">
        <is>
          <t>https://www.greenbuildingafrica.co.za/10-mw-solar-pv-plant-commissioned-in-bufulbi-uganda/</t>
        </is>
      </c>
      <c r="P164" t="inlineStr">
        <is>
          <t>2019-06-11</t>
        </is>
      </c>
      <c r="Q164" t="inlineStr">
        <is>
          <t>April 2017</t>
        </is>
      </c>
      <c r="R164" t="inlineStr"/>
    </row>
    <row r="165">
      <c r="A165" t="inlineStr">
        <is>
          <t>qualitatif</t>
        </is>
      </c>
      <c r="B165" t="inlineStr">
        <is>
          <t>A_centre_est</t>
        </is>
      </c>
      <c r="C165" t="inlineStr">
        <is>
          <t>A</t>
        </is>
      </c>
      <c r="D165" t="inlineStr">
        <is>
          <t>UGA</t>
        </is>
      </c>
      <c r="E165" t="inlineStr">
        <is>
          <t>Mayuge / Bufulubi Solar (Tryba Energy)</t>
        </is>
      </c>
      <c r="F165" t="inlineStr">
        <is>
          <t>acheteur</t>
        </is>
      </c>
      <c r="G165" t="inlineStr">
        <is>
          <t>UETCL</t>
        </is>
      </c>
      <c r="H165" t="inlineStr">
        <is>
          <t>texte</t>
        </is>
      </c>
      <c r="I165" t="inlineStr">
        <is>
          <t>observée</t>
        </is>
      </c>
      <c r="J165" t="n">
        <v>2017</v>
      </c>
      <c r="K165" t="inlineStr">
        <is>
          <t>C</t>
        </is>
      </c>
      <c r="L165" t="inlineStr">
        <is>
          <t>qualitatif_citation_ok</t>
        </is>
      </c>
      <c r="M165" t="inlineStr">
        <is>
          <t>Green Building Africa</t>
        </is>
      </c>
      <c r="N165" t="inlineStr">
        <is>
          <t>10 MW solar PV plant commissioned in Bufulbi, Uganda</t>
        </is>
      </c>
      <c r="O165" t="inlineStr">
        <is>
          <t>https://www.greenbuildingafrica.co.za/10-mw-solar-pv-plant-commissioned-in-bufulbi-uganda/</t>
        </is>
      </c>
      <c r="P165" t="inlineStr">
        <is>
          <t>2019-06-11</t>
        </is>
      </c>
      <c r="Q165" t="inlineStr">
        <is>
          <t>Uganda Electricity Transmission Company Limited (UETCL)</t>
        </is>
      </c>
      <c r="R165" t="inlineStr"/>
    </row>
    <row r="166">
      <c r="A166" t="inlineStr">
        <is>
          <t>retenu</t>
        </is>
      </c>
      <c r="B166" t="inlineStr">
        <is>
          <t>A_centre_est</t>
        </is>
      </c>
      <c r="C166" t="inlineStr">
        <is>
          <t>A</t>
        </is>
      </c>
      <c r="D166" t="inlineStr">
        <is>
          <t>UGA</t>
        </is>
      </c>
      <c r="E166" t="inlineStr">
        <is>
          <t>Mayuge / Bufulubi Solar (Tryba Energy)</t>
        </is>
      </c>
      <c r="F166" t="inlineStr">
        <is>
          <t>capex_total</t>
        </is>
      </c>
      <c r="G166" t="n">
        <v>11</v>
      </c>
      <c r="H166" t="inlineStr">
        <is>
          <t>millions USD (≈41 Mds UGX)</t>
        </is>
      </c>
      <c r="I166" t="inlineStr">
        <is>
          <t>déclarée</t>
        </is>
      </c>
      <c r="J166" t="n">
        <v>2019</v>
      </c>
      <c r="K166" t="inlineStr">
        <is>
          <t>C</t>
        </is>
      </c>
      <c r="L166" t="inlineStr">
        <is>
          <t>confirmé</t>
        </is>
      </c>
      <c r="M166" t="inlineStr">
        <is>
          <t>Daily Monitor</t>
        </is>
      </c>
      <c r="N166" t="inlineStr">
        <is>
          <t>Mayuge gets Shs41b solar plant</t>
        </is>
      </c>
      <c r="O166" t="inlineStr">
        <is>
          <t>https://www.monitor.co.ug/uganda/news/national/mayuge-gets-shs41b-solar-plant-1830674</t>
        </is>
      </c>
      <c r="P166" t="inlineStr">
        <is>
          <t>2019-06-07</t>
        </is>
      </c>
      <c r="Q166" t="inlineStr">
        <is>
          <t>$11m (about Shs41b)</t>
        </is>
      </c>
      <c r="R166" t="inlineStr">
        <is>
          <t>Légende photo indique Shs40b.</t>
        </is>
      </c>
    </row>
    <row r="167">
      <c r="A167" t="inlineStr">
        <is>
          <t>qualitatif</t>
        </is>
      </c>
      <c r="B167" t="inlineStr">
        <is>
          <t>A_centre_est</t>
        </is>
      </c>
      <c r="C167" t="inlineStr">
        <is>
          <t>A</t>
        </is>
      </c>
      <c r="D167" t="inlineStr">
        <is>
          <t>UGA</t>
        </is>
      </c>
      <c r="E167" t="inlineStr">
        <is>
          <t>Mayuge / Bufulubi Solar (Tryba Energy)</t>
        </is>
      </c>
      <c r="F167" t="inlineStr">
        <is>
          <t>financeurs</t>
        </is>
      </c>
      <c r="G167" t="inlineStr">
        <is>
          <t>Fonds propres privés Tryba Energy, sans subvention</t>
        </is>
      </c>
      <c r="H167" t="inlineStr">
        <is>
          <t>texte</t>
        </is>
      </c>
      <c r="I167" t="inlineStr">
        <is>
          <t>déclarée</t>
        </is>
      </c>
      <c r="J167" t="n">
        <v>2019</v>
      </c>
      <c r="K167" t="inlineStr">
        <is>
          <t>C</t>
        </is>
      </c>
      <c r="L167" t="inlineStr">
        <is>
          <t>qualitatif_citation_ok</t>
        </is>
      </c>
      <c r="M167" t="inlineStr">
        <is>
          <t>Daily Monitor</t>
        </is>
      </c>
      <c r="N167" t="inlineStr">
        <is>
          <t>Mayuge gets Shs41b solar plant</t>
        </is>
      </c>
      <c r="O167" t="inlineStr">
        <is>
          <t>https://www.monitor.co.ug/uganda/news/national/mayuge-gets-shs41b-solar-plant-1830674</t>
        </is>
      </c>
      <c r="P167" t="inlineStr">
        <is>
          <t>2019-06-07</t>
        </is>
      </c>
      <c r="Q167" t="inlineStr">
        <is>
          <t>It was funded through private equity by Tryba Energy.</t>
        </is>
      </c>
      <c r="R167" t="inlineStr"/>
    </row>
    <row r="168">
      <c r="A168" t="inlineStr">
        <is>
          <t>retenu</t>
        </is>
      </c>
      <c r="B168" t="inlineStr">
        <is>
          <t>A_centre_est</t>
        </is>
      </c>
      <c r="C168" t="inlineStr">
        <is>
          <t>A</t>
        </is>
      </c>
      <c r="D168" t="inlineStr">
        <is>
          <t>KEN</t>
        </is>
      </c>
      <c r="E168" t="inlineStr">
        <is>
          <t>Garissa Solar (REREC/REA, 50→54,66 MW)</t>
        </is>
      </c>
      <c r="F168" t="inlineStr">
        <is>
          <t>capex_total</t>
        </is>
      </c>
      <c r="G168" t="n">
        <v>135.784014</v>
      </c>
      <c r="H168" t="inlineStr">
        <is>
          <t>millions USD (montant du prêt Exim Chine, RMB 867,29 M)</t>
        </is>
      </c>
      <c r="I168" t="inlineStr">
        <is>
          <t>observée</t>
        </is>
      </c>
      <c r="J168" t="n">
        <v>2015</v>
      </c>
      <c r="K168" t="inlineStr">
        <is>
          <t>A</t>
        </is>
      </c>
      <c r="L168" t="inlineStr">
        <is>
          <t>confirmé</t>
        </is>
      </c>
      <c r="M168" t="inlineStr">
        <is>
          <t>AidData (William &amp; Mary)</t>
        </is>
      </c>
      <c r="N168" t="inlineStr">
        <is>
          <t>China Eximbank RMB 867.2 million government concessional loan for 54.66 MW Garissa Solar Power Plant Construction Project</t>
        </is>
      </c>
      <c r="O168" t="inlineStr">
        <is>
          <t>https://china.aiddata.org/projects/47008</t>
        </is>
      </c>
      <c r="P168" t="inlineStr">
        <is>
          <t>2015-08-31</t>
        </is>
      </c>
      <c r="Q168" t="inlineStr">
        <is>
          <t>RMB 867,293,233.33 ($135,784,014)</t>
        </is>
      </c>
      <c r="R168" t="inlineStr">
        <is>
          <t>Montant du prêt, utilisé comme proxy du coût EPC public ; base de données de référence sur prêts chinois (secondaire documentée).</t>
        </is>
      </c>
    </row>
    <row r="169">
      <c r="A169" t="inlineStr">
        <is>
          <t>retenu</t>
        </is>
      </c>
      <c r="B169" t="inlineStr">
        <is>
          <t>A_centre_est</t>
        </is>
      </c>
      <c r="C169" t="inlineStr">
        <is>
          <t>A</t>
        </is>
      </c>
      <c r="D169" t="inlineStr">
        <is>
          <t>KEN</t>
        </is>
      </c>
      <c r="E169" t="inlineStr">
        <is>
          <t>Garissa Solar (REREC/REA, 50→54,66 MW)</t>
        </is>
      </c>
      <c r="F169" t="inlineStr">
        <is>
          <t>dette_taux</t>
        </is>
      </c>
      <c r="G169" t="n">
        <v>0.02</v>
      </c>
      <c r="H169" t="inlineStr">
        <is>
          <t>fraction (taux fixe)</t>
        </is>
      </c>
      <c r="I169" t="inlineStr">
        <is>
          <t>observée</t>
        </is>
      </c>
      <c r="J169" t="n">
        <v>2015</v>
      </c>
      <c r="K169" t="inlineStr">
        <is>
          <t>A</t>
        </is>
      </c>
      <c r="L169" t="inlineStr">
        <is>
          <t>confirmé</t>
        </is>
      </c>
      <c r="M169" t="inlineStr">
        <is>
          <t>AidData (William &amp; Mary)</t>
        </is>
      </c>
      <c r="N169" t="inlineStr">
        <is>
          <t>China Eximbank RMB 867.2 million government concessional loan for 54.66 MW Garissa Solar Power Plant Construction Project</t>
        </is>
      </c>
      <c r="O169" t="inlineStr">
        <is>
          <t>https://china.aiddata.org/projects/47008</t>
        </is>
      </c>
      <c r="P169" t="inlineStr">
        <is>
          <t>2015-08-31</t>
        </is>
      </c>
      <c r="Q169" t="inlineStr">
        <is>
          <t>a 2% interest rate</t>
        </is>
      </c>
      <c r="R169" t="inlineStr"/>
    </row>
    <row r="170">
      <c r="A170" t="inlineStr">
        <is>
          <t>retenu</t>
        </is>
      </c>
      <c r="B170" t="inlineStr">
        <is>
          <t>A_centre_est</t>
        </is>
      </c>
      <c r="C170" t="inlineStr">
        <is>
          <t>A</t>
        </is>
      </c>
      <c r="D170" t="inlineStr">
        <is>
          <t>KEN</t>
        </is>
      </c>
      <c r="E170" t="inlineStr">
        <is>
          <t>Garissa Solar (REREC/REA, 50→54,66 MW)</t>
        </is>
      </c>
      <c r="F170" t="inlineStr">
        <is>
          <t>dette_duree</t>
        </is>
      </c>
      <c r="G170" t="n">
        <v>20</v>
      </c>
      <c r="H170" t="inlineStr">
        <is>
          <t>ans (dont 7 ans de grâce)</t>
        </is>
      </c>
      <c r="I170" t="inlineStr">
        <is>
          <t>observée</t>
        </is>
      </c>
      <c r="J170" t="n">
        <v>2015</v>
      </c>
      <c r="K170" t="inlineStr">
        <is>
          <t>A</t>
        </is>
      </c>
      <c r="L170" t="inlineStr">
        <is>
          <t>confirmé</t>
        </is>
      </c>
      <c r="M170" t="inlineStr">
        <is>
          <t>AidData (William &amp; Mary)</t>
        </is>
      </c>
      <c r="N170" t="inlineStr">
        <is>
          <t>China Eximbank RMB 867.2 million government concessional loan for 54.66 MW Garissa Solar Power Plant Construction Project</t>
        </is>
      </c>
      <c r="O170" t="inlineStr">
        <is>
          <t>https://china.aiddata.org/projects/47008</t>
        </is>
      </c>
      <c r="P170" t="inlineStr">
        <is>
          <t>2015-08-31</t>
        </is>
      </c>
      <c r="Q170" t="inlineStr">
        <is>
          <t>a 20-year maturity ... a 7-year grace period</t>
        </is>
      </c>
      <c r="R170" t="inlineStr"/>
    </row>
    <row r="171">
      <c r="A171" t="inlineStr">
        <is>
          <t>retenu</t>
        </is>
      </c>
      <c r="B171" t="inlineStr">
        <is>
          <t>A_centre_est</t>
        </is>
      </c>
      <c r="C171" t="inlineStr">
        <is>
          <t>A</t>
        </is>
      </c>
      <c r="D171" t="inlineStr">
        <is>
          <t>KEN</t>
        </is>
      </c>
      <c r="E171" t="inlineStr">
        <is>
          <t>Garissa Solar (REREC/REA, 50→54,66 MW)</t>
        </is>
      </c>
      <c r="F171" t="inlineStr">
        <is>
          <t>puissance_mwp</t>
        </is>
      </c>
      <c r="G171" t="n">
        <v>54.66</v>
      </c>
      <c r="H171" t="inlineStr">
        <is>
          <t>MW (DC/AC non précisé)</t>
        </is>
      </c>
      <c r="I171" t="inlineStr">
        <is>
          <t>observée</t>
        </is>
      </c>
      <c r="J171" t="n">
        <v>2019</v>
      </c>
      <c r="K171" t="inlineStr">
        <is>
          <t>A</t>
        </is>
      </c>
      <c r="L171" t="inlineStr">
        <is>
          <t>confirmé</t>
        </is>
      </c>
      <c r="M171" t="inlineStr">
        <is>
          <t>AidData (William &amp; Mary)</t>
        </is>
      </c>
      <c r="N171" t="inlineStr">
        <is>
          <t>China Eximbank RMB 867.2 million government concessional loan for 54.66 MW Garissa Solar Power Plant Construction Project</t>
        </is>
      </c>
      <c r="O171" t="inlineStr">
        <is>
          <t>https://china.aiddata.org/projects/47008</t>
        </is>
      </c>
      <c r="P171" t="inlineStr">
        <is>
          <t>2015-08-31</t>
        </is>
      </c>
      <c r="Q171" t="inlineStr">
        <is>
          <t>the capacity of the plant was increased from 50MW to 54.66MW</t>
        </is>
      </c>
      <c r="R171" t="inlineStr"/>
    </row>
    <row r="172">
      <c r="A172" t="inlineStr">
        <is>
          <t>qualitatif</t>
        </is>
      </c>
      <c r="B172" t="inlineStr">
        <is>
          <t>A_centre_est</t>
        </is>
      </c>
      <c r="C172" t="inlineStr">
        <is>
          <t>A</t>
        </is>
      </c>
      <c r="D172" t="inlineStr">
        <is>
          <t>KEN</t>
        </is>
      </c>
      <c r="E172" t="inlineStr">
        <is>
          <t>Garissa Solar (REREC/REA, 50→54,66 MW)</t>
        </is>
      </c>
      <c r="F172" t="inlineStr">
        <is>
          <t>procedure</t>
        </is>
      </c>
      <c r="G172" t="inlineStr">
        <is>
          <t>EPC public (China Jiangxi / CJIC) financé par prêt concessionnel Exim Bank de Chine</t>
        </is>
      </c>
      <c r="H172" t="inlineStr">
        <is>
          <t>texte</t>
        </is>
      </c>
      <c r="I172" t="inlineStr">
        <is>
          <t>observée</t>
        </is>
      </c>
      <c r="J172" t="n">
        <v>2015</v>
      </c>
      <c r="K172" t="inlineStr">
        <is>
          <t>A</t>
        </is>
      </c>
      <c r="L172" t="inlineStr">
        <is>
          <t>qualitatif_citation_ok</t>
        </is>
      </c>
      <c r="M172" t="inlineStr">
        <is>
          <t>AidData (William &amp; Mary)</t>
        </is>
      </c>
      <c r="N172" t="inlineStr">
        <is>
          <t>China Eximbank RMB 867.2 million government concessional loan for 54.66 MW Garissa Solar Power Plant Construction Project</t>
        </is>
      </c>
      <c r="O172" t="inlineStr">
        <is>
          <t>https://china.aiddata.org/projects/47008</t>
        </is>
      </c>
      <c r="P172" t="inlineStr">
        <is>
          <t>2015-08-31</t>
        </is>
      </c>
      <c r="Q172" t="inlineStr">
        <is>
          <t>On August 31, 2015, China Eximbank and the Government of Kenya signed a government concessional loan</t>
        </is>
      </c>
      <c r="R172" t="inlineStr"/>
    </row>
    <row r="173">
      <c r="A173" t="inlineStr">
        <is>
          <t>retenu</t>
        </is>
      </c>
      <c r="B173" t="inlineStr">
        <is>
          <t>A_centre_est</t>
        </is>
      </c>
      <c r="C173" t="inlineStr">
        <is>
          <t>A</t>
        </is>
      </c>
      <c r="D173" t="inlineStr">
        <is>
          <t>KEN</t>
        </is>
      </c>
      <c r="E173" t="inlineStr">
        <is>
          <t>Garissa Solar (REREC/REA, 50→54,66 MW)</t>
        </is>
      </c>
      <c r="F173" t="inlineStr">
        <is>
          <t>annee_mise_en_service</t>
        </is>
      </c>
      <c r="G173" t="n">
        <v>2019</v>
      </c>
      <c r="H173" t="inlineStr">
        <is>
          <t>année (lancement présidentiel)</t>
        </is>
      </c>
      <c r="I173" t="inlineStr">
        <is>
          <t>observée</t>
        </is>
      </c>
      <c r="J173" t="n">
        <v>2019</v>
      </c>
      <c r="K173" t="inlineStr">
        <is>
          <t>A</t>
        </is>
      </c>
      <c r="L173" t="inlineStr">
        <is>
          <t>citation_partielle</t>
        </is>
      </c>
      <c r="M173" t="inlineStr">
        <is>
          <t>AidData (William &amp; Mary)</t>
        </is>
      </c>
      <c r="N173" t="inlineStr">
        <is>
          <t>China Eximbank RMB 867.2 million government concessional loan for 54.66 MW Garissa Solar Power Plant Construction Project</t>
        </is>
      </c>
      <c r="O173" t="inlineStr">
        <is>
          <t>https://china.aiddata.org/projects/47008</t>
        </is>
      </c>
      <c r="P173" t="inlineStr">
        <is>
          <t>2015-08-31</t>
        </is>
      </c>
      <c r="Q173" t="inlineStr">
        <is>
          <t>the president launched the plant on December 13, 2019</t>
        </is>
      </c>
      <c r="R173" t="inlineStr">
        <is>
          <t>Une source citée par AidData évoque une mise en service dès le 24/09/2018.</t>
        </is>
      </c>
    </row>
    <row r="174">
      <c r="A174" t="inlineStr">
        <is>
          <t>retenu</t>
        </is>
      </c>
      <c r="B174" t="inlineStr">
        <is>
          <t>A_centre_est</t>
        </is>
      </c>
      <c r="C174" t="inlineStr">
        <is>
          <t>A</t>
        </is>
      </c>
      <c r="D174" t="inlineStr">
        <is>
          <t>KEN</t>
        </is>
      </c>
      <c r="E174" t="inlineStr">
        <is>
          <t>Garissa Solar (REREC/REA, 50→54,66 MW)</t>
        </is>
      </c>
      <c r="F174" t="inlineStr">
        <is>
          <t>tarif</t>
        </is>
      </c>
      <c r="G174" t="n">
        <v>12</v>
      </c>
      <c r="H174" t="inlineStr">
        <is>
          <t>KES/kWh (tarif initial FiT)</t>
        </is>
      </c>
      <c r="I174" t="inlineStr">
        <is>
          <t>observée</t>
        </is>
      </c>
      <c r="J174" t="n">
        <v>2016</v>
      </c>
      <c r="K174" t="inlineStr">
        <is>
          <t>C</t>
        </is>
      </c>
      <c r="L174" t="inlineStr">
        <is>
          <t>confirmé</t>
        </is>
      </c>
      <c r="M174" t="inlineStr">
        <is>
          <t>Green Building Africa</t>
        </is>
      </c>
      <c r="N174" t="inlineStr">
        <is>
          <t>Kenyan government cuts 54.6 MW Garissa solar farm PPA tariff</t>
        </is>
      </c>
      <c r="O174" t="inlineStr">
        <is>
          <t>https://www.greenbuildingafrica.co.za/kenyan-government-cuts-54-6-mw-garissa-solar-farm-ppa-tariff/</t>
        </is>
      </c>
      <c r="P174" t="inlineStr">
        <is>
          <t>2019-04-23</t>
        </is>
      </c>
      <c r="Q174" t="inlineStr">
        <is>
          <t>an initial feed-in tariff of Sh12 per kWh</t>
        </is>
      </c>
      <c r="R174" t="inlineStr"/>
    </row>
    <row r="175">
      <c r="A175" t="inlineStr">
        <is>
          <t>retenu</t>
        </is>
      </c>
      <c r="B175" t="inlineStr">
        <is>
          <t>A_centre_est</t>
        </is>
      </c>
      <c r="C175" t="inlineStr">
        <is>
          <t>A</t>
        </is>
      </c>
      <c r="D175" t="inlineStr">
        <is>
          <t>KEN</t>
        </is>
      </c>
      <c r="E175" t="inlineStr">
        <is>
          <t>Garissa Solar (REREC/REA, 50→54,66 MW)</t>
        </is>
      </c>
      <c r="F175" t="inlineStr">
        <is>
          <t>tarif</t>
        </is>
      </c>
      <c r="G175" t="n">
        <v>5.49</v>
      </c>
      <c r="H175" t="inlineStr">
        <is>
          <t>KES/kWh (tarif réduit sur directive gouvernementale)</t>
        </is>
      </c>
      <c r="I175" t="inlineStr">
        <is>
          <t>observée</t>
        </is>
      </c>
      <c r="J175" t="n">
        <v>2018</v>
      </c>
      <c r="K175" t="inlineStr">
        <is>
          <t>C</t>
        </is>
      </c>
      <c r="L175" t="inlineStr">
        <is>
          <t>confirmé</t>
        </is>
      </c>
      <c r="M175" t="inlineStr">
        <is>
          <t>Green Building Africa</t>
        </is>
      </c>
      <c r="N175" t="inlineStr">
        <is>
          <t>Kenyan government cuts 54.6 MW Garissa solar farm PPA tariff</t>
        </is>
      </c>
      <c r="O175" t="inlineStr">
        <is>
          <t>https://www.greenbuildingafrica.co.za/kenyan-government-cuts-54-6-mw-garissa-solar-farm-ppa-tariff/</t>
        </is>
      </c>
      <c r="P175" t="inlineStr">
        <is>
          <t>2019-04-23</t>
        </is>
      </c>
      <c r="Q175" t="inlineStr">
        <is>
          <t>later directed a cut in the tariff by more than half to Sh5.49 per kWh</t>
        </is>
      </c>
      <c r="R175" t="inlineStr"/>
    </row>
    <row r="176">
      <c r="A176" t="inlineStr">
        <is>
          <t>retenu</t>
        </is>
      </c>
      <c r="B176" t="inlineStr">
        <is>
          <t>A_centre_est</t>
        </is>
      </c>
      <c r="C176" t="inlineStr">
        <is>
          <t>A</t>
        </is>
      </c>
      <c r="D176" t="inlineStr">
        <is>
          <t>KEN</t>
        </is>
      </c>
      <c r="E176" t="inlineStr">
        <is>
          <t>Garissa Solar (REREC/REA, 50→54,66 MW)</t>
        </is>
      </c>
      <c r="F176" t="inlineStr">
        <is>
          <t>ppa_duree</t>
        </is>
      </c>
      <c r="G176" t="n">
        <v>25</v>
      </c>
      <c r="H176" t="inlineStr">
        <is>
          <t>ans</t>
        </is>
      </c>
      <c r="I176" t="inlineStr">
        <is>
          <t>observée</t>
        </is>
      </c>
      <c r="J176" t="n">
        <v>2016</v>
      </c>
      <c r="K176" t="inlineStr">
        <is>
          <t>C</t>
        </is>
      </c>
      <c r="L176" t="inlineStr">
        <is>
          <t>confirmé</t>
        </is>
      </c>
      <c r="M176" t="inlineStr">
        <is>
          <t>Green Building Africa</t>
        </is>
      </c>
      <c r="N176" t="inlineStr">
        <is>
          <t>Kenyan government cuts 54.6 MW Garissa solar farm PPA tariff</t>
        </is>
      </c>
      <c r="O176" t="inlineStr">
        <is>
          <t>https://www.greenbuildingafrica.co.za/kenyan-government-cuts-54-6-mw-garissa-solar-farm-ppa-tariff/</t>
        </is>
      </c>
      <c r="P176" t="inlineStr">
        <is>
          <t>2019-04-23</t>
        </is>
      </c>
      <c r="Q176" t="inlineStr">
        <is>
          <t>a 25-year power purchase agreement (PPA)</t>
        </is>
      </c>
      <c r="R176" t="inlineStr">
        <is>
          <t>Acheteur : Kenya Power.</t>
        </is>
      </c>
    </row>
    <row r="177">
      <c r="A177" t="inlineStr">
        <is>
          <t>retenu</t>
        </is>
      </c>
      <c r="B177" t="inlineStr">
        <is>
          <t>A_centre_est</t>
        </is>
      </c>
      <c r="C177" t="inlineStr">
        <is>
          <t>A</t>
        </is>
      </c>
      <c r="D177" t="inlineStr">
        <is>
          <t>KEN</t>
        </is>
      </c>
      <c r="E177" t="inlineStr">
        <is>
          <t>Garissa Solar (REREC/REA, 50→54,66 MW)</t>
        </is>
      </c>
      <c r="F177" t="inlineStr">
        <is>
          <t>tarif</t>
        </is>
      </c>
      <c r="G177" t="n">
        <v>0.0549</v>
      </c>
      <c r="H177" t="inlineStr">
        <is>
          <t>USD/kWh ? (unité ambiguë 'cents')</t>
        </is>
      </c>
      <c r="I177" t="inlineStr">
        <is>
          <t>déclarée</t>
        </is>
      </c>
      <c r="J177" t="n">
        <v>2018</v>
      </c>
      <c r="K177" t="inlineStr">
        <is>
          <t>C</t>
        </is>
      </c>
      <c r="L177" t="inlineStr">
        <is>
          <t>confirmé</t>
        </is>
      </c>
      <c r="M177" t="inlineStr">
        <is>
          <t>Agence Ecofin</t>
        </is>
      </c>
      <c r="N177" t="inlineStr">
        <is>
          <t>Kenya cuts the price of energy generated by Garissa solar plant by half</t>
        </is>
      </c>
      <c r="O177" t="inlineStr">
        <is>
          <t>https://www.ecofinagency.com/electricity/1204-38338-kenya-cuts-the-price-of-energy-generated-by-garissa-solar-plant-by-half</t>
        </is>
      </c>
      <c r="P177" t="inlineStr">
        <is>
          <t>2018-04-12</t>
        </is>
      </c>
      <c r="Q177" t="inlineStr">
        <is>
          <t>will be sold at 5.49 cents per kilowatt ... instead of the 12 cents decided in 2016</t>
        </is>
      </c>
      <c r="R177" t="inlineStr">
        <is>
          <t>Conflit d'unité : Ecofin écrit 'cents' alors que Green Building Africa écrit Sh (KES). Probablement KES ; à ne pas utiliser en USD sans vérification.</t>
        </is>
      </c>
    </row>
    <row r="178">
      <c r="A178" t="inlineStr">
        <is>
          <t>retenu</t>
        </is>
      </c>
      <c r="B178" t="inlineStr">
        <is>
          <t>A_centre_est</t>
        </is>
      </c>
      <c r="C178" t="inlineStr">
        <is>
          <t>A</t>
        </is>
      </c>
      <c r="D178" t="inlineStr">
        <is>
          <t>KEN</t>
        </is>
      </c>
      <c r="E178" t="inlineStr">
        <is>
          <t>Malindi Solar (Globeleq/AEDC)</t>
        </is>
      </c>
      <c r="F178" t="inlineStr">
        <is>
          <t>tarif</t>
        </is>
      </c>
      <c r="G178" t="n">
        <v>0.12</v>
      </c>
      <c r="H178" t="inlineStr">
        <is>
          <t>USD/kWh (≈12 KES ; FiT)</t>
        </is>
      </c>
      <c r="I178" t="inlineStr">
        <is>
          <t>déclarée</t>
        </is>
      </c>
      <c r="J178" t="n">
        <v>2017</v>
      </c>
      <c r="K178" t="inlineStr">
        <is>
          <t>C</t>
        </is>
      </c>
      <c r="L178" t="inlineStr">
        <is>
          <t>confirmé</t>
        </is>
      </c>
      <c r="M178" t="inlineStr">
        <is>
          <t>Business Daily Africa</t>
        </is>
      </c>
      <c r="N178" t="inlineStr">
        <is>
          <t>Cheap solar power in the horizon for Kenyan consumers</t>
        </is>
      </c>
      <c r="O178" t="inlineStr">
        <is>
          <t>https://www.businessdailyafrica.com/news/Kenya-Power-cheap-solar-energy-consumers/539546-4153812-2hvb7rz/index.html</t>
        </is>
      </c>
      <c r="P178" t="inlineStr">
        <is>
          <t>2017-10-24</t>
        </is>
      </c>
      <c r="Q178" t="inlineStr">
        <is>
          <t>the current high of $0.12 (about Sh12) per kilowatt-hour</t>
        </is>
      </c>
      <c r="R178" t="inlineStr">
        <is>
          <t>Tarif FiT cité globalement pour les 4 PPA signés en juin 2017, pas par projet. Indexation non précisée.</t>
        </is>
      </c>
    </row>
    <row r="179">
      <c r="A179" t="inlineStr">
        <is>
          <t>qualitatif</t>
        </is>
      </c>
      <c r="B179" t="inlineStr">
        <is>
          <t>A_centre_est</t>
        </is>
      </c>
      <c r="C179" t="inlineStr">
        <is>
          <t>A</t>
        </is>
      </c>
      <c r="D179" t="inlineStr">
        <is>
          <t>KEN</t>
        </is>
      </c>
      <c r="E179" t="inlineStr">
        <is>
          <t>Malindi Solar (Globeleq/AEDC)</t>
        </is>
      </c>
      <c r="F179" t="inlineStr">
        <is>
          <t>procedure</t>
        </is>
      </c>
      <c r="G179" t="inlineStr">
        <is>
          <t>FiT (Feed-in Tariff Policy 2012) – PPA signé juin 2017</t>
        </is>
      </c>
      <c r="H179" t="inlineStr">
        <is>
          <t>texte</t>
        </is>
      </c>
      <c r="I179" t="inlineStr">
        <is>
          <t>observée</t>
        </is>
      </c>
      <c r="J179" t="n">
        <v>2017</v>
      </c>
      <c r="K179" t="inlineStr">
        <is>
          <t>C</t>
        </is>
      </c>
      <c r="L179" t="inlineStr">
        <is>
          <t>qualitatif_citation_ok</t>
        </is>
      </c>
      <c r="M179" t="inlineStr">
        <is>
          <t>Business Daily Africa</t>
        </is>
      </c>
      <c r="N179" t="inlineStr">
        <is>
          <t>Cheap solar power in the horizon for Kenyan consumers</t>
        </is>
      </c>
      <c r="O179" t="inlineStr">
        <is>
          <t>https://www.businessdailyafrica.com/news/Kenya-Power-cheap-solar-energy-consumers/539546-4153812-2hvb7rz/index.html</t>
        </is>
      </c>
      <c r="P179" t="inlineStr">
        <is>
          <t>2017-10-24</t>
        </is>
      </c>
      <c r="Q179" t="inlineStr">
        <is>
          <t>a 20-year power purchase agreement with four solar firms</t>
        </is>
      </c>
      <c r="R179" t="inlineStr"/>
    </row>
    <row r="180">
      <c r="A180" t="inlineStr">
        <is>
          <t>retenu</t>
        </is>
      </c>
      <c r="B180" t="inlineStr">
        <is>
          <t>A_centre_est</t>
        </is>
      </c>
      <c r="C180" t="inlineStr">
        <is>
          <t>A</t>
        </is>
      </c>
      <c r="D180" t="inlineStr">
        <is>
          <t>KEN</t>
        </is>
      </c>
      <c r="E180" t="inlineStr">
        <is>
          <t>Malindi Solar (Globeleq/AEDC)</t>
        </is>
      </c>
      <c r="F180" t="inlineStr">
        <is>
          <t>ppa_duree</t>
        </is>
      </c>
      <c r="G180" t="n">
        <v>20</v>
      </c>
      <c r="H180" t="inlineStr">
        <is>
          <t>ans</t>
        </is>
      </c>
      <c r="I180" t="inlineStr">
        <is>
          <t>observée</t>
        </is>
      </c>
      <c r="J180" t="n">
        <v>2017</v>
      </c>
      <c r="K180" t="inlineStr">
        <is>
          <t>C</t>
        </is>
      </c>
      <c r="L180" t="inlineStr">
        <is>
          <t>confirmé</t>
        </is>
      </c>
      <c r="M180" t="inlineStr">
        <is>
          <t>Business Daily Africa</t>
        </is>
      </c>
      <c r="N180" t="inlineStr">
        <is>
          <t>Cheap solar power in the horizon for Kenyan consumers</t>
        </is>
      </c>
      <c r="O180" t="inlineStr">
        <is>
          <t>https://www.businessdailyafrica.com/news/Kenya-Power-cheap-solar-energy-consumers/539546-4153812-2hvb7rz/index.html</t>
        </is>
      </c>
      <c r="P180" t="inlineStr">
        <is>
          <t>2017-10-24</t>
        </is>
      </c>
      <c r="Q180" t="inlineStr">
        <is>
          <t>a 20-year power purchase agreement with four solar firms</t>
        </is>
      </c>
      <c r="R180" t="inlineStr">
        <is>
          <t>Acheteur : Kenya Power.</t>
        </is>
      </c>
    </row>
    <row r="181">
      <c r="A181" t="inlineStr">
        <is>
          <t>retenu</t>
        </is>
      </c>
      <c r="B181" t="inlineStr">
        <is>
          <t>A_centre_est</t>
        </is>
      </c>
      <c r="C181" t="inlineStr">
        <is>
          <t>A</t>
        </is>
      </c>
      <c r="D181" t="inlineStr">
        <is>
          <t>KEN</t>
        </is>
      </c>
      <c r="E181" t="inlineStr">
        <is>
          <t>Kesses Solar (Alten Kenya)</t>
        </is>
      </c>
      <c r="F181" t="inlineStr">
        <is>
          <t>tarif</t>
        </is>
      </c>
      <c r="G181" t="n">
        <v>0.12</v>
      </c>
      <c r="H181" t="inlineStr">
        <is>
          <t>USD/kWh (≈12 KES ; FiT)</t>
        </is>
      </c>
      <c r="I181" t="inlineStr">
        <is>
          <t>déclarée</t>
        </is>
      </c>
      <c r="J181" t="n">
        <v>2017</v>
      </c>
      <c r="K181" t="inlineStr">
        <is>
          <t>C</t>
        </is>
      </c>
      <c r="L181" t="inlineStr">
        <is>
          <t>confirmé</t>
        </is>
      </c>
      <c r="M181" t="inlineStr">
        <is>
          <t>Business Daily Africa</t>
        </is>
      </c>
      <c r="N181" t="inlineStr">
        <is>
          <t>Cheap solar power in the horizon for Kenyan consumers</t>
        </is>
      </c>
      <c r="O181" t="inlineStr">
        <is>
          <t>https://www.businessdailyafrica.com/news/Kenya-Power-cheap-solar-energy-consumers/539546-4153812-2hvb7rz/index.html</t>
        </is>
      </c>
      <c r="P181" t="inlineStr">
        <is>
          <t>2017-10-24</t>
        </is>
      </c>
      <c r="Q181" t="inlineStr">
        <is>
          <t>the current high of $0.12 (about Sh12) per kilowatt-hour</t>
        </is>
      </c>
      <c r="R181" t="inlineStr">
        <is>
          <t>Tarif FiT cité globalement pour les 4 PPA signés en juin 2017, pas par projet. Indexation non précisée.</t>
        </is>
      </c>
    </row>
    <row r="182">
      <c r="A182" t="inlineStr">
        <is>
          <t>qualitatif</t>
        </is>
      </c>
      <c r="B182" t="inlineStr">
        <is>
          <t>A_centre_est</t>
        </is>
      </c>
      <c r="C182" t="inlineStr">
        <is>
          <t>A</t>
        </is>
      </c>
      <c r="D182" t="inlineStr">
        <is>
          <t>KEN</t>
        </is>
      </c>
      <c r="E182" t="inlineStr">
        <is>
          <t>Kesses Solar (Alten Kenya)</t>
        </is>
      </c>
      <c r="F182" t="inlineStr">
        <is>
          <t>procedure</t>
        </is>
      </c>
      <c r="G182" t="inlineStr">
        <is>
          <t>FiT (Feed-in Tariff Policy 2012) – PPA signé juin 2017</t>
        </is>
      </c>
      <c r="H182" t="inlineStr">
        <is>
          <t>texte</t>
        </is>
      </c>
      <c r="I182" t="inlineStr">
        <is>
          <t>observée</t>
        </is>
      </c>
      <c r="J182" t="n">
        <v>2017</v>
      </c>
      <c r="K182" t="inlineStr">
        <is>
          <t>C</t>
        </is>
      </c>
      <c r="L182" t="inlineStr">
        <is>
          <t>qualitatif_citation_ok</t>
        </is>
      </c>
      <c r="M182" t="inlineStr">
        <is>
          <t>Business Daily Africa</t>
        </is>
      </c>
      <c r="N182" t="inlineStr">
        <is>
          <t>Cheap solar power in the horizon for Kenyan consumers</t>
        </is>
      </c>
      <c r="O182" t="inlineStr">
        <is>
          <t>https://www.businessdailyafrica.com/news/Kenya-Power-cheap-solar-energy-consumers/539546-4153812-2hvb7rz/index.html</t>
        </is>
      </c>
      <c r="P182" t="inlineStr">
        <is>
          <t>2017-10-24</t>
        </is>
      </c>
      <c r="Q182" t="inlineStr">
        <is>
          <t>a 20-year power purchase agreement with four solar firms</t>
        </is>
      </c>
      <c r="R182" t="inlineStr"/>
    </row>
    <row r="183">
      <c r="A183" t="inlineStr">
        <is>
          <t>retenu</t>
        </is>
      </c>
      <c r="B183" t="inlineStr">
        <is>
          <t>A_centre_est</t>
        </is>
      </c>
      <c r="C183" t="inlineStr">
        <is>
          <t>A</t>
        </is>
      </c>
      <c r="D183" t="inlineStr">
        <is>
          <t>KEN</t>
        </is>
      </c>
      <c r="E183" t="inlineStr">
        <is>
          <t>Kesses Solar (Alten Kenya)</t>
        </is>
      </c>
      <c r="F183" t="inlineStr">
        <is>
          <t>ppa_duree</t>
        </is>
      </c>
      <c r="G183" t="n">
        <v>20</v>
      </c>
      <c r="H183" t="inlineStr">
        <is>
          <t>ans</t>
        </is>
      </c>
      <c r="I183" t="inlineStr">
        <is>
          <t>observée</t>
        </is>
      </c>
      <c r="J183" t="n">
        <v>2017</v>
      </c>
      <c r="K183" t="inlineStr">
        <is>
          <t>C</t>
        </is>
      </c>
      <c r="L183" t="inlineStr">
        <is>
          <t>confirmé</t>
        </is>
      </c>
      <c r="M183" t="inlineStr">
        <is>
          <t>Business Daily Africa</t>
        </is>
      </c>
      <c r="N183" t="inlineStr">
        <is>
          <t>Cheap solar power in the horizon for Kenyan consumers</t>
        </is>
      </c>
      <c r="O183" t="inlineStr">
        <is>
          <t>https://www.businessdailyafrica.com/news/Kenya-Power-cheap-solar-energy-consumers/539546-4153812-2hvb7rz/index.html</t>
        </is>
      </c>
      <c r="P183" t="inlineStr">
        <is>
          <t>2017-10-24</t>
        </is>
      </c>
      <c r="Q183" t="inlineStr">
        <is>
          <t>a 20-year power purchase agreement with four solar firms</t>
        </is>
      </c>
      <c r="R183" t="inlineStr">
        <is>
          <t>Acheteur : Kenya Power.</t>
        </is>
      </c>
    </row>
    <row r="184">
      <c r="A184" t="inlineStr">
        <is>
          <t>retenu</t>
        </is>
      </c>
      <c r="B184" t="inlineStr">
        <is>
          <t>A_centre_est</t>
        </is>
      </c>
      <c r="C184" t="inlineStr">
        <is>
          <t>A</t>
        </is>
      </c>
      <c r="D184" t="inlineStr">
        <is>
          <t>KEN</t>
        </is>
      </c>
      <c r="E184" t="inlineStr">
        <is>
          <t>Eldosol (Frontier Energy)</t>
        </is>
      </c>
      <c r="F184" t="inlineStr">
        <is>
          <t>tarif</t>
        </is>
      </c>
      <c r="G184" t="n">
        <v>0.12</v>
      </c>
      <c r="H184" t="inlineStr">
        <is>
          <t>USD/kWh (≈12 KES ; FiT)</t>
        </is>
      </c>
      <c r="I184" t="inlineStr">
        <is>
          <t>déclarée</t>
        </is>
      </c>
      <c r="J184" t="n">
        <v>2017</v>
      </c>
      <c r="K184" t="inlineStr">
        <is>
          <t>C</t>
        </is>
      </c>
      <c r="L184" t="inlineStr">
        <is>
          <t>confirmé</t>
        </is>
      </c>
      <c r="M184" t="inlineStr">
        <is>
          <t>Business Daily Africa</t>
        </is>
      </c>
      <c r="N184" t="inlineStr">
        <is>
          <t>Cheap solar power in the horizon for Kenyan consumers</t>
        </is>
      </c>
      <c r="O184" t="inlineStr">
        <is>
          <t>https://www.businessdailyafrica.com/news/Kenya-Power-cheap-solar-energy-consumers/539546-4153812-2hvb7rz/index.html</t>
        </is>
      </c>
      <c r="P184" t="inlineStr">
        <is>
          <t>2017-10-24</t>
        </is>
      </c>
      <c r="Q184" t="inlineStr">
        <is>
          <t>the current high of $0.12 (about Sh12) per kilowatt-hour</t>
        </is>
      </c>
      <c r="R184" t="inlineStr">
        <is>
          <t>Tarif FiT cité globalement pour les 4 PPA signés en juin 2017, pas par projet. Indexation non précisée.</t>
        </is>
      </c>
    </row>
    <row r="185">
      <c r="A185" t="inlineStr">
        <is>
          <t>qualitatif</t>
        </is>
      </c>
      <c r="B185" t="inlineStr">
        <is>
          <t>A_centre_est</t>
        </is>
      </c>
      <c r="C185" t="inlineStr">
        <is>
          <t>A</t>
        </is>
      </c>
      <c r="D185" t="inlineStr">
        <is>
          <t>KEN</t>
        </is>
      </c>
      <c r="E185" t="inlineStr">
        <is>
          <t>Eldosol (Frontier Energy)</t>
        </is>
      </c>
      <c r="F185" t="inlineStr">
        <is>
          <t>procedure</t>
        </is>
      </c>
      <c r="G185" t="inlineStr">
        <is>
          <t>FiT (Feed-in Tariff Policy 2012) – PPA signé juin 2017</t>
        </is>
      </c>
      <c r="H185" t="inlineStr">
        <is>
          <t>texte</t>
        </is>
      </c>
      <c r="I185" t="inlineStr">
        <is>
          <t>observée</t>
        </is>
      </c>
      <c r="J185" t="n">
        <v>2017</v>
      </c>
      <c r="K185" t="inlineStr">
        <is>
          <t>C</t>
        </is>
      </c>
      <c r="L185" t="inlineStr">
        <is>
          <t>qualitatif_citation_ok</t>
        </is>
      </c>
      <c r="M185" t="inlineStr">
        <is>
          <t>Business Daily Africa</t>
        </is>
      </c>
      <c r="N185" t="inlineStr">
        <is>
          <t>Cheap solar power in the horizon for Kenyan consumers</t>
        </is>
      </c>
      <c r="O185" t="inlineStr">
        <is>
          <t>https://www.businessdailyafrica.com/news/Kenya-Power-cheap-solar-energy-consumers/539546-4153812-2hvb7rz/index.html</t>
        </is>
      </c>
      <c r="P185" t="inlineStr">
        <is>
          <t>2017-10-24</t>
        </is>
      </c>
      <c r="Q185" t="inlineStr">
        <is>
          <t>a 20-year power purchase agreement with four solar firms</t>
        </is>
      </c>
      <c r="R185" t="inlineStr"/>
    </row>
    <row r="186">
      <c r="A186" t="inlineStr">
        <is>
          <t>retenu</t>
        </is>
      </c>
      <c r="B186" t="inlineStr">
        <is>
          <t>A_centre_est</t>
        </is>
      </c>
      <c r="C186" t="inlineStr">
        <is>
          <t>A</t>
        </is>
      </c>
      <c r="D186" t="inlineStr">
        <is>
          <t>KEN</t>
        </is>
      </c>
      <c r="E186" t="inlineStr">
        <is>
          <t>Eldosol (Frontier Energy)</t>
        </is>
      </c>
      <c r="F186" t="inlineStr">
        <is>
          <t>ppa_duree</t>
        </is>
      </c>
      <c r="G186" t="n">
        <v>20</v>
      </c>
      <c r="H186" t="inlineStr">
        <is>
          <t>ans</t>
        </is>
      </c>
      <c r="I186" t="inlineStr">
        <is>
          <t>observée</t>
        </is>
      </c>
      <c r="J186" t="n">
        <v>2017</v>
      </c>
      <c r="K186" t="inlineStr">
        <is>
          <t>C</t>
        </is>
      </c>
      <c r="L186" t="inlineStr">
        <is>
          <t>confirmé</t>
        </is>
      </c>
      <c r="M186" t="inlineStr">
        <is>
          <t>Business Daily Africa</t>
        </is>
      </c>
      <c r="N186" t="inlineStr">
        <is>
          <t>Cheap solar power in the horizon for Kenyan consumers</t>
        </is>
      </c>
      <c r="O186" t="inlineStr">
        <is>
          <t>https://www.businessdailyafrica.com/news/Kenya-Power-cheap-solar-energy-consumers/539546-4153812-2hvb7rz/index.html</t>
        </is>
      </c>
      <c r="P186" t="inlineStr">
        <is>
          <t>2017-10-24</t>
        </is>
      </c>
      <c r="Q186" t="inlineStr">
        <is>
          <t>a 20-year power purchase agreement with four solar firms</t>
        </is>
      </c>
      <c r="R186" t="inlineStr">
        <is>
          <t>Acheteur : Kenya Power.</t>
        </is>
      </c>
    </row>
    <row r="187">
      <c r="A187" t="inlineStr">
        <is>
          <t>retenu</t>
        </is>
      </c>
      <c r="B187" t="inlineStr">
        <is>
          <t>A_centre_est</t>
        </is>
      </c>
      <c r="C187" t="inlineStr">
        <is>
          <t>A</t>
        </is>
      </c>
      <c r="D187" t="inlineStr">
        <is>
          <t>KEN</t>
        </is>
      </c>
      <c r="E187" t="inlineStr">
        <is>
          <t>Radiant (Frontier Energy)</t>
        </is>
      </c>
      <c r="F187" t="inlineStr">
        <is>
          <t>tarif</t>
        </is>
      </c>
      <c r="G187" t="n">
        <v>0.12</v>
      </c>
      <c r="H187" t="inlineStr">
        <is>
          <t>USD/kWh (≈12 KES ; FiT)</t>
        </is>
      </c>
      <c r="I187" t="inlineStr">
        <is>
          <t>déclarée</t>
        </is>
      </c>
      <c r="J187" t="n">
        <v>2017</v>
      </c>
      <c r="K187" t="inlineStr">
        <is>
          <t>C</t>
        </is>
      </c>
      <c r="L187" t="inlineStr">
        <is>
          <t>confirmé</t>
        </is>
      </c>
      <c r="M187" t="inlineStr">
        <is>
          <t>Business Daily Africa</t>
        </is>
      </c>
      <c r="N187" t="inlineStr">
        <is>
          <t>Cheap solar power in the horizon for Kenyan consumers</t>
        </is>
      </c>
      <c r="O187" t="inlineStr">
        <is>
          <t>https://www.businessdailyafrica.com/news/Kenya-Power-cheap-solar-energy-consumers/539546-4153812-2hvb7rz/index.html</t>
        </is>
      </c>
      <c r="P187" t="inlineStr">
        <is>
          <t>2017-10-24</t>
        </is>
      </c>
      <c r="Q187" t="inlineStr">
        <is>
          <t>the current high of $0.12 (about Sh12) per kilowatt-hour</t>
        </is>
      </c>
      <c r="R187" t="inlineStr">
        <is>
          <t>Tarif FiT cité globalement pour les 4 PPA signés en juin 2017, pas par projet. Indexation non précisée.</t>
        </is>
      </c>
    </row>
    <row r="188">
      <c r="A188" t="inlineStr">
        <is>
          <t>qualitatif</t>
        </is>
      </c>
      <c r="B188" t="inlineStr">
        <is>
          <t>A_centre_est</t>
        </is>
      </c>
      <c r="C188" t="inlineStr">
        <is>
          <t>A</t>
        </is>
      </c>
      <c r="D188" t="inlineStr">
        <is>
          <t>KEN</t>
        </is>
      </c>
      <c r="E188" t="inlineStr">
        <is>
          <t>Radiant (Frontier Energy)</t>
        </is>
      </c>
      <c r="F188" t="inlineStr">
        <is>
          <t>procedure</t>
        </is>
      </c>
      <c r="G188" t="inlineStr">
        <is>
          <t>FiT (Feed-in Tariff Policy 2012) – PPA signé juin 2017</t>
        </is>
      </c>
      <c r="H188" t="inlineStr">
        <is>
          <t>texte</t>
        </is>
      </c>
      <c r="I188" t="inlineStr">
        <is>
          <t>observée</t>
        </is>
      </c>
      <c r="J188" t="n">
        <v>2017</v>
      </c>
      <c r="K188" t="inlineStr">
        <is>
          <t>C</t>
        </is>
      </c>
      <c r="L188" t="inlineStr">
        <is>
          <t>qualitatif_citation_ok</t>
        </is>
      </c>
      <c r="M188" t="inlineStr">
        <is>
          <t>Business Daily Africa</t>
        </is>
      </c>
      <c r="N188" t="inlineStr">
        <is>
          <t>Cheap solar power in the horizon for Kenyan consumers</t>
        </is>
      </c>
      <c r="O188" t="inlineStr">
        <is>
          <t>https://www.businessdailyafrica.com/news/Kenya-Power-cheap-solar-energy-consumers/539546-4153812-2hvb7rz/index.html</t>
        </is>
      </c>
      <c r="P188" t="inlineStr">
        <is>
          <t>2017-10-24</t>
        </is>
      </c>
      <c r="Q188" t="inlineStr">
        <is>
          <t>a 20-year power purchase agreement with four solar firms</t>
        </is>
      </c>
      <c r="R188" t="inlineStr"/>
    </row>
    <row r="189">
      <c r="A189" t="inlineStr">
        <is>
          <t>retenu</t>
        </is>
      </c>
      <c r="B189" t="inlineStr">
        <is>
          <t>A_centre_est</t>
        </is>
      </c>
      <c r="C189" t="inlineStr">
        <is>
          <t>A</t>
        </is>
      </c>
      <c r="D189" t="inlineStr">
        <is>
          <t>KEN</t>
        </is>
      </c>
      <c r="E189" t="inlineStr">
        <is>
          <t>Radiant (Frontier Energy)</t>
        </is>
      </c>
      <c r="F189" t="inlineStr">
        <is>
          <t>ppa_duree</t>
        </is>
      </c>
      <c r="G189" t="n">
        <v>20</v>
      </c>
      <c r="H189" t="inlineStr">
        <is>
          <t>ans</t>
        </is>
      </c>
      <c r="I189" t="inlineStr">
        <is>
          <t>observée</t>
        </is>
      </c>
      <c r="J189" t="n">
        <v>2017</v>
      </c>
      <c r="K189" t="inlineStr">
        <is>
          <t>C</t>
        </is>
      </c>
      <c r="L189" t="inlineStr">
        <is>
          <t>confirmé</t>
        </is>
      </c>
      <c r="M189" t="inlineStr">
        <is>
          <t>Business Daily Africa</t>
        </is>
      </c>
      <c r="N189" t="inlineStr">
        <is>
          <t>Cheap solar power in the horizon for Kenyan consumers</t>
        </is>
      </c>
      <c r="O189" t="inlineStr">
        <is>
          <t>https://www.businessdailyafrica.com/news/Kenya-Power-cheap-solar-energy-consumers/539546-4153812-2hvb7rz/index.html</t>
        </is>
      </c>
      <c r="P189" t="inlineStr">
        <is>
          <t>2017-10-24</t>
        </is>
      </c>
      <c r="Q189" t="inlineStr">
        <is>
          <t>a 20-year power purchase agreement with four solar firms</t>
        </is>
      </c>
      <c r="R189" t="inlineStr">
        <is>
          <t>Acheteur : Kenya Power.</t>
        </is>
      </c>
    </row>
    <row r="190">
      <c r="A190" t="inlineStr">
        <is>
          <t>retenu</t>
        </is>
      </c>
      <c r="B190" t="inlineStr">
        <is>
          <t>A_centre_est</t>
        </is>
      </c>
      <c r="C190" t="inlineStr">
        <is>
          <t>A</t>
        </is>
      </c>
      <c r="D190" t="inlineStr">
        <is>
          <t>KEN</t>
        </is>
      </c>
      <c r="E190" t="inlineStr">
        <is>
          <t>Malindi Solar (Globeleq/AEDC)</t>
        </is>
      </c>
      <c r="F190" t="inlineStr">
        <is>
          <t>puissance_mwac</t>
        </is>
      </c>
      <c r="G190" t="n">
        <v>40</v>
      </c>
      <c r="H190" t="inlineStr">
        <is>
          <t>MWac</t>
        </is>
      </c>
      <c r="I190" t="inlineStr">
        <is>
          <t>observée</t>
        </is>
      </c>
      <c r="J190" t="n">
        <v>2019</v>
      </c>
      <c r="K190" t="inlineStr">
        <is>
          <t>B</t>
        </is>
      </c>
      <c r="L190" t="inlineStr">
        <is>
          <t>citation_partielle</t>
        </is>
      </c>
      <c r="M190" t="inlineStr">
        <is>
          <t>Globeleq (communiqué via PR Newswire)</t>
        </is>
      </c>
      <c r="N190" t="inlineStr">
        <is>
          <t>Globeleq reaches financial close on Kenya's first utility-scale IPP solar project</t>
        </is>
      </c>
      <c r="O190" t="inlineStr">
        <is>
          <t>https://www.prnewswire.co.uk/news-releases/globeleq-reaches-financial-close-on-kenya-s-first-utility-scale-ipp-solar-project-844728383</t>
        </is>
      </c>
      <c r="P190" t="inlineStr">
        <is>
          <t>2019-06-03</t>
        </is>
      </c>
      <c r="Q190" t="inlineStr">
        <is>
          <t>the 40 MWAC (52 MW p) Malindi Solar photovoltaic (PV) project</t>
        </is>
      </c>
      <c r="R190" t="inlineStr"/>
    </row>
    <row r="191">
      <c r="A191" t="inlineStr">
        <is>
          <t>retenu</t>
        </is>
      </c>
      <c r="B191" t="inlineStr">
        <is>
          <t>A_centre_est</t>
        </is>
      </c>
      <c r="C191" t="inlineStr">
        <is>
          <t>A</t>
        </is>
      </c>
      <c r="D191" t="inlineStr">
        <is>
          <t>KEN</t>
        </is>
      </c>
      <c r="E191" t="inlineStr">
        <is>
          <t>Malindi Solar (Globeleq/AEDC)</t>
        </is>
      </c>
      <c r="F191" t="inlineStr">
        <is>
          <t>puissance_mwp</t>
        </is>
      </c>
      <c r="G191" t="n">
        <v>52</v>
      </c>
      <c r="H191" t="inlineStr">
        <is>
          <t>MWp</t>
        </is>
      </c>
      <c r="I191" t="inlineStr">
        <is>
          <t>observée</t>
        </is>
      </c>
      <c r="J191" t="n">
        <v>2019</v>
      </c>
      <c r="K191" t="inlineStr">
        <is>
          <t>B</t>
        </is>
      </c>
      <c r="L191" t="inlineStr">
        <is>
          <t>citation_partielle</t>
        </is>
      </c>
      <c r="M191" t="inlineStr">
        <is>
          <t>Globeleq (communiqué via PR Newswire)</t>
        </is>
      </c>
      <c r="N191" t="inlineStr">
        <is>
          <t>Globeleq reaches financial close on Kenya's first utility-scale IPP solar project</t>
        </is>
      </c>
      <c r="O191" t="inlineStr">
        <is>
          <t>https://www.prnewswire.co.uk/news-releases/globeleq-reaches-financial-close-on-kenya-s-first-utility-scale-ipp-solar-project-844728383</t>
        </is>
      </c>
      <c r="P191" t="inlineStr">
        <is>
          <t>2019-06-03</t>
        </is>
      </c>
      <c r="Q191" t="inlineStr">
        <is>
          <t>the 40 MWAC (52 MW p) Malindi Solar photovoltaic (PV) project</t>
        </is>
      </c>
      <c r="R191" t="inlineStr"/>
    </row>
    <row r="192">
      <c r="A192" t="inlineStr">
        <is>
          <t>retenu</t>
        </is>
      </c>
      <c r="B192" t="inlineStr">
        <is>
          <t>A_centre_est</t>
        </is>
      </c>
      <c r="C192" t="inlineStr">
        <is>
          <t>A</t>
        </is>
      </c>
      <c r="D192" t="inlineStr">
        <is>
          <t>KEN</t>
        </is>
      </c>
      <c r="E192" t="inlineStr">
        <is>
          <t>Malindi Solar (Globeleq/AEDC)</t>
        </is>
      </c>
      <c r="F192" t="inlineStr">
        <is>
          <t>capex_total</t>
        </is>
      </c>
      <c r="G192" t="n">
        <v>69</v>
      </c>
      <c r="H192" t="inlineStr">
        <is>
          <t>millions USD</t>
        </is>
      </c>
      <c r="I192" t="inlineStr">
        <is>
          <t>déclarée</t>
        </is>
      </c>
      <c r="J192" t="n">
        <v>2019</v>
      </c>
      <c r="K192" t="inlineStr">
        <is>
          <t>B</t>
        </is>
      </c>
      <c r="L192" t="inlineStr">
        <is>
          <t>confirmé</t>
        </is>
      </c>
      <c r="M192" t="inlineStr">
        <is>
          <t>Globeleq (communiqué via PR Newswire)</t>
        </is>
      </c>
      <c r="N192" t="inlineStr">
        <is>
          <t>Globeleq reaches financial close on Kenya's first utility-scale IPP solar project</t>
        </is>
      </c>
      <c r="O192" t="inlineStr">
        <is>
          <t>https://www.prnewswire.co.uk/news-releases/globeleq-reaches-financial-close-on-kenya-s-first-utility-scale-ipp-solar-project-844728383</t>
        </is>
      </c>
      <c r="P192" t="inlineStr">
        <is>
          <t>2019-06-03</t>
        </is>
      </c>
      <c r="Q192" t="inlineStr">
        <is>
          <t>The US$69 million project</t>
        </is>
      </c>
      <c r="R192" t="inlineStr"/>
    </row>
    <row r="193">
      <c r="A193" t="inlineStr">
        <is>
          <t>qualitatif</t>
        </is>
      </c>
      <c r="B193" t="inlineStr">
        <is>
          <t>A_centre_est</t>
        </is>
      </c>
      <c r="C193" t="inlineStr">
        <is>
          <t>A</t>
        </is>
      </c>
      <c r="D193" t="inlineStr">
        <is>
          <t>KEN</t>
        </is>
      </c>
      <c r="E193" t="inlineStr">
        <is>
          <t>Malindi Solar (Globeleq/AEDC)</t>
        </is>
      </c>
      <c r="F193" t="inlineStr">
        <is>
          <t>financeurs</t>
        </is>
      </c>
      <c r="G193" t="inlineStr">
        <is>
          <t>CDC (MLA) 52 M USD de dette dont 20 M USD DEG</t>
        </is>
      </c>
      <c r="H193" t="inlineStr">
        <is>
          <t>texte</t>
        </is>
      </c>
      <c r="I193" t="inlineStr">
        <is>
          <t>observée</t>
        </is>
      </c>
      <c r="J193" t="n">
        <v>2019</v>
      </c>
      <c r="K193" t="inlineStr">
        <is>
          <t>B</t>
        </is>
      </c>
      <c r="L193" t="inlineStr">
        <is>
          <t>qualitatif_citation_ok</t>
        </is>
      </c>
      <c r="M193" t="inlineStr">
        <is>
          <t>Globeleq (communiqué via PR Newswire)</t>
        </is>
      </c>
      <c r="N193" t="inlineStr">
        <is>
          <t>Globeleq reaches financial close on Kenya's first utility-scale IPP solar project</t>
        </is>
      </c>
      <c r="O193" t="inlineStr">
        <is>
          <t>https://www.prnewswire.co.uk/news-releases/globeleq-reaches-financial-close-on-kenya-s-first-utility-scale-ipp-solar-project-844728383</t>
        </is>
      </c>
      <c r="P193" t="inlineStr">
        <is>
          <t>2019-06-03</t>
        </is>
      </c>
      <c r="Q193" t="inlineStr">
        <is>
          <t>has sourced US$52 million in debt financing including $20 million from DEG, the German development finance institution</t>
        </is>
      </c>
      <c r="R193" t="inlineStr"/>
    </row>
    <row r="194">
      <c r="A194" t="inlineStr">
        <is>
          <t>qualitatif</t>
        </is>
      </c>
      <c r="B194" t="inlineStr">
        <is>
          <t>A_centre_est</t>
        </is>
      </c>
      <c r="C194" t="inlineStr">
        <is>
          <t>A</t>
        </is>
      </c>
      <c r="D194" t="inlineStr">
        <is>
          <t>KEN</t>
        </is>
      </c>
      <c r="E194" t="inlineStr">
        <is>
          <t>Malindi Solar (Globeleq/AEDC)</t>
        </is>
      </c>
      <c r="F194" t="inlineStr">
        <is>
          <t>garanties</t>
        </is>
      </c>
      <c r="G194" t="inlineStr">
        <is>
          <t>Garantie MIGA ~19,6 M USD sur fonds propres et quasi-fonds propres, risque de rupture de contrat, 17 ans (approuvée 12/12/2024)</t>
        </is>
      </c>
      <c r="H194" t="inlineStr">
        <is>
          <t>texte</t>
        </is>
      </c>
      <c r="I194" t="inlineStr">
        <is>
          <t>observée</t>
        </is>
      </c>
      <c r="J194" t="n">
        <v>2024</v>
      </c>
      <c r="K194" t="inlineStr">
        <is>
          <t>A</t>
        </is>
      </c>
      <c r="L194" t="inlineStr">
        <is>
          <t>qualitatif_citation_ok</t>
        </is>
      </c>
      <c r="M194" t="inlineStr">
        <is>
          <t>MIGA (Groupe Banque mondiale)</t>
        </is>
      </c>
      <c r="N194" t="inlineStr">
        <is>
          <t>Globeleq Malindi – project page</t>
        </is>
      </c>
      <c r="O194" t="inlineStr">
        <is>
          <t>https://www.miga.org/project/globeleq-malindi-1</t>
        </is>
      </c>
      <c r="P194" t="inlineStr">
        <is>
          <t>2024-12-12</t>
        </is>
      </c>
      <c r="Q194" t="inlineStr">
        <is>
          <t>equity and quasi-equity investments of about $19.6 million ... for a period of 17 years</t>
        </is>
      </c>
      <c r="R194" t="inlineStr">
        <is>
          <t>Garantie postérieure à la mise en service.</t>
        </is>
      </c>
    </row>
    <row r="195">
      <c r="A195" t="inlineStr">
        <is>
          <t>retenu</t>
        </is>
      </c>
      <c r="B195" t="inlineStr">
        <is>
          <t>A_centre_est</t>
        </is>
      </c>
      <c r="C195" t="inlineStr">
        <is>
          <t>A</t>
        </is>
      </c>
      <c r="D195" t="inlineStr">
        <is>
          <t>KEN</t>
        </is>
      </c>
      <c r="E195" t="inlineStr">
        <is>
          <t>Malindi Solar (Globeleq/AEDC)</t>
        </is>
      </c>
      <c r="F195" t="inlineStr">
        <is>
          <t>production_gwh_an</t>
        </is>
      </c>
      <c r="G195" t="n">
        <v>98</v>
      </c>
      <c r="H195" t="inlineStr">
        <is>
          <t>GWh/an</t>
        </is>
      </c>
      <c r="I195" t="inlineStr">
        <is>
          <t>déclarée</t>
        </is>
      </c>
      <c r="J195" t="n">
        <v>2024</v>
      </c>
      <c r="K195" t="inlineStr">
        <is>
          <t>A</t>
        </is>
      </c>
      <c r="L195" t="inlineStr">
        <is>
          <t>confirmé</t>
        </is>
      </c>
      <c r="M195" t="inlineStr">
        <is>
          <t>MIGA (Groupe Banque mondiale)</t>
        </is>
      </c>
      <c r="N195" t="inlineStr">
        <is>
          <t>Globeleq Malindi – project page</t>
        </is>
      </c>
      <c r="O195" t="inlineStr">
        <is>
          <t>https://www.miga.org/project/globeleq-malindi-1</t>
        </is>
      </c>
      <c r="P195" t="inlineStr">
        <is>
          <t>2024-12-12</t>
        </is>
      </c>
      <c r="Q195" t="inlineStr">
        <is>
          <t>estimated 98-gigawatt hour of annual power generated</t>
        </is>
      </c>
      <c r="R195" t="inlineStr"/>
    </row>
    <row r="196">
      <c r="A196" t="inlineStr">
        <is>
          <t>retenu</t>
        </is>
      </c>
      <c r="B196" t="inlineStr">
        <is>
          <t>A_centre_est</t>
        </is>
      </c>
      <c r="C196" t="inlineStr">
        <is>
          <t>A</t>
        </is>
      </c>
      <c r="D196" t="inlineStr">
        <is>
          <t>KEN</t>
        </is>
      </c>
      <c r="E196" t="inlineStr">
        <is>
          <t>Malindi Solar (Globeleq/AEDC)</t>
        </is>
      </c>
      <c r="F196" t="inlineStr">
        <is>
          <t>annee_mise_en_service</t>
        </is>
      </c>
      <c r="G196" t="n">
        <v>2021</v>
      </c>
      <c r="H196" t="inlineStr">
        <is>
          <t>année</t>
        </is>
      </c>
      <c r="I196" t="inlineStr">
        <is>
          <t>observée</t>
        </is>
      </c>
      <c r="J196" t="n">
        <v>2021</v>
      </c>
      <c r="K196" t="inlineStr">
        <is>
          <t>B</t>
        </is>
      </c>
      <c r="L196" t="inlineStr">
        <is>
          <t>confirmé</t>
        </is>
      </c>
      <c r="M196" t="inlineStr">
        <is>
          <t>Norfund</t>
        </is>
      </c>
      <c r="N196" t="inlineStr">
        <is>
          <t>New Globeleq solar plant supplying enough power for 250,000 Kenyans</t>
        </is>
      </c>
      <c r="O196" t="inlineStr">
        <is>
          <t>https://www.norfund.no/new-globeleq-solar-plant-supplying-enough-power-for-250000-kenyans/</t>
        </is>
      </c>
      <c r="P196" t="inlineStr">
        <is>
          <t>2022-01-26</t>
        </is>
      </c>
      <c r="Q196" t="inlineStr">
        <is>
          <t>Malindi has been supplying 40 MWac of power into the national grid since 14 December 2021</t>
        </is>
      </c>
      <c r="R196" t="inlineStr"/>
    </row>
    <row r="197">
      <c r="A197" t="inlineStr">
        <is>
          <t>retenu</t>
        </is>
      </c>
      <c r="B197" t="inlineStr">
        <is>
          <t>A_centre_est</t>
        </is>
      </c>
      <c r="C197" t="inlineStr">
        <is>
          <t>A</t>
        </is>
      </c>
      <c r="D197" t="inlineStr">
        <is>
          <t>KEN</t>
        </is>
      </c>
      <c r="E197" t="inlineStr">
        <is>
          <t>Kesses Solar (Alten Kenya)</t>
        </is>
      </c>
      <c r="F197" t="inlineStr">
        <is>
          <t>capex_total</t>
        </is>
      </c>
      <c r="G197" t="n">
        <v>87</v>
      </c>
      <c r="H197" t="inlineStr">
        <is>
          <t>millions USD</t>
        </is>
      </c>
      <c r="I197" t="inlineStr">
        <is>
          <t>déclarée</t>
        </is>
      </c>
      <c r="J197" t="n">
        <v>2023</v>
      </c>
      <c r="K197" t="inlineStr">
        <is>
          <t>C</t>
        </is>
      </c>
      <c r="L197" t="inlineStr">
        <is>
          <t>confirmé</t>
        </is>
      </c>
      <c r="M197" t="inlineStr">
        <is>
          <t>RenewAfrica</t>
        </is>
      </c>
      <c r="N197" t="inlineStr">
        <is>
          <t>Alten commissions 44 MW Kesses solar power plant in Kenya</t>
        </is>
      </c>
      <c r="O197" t="inlineStr">
        <is>
          <t>https://renewafrica.biz/investment-finance/alten-commissions-44-mw-kesses-solar-power-plant-in-kenya/</t>
        </is>
      </c>
      <c r="P197" t="inlineStr">
        <is>
          <t>2023-06-21</t>
        </is>
      </c>
      <c r="Q197" t="inlineStr">
        <is>
          <t>a total cost of US$87 million</t>
        </is>
      </c>
      <c r="R197" t="inlineStr"/>
    </row>
    <row r="198">
      <c r="A198" t="inlineStr">
        <is>
          <t>qualitatif</t>
        </is>
      </c>
      <c r="B198" t="inlineStr">
        <is>
          <t>A_centre_est</t>
        </is>
      </c>
      <c r="C198" t="inlineStr">
        <is>
          <t>A</t>
        </is>
      </c>
      <c r="D198" t="inlineStr">
        <is>
          <t>KEN</t>
        </is>
      </c>
      <c r="E198" t="inlineStr">
        <is>
          <t>Kesses Solar (Alten Kenya)</t>
        </is>
      </c>
      <c r="F198" t="inlineStr">
        <is>
          <t>financeurs</t>
        </is>
      </c>
      <c r="G198" t="inlineStr">
        <is>
          <t>Standard Bank (MLA) 41 M USD (prêt à terme, TVA, DSRA) ; EAIF (montant non précisé sur cette page)</t>
        </is>
      </c>
      <c r="H198" t="inlineStr">
        <is>
          <t>texte</t>
        </is>
      </c>
      <c r="I198" t="inlineStr">
        <is>
          <t>observée</t>
        </is>
      </c>
      <c r="J198" t="n">
        <v>2023</v>
      </c>
      <c r="K198" t="inlineStr">
        <is>
          <t>C</t>
        </is>
      </c>
      <c r="L198" t="inlineStr">
        <is>
          <t>qualitatif_citation_ok</t>
        </is>
      </c>
      <c r="M198" t="inlineStr">
        <is>
          <t>RenewAfrica</t>
        </is>
      </c>
      <c r="N198" t="inlineStr">
        <is>
          <t>Alten commissions 44 MW Kesses solar power plant in Kenya</t>
        </is>
      </c>
      <c r="O198" t="inlineStr">
        <is>
          <t>https://renewafrica.biz/investment-finance/alten-commissions-44-mw-kesses-solar-power-plant-in-kenya/</t>
        </is>
      </c>
      <c r="P198" t="inlineStr">
        <is>
          <t>2023-06-21</t>
        </is>
      </c>
      <c r="Q198" t="inlineStr">
        <is>
          <t>US$41 million in debt comprising a term loan, VAT and Debt Service Reserve facility</t>
        </is>
      </c>
      <c r="R198" t="inlineStr">
        <is>
          <t>Un résultat de recherche (Africa Energy Portal, non ouvert : 403) indique EAIF 35 M USD sur 15 ans.</t>
        </is>
      </c>
    </row>
    <row r="199">
      <c r="A199" t="inlineStr">
        <is>
          <t>retenu</t>
        </is>
      </c>
      <c r="B199" t="inlineStr">
        <is>
          <t>A_centre_est</t>
        </is>
      </c>
      <c r="C199" t="inlineStr">
        <is>
          <t>A</t>
        </is>
      </c>
      <c r="D199" t="inlineStr">
        <is>
          <t>KEN</t>
        </is>
      </c>
      <c r="E199" t="inlineStr">
        <is>
          <t>Kesses Solar (Alten Kenya)</t>
        </is>
      </c>
      <c r="F199" t="inlineStr">
        <is>
          <t>puissance_mwac</t>
        </is>
      </c>
      <c r="G199" t="n">
        <v>40</v>
      </c>
      <c r="H199" t="inlineStr">
        <is>
          <t>MW (titre: 44 MW ; DC/AC non précisé)</t>
        </is>
      </c>
      <c r="I199" t="inlineStr">
        <is>
          <t>déclarée</t>
        </is>
      </c>
      <c r="J199" t="n">
        <v>2023</v>
      </c>
      <c r="K199" t="inlineStr">
        <is>
          <t>C</t>
        </is>
      </c>
      <c r="L199" t="inlineStr">
        <is>
          <t>confirmé</t>
        </is>
      </c>
      <c r="M199" t="inlineStr">
        <is>
          <t>RenewAfrica</t>
        </is>
      </c>
      <c r="N199" t="inlineStr">
        <is>
          <t>Alten commissions 44 MW Kesses solar power plant in Kenya</t>
        </is>
      </c>
      <c r="O199" t="inlineStr">
        <is>
          <t>https://renewafrica.biz/investment-finance/alten-commissions-44-mw-kesses-solar-power-plant-in-kenya/</t>
        </is>
      </c>
      <c r="P199" t="inlineStr">
        <is>
          <t>2023-06-21</t>
        </is>
      </c>
      <c r="Q199" t="inlineStr">
        <is>
          <t>the 40 megawatt (MW) Kesses solar power generation facility</t>
        </is>
      </c>
      <c r="R199" t="inlineStr">
        <is>
          <t>Conflit : titre 44 MW ; GEM wiki évoque 55,6 MWp (non ouvert).</t>
        </is>
      </c>
    </row>
    <row r="200">
      <c r="A200" t="inlineStr">
        <is>
          <t>retenu</t>
        </is>
      </c>
      <c r="B200" t="inlineStr">
        <is>
          <t>A_centre_est</t>
        </is>
      </c>
      <c r="C200" t="inlineStr">
        <is>
          <t>A</t>
        </is>
      </c>
      <c r="D200" t="inlineStr">
        <is>
          <t>KEN</t>
        </is>
      </c>
      <c r="E200" t="inlineStr">
        <is>
          <t>Kesses Solar (Alten Kenya)</t>
        </is>
      </c>
      <c r="F200" t="inlineStr">
        <is>
          <t>ppa_duree</t>
        </is>
      </c>
      <c r="G200" t="n">
        <v>20</v>
      </c>
      <c r="H200" t="inlineStr">
        <is>
          <t>ans (take-or-pay)</t>
        </is>
      </c>
      <c r="I200" t="inlineStr">
        <is>
          <t>observée</t>
        </is>
      </c>
      <c r="J200" t="n">
        <v>2023</v>
      </c>
      <c r="K200" t="inlineStr">
        <is>
          <t>C</t>
        </is>
      </c>
      <c r="L200" t="inlineStr">
        <is>
          <t>confirmé</t>
        </is>
      </c>
      <c r="M200" t="inlineStr">
        <is>
          <t>RenewAfrica</t>
        </is>
      </c>
      <c r="N200" t="inlineStr">
        <is>
          <t>Alten commissions 44 MW Kesses solar power plant in Kenya</t>
        </is>
      </c>
      <c r="O200" t="inlineStr">
        <is>
          <t>https://renewafrica.biz/investment-finance/alten-commissions-44-mw-kesses-solar-power-plant-in-kenya/</t>
        </is>
      </c>
      <c r="P200" t="inlineStr">
        <is>
          <t>2023-06-21</t>
        </is>
      </c>
      <c r="Q200" t="inlineStr">
        <is>
          <t>a 20-year take-or-pay power purchase agreement</t>
        </is>
      </c>
      <c r="R200" t="inlineStr">
        <is>
          <t>Acheteur : KPLC.</t>
        </is>
      </c>
    </row>
    <row r="201">
      <c r="A201" t="inlineStr">
        <is>
          <t>retenu</t>
        </is>
      </c>
      <c r="B201" t="inlineStr">
        <is>
          <t>A_centre_est</t>
        </is>
      </c>
      <c r="C201" t="inlineStr">
        <is>
          <t>A</t>
        </is>
      </c>
      <c r="D201" t="inlineStr">
        <is>
          <t>KEN</t>
        </is>
      </c>
      <c r="E201" t="inlineStr">
        <is>
          <t>Eldosol + Radiant (Frontier Energy, 2×40 MW)</t>
        </is>
      </c>
      <c r="F201" t="inlineStr">
        <is>
          <t>capex_total</t>
        </is>
      </c>
      <c r="G201" t="n">
        <v>147</v>
      </c>
      <c r="H201" t="inlineStr">
        <is>
          <t>millions EUR (estimé, 2 projets)</t>
        </is>
      </c>
      <c r="I201" t="inlineStr">
        <is>
          <t>déclarée</t>
        </is>
      </c>
      <c r="J201" t="n">
        <v>2019</v>
      </c>
      <c r="K201" t="inlineStr">
        <is>
          <t>C</t>
        </is>
      </c>
      <c r="L201" t="inlineStr">
        <is>
          <t>citation_partielle</t>
        </is>
      </c>
      <c r="M201" t="inlineStr">
        <is>
          <t>pv magazine</t>
        </is>
      </c>
      <c r="N201" t="inlineStr">
        <is>
          <t>80 MW of Kenyan PV projects get €106m boost from Europe</t>
        </is>
      </c>
      <c r="O201" t="inlineStr">
        <is>
          <t>https://pv-magazine.com/2019/09/26/80-mw-of-kenyan-pv-projects-get-e106m-boost-from-europe/</t>
        </is>
      </c>
      <c r="P201" t="inlineStr">
        <is>
          <t>2019-09-26</t>
        </is>
      </c>
      <c r="Q201" t="inlineStr">
        <is>
          <t>an estimated €147 million cost</t>
        </is>
      </c>
      <c r="R201" t="inlineStr"/>
    </row>
    <row r="202">
      <c r="A202" t="inlineStr">
        <is>
          <t>retenu</t>
        </is>
      </c>
      <c r="B202" t="inlineStr">
        <is>
          <t>A_centre_est</t>
        </is>
      </c>
      <c r="C202" t="inlineStr">
        <is>
          <t>A</t>
        </is>
      </c>
      <c r="D202" t="inlineStr">
        <is>
          <t>KEN</t>
        </is>
      </c>
      <c r="E202" t="inlineStr">
        <is>
          <t>Eldosol + Radiant (Frontier Energy, 2×40 MW)</t>
        </is>
      </c>
      <c r="F202" t="inlineStr">
        <is>
          <t>tarif</t>
        </is>
      </c>
      <c r="G202" t="n">
        <v>12.36</v>
      </c>
      <c r="H202" t="inlineStr">
        <is>
          <t>KES/kWh (≈0,12 USD)</t>
        </is>
      </c>
      <c r="I202" t="inlineStr">
        <is>
          <t>déclarée</t>
        </is>
      </c>
      <c r="J202" t="n">
        <v>2019</v>
      </c>
      <c r="K202" t="inlineStr">
        <is>
          <t>C</t>
        </is>
      </c>
      <c r="L202" t="inlineStr">
        <is>
          <t>confirmé</t>
        </is>
      </c>
      <c r="M202" t="inlineStr">
        <is>
          <t>pv magazine</t>
        </is>
      </c>
      <c r="N202" t="inlineStr">
        <is>
          <t>80 MW of Kenyan PV projects get €106m boost from Europe</t>
        </is>
      </c>
      <c r="O202" t="inlineStr">
        <is>
          <t>https://pv-magazine.com/2019/09/26/80-mw-of-kenyan-pv-projects-get-e106m-boost-from-europe/</t>
        </is>
      </c>
      <c r="P202" t="inlineStr">
        <is>
          <t>2019-09-26</t>
        </is>
      </c>
      <c r="Q202" t="inlineStr">
        <is>
          <t>KES12.36/kWh ($0.12)</t>
        </is>
      </c>
      <c r="R202" t="inlineStr">
        <is>
          <t>FiT.</t>
        </is>
      </c>
    </row>
    <row r="203">
      <c r="A203" t="inlineStr">
        <is>
          <t>retenu</t>
        </is>
      </c>
      <c r="B203" t="inlineStr">
        <is>
          <t>A_centre_est</t>
        </is>
      </c>
      <c r="C203" t="inlineStr">
        <is>
          <t>A</t>
        </is>
      </c>
      <c r="D203" t="inlineStr">
        <is>
          <t>KEN</t>
        </is>
      </c>
      <c r="E203" t="inlineStr">
        <is>
          <t>Kopere Solar (Voltalia)</t>
        </is>
      </c>
      <c r="F203" t="inlineStr">
        <is>
          <t>tarif</t>
        </is>
      </c>
      <c r="G203" t="n">
        <v>0.08</v>
      </c>
      <c r="H203" t="inlineStr">
        <is>
          <t>USD/kWh</t>
        </is>
      </c>
      <c r="I203" t="inlineStr">
        <is>
          <t>observée</t>
        </is>
      </c>
      <c r="J203" t="n">
        <v>2018</v>
      </c>
      <c r="K203" t="inlineStr">
        <is>
          <t>C</t>
        </is>
      </c>
      <c r="L203" t="inlineStr">
        <is>
          <t>confirmé</t>
        </is>
      </c>
      <c r="M203" t="inlineStr">
        <is>
          <t>Africa Energy (Cross-border Information)</t>
        </is>
      </c>
      <c r="N203" t="inlineStr">
        <is>
          <t>Kenya: Solar projects sign PPAs</t>
        </is>
      </c>
      <c r="O203" t="inlineStr">
        <is>
          <t>https://www.africa-energy.com/live-data/article/kenya-solar-projects-sign-ppas</t>
        </is>
      </c>
      <c r="P203" t="inlineStr">
        <is>
          <t>2018-05-26</t>
        </is>
      </c>
      <c r="Q203" t="inlineStr">
        <is>
          <t>20 year power purchase agreements ... 8c/kWh, a reduction of a third on the price of four solar projects awarded in June last year</t>
        </is>
      </c>
      <c r="R203" t="inlineStr">
        <is>
          <t>Même tarif pour le projet Kenergy/Scatec/Norfund (Rumuruti?, non nommé).</t>
        </is>
      </c>
    </row>
    <row r="204">
      <c r="A204" t="inlineStr">
        <is>
          <t>retenu</t>
        </is>
      </c>
      <c r="B204" t="inlineStr">
        <is>
          <t>A_centre_est</t>
        </is>
      </c>
      <c r="C204" t="inlineStr">
        <is>
          <t>A</t>
        </is>
      </c>
      <c r="D204" t="inlineStr">
        <is>
          <t>KEN</t>
        </is>
      </c>
      <c r="E204" t="inlineStr">
        <is>
          <t>Kopere Solar (Voltalia)</t>
        </is>
      </c>
      <c r="F204" t="inlineStr">
        <is>
          <t>ppa_duree</t>
        </is>
      </c>
      <c r="G204" t="n">
        <v>20</v>
      </c>
      <c r="H204" t="inlineStr">
        <is>
          <t>ans</t>
        </is>
      </c>
      <c r="I204" t="inlineStr">
        <is>
          <t>observée</t>
        </is>
      </c>
      <c r="J204" t="n">
        <v>2018</v>
      </c>
      <c r="K204" t="inlineStr">
        <is>
          <t>C</t>
        </is>
      </c>
      <c r="L204" t="inlineStr">
        <is>
          <t>confirmé</t>
        </is>
      </c>
      <c r="M204" t="inlineStr">
        <is>
          <t>Africa Energy (Cross-border Information)</t>
        </is>
      </c>
      <c r="N204" t="inlineStr">
        <is>
          <t>Kenya: Solar projects sign PPAs</t>
        </is>
      </c>
      <c r="O204" t="inlineStr">
        <is>
          <t>https://www.africa-energy.com/live-data/article/kenya-solar-projects-sign-ppas</t>
        </is>
      </c>
      <c r="P204" t="inlineStr">
        <is>
          <t>2018-05-26</t>
        </is>
      </c>
      <c r="Q204" t="inlineStr">
        <is>
          <t>20 year power purchase agreements</t>
        </is>
      </c>
      <c r="R204" t="inlineStr">
        <is>
          <t>PPA signé 23/05/2018 avec Kenya Power.</t>
        </is>
      </c>
    </row>
    <row r="205">
      <c r="A205" t="inlineStr">
        <is>
          <t>retenu</t>
        </is>
      </c>
      <c r="B205" t="inlineStr">
        <is>
          <t>A_centre_est</t>
        </is>
      </c>
      <c r="C205" t="inlineStr">
        <is>
          <t>A</t>
        </is>
      </c>
      <c r="D205" t="inlineStr">
        <is>
          <t>KEN</t>
        </is>
      </c>
      <c r="E205" t="inlineStr">
        <is>
          <t>Kopere Solar (Voltalia)</t>
        </is>
      </c>
      <c r="F205" t="inlineStr">
        <is>
          <t>puissance_mwac</t>
        </is>
      </c>
      <c r="G205" t="n">
        <v>40</v>
      </c>
      <c r="H205" t="inlineStr">
        <is>
          <t>MWac</t>
        </is>
      </c>
      <c r="I205" t="inlineStr">
        <is>
          <t>observée</t>
        </is>
      </c>
      <c r="J205" t="n">
        <v>2018</v>
      </c>
      <c r="K205" t="inlineStr">
        <is>
          <t>B</t>
        </is>
      </c>
      <c r="L205" t="inlineStr">
        <is>
          <t>confirmé</t>
        </is>
      </c>
      <c r="M205" t="inlineStr">
        <is>
          <t>BAD (relayé par AllAfrica)</t>
        </is>
      </c>
      <c r="N205" t="inlineStr">
        <is>
          <t>African Development Bank Group Approves U.S.$18.17 Million for the Kopere Solar Project in Kenya</t>
        </is>
      </c>
      <c r="O205" t="inlineStr">
        <is>
          <t>https://allafrica.com/stories/201812060530.html</t>
        </is>
      </c>
      <c r="P205" t="inlineStr">
        <is>
          <t>2018-11-30</t>
        </is>
      </c>
      <c r="Q205" t="inlineStr">
        <is>
          <t>40 MWac (50MWp) Kopere Solar Power Project</t>
        </is>
      </c>
      <c r="R205" t="inlineStr"/>
    </row>
    <row r="206">
      <c r="A206" t="inlineStr">
        <is>
          <t>retenu</t>
        </is>
      </c>
      <c r="B206" t="inlineStr">
        <is>
          <t>A_centre_est</t>
        </is>
      </c>
      <c r="C206" t="inlineStr">
        <is>
          <t>A</t>
        </is>
      </c>
      <c r="D206" t="inlineStr">
        <is>
          <t>KEN</t>
        </is>
      </c>
      <c r="E206" t="inlineStr">
        <is>
          <t>Kopere Solar (Voltalia)</t>
        </is>
      </c>
      <c r="F206" t="inlineStr">
        <is>
          <t>puissance_mwp</t>
        </is>
      </c>
      <c r="G206" t="n">
        <v>50</v>
      </c>
      <c r="H206" t="inlineStr">
        <is>
          <t>MWp</t>
        </is>
      </c>
      <c r="I206" t="inlineStr">
        <is>
          <t>observée</t>
        </is>
      </c>
      <c r="J206" t="n">
        <v>2018</v>
      </c>
      <c r="K206" t="inlineStr">
        <is>
          <t>B</t>
        </is>
      </c>
      <c r="L206" t="inlineStr">
        <is>
          <t>confirmé</t>
        </is>
      </c>
      <c r="M206" t="inlineStr">
        <is>
          <t>BAD (relayé par AllAfrica)</t>
        </is>
      </c>
      <c r="N206" t="inlineStr">
        <is>
          <t>African Development Bank Group Approves U.S.$18.17 Million for the Kopere Solar Project in Kenya</t>
        </is>
      </c>
      <c r="O206" t="inlineStr">
        <is>
          <t>https://allafrica.com/stories/201812060530.html</t>
        </is>
      </c>
      <c r="P206" t="inlineStr">
        <is>
          <t>2018-11-30</t>
        </is>
      </c>
      <c r="Q206" t="inlineStr">
        <is>
          <t>40 MWac (50MWp) Kopere Solar Power Project</t>
        </is>
      </c>
      <c r="R206" t="inlineStr"/>
    </row>
    <row r="207">
      <c r="A207" t="inlineStr">
        <is>
          <t>qualitatif</t>
        </is>
      </c>
      <c r="B207" t="inlineStr">
        <is>
          <t>A_centre_est</t>
        </is>
      </c>
      <c r="C207" t="inlineStr">
        <is>
          <t>A</t>
        </is>
      </c>
      <c r="D207" t="inlineStr">
        <is>
          <t>KEN</t>
        </is>
      </c>
      <c r="E207" t="inlineStr">
        <is>
          <t>Kopere Solar (Voltalia)</t>
        </is>
      </c>
      <c r="F207" t="inlineStr">
        <is>
          <t>financeurs</t>
        </is>
      </c>
      <c r="G207" t="inlineStr">
        <is>
          <t>BAD prêt senior 18,17 M USD + SREP/CIF prêt concessionnel 11,6 M USD (en cours)</t>
        </is>
      </c>
      <c r="H207" t="inlineStr">
        <is>
          <t>texte</t>
        </is>
      </c>
      <c r="I207" t="inlineStr">
        <is>
          <t>déclarée</t>
        </is>
      </c>
      <c r="J207" t="n">
        <v>2018</v>
      </c>
      <c r="K207" t="inlineStr">
        <is>
          <t>B</t>
        </is>
      </c>
      <c r="L207" t="inlineStr">
        <is>
          <t>qualitatif_citation_ok</t>
        </is>
      </c>
      <c r="M207" t="inlineStr">
        <is>
          <t>BAD (relayé par AllAfrica)</t>
        </is>
      </c>
      <c r="N207" t="inlineStr">
        <is>
          <t>African Development Bank Group Approves U.S.$18.17 Million for the Kopere Solar Project in Kenya</t>
        </is>
      </c>
      <c r="O207" t="inlineStr">
        <is>
          <t>https://allafrica.com/stories/201812060530.html</t>
        </is>
      </c>
      <c r="P207" t="inlineStr">
        <is>
          <t>2018-11-30</t>
        </is>
      </c>
      <c r="Q207" t="inlineStr">
        <is>
          <t>a US$ 18.17 million senior loan ... US$ 11.6 million concessional loan from the Climate Investment Fund's Scaling-up Renewable Energy Program (SREP)</t>
        </is>
      </c>
      <c r="R207" t="inlineStr"/>
    </row>
    <row r="208">
      <c r="A208" t="inlineStr">
        <is>
          <t>retenu</t>
        </is>
      </c>
      <c r="B208" t="inlineStr">
        <is>
          <t>A_centre_est</t>
        </is>
      </c>
      <c r="C208" t="inlineStr">
        <is>
          <t>A</t>
        </is>
      </c>
      <c r="D208" t="inlineStr">
        <is>
          <t>KEN</t>
        </is>
      </c>
      <c r="E208" t="inlineStr">
        <is>
          <t>Kopere Solar (Voltalia)</t>
        </is>
      </c>
      <c r="F208" t="inlineStr">
        <is>
          <t>production_gwh_an</t>
        </is>
      </c>
      <c r="G208" t="n">
        <v>106</v>
      </c>
      <c r="H208" t="inlineStr">
        <is>
          <t>GWh/an</t>
        </is>
      </c>
      <c r="I208" t="inlineStr">
        <is>
          <t>déclarée</t>
        </is>
      </c>
      <c r="J208" t="n">
        <v>2018</v>
      </c>
      <c r="K208" t="inlineStr">
        <is>
          <t>B</t>
        </is>
      </c>
      <c r="L208" t="inlineStr">
        <is>
          <t>confirmé</t>
        </is>
      </c>
      <c r="M208" t="inlineStr">
        <is>
          <t>BAD (relayé par AllAfrica)</t>
        </is>
      </c>
      <c r="N208" t="inlineStr">
        <is>
          <t>African Development Bank Group Approves U.S.$18.17 Million for the Kopere Solar Project in Kenya</t>
        </is>
      </c>
      <c r="O208" t="inlineStr">
        <is>
          <t>https://allafrica.com/stories/201812060530.html</t>
        </is>
      </c>
      <c r="P208" t="inlineStr">
        <is>
          <t>2018-11-30</t>
        </is>
      </c>
      <c r="Q208" t="inlineStr">
        <is>
          <t>expected to generate around 106 GWh per year</t>
        </is>
      </c>
      <c r="R208" t="inlineStr"/>
    </row>
    <row r="209">
      <c r="A209" t="inlineStr">
        <is>
          <t>retenu</t>
        </is>
      </c>
      <c r="B209" t="inlineStr">
        <is>
          <t>A_centre_est</t>
        </is>
      </c>
      <c r="C209" t="inlineStr">
        <is>
          <t>A</t>
        </is>
      </c>
      <c r="D209" t="inlineStr">
        <is>
          <t>ETH</t>
        </is>
      </c>
      <c r="E209" t="inlineStr">
        <is>
          <t>Metehara Solar (Enel Green Power / Orchid)</t>
        </is>
      </c>
      <c r="F209" t="inlineStr">
        <is>
          <t>capex_total</t>
        </is>
      </c>
      <c r="G209" t="n">
        <v>120</v>
      </c>
      <c r="H209" t="inlineStr">
        <is>
          <t>millions USD</t>
        </is>
      </c>
      <c r="I209" t="inlineStr">
        <is>
          <t>déclarée</t>
        </is>
      </c>
      <c r="J209" t="n">
        <v>2017</v>
      </c>
      <c r="K209" t="inlineStr">
        <is>
          <t>C</t>
        </is>
      </c>
      <c r="L209" t="inlineStr">
        <is>
          <t>confirmé</t>
        </is>
      </c>
      <c r="M209" t="inlineStr">
        <is>
          <t>pv magazine</t>
        </is>
      </c>
      <c r="N209" t="inlineStr">
        <is>
          <t>Enel wins Ethiopia's 100 MW solar tender</t>
        </is>
      </c>
      <c r="O209" t="inlineStr">
        <is>
          <t>https://pv-magazine.com/2017/10/23/enel-wins-ethiopias-100-mw-solar-tender/</t>
        </is>
      </c>
      <c r="P209" t="inlineStr">
        <is>
          <t>2017-10-23</t>
        </is>
      </c>
      <c r="Q209" t="inlineStr">
        <is>
          <t>The $120 million project</t>
        </is>
      </c>
      <c r="R209" t="inlineStr"/>
    </row>
    <row r="210">
      <c r="A210" t="inlineStr">
        <is>
          <t>retenu</t>
        </is>
      </c>
      <c r="B210" t="inlineStr">
        <is>
          <t>A_centre_est</t>
        </is>
      </c>
      <c r="C210" t="inlineStr">
        <is>
          <t>A</t>
        </is>
      </c>
      <c r="D210" t="inlineStr">
        <is>
          <t>ETH</t>
        </is>
      </c>
      <c r="E210" t="inlineStr">
        <is>
          <t>Metehara Solar (Enel Green Power / Orchid)</t>
        </is>
      </c>
      <c r="F210" t="inlineStr">
        <is>
          <t>puissance_mwp</t>
        </is>
      </c>
      <c r="G210" t="n">
        <v>100</v>
      </c>
      <c r="H210" t="inlineStr">
        <is>
          <t>MW (DC/AC non précisé)</t>
        </is>
      </c>
      <c r="I210" t="inlineStr">
        <is>
          <t>déclarée</t>
        </is>
      </c>
      <c r="J210" t="n">
        <v>2017</v>
      </c>
      <c r="K210" t="inlineStr">
        <is>
          <t>C</t>
        </is>
      </c>
      <c r="L210" t="inlineStr">
        <is>
          <t>confirmé</t>
        </is>
      </c>
      <c r="M210" t="inlineStr">
        <is>
          <t>pv magazine</t>
        </is>
      </c>
      <c r="N210" t="inlineStr">
        <is>
          <t>Enel wins Ethiopia's 100 MW solar tender</t>
        </is>
      </c>
      <c r="O210" t="inlineStr">
        <is>
          <t>https://pv-magazine.com/2017/10/23/enel-wins-ethiopias-100-mw-solar-tender/</t>
        </is>
      </c>
      <c r="P210" t="inlineStr">
        <is>
          <t>2017-10-23</t>
        </is>
      </c>
      <c r="Q210" t="inlineStr">
        <is>
          <t>a 100 MW solar power plant in Metehara, Oromia, central Ethiopia</t>
        </is>
      </c>
      <c r="R210" t="inlineStr"/>
    </row>
    <row r="211">
      <c r="A211" t="inlineStr">
        <is>
          <t>retenu</t>
        </is>
      </c>
      <c r="B211" t="inlineStr">
        <is>
          <t>A_centre_est</t>
        </is>
      </c>
      <c r="C211" t="inlineStr">
        <is>
          <t>A</t>
        </is>
      </c>
      <c r="D211" t="inlineStr">
        <is>
          <t>ETH</t>
        </is>
      </c>
      <c r="E211" t="inlineStr">
        <is>
          <t>Metehara Solar (Enel Green Power / Orchid)</t>
        </is>
      </c>
      <c r="F211" t="inlineStr">
        <is>
          <t>ppa_duree</t>
        </is>
      </c>
      <c r="G211" t="n">
        <v>20</v>
      </c>
      <c r="H211" t="inlineStr">
        <is>
          <t>ans</t>
        </is>
      </c>
      <c r="I211" t="inlineStr">
        <is>
          <t>déclarée</t>
        </is>
      </c>
      <c r="J211" t="n">
        <v>2017</v>
      </c>
      <c r="K211" t="inlineStr">
        <is>
          <t>C</t>
        </is>
      </c>
      <c r="L211" t="inlineStr">
        <is>
          <t>confirmé</t>
        </is>
      </c>
      <c r="M211" t="inlineStr">
        <is>
          <t>pv magazine</t>
        </is>
      </c>
      <c r="N211" t="inlineStr">
        <is>
          <t>Enel wins Ethiopia's 100 MW solar tender</t>
        </is>
      </c>
      <c r="O211" t="inlineStr">
        <is>
          <t>https://pv-magazine.com/2017/10/23/enel-wins-ethiopias-100-mw-solar-tender/</t>
        </is>
      </c>
      <c r="P211" t="inlineStr">
        <is>
          <t>2017-10-23</t>
        </is>
      </c>
      <c r="Q211" t="inlineStr">
        <is>
          <t>a 20-year PPA</t>
        </is>
      </c>
      <c r="R211" t="inlineStr">
        <is>
          <t>Acheteur : Ethiopian Electric Power.</t>
        </is>
      </c>
    </row>
    <row r="212">
      <c r="A212" t="inlineStr">
        <is>
          <t>qualitatif</t>
        </is>
      </c>
      <c r="B212" t="inlineStr">
        <is>
          <t>A_centre_est</t>
        </is>
      </c>
      <c r="C212" t="inlineStr">
        <is>
          <t>A</t>
        </is>
      </c>
      <c r="D212" t="inlineStr">
        <is>
          <t>ETH</t>
        </is>
      </c>
      <c r="E212" t="inlineStr">
        <is>
          <t>Metehara Solar (Enel Green Power / Orchid)</t>
        </is>
      </c>
      <c r="F212" t="inlineStr">
        <is>
          <t>statut</t>
        </is>
      </c>
      <c r="G212" t="inlineStr">
        <is>
          <t>attribué (non construit à la connaissance des sources ouvertes)</t>
        </is>
      </c>
      <c r="H212" t="inlineStr">
        <is>
          <t>texte</t>
        </is>
      </c>
      <c r="I212" t="inlineStr">
        <is>
          <t>déclarée</t>
        </is>
      </c>
      <c r="J212" t="n">
        <v>2017</v>
      </c>
      <c r="K212" t="inlineStr">
        <is>
          <t>C</t>
        </is>
      </c>
      <c r="L212" t="inlineStr">
        <is>
          <t>qualitatif_citation_ok</t>
        </is>
      </c>
      <c r="M212" t="inlineStr">
        <is>
          <t>pv magazine</t>
        </is>
      </c>
      <c r="N212" t="inlineStr">
        <is>
          <t>Enel wins Ethiopia's 100 MW solar tender</t>
        </is>
      </c>
      <c r="O212" t="inlineStr">
        <is>
          <t>https://pv-magazine.com/2017/10/23/enel-wins-ethiopias-100-mw-solar-tender/</t>
        </is>
      </c>
      <c r="P212" t="inlineStr">
        <is>
          <t>2017-10-23</t>
        </is>
      </c>
      <c r="Q212" t="inlineStr">
        <is>
          <t>scheduled to come online in 2019</t>
        </is>
      </c>
      <c r="R212" t="inlineStr">
        <is>
          <t>Aucune mise en service trouvée ; un profil Land Matrix (déc. 2021, non ouvert) le décrit en phase de permis.</t>
        </is>
      </c>
    </row>
    <row r="213">
      <c r="A213" t="inlineStr">
        <is>
          <t>retenu</t>
        </is>
      </c>
      <c r="B213" t="inlineStr">
        <is>
          <t>A_centre_est</t>
        </is>
      </c>
      <c r="C213" t="inlineStr">
        <is>
          <t>A</t>
        </is>
      </c>
      <c r="D213" t="inlineStr">
        <is>
          <t>ETH</t>
        </is>
      </c>
      <c r="E213" t="inlineStr">
        <is>
          <t>Gad + Dicheto (Scaling Solar Éthiopie, ACWA Power, 2×125 MW)</t>
        </is>
      </c>
      <c r="F213" t="inlineStr">
        <is>
          <t>tarif</t>
        </is>
      </c>
      <c r="G213" t="n">
        <v>0.02526</v>
      </c>
      <c r="H213" t="inlineStr">
        <is>
          <t>USD/kWh</t>
        </is>
      </c>
      <c r="I213" t="inlineStr">
        <is>
          <t>observée</t>
        </is>
      </c>
      <c r="J213" t="n">
        <v>2019</v>
      </c>
      <c r="K213" t="inlineStr">
        <is>
          <t>C</t>
        </is>
      </c>
      <c r="L213" t="inlineStr">
        <is>
          <t>confirmé</t>
        </is>
      </c>
      <c r="M213" t="inlineStr">
        <is>
          <t>The Energy Industry Times</t>
        </is>
      </c>
      <c r="N213" t="inlineStr">
        <is>
          <t>ACWA Power signs PPAs for 250MW of solar projects in Ethiopia</t>
        </is>
      </c>
      <c r="O213" t="inlineStr">
        <is>
          <t>https://teitimes.com/post/acwa-power-signs-ppas-for-250mw-of-solar-projects-in-ethiopia</t>
        </is>
      </c>
      <c r="P213" t="inlineStr">
        <is>
          <t>2019-12-24</t>
        </is>
      </c>
      <c r="Q213" t="inlineStr">
        <is>
          <t>$0.02526/kWh</t>
        </is>
      </c>
      <c r="R213" t="inlineStr">
        <is>
          <t>Indexation non précisée.</t>
        </is>
      </c>
    </row>
    <row r="214">
      <c r="A214" t="inlineStr">
        <is>
          <t>retenu</t>
        </is>
      </c>
      <c r="B214" t="inlineStr">
        <is>
          <t>A_centre_est</t>
        </is>
      </c>
      <c r="C214" t="inlineStr">
        <is>
          <t>A</t>
        </is>
      </c>
      <c r="D214" t="inlineStr">
        <is>
          <t>ETH</t>
        </is>
      </c>
      <c r="E214" t="inlineStr">
        <is>
          <t>Gad + Dicheto (Scaling Solar Éthiopie, ACWA Power, 2×125 MW)</t>
        </is>
      </c>
      <c r="F214" t="inlineStr">
        <is>
          <t>ppa_duree</t>
        </is>
      </c>
      <c r="G214" t="n">
        <v>20</v>
      </c>
      <c r="H214" t="inlineStr">
        <is>
          <t>ans</t>
        </is>
      </c>
      <c r="I214" t="inlineStr">
        <is>
          <t>observée</t>
        </is>
      </c>
      <c r="J214" t="n">
        <v>2019</v>
      </c>
      <c r="K214" t="inlineStr">
        <is>
          <t>C</t>
        </is>
      </c>
      <c r="L214" t="inlineStr">
        <is>
          <t>confirmé</t>
        </is>
      </c>
      <c r="M214" t="inlineStr">
        <is>
          <t>The Energy Industry Times</t>
        </is>
      </c>
      <c r="N214" t="inlineStr">
        <is>
          <t>ACWA Power signs PPAs for 250MW of solar projects in Ethiopia</t>
        </is>
      </c>
      <c r="O214" t="inlineStr">
        <is>
          <t>https://teitimes.com/post/acwa-power-signs-ppas-for-250mw-of-solar-projects-in-ethiopia</t>
        </is>
      </c>
      <c r="P214" t="inlineStr">
        <is>
          <t>2019-12-24</t>
        </is>
      </c>
      <c r="Q214" t="inlineStr">
        <is>
          <t>20-year PPAs</t>
        </is>
      </c>
      <c r="R214" t="inlineStr"/>
    </row>
    <row r="215">
      <c r="A215" t="inlineStr">
        <is>
          <t>qualitatif</t>
        </is>
      </c>
      <c r="B215" t="inlineStr">
        <is>
          <t>A_centre_est</t>
        </is>
      </c>
      <c r="C215" t="inlineStr">
        <is>
          <t>A</t>
        </is>
      </c>
      <c r="D215" t="inlineStr">
        <is>
          <t>ETH</t>
        </is>
      </c>
      <c r="E215" t="inlineStr">
        <is>
          <t>Gad + Dicheto (Scaling Solar Éthiopie, ACWA Power, 2×125 MW)</t>
        </is>
      </c>
      <c r="F215" t="inlineStr">
        <is>
          <t>acheteur</t>
        </is>
      </c>
      <c r="G215" t="inlineStr">
        <is>
          <t>Ethiopian Electric Power (EEP)</t>
        </is>
      </c>
      <c r="H215" t="inlineStr">
        <is>
          <t>texte</t>
        </is>
      </c>
      <c r="I215" t="inlineStr">
        <is>
          <t>observée</t>
        </is>
      </c>
      <c r="J215" t="n">
        <v>2019</v>
      </c>
      <c r="K215" t="inlineStr">
        <is>
          <t>C</t>
        </is>
      </c>
      <c r="L215" t="inlineStr">
        <is>
          <t>qualitatif_citation_ok</t>
        </is>
      </c>
      <c r="M215" t="inlineStr">
        <is>
          <t>The Energy Industry Times</t>
        </is>
      </c>
      <c r="N215" t="inlineStr">
        <is>
          <t>ACWA Power signs PPAs for 250MW of solar projects in Ethiopia</t>
        </is>
      </c>
      <c r="O215" t="inlineStr">
        <is>
          <t>https://teitimes.com/post/acwa-power-signs-ppas-for-250mw-of-solar-projects-in-ethiopia</t>
        </is>
      </c>
      <c r="P215" t="inlineStr">
        <is>
          <t>2019-12-24</t>
        </is>
      </c>
      <c r="Q215" t="inlineStr">
        <is>
          <t>Ethiopia’s state-owned electricity producer Ethiopian Electric Power (EEP)</t>
        </is>
      </c>
      <c r="R215" t="inlineStr"/>
    </row>
    <row r="216">
      <c r="A216" t="inlineStr">
        <is>
          <t>retenu</t>
        </is>
      </c>
      <c r="B216" t="inlineStr">
        <is>
          <t>A_centre_est</t>
        </is>
      </c>
      <c r="C216" t="inlineStr">
        <is>
          <t>A</t>
        </is>
      </c>
      <c r="D216" t="inlineStr">
        <is>
          <t>ETH</t>
        </is>
      </c>
      <c r="E216" t="inlineStr">
        <is>
          <t>Gad + Dicheto (Scaling Solar Éthiopie, ACWA Power, 2×125 MW)</t>
        </is>
      </c>
      <c r="F216" t="inlineStr">
        <is>
          <t>annee_attribution</t>
        </is>
      </c>
      <c r="G216" t="n">
        <v>2019</v>
      </c>
      <c r="H216" t="inlineStr">
        <is>
          <t>année</t>
        </is>
      </c>
      <c r="I216" t="inlineStr">
        <is>
          <t>observée</t>
        </is>
      </c>
      <c r="J216" t="n">
        <v>2019</v>
      </c>
      <c r="K216" t="inlineStr">
        <is>
          <t>C</t>
        </is>
      </c>
      <c r="L216" t="inlineStr">
        <is>
          <t>confirmé</t>
        </is>
      </c>
      <c r="M216" t="inlineStr">
        <is>
          <t>The Energy Industry Times</t>
        </is>
      </c>
      <c r="N216" t="inlineStr">
        <is>
          <t>ACWA Power signs PPAs for 250MW of solar projects in Ethiopia</t>
        </is>
      </c>
      <c r="O216" t="inlineStr">
        <is>
          <t>https://teitimes.com/post/acwa-power-signs-ppas-for-250mw-of-solar-projects-in-ethiopia</t>
        </is>
      </c>
      <c r="P216" t="inlineStr">
        <is>
          <t>2019-12-24</t>
        </is>
      </c>
      <c r="Q216" t="inlineStr">
        <is>
          <t>2019-12-24</t>
        </is>
      </c>
      <c r="R216" t="inlineStr"/>
    </row>
    <row r="217">
      <c r="A217" t="inlineStr">
        <is>
          <t>qualitatif</t>
        </is>
      </c>
      <c r="B217" t="inlineStr">
        <is>
          <t>A_centre_est</t>
        </is>
      </c>
      <c r="C217" t="inlineStr">
        <is>
          <t>A</t>
        </is>
      </c>
      <c r="D217" t="inlineStr">
        <is>
          <t>TZA</t>
        </is>
      </c>
      <c r="E217" t="inlineStr">
        <is>
          <t>Kishapu Solar phase 1 (TANESCO, 50 MW)</t>
        </is>
      </c>
      <c r="F217" t="inlineStr">
        <is>
          <t>financeurs</t>
        </is>
      </c>
      <c r="G217" t="inlineStr">
        <is>
          <t>Prêt concessionnel AFD 130 M EUR (centrale + modernisation réseau), rétrocédé à TANESCO ; subvention 0,7 M EUR</t>
        </is>
      </c>
      <c r="H217" t="inlineStr">
        <is>
          <t>texte</t>
        </is>
      </c>
      <c r="I217" t="inlineStr">
        <is>
          <t>observée</t>
        </is>
      </c>
      <c r="K217" t="inlineStr">
        <is>
          <t>A</t>
        </is>
      </c>
      <c r="L217" t="inlineStr">
        <is>
          <t>qualitatif_citation_ok</t>
        </is>
      </c>
      <c r="M217" t="inlineStr">
        <is>
          <t>AFD</t>
        </is>
      </c>
      <c r="N217" t="inlineStr">
        <is>
          <t>Tanzania: first grid-connected solar photovoltaic power plant and modernization of electricity network</t>
        </is>
      </c>
      <c r="O217" t="inlineStr">
        <is>
          <t>https://www.afd.fr/en/actualites/communique-de-presse/tanzania-first-grid-connected-solar-photovoltaic-power-plant-and-modernization-electricity-network</t>
        </is>
      </c>
      <c r="P217" t="inlineStr">
        <is>
          <t>date non affichée</t>
        </is>
      </c>
      <c r="Q217" t="inlineStr">
        <is>
          <t>a financing agreement for an amount of 130 M€ (approximately 366 bn TZS)</t>
        </is>
      </c>
      <c r="R217" t="inlineStr">
        <is>
          <t>Le prêt couvre aussi SCADA/smart grid : ne pas l'assimiler au capex de la centrale.</t>
        </is>
      </c>
    </row>
    <row r="218">
      <c r="A218" t="inlineStr">
        <is>
          <t>retenu</t>
        </is>
      </c>
      <c r="B218" t="inlineStr">
        <is>
          <t>A_centre_est</t>
        </is>
      </c>
      <c r="C218" t="inlineStr">
        <is>
          <t>A</t>
        </is>
      </c>
      <c r="D218" t="inlineStr">
        <is>
          <t>TZA</t>
        </is>
      </c>
      <c r="E218" t="inlineStr">
        <is>
          <t>Kishapu Solar phase 1 (TANESCO, 50 MW)</t>
        </is>
      </c>
      <c r="F218" t="inlineStr">
        <is>
          <t>production_gwh_an</t>
        </is>
      </c>
      <c r="G218" t="n">
        <v>91.59999999999999</v>
      </c>
      <c r="H218" t="inlineStr">
        <is>
          <t>GWh/an</t>
        </is>
      </c>
      <c r="I218" t="inlineStr">
        <is>
          <t>déclarée</t>
        </is>
      </c>
      <c r="K218" t="inlineStr">
        <is>
          <t>A</t>
        </is>
      </c>
      <c r="L218" t="inlineStr">
        <is>
          <t>confirmé</t>
        </is>
      </c>
      <c r="M218" t="inlineStr">
        <is>
          <t>AFD</t>
        </is>
      </c>
      <c r="N218" t="inlineStr">
        <is>
          <t>Tanzania: first grid-connected solar photovoltaic power plant and modernization of electricity network</t>
        </is>
      </c>
      <c r="O218" t="inlineStr">
        <is>
          <t>https://www.afd.fr/en/actualites/communique-de-presse/tanzania-first-grid-connected-solar-photovoltaic-power-plant-and-modernization-electricity-network</t>
        </is>
      </c>
      <c r="P218" t="inlineStr">
        <is>
          <t>date non affichée</t>
        </is>
      </c>
      <c r="Q218" t="inlineStr">
        <is>
          <t>the plant is expecting to produce 91,600 MWh per year</t>
        </is>
      </c>
      <c r="R218" t="inlineStr"/>
    </row>
    <row r="219">
      <c r="A219" t="inlineStr">
        <is>
          <t>qualitatif</t>
        </is>
      </c>
      <c r="B219" t="inlineStr">
        <is>
          <t>A_centre_est</t>
        </is>
      </c>
      <c r="C219" t="inlineStr">
        <is>
          <t>A</t>
        </is>
      </c>
      <c r="D219" t="inlineStr">
        <is>
          <t>TZA</t>
        </is>
      </c>
      <c r="E219" t="inlineStr">
        <is>
          <t>Kishapu Solar phase 1 (TANESCO, 50 MW)</t>
        </is>
      </c>
      <c r="F219" t="inlineStr">
        <is>
          <t>procedure</t>
        </is>
      </c>
      <c r="G219" t="inlineStr">
        <is>
          <t>EPC public (TANESCO) financé par prêt souverain AFD</t>
        </is>
      </c>
      <c r="H219" t="inlineStr">
        <is>
          <t>texte</t>
        </is>
      </c>
      <c r="I219" t="inlineStr">
        <is>
          <t>observée</t>
        </is>
      </c>
      <c r="K219" t="inlineStr">
        <is>
          <t>A</t>
        </is>
      </c>
      <c r="L219" t="inlineStr">
        <is>
          <t>qualitatif_citation_ok</t>
        </is>
      </c>
      <c r="M219" t="inlineStr">
        <is>
          <t>AFD</t>
        </is>
      </c>
      <c r="N219" t="inlineStr">
        <is>
          <t>Tanzania: first grid-connected solar photovoltaic power plant and modernization of electricity network</t>
        </is>
      </c>
      <c r="O219" t="inlineStr">
        <is>
          <t>https://www.afd.fr/en/actualites/communique-de-presse/tanzania-first-grid-connected-solar-photovoltaic-power-plant-and-modernization-electricity-network</t>
        </is>
      </c>
      <c r="P219" t="inlineStr">
        <is>
          <t>date non affichée</t>
        </is>
      </c>
      <c r="Q219" t="inlineStr">
        <is>
          <t>Tanzania Electric Supply Company (TANESCO), the final beneficiary of these funds</t>
        </is>
      </c>
      <c r="R219" t="inlineStr"/>
    </row>
    <row r="220">
      <c r="A220" t="inlineStr">
        <is>
          <t>retenu</t>
        </is>
      </c>
      <c r="B220" t="inlineStr">
        <is>
          <t>A_centre_est</t>
        </is>
      </c>
      <c r="C220" t="inlineStr">
        <is>
          <t>A</t>
        </is>
      </c>
      <c r="D220" t="inlineStr">
        <is>
          <t>TZA</t>
        </is>
      </c>
      <c r="E220" t="inlineStr">
        <is>
          <t>Kishapu Solar phase 1 (TANESCO, 50 MW)</t>
        </is>
      </c>
      <c r="F220" t="inlineStr">
        <is>
          <t>capex_total</t>
        </is>
      </c>
      <c r="G220" t="n">
        <v>118.6</v>
      </c>
      <c r="H220" t="inlineStr">
        <is>
          <t>milliards TZS (≈39 M EUR)</t>
        </is>
      </c>
      <c r="I220" t="inlineStr">
        <is>
          <t>déclarée</t>
        </is>
      </c>
      <c r="J220" t="n">
        <v>2026</v>
      </c>
      <c r="K220" t="inlineStr">
        <is>
          <t>C</t>
        </is>
      </c>
      <c r="L220" t="inlineStr">
        <is>
          <t>confirmé</t>
        </is>
      </c>
      <c r="M220" t="inlineStr">
        <is>
          <t>Agence Ecofin</t>
        </is>
      </c>
      <c r="N220" t="inlineStr">
        <is>
          <t>Tanzania connects first 50 MW of Kishapu solar project to national grid</t>
        </is>
      </c>
      <c r="O220" t="inlineStr">
        <is>
          <t>https://www.ecofinagency.com/news-industry/2402-53211-tanzania-connects-first-50-mw-of-kishapu-solar-project-to-national-grid</t>
        </is>
      </c>
      <c r="P220" t="inlineStr">
        <is>
          <t>2026-02-24</t>
        </is>
      </c>
      <c r="Q220" t="inlineStr">
        <is>
          <t>118.6 billion Tanzanian shillings (about €39 million)</t>
        </is>
      </c>
      <c r="R220" t="inlineStr"/>
    </row>
    <row r="221">
      <c r="A221" t="inlineStr">
        <is>
          <t>retenu</t>
        </is>
      </c>
      <c r="B221" t="inlineStr">
        <is>
          <t>A_centre_est</t>
        </is>
      </c>
      <c r="C221" t="inlineStr">
        <is>
          <t>A</t>
        </is>
      </c>
      <c r="D221" t="inlineStr">
        <is>
          <t>TZA</t>
        </is>
      </c>
      <c r="E221" t="inlineStr">
        <is>
          <t>Kishapu Solar phase 1 (TANESCO, 50 MW)</t>
        </is>
      </c>
      <c r="F221" t="inlineStr">
        <is>
          <t>annee_mise_en_service</t>
        </is>
      </c>
      <c r="G221" t="n">
        <v>2026</v>
      </c>
      <c r="H221" t="inlineStr">
        <is>
          <t>année</t>
        </is>
      </c>
      <c r="I221" t="inlineStr">
        <is>
          <t>déclarée</t>
        </is>
      </c>
      <c r="J221" t="n">
        <v>2026</v>
      </c>
      <c r="K221" t="inlineStr">
        <is>
          <t>C</t>
        </is>
      </c>
      <c r="L221" t="inlineStr">
        <is>
          <t>confirmé</t>
        </is>
      </c>
      <c r="M221" t="inlineStr">
        <is>
          <t>Agence Ecofin</t>
        </is>
      </c>
      <c r="N221" t="inlineStr">
        <is>
          <t>Tanzania connects first 50 MW of Kishapu solar project to national grid</t>
        </is>
      </c>
      <c r="O221" t="inlineStr">
        <is>
          <t>https://www.ecofinagency.com/news-industry/2402-53211-tanzania-connects-first-50-mw-of-kishapu-solar-project-to-national-grid</t>
        </is>
      </c>
      <c r="P221" t="inlineStr">
        <is>
          <t>2026-02-24</t>
        </is>
      </c>
      <c r="Q221" t="inlineStr">
        <is>
          <t>By March 1, 2026, a total of 50 MW will be connected to the national grid</t>
        </is>
      </c>
      <c r="R221" t="inlineStr">
        <is>
          <t>Raccordement complet annoncé pour le 1/3/2026 ; non confirmé ensuite.</t>
        </is>
      </c>
    </row>
    <row r="222">
      <c r="A222" t="inlineStr">
        <is>
          <t>retenu</t>
        </is>
      </c>
      <c r="B222" t="inlineStr">
        <is>
          <t>A_centre_est</t>
        </is>
      </c>
      <c r="C222" t="inlineStr">
        <is>
          <t>A</t>
        </is>
      </c>
      <c r="D222" t="inlineStr">
        <is>
          <t>TZA</t>
        </is>
      </c>
      <c r="E222" t="inlineStr">
        <is>
          <t>Kishapu Solar phase 2 (100 MW)</t>
        </is>
      </c>
      <c r="F222" t="inlineStr">
        <is>
          <t>capex_total</t>
        </is>
      </c>
      <c r="G222" t="n">
        <v>200.4</v>
      </c>
      <c r="H222" t="inlineStr">
        <is>
          <t>milliards TZS (estimé)</t>
        </is>
      </c>
      <c r="I222" t="inlineStr">
        <is>
          <t>déclarée</t>
        </is>
      </c>
      <c r="J222" t="n">
        <v>2026</v>
      </c>
      <c r="K222" t="inlineStr">
        <is>
          <t>C</t>
        </is>
      </c>
      <c r="L222" t="inlineStr">
        <is>
          <t>confirmé</t>
        </is>
      </c>
      <c r="M222" t="inlineStr">
        <is>
          <t>Agence Ecofin</t>
        </is>
      </c>
      <c r="N222" t="inlineStr">
        <is>
          <t>Tanzania connects first 50 MW of Kishapu solar project to national grid</t>
        </is>
      </c>
      <c r="O222" t="inlineStr">
        <is>
          <t>https://www.ecofinagency.com/news-industry/2402-53211-tanzania-connects-first-50-mw-of-kishapu-solar-project-to-national-grid</t>
        </is>
      </c>
      <c r="P222" t="inlineStr">
        <is>
          <t>2026-02-24</t>
        </is>
      </c>
      <c r="Q222" t="inlineStr">
        <is>
          <t>an additional 100 MW at an estimated cost of 200.4 billion Tanzanian shillings</t>
        </is>
      </c>
      <c r="R222" t="inlineStr">
        <is>
          <t>Statut : en cours de sélection de l'entrepreneur.</t>
        </is>
      </c>
    </row>
    <row r="223">
      <c r="A223" t="inlineStr">
        <is>
          <t>retenu</t>
        </is>
      </c>
      <c r="B223" t="inlineStr">
        <is>
          <t>A_centre_est</t>
        </is>
      </c>
      <c r="C223" t="inlineStr">
        <is>
          <t>A</t>
        </is>
      </c>
      <c r="D223" t="inlineStr">
        <is>
          <t>CMR</t>
        </is>
      </c>
      <c r="E223" t="inlineStr">
        <is>
          <t>Maroua + Guider (Scatec Release, phase 1)</t>
        </is>
      </c>
      <c r="F223" t="inlineStr">
        <is>
          <t>capex_total</t>
        </is>
      </c>
      <c r="G223" t="n">
        <v>14</v>
      </c>
      <c r="H223" t="inlineStr">
        <is>
          <t>milliards XAF (FCFA)</t>
        </is>
      </c>
      <c r="I223" t="inlineStr">
        <is>
          <t>déclarée</t>
        </is>
      </c>
      <c r="J223" t="n">
        <v>2019</v>
      </c>
      <c r="K223" t="inlineStr">
        <is>
          <t>C</t>
        </is>
      </c>
      <c r="L223" t="inlineStr">
        <is>
          <t>confirmé</t>
        </is>
      </c>
      <c r="M223" t="inlineStr">
        <is>
          <t>Financial Afrik</t>
        </is>
      </c>
      <c r="N223" t="inlineStr">
        <is>
          <t>Cameroun : 14 milliards de FCFA pour la construction de deux centrales solaires</t>
        </is>
      </c>
      <c r="O223" t="inlineStr">
        <is>
          <t>https://financialafrik.com/2019/08/09/cameroun-14-milliards-de-fcfa-pour-la-construction-de-deux-centrales-solaires</t>
        </is>
      </c>
      <c r="P223" t="inlineStr">
        <is>
          <t>2019-08-09</t>
        </is>
      </c>
      <c r="Q223" t="inlineStr">
        <is>
          <t>D'un coût d'investissement global de 14 milliards de FCFA</t>
        </is>
      </c>
      <c r="R223" t="inlineStr">
        <is>
          <t>Pour 25 MWc initialement prévus (15 MWc Guider + 10 MWc Maroua), avant agrandissement à ~36 MWc + stockage.</t>
        </is>
      </c>
    </row>
    <row r="224">
      <c r="A224" t="inlineStr">
        <is>
          <t>retenu</t>
        </is>
      </c>
      <c r="B224" t="inlineStr">
        <is>
          <t>A_centre_est</t>
        </is>
      </c>
      <c r="C224" t="inlineStr">
        <is>
          <t>A</t>
        </is>
      </c>
      <c r="D224" t="inlineStr">
        <is>
          <t>CMR</t>
        </is>
      </c>
      <c r="E224" t="inlineStr">
        <is>
          <t>Maroua + Guider (Scatec Release, phase 1)</t>
        </is>
      </c>
      <c r="F224" t="inlineStr">
        <is>
          <t>puissance_mwp</t>
        </is>
      </c>
      <c r="G224" t="n">
        <v>36</v>
      </c>
      <c r="H224" t="inlineStr">
        <is>
          <t>MW (PV+stockage)</t>
        </is>
      </c>
      <c r="I224" t="inlineStr">
        <is>
          <t>déclarée</t>
        </is>
      </c>
      <c r="J224" t="n">
        <v>2021</v>
      </c>
      <c r="K224" t="inlineStr">
        <is>
          <t>C</t>
        </is>
      </c>
      <c r="L224" t="inlineStr">
        <is>
          <t>confirmé</t>
        </is>
      </c>
      <c r="M224" t="inlineStr">
        <is>
          <t>pv magazine</t>
        </is>
      </c>
      <c r="N224" t="inlineStr">
        <is>
          <t>Scatec brings containerized solar-plus-storage system to Cameroon</t>
        </is>
      </c>
      <c r="O224" t="inlineStr">
        <is>
          <t>https://pv-magazine.com/2021/12/14/scatec-brings-containerized-solar-plus-storage-system-to-cameroon/</t>
        </is>
      </c>
      <c r="P224" t="inlineStr">
        <is>
          <t>2021-12-14</t>
        </is>
      </c>
      <c r="Q224" t="inlineStr">
        <is>
          <t>36 MW of solar generation capacity</t>
        </is>
      </c>
      <c r="R224" t="inlineStr">
        <is>
          <t>PV + STOCKAGE.</t>
        </is>
      </c>
    </row>
    <row r="225">
      <c r="A225" t="inlineStr">
        <is>
          <t>retenu</t>
        </is>
      </c>
      <c r="B225" t="inlineStr">
        <is>
          <t>A_centre_est</t>
        </is>
      </c>
      <c r="C225" t="inlineStr">
        <is>
          <t>A</t>
        </is>
      </c>
      <c r="D225" t="inlineStr">
        <is>
          <t>CMR</t>
        </is>
      </c>
      <c r="E225" t="inlineStr">
        <is>
          <t>Maroua + Guider (Scatec Release, phase 1)</t>
        </is>
      </c>
      <c r="F225" t="inlineStr">
        <is>
          <t>stockage_mwh</t>
        </is>
      </c>
      <c r="G225" t="n">
        <v>19</v>
      </c>
      <c r="H225" t="inlineStr">
        <is>
          <t>MWh (20 MW)</t>
        </is>
      </c>
      <c r="I225" t="inlineStr">
        <is>
          <t>déclarée</t>
        </is>
      </c>
      <c r="J225" t="n">
        <v>2021</v>
      </c>
      <c r="K225" t="inlineStr">
        <is>
          <t>C</t>
        </is>
      </c>
      <c r="L225" t="inlineStr">
        <is>
          <t>confirmé</t>
        </is>
      </c>
      <c r="M225" t="inlineStr">
        <is>
          <t>pv magazine</t>
        </is>
      </c>
      <c r="N225" t="inlineStr">
        <is>
          <t>Scatec brings containerized solar-plus-storage system to Cameroon</t>
        </is>
      </c>
      <c r="O225" t="inlineStr">
        <is>
          <t>https://pv-magazine.com/2021/12/14/scatec-brings-containerized-solar-plus-storage-system-to-cameroon/</t>
        </is>
      </c>
      <c r="P225" t="inlineStr">
        <is>
          <t>2021-12-14</t>
        </is>
      </c>
      <c r="Q225" t="inlineStr">
        <is>
          <t>20 MW/19 MWh of battery storage</t>
        </is>
      </c>
      <c r="R225" t="inlineStr">
        <is>
          <t>PV + STOCKAGE.</t>
        </is>
      </c>
    </row>
    <row r="226">
      <c r="A226" t="inlineStr">
        <is>
          <t>qualitatif</t>
        </is>
      </c>
      <c r="B226" t="inlineStr">
        <is>
          <t>A_centre_est</t>
        </is>
      </c>
      <c r="C226" t="inlineStr">
        <is>
          <t>A</t>
        </is>
      </c>
      <c r="D226" t="inlineStr">
        <is>
          <t>CMR</t>
        </is>
      </c>
      <c r="E226" t="inlineStr">
        <is>
          <t>Maroua + Guider (Scatec Release, phase 1)</t>
        </is>
      </c>
      <c r="F226" t="inlineStr">
        <is>
          <t>procedure</t>
        </is>
      </c>
      <c r="G226" t="inlineStr">
        <is>
          <t>négociation directe – contrat de location (leasing 'Release') avec ENEO</t>
        </is>
      </c>
      <c r="H226" t="inlineStr">
        <is>
          <t>texte</t>
        </is>
      </c>
      <c r="I226" t="inlineStr">
        <is>
          <t>observée</t>
        </is>
      </c>
      <c r="J226" t="n">
        <v>2021</v>
      </c>
      <c r="K226" t="inlineStr">
        <is>
          <t>C</t>
        </is>
      </c>
      <c r="L226" t="inlineStr">
        <is>
          <t>qualitatif_citation_ok</t>
        </is>
      </c>
      <c r="M226" t="inlineStr">
        <is>
          <t>pv magazine</t>
        </is>
      </c>
      <c r="N226" t="inlineStr">
        <is>
          <t>Scatec brings containerized solar-plus-storage system to Cameroon</t>
        </is>
      </c>
      <c r="O226" t="inlineStr">
        <is>
          <t>https://pv-magazine.com/2021/12/14/scatec-brings-containerized-solar-plus-storage-system-to-cameroon/</t>
        </is>
      </c>
      <c r="P226" t="inlineStr">
        <is>
          <t>2021-12-14</t>
        </is>
      </c>
      <c r="Q226" t="inlineStr">
        <is>
          <t>will be leased</t>
        </is>
      </c>
      <c r="R226" t="inlineStr">
        <is>
          <t>Durée du bail non trouvée. IFC couvrirait 10-20 % des coûts.</t>
        </is>
      </c>
    </row>
    <row r="227">
      <c r="A227" t="inlineStr">
        <is>
          <t>retenu</t>
        </is>
      </c>
      <c r="B227" t="inlineStr">
        <is>
          <t>A_centre_est</t>
        </is>
      </c>
      <c r="C227" t="inlineStr">
        <is>
          <t>A</t>
        </is>
      </c>
      <c r="D227" t="inlineStr">
        <is>
          <t>CMR</t>
        </is>
      </c>
      <c r="E227" t="inlineStr">
        <is>
          <t>Maroua + Guider phase 2 (extension Release)</t>
        </is>
      </c>
      <c r="F227" t="inlineStr">
        <is>
          <t>puissance_mwp</t>
        </is>
      </c>
      <c r="G227" t="n">
        <v>64.40000000000001</v>
      </c>
      <c r="H227" t="inlineStr">
        <is>
          <t>MW total après extension (PV)</t>
        </is>
      </c>
      <c r="I227" t="inlineStr">
        <is>
          <t>déclarée</t>
        </is>
      </c>
      <c r="J227" t="n">
        <v>2025</v>
      </c>
      <c r="K227" t="inlineStr">
        <is>
          <t>C</t>
        </is>
      </c>
      <c r="L227" t="inlineStr">
        <is>
          <t>confirmé</t>
        </is>
      </c>
      <c r="M227" t="inlineStr">
        <is>
          <t>Agence Ecofin</t>
        </is>
      </c>
      <c r="N227" t="inlineStr">
        <is>
          <t>Cameroon expands solar and storage capacity with Scatec's second phase projects</t>
        </is>
      </c>
      <c r="O227" t="inlineStr">
        <is>
          <t>https://www.ecofinagency.com/news-industry/1609-48736-cameroon-expands-solar-and-storage-capacity-with-scatec-s-second-phase-projects</t>
        </is>
      </c>
      <c r="P227" t="inlineStr">
        <is>
          <t>2025-09-16</t>
        </is>
      </c>
      <c r="Q227" t="inlineStr">
        <is>
          <t>to 64.4 MW of solar power and 38.2 MWh</t>
        </is>
      </c>
      <c r="R227" t="inlineStr">
        <is>
          <t>PV + STOCKAGE ; statut : en construction (pose de première pierre 15/09/2025).</t>
        </is>
      </c>
    </row>
    <row r="228">
      <c r="A228" t="inlineStr">
        <is>
          <t>retenu</t>
        </is>
      </c>
      <c r="B228" t="inlineStr">
        <is>
          <t>A_centre_est</t>
        </is>
      </c>
      <c r="C228" t="inlineStr">
        <is>
          <t>A</t>
        </is>
      </c>
      <c r="D228" t="inlineStr">
        <is>
          <t>CMR</t>
        </is>
      </c>
      <c r="E228" t="inlineStr">
        <is>
          <t>Maroua + Guider phase 2 (extension Release)</t>
        </is>
      </c>
      <c r="F228" t="inlineStr">
        <is>
          <t>production_gwh_an</t>
        </is>
      </c>
      <c r="G228" t="n">
        <v>141.5</v>
      </c>
      <c r="H228" t="inlineStr">
        <is>
          <t>GWh/an (ensemble)</t>
        </is>
      </c>
      <c r="I228" t="inlineStr">
        <is>
          <t>déclarée</t>
        </is>
      </c>
      <c r="J228" t="n">
        <v>2025</v>
      </c>
      <c r="K228" t="inlineStr">
        <is>
          <t>C</t>
        </is>
      </c>
      <c r="L228" t="inlineStr">
        <is>
          <t>confirmé</t>
        </is>
      </c>
      <c r="M228" t="inlineStr">
        <is>
          <t>Agence Ecofin</t>
        </is>
      </c>
      <c r="N228" t="inlineStr">
        <is>
          <t>Cameroon expands solar and storage capacity with Scatec's second phase projects</t>
        </is>
      </c>
      <c r="O228" t="inlineStr">
        <is>
          <t>https://www.ecofinagency.com/news-industry/1609-48736-cameroon-expands-solar-and-storage-capacity-with-scatec-s-second-phase-projects</t>
        </is>
      </c>
      <c r="P228" t="inlineStr">
        <is>
          <t>2025-09-16</t>
        </is>
      </c>
      <c r="Q228" t="inlineStr">
        <is>
          <t>141.5 GWh of electricity annually</t>
        </is>
      </c>
      <c r="R228" t="inlineStr"/>
    </row>
    <row r="229">
      <c r="A229" t="inlineStr">
        <is>
          <t>retenu</t>
        </is>
      </c>
      <c r="B229" t="inlineStr">
        <is>
          <t>A_centre_est</t>
        </is>
      </c>
      <c r="C229" t="inlineStr">
        <is>
          <t>A</t>
        </is>
      </c>
      <c r="D229" t="inlineStr">
        <is>
          <t>TCD</t>
        </is>
      </c>
      <c r="E229" t="inlineStr">
        <is>
          <t>Djermaya Solar phase 1 (InfraCo Africa / Aldwych / Smart Energies)</t>
        </is>
      </c>
      <c r="F229" t="inlineStr">
        <is>
          <t>puissance_mwp</t>
        </is>
      </c>
      <c r="G229" t="n">
        <v>32</v>
      </c>
      <c r="H229" t="inlineStr">
        <is>
          <t>MWp</t>
        </is>
      </c>
      <c r="I229" t="inlineStr">
        <is>
          <t>déclarée</t>
        </is>
      </c>
      <c r="J229" t="n">
        <v>2019</v>
      </c>
      <c r="K229" t="inlineStr">
        <is>
          <t>A</t>
        </is>
      </c>
      <c r="L229" t="inlineStr">
        <is>
          <t>confirmé</t>
        </is>
      </c>
      <c r="M229" t="inlineStr">
        <is>
          <t>MIGA</t>
        </is>
      </c>
      <c r="N229" t="inlineStr">
        <is>
          <t>Djermaya CDEN Energy SARL</t>
        </is>
      </c>
      <c r="O229" t="inlineStr">
        <is>
          <t>https://www.miga.org/project/djermaya-cden-energy-sarl</t>
        </is>
      </c>
      <c r="P229" t="inlineStr">
        <is>
          <t>2019-12-06</t>
        </is>
      </c>
      <c r="Q229" t="inlineStr">
        <is>
          <t>32 MWp solar photovoltaic</t>
        </is>
      </c>
      <c r="R229" t="inlineStr"/>
    </row>
    <row r="230">
      <c r="A230" t="inlineStr">
        <is>
          <t>qualitatif</t>
        </is>
      </c>
      <c r="B230" t="inlineStr">
        <is>
          <t>A_centre_est</t>
        </is>
      </c>
      <c r="C230" t="inlineStr">
        <is>
          <t>A</t>
        </is>
      </c>
      <c r="D230" t="inlineStr">
        <is>
          <t>TCD</t>
        </is>
      </c>
      <c r="E230" t="inlineStr">
        <is>
          <t>Djermaya Solar phase 1 (InfraCo Africa / Aldwych / Smart Energies)</t>
        </is>
      </c>
      <c r="F230" t="inlineStr">
        <is>
          <t>garanties</t>
        </is>
      </c>
      <c r="G230" t="inlineStr">
        <is>
          <t>Garantie MIGA proposée 16,25 M USD (15 M EUR), expropriation/transfert/rupture de contrat/guerre, jusqu'à 20 ans, partage avec IDA PSW</t>
        </is>
      </c>
      <c r="H230" t="inlineStr">
        <is>
          <t>texte</t>
        </is>
      </c>
      <c r="I230" t="inlineStr">
        <is>
          <t>déclarée</t>
        </is>
      </c>
      <c r="J230" t="n">
        <v>2019</v>
      </c>
      <c r="K230" t="inlineStr">
        <is>
          <t>A</t>
        </is>
      </c>
      <c r="L230" t="inlineStr">
        <is>
          <t>qualitatif_citation_ok</t>
        </is>
      </c>
      <c r="M230" t="inlineStr">
        <is>
          <t>MIGA</t>
        </is>
      </c>
      <c r="N230" t="inlineStr">
        <is>
          <t>Djermaya CDEN Energy SARL</t>
        </is>
      </c>
      <c r="O230" t="inlineStr">
        <is>
          <t>https://www.miga.org/project/djermaya-cden-energy-sarl</t>
        </is>
      </c>
      <c r="P230" t="inlineStr">
        <is>
          <t>2019-12-06</t>
        </is>
      </c>
      <c r="Q230" t="inlineStr">
        <is>
          <t>$16.25 million</t>
        </is>
      </c>
      <c r="R230" t="inlineStr">
        <is>
          <t>Statut MIGA : 'Proposed'.</t>
        </is>
      </c>
    </row>
    <row r="231">
      <c r="A231" t="inlineStr">
        <is>
          <t>retenu</t>
        </is>
      </c>
      <c r="B231" t="inlineStr">
        <is>
          <t>A_centre_est</t>
        </is>
      </c>
      <c r="C231" t="inlineStr">
        <is>
          <t>A</t>
        </is>
      </c>
      <c r="D231" t="inlineStr">
        <is>
          <t>TCD</t>
        </is>
      </c>
      <c r="E231" t="inlineStr">
        <is>
          <t>Djermaya Solar phase 1 (InfraCo Africa / Aldwych / Smart Energies)</t>
        </is>
      </c>
      <c r="F231" t="inlineStr">
        <is>
          <t>ppa_duree</t>
        </is>
      </c>
      <c r="G231" t="n">
        <v>25</v>
      </c>
      <c r="H231" t="inlineStr">
        <is>
          <t>ans</t>
        </is>
      </c>
      <c r="I231" t="inlineStr">
        <is>
          <t>observée</t>
        </is>
      </c>
      <c r="J231" t="n">
        <v>2018</v>
      </c>
      <c r="K231" t="inlineStr">
        <is>
          <t>A</t>
        </is>
      </c>
      <c r="L231" t="inlineStr">
        <is>
          <t>citation_partielle</t>
        </is>
      </c>
      <c r="M231" t="inlineStr">
        <is>
          <t>MIGA</t>
        </is>
      </c>
      <c r="N231" t="inlineStr">
        <is>
          <t>Djermaya CDEN Energy SARL</t>
        </is>
      </c>
      <c r="O231" t="inlineStr">
        <is>
          <t>https://www.miga.org/project/djermaya-cden-energy-sarl</t>
        </is>
      </c>
      <c r="P231" t="inlineStr">
        <is>
          <t>2019-12-06</t>
        </is>
      </c>
      <c r="Q231" t="inlineStr">
        <is>
          <t>25 years</t>
        </is>
      </c>
      <c r="R231" t="inlineStr">
        <is>
          <t>Acheteur : SNE.</t>
        </is>
      </c>
    </row>
    <row r="232">
      <c r="A232" t="inlineStr">
        <is>
          <t>qualitatif</t>
        </is>
      </c>
      <c r="B232" t="inlineStr">
        <is>
          <t>A_centre_est</t>
        </is>
      </c>
      <c r="C232" t="inlineStr">
        <is>
          <t>A</t>
        </is>
      </c>
      <c r="D232" t="inlineStr">
        <is>
          <t>TCD</t>
        </is>
      </c>
      <c r="E232" t="inlineStr">
        <is>
          <t>Djermaya Solar phase 1 (InfraCo Africa / Aldwych / Smart Energies)</t>
        </is>
      </c>
      <c r="F232" t="inlineStr">
        <is>
          <t>acheteur</t>
        </is>
      </c>
      <c r="G232" t="inlineStr">
        <is>
          <t>Société Nationale d'Electricité (SNE)</t>
        </is>
      </c>
      <c r="H232" t="inlineStr">
        <is>
          <t>texte</t>
        </is>
      </c>
      <c r="I232" t="inlineStr">
        <is>
          <t>observée</t>
        </is>
      </c>
      <c r="J232" t="n">
        <v>2018</v>
      </c>
      <c r="K232" t="inlineStr">
        <is>
          <t>A</t>
        </is>
      </c>
      <c r="L232" t="inlineStr">
        <is>
          <t>qualitatif_citation_ok</t>
        </is>
      </c>
      <c r="M232" t="inlineStr">
        <is>
          <t>MIGA</t>
        </is>
      </c>
      <c r="N232" t="inlineStr">
        <is>
          <t>Djermaya CDEN Energy SARL</t>
        </is>
      </c>
      <c r="O232" t="inlineStr">
        <is>
          <t>https://www.miga.org/project/djermaya-cden-energy-sarl</t>
        </is>
      </c>
      <c r="P232" t="inlineStr">
        <is>
          <t>2019-12-06</t>
        </is>
      </c>
      <c r="Q232" t="inlineStr">
        <is>
          <t>Société Nationale d'Electricité (SNE)</t>
        </is>
      </c>
      <c r="R232" t="inlineStr"/>
    </row>
    <row r="233">
      <c r="A233" t="inlineStr">
        <is>
          <t>qualitatif</t>
        </is>
      </c>
      <c r="B233" t="inlineStr">
        <is>
          <t>A_centre_est</t>
        </is>
      </c>
      <c r="C233" t="inlineStr">
        <is>
          <t>A</t>
        </is>
      </c>
      <c r="D233" t="inlineStr">
        <is>
          <t>TCD</t>
        </is>
      </c>
      <c r="E233" t="inlineStr">
        <is>
          <t>Djermaya Solar phase 1 (InfraCo Africa / Aldwych / Smart Energies)</t>
        </is>
      </c>
      <c r="F233" t="inlineStr">
        <is>
          <t>statut</t>
        </is>
      </c>
      <c r="G233" t="inlineStr">
        <is>
          <t>annoncé / en développement (aucune mise en service trouvée)</t>
        </is>
      </c>
      <c r="H233" t="inlineStr">
        <is>
          <t>texte</t>
        </is>
      </c>
      <c r="I233" t="inlineStr">
        <is>
          <t>déclarée</t>
        </is>
      </c>
      <c r="J233" t="n">
        <v>2019</v>
      </c>
      <c r="K233" t="inlineStr">
        <is>
          <t>A</t>
        </is>
      </c>
      <c r="L233" t="inlineStr">
        <is>
          <t>qualitatif_citation_ok</t>
        </is>
      </c>
      <c r="M233" t="inlineStr">
        <is>
          <t>MIGA</t>
        </is>
      </c>
      <c r="N233" t="inlineStr">
        <is>
          <t>Djermaya CDEN Energy SARL</t>
        </is>
      </c>
      <c r="O233" t="inlineStr">
        <is>
          <t>https://www.miga.org/project/djermaya-cden-energy-sarl</t>
        </is>
      </c>
      <c r="P233" t="inlineStr">
        <is>
          <t>2019-12-06</t>
        </is>
      </c>
      <c r="Q233" t="inlineStr">
        <is>
          <t>Proposed</t>
        </is>
      </c>
      <c r="R233" t="inlineStr"/>
    </row>
    <row r="234">
      <c r="A234" t="inlineStr">
        <is>
          <t>retenu</t>
        </is>
      </c>
      <c r="B234" t="inlineStr">
        <is>
          <t>A_centre_est</t>
        </is>
      </c>
      <c r="C234" t="inlineStr">
        <is>
          <t>A</t>
        </is>
      </c>
      <c r="D234" t="inlineStr">
        <is>
          <t>TCD</t>
        </is>
      </c>
      <c r="E234" t="inlineStr">
        <is>
          <t>Djermaya Solar phase 1 (InfraCo Africa / Aldwych / Smart Energies)</t>
        </is>
      </c>
      <c r="F234" t="inlineStr">
        <is>
          <t>capex_total</t>
        </is>
      </c>
      <c r="G234" t="n">
        <v>60</v>
      </c>
      <c r="H234" t="inlineStr">
        <is>
          <t>millions EUR (budget total)</t>
        </is>
      </c>
      <c r="I234" t="inlineStr">
        <is>
          <t>déclarée</t>
        </is>
      </c>
      <c r="K234" t="inlineStr">
        <is>
          <t>B</t>
        </is>
      </c>
      <c r="L234" t="inlineStr">
        <is>
          <t>citation_partielle</t>
        </is>
      </c>
      <c r="M234" t="inlineStr">
        <is>
          <t>AREI</t>
        </is>
      </c>
      <c r="N234" t="inlineStr">
        <is>
          <t>Centrale solaire Djermaya AFD/Tchad</t>
        </is>
      </c>
      <c r="O234" t="inlineStr">
        <is>
          <t>https://www.arei.info/fr_Djermaya_solar_project.html</t>
        </is>
      </c>
      <c r="P234" t="inlineStr">
        <is>
          <t>n.d.</t>
        </is>
      </c>
      <c r="Q234" t="inlineStr">
        <is>
          <t>60 millions d'euros</t>
        </is>
      </c>
      <c r="R234" t="inlineStr">
        <is>
          <t>Citation reformulée par l'outil ; périmètre (32 ou 60 MW) incertain.</t>
        </is>
      </c>
    </row>
    <row r="235">
      <c r="A235" t="inlineStr">
        <is>
          <t>retenu</t>
        </is>
      </c>
      <c r="B235" t="inlineStr">
        <is>
          <t>A_centre_est</t>
        </is>
      </c>
      <c r="C235" t="inlineStr">
        <is>
          <t>A</t>
        </is>
      </c>
      <c r="D235" t="inlineStr">
        <is>
          <t>TCD</t>
        </is>
      </c>
      <c r="E235" t="inlineStr">
        <is>
          <t>Komé Solar (Savannah Energy)</t>
        </is>
      </c>
      <c r="F235" t="inlineStr">
        <is>
          <t>puissance_mwp</t>
        </is>
      </c>
      <c r="G235" t="n">
        <v>300</v>
      </c>
      <c r="H235" t="inlineStr">
        <is>
          <t>MW (+ stockage non dimensionné)</t>
        </is>
      </c>
      <c r="I235" t="inlineStr">
        <is>
          <t>déclarée</t>
        </is>
      </c>
      <c r="J235" t="n">
        <v>2022</v>
      </c>
      <c r="K235" t="inlineStr">
        <is>
          <t>C</t>
        </is>
      </c>
      <c r="L235" t="inlineStr">
        <is>
          <t>confirmé</t>
        </is>
      </c>
      <c r="M235" t="inlineStr">
        <is>
          <t>pv magazine</t>
        </is>
      </c>
      <c r="N235" t="inlineStr">
        <is>
          <t>Energy company plans 500 MW of solar in Chad</t>
        </is>
      </c>
      <c r="O235" t="inlineStr">
        <is>
          <t>https://pv-magazine.com/2022/06/01/energy-company-plans-500-mw-of-solar-in-chad/</t>
        </is>
      </c>
      <c r="P235" t="inlineStr">
        <is>
          <t>2022-06-01</t>
        </is>
      </c>
      <c r="Q235" t="inlineStr">
        <is>
          <t>a commitment to develop up to 300 MW of solar capacity plus a battery system</t>
        </is>
      </c>
      <c r="R235" t="inlineStr">
        <is>
          <t>PV + STOCKAGE ; statut annoncé ; première production visée 2025 (non confirmée).</t>
        </is>
      </c>
    </row>
    <row r="236">
      <c r="A236" t="inlineStr">
        <is>
          <t>qualitatif</t>
        </is>
      </c>
      <c r="B236" t="inlineStr">
        <is>
          <t>A_centre_est</t>
        </is>
      </c>
      <c r="C236" t="inlineStr">
        <is>
          <t>A</t>
        </is>
      </c>
      <c r="D236" t="inlineStr">
        <is>
          <t>GAB</t>
        </is>
      </c>
      <c r="E236" t="inlineStr">
        <is>
          <t>Ayémé Plaine Solar (Solen)</t>
        </is>
      </c>
      <c r="F236" t="inlineStr">
        <is>
          <t>financeurs</t>
        </is>
      </c>
      <c r="G236" t="inlineStr">
        <is>
          <t>Prêt 28 M EUR AFRIGREEN Debt Impact Fund + BGFIBank (phase I)</t>
        </is>
      </c>
      <c r="H236" t="inlineStr">
        <is>
          <t>texte</t>
        </is>
      </c>
      <c r="I236" t="inlineStr">
        <is>
          <t>observée</t>
        </is>
      </c>
      <c r="J236" t="n">
        <v>2026</v>
      </c>
      <c r="K236" t="inlineStr">
        <is>
          <t>C</t>
        </is>
      </c>
      <c r="L236" t="inlineStr">
        <is>
          <t>qualitatif_citation_ok</t>
        </is>
      </c>
      <c r="M236" t="inlineStr">
        <is>
          <t>Energy Global</t>
        </is>
      </c>
      <c r="N236" t="inlineStr">
        <is>
          <t>De Gaulle Fleurance advises lenders on financing for large scale solar project</t>
        </is>
      </c>
      <c r="O236" t="inlineStr">
        <is>
          <t>https://www.energyglobal.com/solar/27022026/de-gaulle-fleurance-advises-lenders-on-financing-for-large-scale-solar-project/</t>
        </is>
      </c>
      <c r="P236" t="inlineStr">
        <is>
          <t>2026-02-27</t>
        </is>
      </c>
      <c r="Q236" t="inlineStr">
        <is>
          <t>€28 million</t>
        </is>
      </c>
      <c r="R236" t="inlineStr"/>
    </row>
    <row r="237">
      <c r="A237" t="inlineStr">
        <is>
          <t>retenu</t>
        </is>
      </c>
      <c r="B237" t="inlineStr">
        <is>
          <t>A_centre_est</t>
        </is>
      </c>
      <c r="C237" t="inlineStr">
        <is>
          <t>A</t>
        </is>
      </c>
      <c r="D237" t="inlineStr">
        <is>
          <t>GAB</t>
        </is>
      </c>
      <c r="E237" t="inlineStr">
        <is>
          <t>Ayémé Plaine Solar (Solen)</t>
        </is>
      </c>
      <c r="F237" t="inlineStr">
        <is>
          <t>puissance_mwp</t>
        </is>
      </c>
      <c r="G237" t="n">
        <v>30</v>
      </c>
      <c r="H237" t="inlineStr">
        <is>
          <t>MW phase I (projet total 60 MW)</t>
        </is>
      </c>
      <c r="I237" t="inlineStr">
        <is>
          <t>déclarée</t>
        </is>
      </c>
      <c r="J237" t="n">
        <v>2026</v>
      </c>
      <c r="K237" t="inlineStr">
        <is>
          <t>C</t>
        </is>
      </c>
      <c r="L237" t="inlineStr">
        <is>
          <t>confirmé</t>
        </is>
      </c>
      <c r="M237" t="inlineStr">
        <is>
          <t>Energy Global</t>
        </is>
      </c>
      <c r="N237" t="inlineStr">
        <is>
          <t>De Gaulle Fleurance advises lenders on financing for large scale solar project</t>
        </is>
      </c>
      <c r="O237" t="inlineStr">
        <is>
          <t>https://www.energyglobal.com/solar/27022026/de-gaulle-fleurance-advises-lenders-on-financing-for-large-scale-solar-project/</t>
        </is>
      </c>
      <c r="P237" t="inlineStr">
        <is>
          <t>2026-02-27</t>
        </is>
      </c>
      <c r="Q237" t="inlineStr">
        <is>
          <t>30 MW of solar energy</t>
        </is>
      </c>
      <c r="R237" t="inlineStr">
        <is>
          <t>PV + STOCKAGE (8 MWh phase I, 30 MWh total). Accord-cadre 2022 évoquait 120 MWc : conflit de périmètre.</t>
        </is>
      </c>
    </row>
    <row r="238">
      <c r="A238" t="inlineStr">
        <is>
          <t>retenu</t>
        </is>
      </c>
      <c r="B238" t="inlineStr">
        <is>
          <t>A_centre_est</t>
        </is>
      </c>
      <c r="C238" t="inlineStr">
        <is>
          <t>A</t>
        </is>
      </c>
      <c r="D238" t="inlineStr">
        <is>
          <t>GAB</t>
        </is>
      </c>
      <c r="E238" t="inlineStr">
        <is>
          <t>Ayémé Plaine Solar (Solen)</t>
        </is>
      </c>
      <c r="F238" t="inlineStr">
        <is>
          <t>stockage_mwh</t>
        </is>
      </c>
      <c r="G238" t="n">
        <v>8</v>
      </c>
      <c r="H238" t="inlineStr">
        <is>
          <t>MWh (phase I)</t>
        </is>
      </c>
      <c r="I238" t="inlineStr">
        <is>
          <t>déclarée</t>
        </is>
      </c>
      <c r="J238" t="n">
        <v>2026</v>
      </c>
      <c r="K238" t="inlineStr">
        <is>
          <t>C</t>
        </is>
      </c>
      <c r="L238" t="inlineStr">
        <is>
          <t>confirmé</t>
        </is>
      </c>
      <c r="M238" t="inlineStr">
        <is>
          <t>Energy Global</t>
        </is>
      </c>
      <c r="N238" t="inlineStr">
        <is>
          <t>De Gaulle Fleurance advises lenders on financing for large scale solar project</t>
        </is>
      </c>
      <c r="O238" t="inlineStr">
        <is>
          <t>https://www.energyglobal.com/solar/27022026/de-gaulle-fleurance-advises-lenders-on-financing-for-large-scale-solar-project/</t>
        </is>
      </c>
      <c r="P238" t="inlineStr">
        <is>
          <t>2026-02-27</t>
        </is>
      </c>
      <c r="Q238" t="inlineStr">
        <is>
          <t>8 MWh</t>
        </is>
      </c>
      <c r="R238" t="inlineStr">
        <is>
          <t>PV + STOCKAGE.</t>
        </is>
      </c>
    </row>
    <row r="239">
      <c r="A239" t="inlineStr">
        <is>
          <t>retenu</t>
        </is>
      </c>
      <c r="B239" t="inlineStr">
        <is>
          <t>A_centre_est</t>
        </is>
      </c>
      <c r="C239" t="inlineStr">
        <is>
          <t>A</t>
        </is>
      </c>
      <c r="D239" t="inlineStr">
        <is>
          <t>GAB</t>
        </is>
      </c>
      <c r="E239" t="inlineStr">
        <is>
          <t>Ayémé Plaine Solar (Solen)</t>
        </is>
      </c>
      <c r="F239" t="inlineStr">
        <is>
          <t>ppa_duree</t>
        </is>
      </c>
      <c r="G239" t="n">
        <v>25</v>
      </c>
      <c r="H239" t="inlineStr">
        <is>
          <t>ans</t>
        </is>
      </c>
      <c r="I239" t="inlineStr">
        <is>
          <t>observée</t>
        </is>
      </c>
      <c r="J239" t="n">
        <v>2026</v>
      </c>
      <c r="K239" t="inlineStr">
        <is>
          <t>C</t>
        </is>
      </c>
      <c r="L239" t="inlineStr">
        <is>
          <t>confirmé</t>
        </is>
      </c>
      <c r="M239" t="inlineStr">
        <is>
          <t>Energy Global</t>
        </is>
      </c>
      <c r="N239" t="inlineStr">
        <is>
          <t>De Gaulle Fleurance advises lenders on financing for large scale solar project</t>
        </is>
      </c>
      <c r="O239" t="inlineStr">
        <is>
          <t>https://www.energyglobal.com/solar/27022026/de-gaulle-fleurance-advises-lenders-on-financing-for-large-scale-solar-project/</t>
        </is>
      </c>
      <c r="P239" t="inlineStr">
        <is>
          <t>2026-02-27</t>
        </is>
      </c>
      <c r="Q239" t="inlineStr">
        <is>
          <t>25-year power purchase agreement (PPA) with the Gabonese government</t>
        </is>
      </c>
      <c r="R239" t="inlineStr">
        <is>
          <t>pv magazine (2024) désigne la SEEG comme contrepartie : conflit.</t>
        </is>
      </c>
    </row>
    <row r="240">
      <c r="A240" t="inlineStr">
        <is>
          <t>retenu</t>
        </is>
      </c>
      <c r="B240" t="inlineStr">
        <is>
          <t>A_nord</t>
        </is>
      </c>
      <c r="C240" t="inlineStr">
        <is>
          <t>A</t>
        </is>
      </c>
      <c r="D240" t="inlineStr">
        <is>
          <t>EGY</t>
        </is>
      </c>
      <c r="E240" t="inlineStr">
        <is>
          <t>Programme FiT Round 2 (Benban, ensemble)</t>
        </is>
      </c>
      <c r="F240" t="inlineStr">
        <is>
          <t>tarif</t>
        </is>
      </c>
      <c r="G240" t="n">
        <v>0.08400000000000001</v>
      </c>
      <c r="H240" t="inlineStr">
        <is>
          <t>USD/kWh</t>
        </is>
      </c>
      <c r="I240" t="inlineStr">
        <is>
          <t>observée</t>
        </is>
      </c>
      <c r="J240" t="n">
        <v>2016</v>
      </c>
      <c r="K240" t="inlineStr">
        <is>
          <t>C</t>
        </is>
      </c>
      <c r="L240" t="inlineStr">
        <is>
          <t>confirmé</t>
        </is>
      </c>
      <c r="M240" t="inlineStr">
        <is>
          <t>Clifford Chance (briefing, publié initialement par Debtwire)</t>
        </is>
      </c>
      <c r="N240" t="inlineStr">
        <is>
          <t>Egypt Solar Feed-in Tariff Round 2</t>
        </is>
      </c>
      <c r="O240" t="inlineStr">
        <is>
          <t>https://financialmarketstoolkit.cliffordchance.com/content/dam/cliffordchance/briefings/2018/02/egypt-solar-feedin-tariff-round-2.pdf</t>
        </is>
      </c>
      <c r="P240" t="inlineStr">
        <is>
          <t>2018-02</t>
        </is>
      </c>
      <c r="Q240" t="inlineStr">
        <is>
          <t>at a competitive tariff of US$8.4 cents/KWh, which was a significant step-down from the tariff of the Round 1 Programme (US$14.34 cents/KWh)</t>
        </is>
      </c>
      <c r="R240" t="inlineStr">
        <is>
          <t>Valeur programme (tranche 20-50 MW selon presse); bandes tarifaires officielles EgyptERA non consultées. Cabinet d'avocats conseil des prêteurs.</t>
        </is>
      </c>
    </row>
    <row r="241">
      <c r="A241" t="inlineStr">
        <is>
          <t>retenu</t>
        </is>
      </c>
      <c r="B241" t="inlineStr">
        <is>
          <t>A_nord</t>
        </is>
      </c>
      <c r="C241" t="inlineStr">
        <is>
          <t>A</t>
        </is>
      </c>
      <c r="D241" t="inlineStr">
        <is>
          <t>EGY</t>
        </is>
      </c>
      <c r="E241" t="inlineStr">
        <is>
          <t>Programme FiT Round 1 (Égypte)</t>
        </is>
      </c>
      <c r="F241" t="inlineStr">
        <is>
          <t>tarif</t>
        </is>
      </c>
      <c r="G241" t="n">
        <v>0.1434</v>
      </c>
      <c r="H241" t="inlineStr">
        <is>
          <t>USD/kWh</t>
        </is>
      </c>
      <c r="I241" t="inlineStr">
        <is>
          <t>observée</t>
        </is>
      </c>
      <c r="J241" t="n">
        <v>2014</v>
      </c>
      <c r="K241" t="inlineStr">
        <is>
          <t>C</t>
        </is>
      </c>
      <c r="L241" t="inlineStr">
        <is>
          <t>confirmé</t>
        </is>
      </c>
      <c r="M241" t="inlineStr">
        <is>
          <t>Clifford Chance (briefing, publié initialement par Debtwire)</t>
        </is>
      </c>
      <c r="N241" t="inlineStr">
        <is>
          <t>Egypt Solar Feed-in Tariff Round 2</t>
        </is>
      </c>
      <c r="O241" t="inlineStr">
        <is>
          <t>https://financialmarketstoolkit.cliffordchance.com/content/dam/cliffordchance/briefings/2018/02/egypt-solar-feedin-tariff-round-2.pdf</t>
        </is>
      </c>
      <c r="P241" t="inlineStr">
        <is>
          <t>2018-02</t>
        </is>
      </c>
      <c r="Q241" t="inlineStr">
        <is>
          <t>a significant step-down from the tariff of the Round 1 Programme (US$14.34 cents/KWh)</t>
        </is>
      </c>
      <c r="R241" t="inlineStr">
        <is>
          <t>Tarif Round 1 (tranche haute) ; peu de projets R1 ont atteint le bouclage.</t>
        </is>
      </c>
    </row>
    <row r="242">
      <c r="A242" t="inlineStr">
        <is>
          <t>retenu</t>
        </is>
      </c>
      <c r="B242" t="inlineStr">
        <is>
          <t>A_nord</t>
        </is>
      </c>
      <c r="C242" t="inlineStr">
        <is>
          <t>A</t>
        </is>
      </c>
      <c r="D242" t="inlineStr">
        <is>
          <t>EGY</t>
        </is>
      </c>
      <c r="E242" t="inlineStr">
        <is>
          <t>Programme FiT Round 2 (Benban, ensemble)</t>
        </is>
      </c>
      <c r="F242" t="inlineStr">
        <is>
          <t>ppa_duree</t>
        </is>
      </c>
      <c r="G242" t="n">
        <v>25</v>
      </c>
      <c r="H242" t="inlineStr">
        <is>
          <t>ans</t>
        </is>
      </c>
      <c r="I242" t="inlineStr">
        <is>
          <t>observée</t>
        </is>
      </c>
      <c r="J242" t="n">
        <v>2017</v>
      </c>
      <c r="K242" t="inlineStr">
        <is>
          <t>C</t>
        </is>
      </c>
      <c r="L242" t="inlineStr">
        <is>
          <t>confirmé</t>
        </is>
      </c>
      <c r="M242" t="inlineStr">
        <is>
          <t>Clifford Chance (briefing, publié initialement par Debtwire)</t>
        </is>
      </c>
      <c r="N242" t="inlineStr">
        <is>
          <t>Egypt Solar Feed-in Tariff Round 2</t>
        </is>
      </c>
      <c r="O242" t="inlineStr">
        <is>
          <t>https://financialmarketstoolkit.cliffordchance.com/content/dam/cliffordchance/briefings/2018/02/egypt-solar-feedin-tariff-round-2.pdf</t>
        </is>
      </c>
      <c r="P242" t="inlineStr">
        <is>
          <t>2018-02</t>
        </is>
      </c>
      <c r="Q242" t="inlineStr">
        <is>
          <t>a 25-year take-or-pay power purchase agreement (PPA) with the Egyptian Electricity and Transmission Company (EETC)</t>
        </is>
      </c>
      <c r="R242" t="inlineStr"/>
    </row>
    <row r="243">
      <c r="A243" t="inlineStr">
        <is>
          <t>qualitatif</t>
        </is>
      </c>
      <c r="B243" t="inlineStr">
        <is>
          <t>A_nord</t>
        </is>
      </c>
      <c r="C243" t="inlineStr">
        <is>
          <t>A</t>
        </is>
      </c>
      <c r="D243" t="inlineStr">
        <is>
          <t>EGY</t>
        </is>
      </c>
      <c r="E243" t="inlineStr">
        <is>
          <t>Programme FiT Round 2 (Benban, ensemble)</t>
        </is>
      </c>
      <c r="F243" t="inlineStr">
        <is>
          <t>acheteur</t>
        </is>
      </c>
      <c r="G243" t="inlineStr">
        <is>
          <t>EETC (Egyptian Electricity Transmission Company)</t>
        </is>
      </c>
      <c r="H243" t="inlineStr"/>
      <c r="I243" t="inlineStr">
        <is>
          <t>observée</t>
        </is>
      </c>
      <c r="J243" t="n">
        <v>2017</v>
      </c>
      <c r="K243" t="inlineStr">
        <is>
          <t>C</t>
        </is>
      </c>
      <c r="L243" t="inlineStr">
        <is>
          <t>qualitatif_citation_ok</t>
        </is>
      </c>
      <c r="M243" t="inlineStr">
        <is>
          <t>Clifford Chance (briefing, publié initialement par Debtwire)</t>
        </is>
      </c>
      <c r="N243" t="inlineStr">
        <is>
          <t>Egypt Solar Feed-in Tariff Round 2</t>
        </is>
      </c>
      <c r="O243" t="inlineStr">
        <is>
          <t>https://financialmarketstoolkit.cliffordchance.com/content/dam/cliffordchance/briefings/2018/02/egypt-solar-feedin-tariff-round-2.pdf</t>
        </is>
      </c>
      <c r="P243" t="inlineStr">
        <is>
          <t>2018-02</t>
        </is>
      </c>
      <c r="Q243" t="inlineStr">
        <is>
          <t>a 25-year take-or-pay power purchase agreement (PPA) with the Egyptian Electricity and Transmission Company (EETC)</t>
        </is>
      </c>
      <c r="R243" t="inlineStr"/>
    </row>
    <row r="244">
      <c r="A244" t="inlineStr">
        <is>
          <t>qualitatif</t>
        </is>
      </c>
      <c r="B244" t="inlineStr">
        <is>
          <t>A_nord</t>
        </is>
      </c>
      <c r="C244" t="inlineStr">
        <is>
          <t>A</t>
        </is>
      </c>
      <c r="D244" t="inlineStr">
        <is>
          <t>EGY</t>
        </is>
      </c>
      <c r="E244" t="inlineStr">
        <is>
          <t>Programme FiT Round 2 (Benban, ensemble)</t>
        </is>
      </c>
      <c r="F244" t="inlineStr">
        <is>
          <t>garanties</t>
        </is>
      </c>
      <c r="G244" t="inlineStr">
        <is>
          <t>Garantie souveraine du Ministère des Finances égyptien sur les obligations de paiement d'EETC (incluse dans le PPA direct agreement) ; arbitrage international CRCICA, siège Paris</t>
        </is>
      </c>
      <c r="H244" t="inlineStr"/>
      <c r="I244" t="inlineStr">
        <is>
          <t>observée</t>
        </is>
      </c>
      <c r="J244" t="n">
        <v>2017</v>
      </c>
      <c r="K244" t="inlineStr">
        <is>
          <t>C</t>
        </is>
      </c>
      <c r="L244" t="inlineStr">
        <is>
          <t>qualitatif_citation_ok</t>
        </is>
      </c>
      <c r="M244" t="inlineStr">
        <is>
          <t>Clifford Chance (briefing, publié initialement par Debtwire)</t>
        </is>
      </c>
      <c r="N244" t="inlineStr">
        <is>
          <t>Egypt Solar Feed-in Tariff Round 2</t>
        </is>
      </c>
      <c r="O244" t="inlineStr">
        <is>
          <t>https://financialmarketstoolkit.cliffordchance.com/content/dam/cliffordchance/briefings/2018/02/egypt-solar-feedin-tariff-round-2.pdf</t>
        </is>
      </c>
      <c r="P244" t="inlineStr">
        <is>
          <t>2018-02</t>
        </is>
      </c>
      <c r="Q244" t="inlineStr">
        <is>
          <t>The offtaker's payment obligations under the power purchase agreement are backed by a sovereign guarantee of the Egyptian Ministry of Finance, which is included in the PPA direct agreement.</t>
        </is>
      </c>
      <c r="R244" t="inlineStr"/>
    </row>
    <row r="245">
      <c r="A245" t="inlineStr">
        <is>
          <t>retenu</t>
        </is>
      </c>
      <c r="B245" t="inlineStr">
        <is>
          <t>A_nord</t>
        </is>
      </c>
      <c r="C245" t="inlineStr">
        <is>
          <t>A</t>
        </is>
      </c>
      <c r="D245" t="inlineStr">
        <is>
          <t>EGY</t>
        </is>
      </c>
      <c r="E245" t="inlineStr">
        <is>
          <t>Programme FiT Round 2 (Benban, ensemble)</t>
        </is>
      </c>
      <c r="F245" t="inlineStr">
        <is>
          <t>dette_duree</t>
        </is>
      </c>
      <c r="G245" t="n">
        <v>18</v>
      </c>
      <c r="H245" t="inlineStr">
        <is>
          <t>ans (door-to-door, dont ~1 an construction)</t>
        </is>
      </c>
      <c r="I245" t="inlineStr">
        <is>
          <t>observée</t>
        </is>
      </c>
      <c r="J245" t="n">
        <v>2017</v>
      </c>
      <c r="K245" t="inlineStr">
        <is>
          <t>C</t>
        </is>
      </c>
      <c r="L245" t="inlineStr">
        <is>
          <t>confirmé</t>
        </is>
      </c>
      <c r="M245" t="inlineStr">
        <is>
          <t>Clifford Chance (briefing, publié initialement par Debtwire)</t>
        </is>
      </c>
      <c r="N245" t="inlineStr">
        <is>
          <t>Egypt Solar Feed-in Tariff Round 2</t>
        </is>
      </c>
      <c r="O245" t="inlineStr">
        <is>
          <t>https://financialmarketstoolkit.cliffordchance.com/content/dam/cliffordchance/briefings/2018/02/egypt-solar-feedin-tariff-round-2.pdf</t>
        </is>
      </c>
      <c r="P245" t="inlineStr">
        <is>
          <t>2018-02</t>
        </is>
      </c>
      <c r="Q245" t="inlineStr">
        <is>
          <t>On average, the loan tenor is approximately 18 years, door-to-door, with one year for the construction period and a gearing ratio of 75:25.</t>
        </is>
      </c>
      <c r="R245" t="inlineStr">
        <is>
          <t>Moyenne programme</t>
        </is>
      </c>
    </row>
    <row r="246">
      <c r="A246" t="inlineStr">
        <is>
          <t>retenu</t>
        </is>
      </c>
      <c r="B246" t="inlineStr">
        <is>
          <t>A_nord</t>
        </is>
      </c>
      <c r="C246" t="inlineStr">
        <is>
          <t>A</t>
        </is>
      </c>
      <c r="D246" t="inlineStr">
        <is>
          <t>EGY</t>
        </is>
      </c>
      <c r="E246" t="inlineStr">
        <is>
          <t>Programme FiT Round 2 (Benban, ensemble)</t>
        </is>
      </c>
      <c r="F246" t="inlineStr">
        <is>
          <t>dette_part</t>
        </is>
      </c>
      <c r="G246" t="n">
        <v>0.75</v>
      </c>
      <c r="H246" t="inlineStr">
        <is>
          <t>fraction</t>
        </is>
      </c>
      <c r="I246" t="inlineStr">
        <is>
          <t>observée</t>
        </is>
      </c>
      <c r="J246" t="n">
        <v>2017</v>
      </c>
      <c r="K246" t="inlineStr">
        <is>
          <t>C</t>
        </is>
      </c>
      <c r="L246" t="inlineStr">
        <is>
          <t>confirmé</t>
        </is>
      </c>
      <c r="M246" t="inlineStr">
        <is>
          <t>Clifford Chance (briefing, publié initialement par Debtwire)</t>
        </is>
      </c>
      <c r="N246" t="inlineStr">
        <is>
          <t>Egypt Solar Feed-in Tariff Round 2</t>
        </is>
      </c>
      <c r="O246" t="inlineStr">
        <is>
          <t>https://financialmarketstoolkit.cliffordchance.com/content/dam/cliffordchance/briefings/2018/02/egypt-solar-feedin-tariff-round-2.pdf</t>
        </is>
      </c>
      <c r="P246" t="inlineStr">
        <is>
          <t>2018-02</t>
        </is>
      </c>
      <c r="Q246" t="inlineStr">
        <is>
          <t>with one year for the construction period and a gearing ratio of 75:25.</t>
        </is>
      </c>
      <c r="R246" t="inlineStr">
        <is>
          <t>Moyenne programme</t>
        </is>
      </c>
    </row>
    <row r="247">
      <c r="A247" t="inlineStr">
        <is>
          <t>qualitatif</t>
        </is>
      </c>
      <c r="B247" t="inlineStr">
        <is>
          <t>A_nord</t>
        </is>
      </c>
      <c r="C247" t="inlineStr">
        <is>
          <t>A</t>
        </is>
      </c>
      <c r="D247" t="inlineStr">
        <is>
          <t>EGY</t>
        </is>
      </c>
      <c r="E247" t="inlineStr">
        <is>
          <t>Programme FiT Round 2 (Benban, ensemble)</t>
        </is>
      </c>
      <c r="F247" t="inlineStr">
        <is>
          <t>financeurs</t>
        </is>
      </c>
      <c r="G247" t="inlineStr">
        <is>
          <t>EBRD (16 projets), IFC (13 projets), Proparco (4+1), MIGA (assurance risque politique ~12 projets), IsDB, ICD ; pas d'ECA ni de banques commerciales internationales</t>
        </is>
      </c>
      <c r="H247" t="inlineStr"/>
      <c r="I247" t="inlineStr">
        <is>
          <t>observée</t>
        </is>
      </c>
      <c r="J247" t="n">
        <v>2017</v>
      </c>
      <c r="K247" t="inlineStr">
        <is>
          <t>C</t>
        </is>
      </c>
      <c r="L247" t="inlineStr">
        <is>
          <t>qualitatif_citation_ok</t>
        </is>
      </c>
      <c r="M247" t="inlineStr">
        <is>
          <t>Clifford Chance (briefing, publié initialement par Debtwire)</t>
        </is>
      </c>
      <c r="N247" t="inlineStr">
        <is>
          <t>Egypt Solar Feed-in Tariff Round 2</t>
        </is>
      </c>
      <c r="O247" t="inlineStr">
        <is>
          <t>https://financialmarketstoolkit.cliffordchance.com/content/dam/cliffordchance/briefings/2018/02/egypt-solar-feedin-tariff-round-2.pdf</t>
        </is>
      </c>
      <c r="P247" t="inlineStr">
        <is>
          <t>2018-02</t>
        </is>
      </c>
      <c r="Q247" t="inlineStr">
        <is>
          <t>the most involved were EBRD, which mobilised funding for 16 projects, International Finance Corporation of the World Bank Group, which mobilised funding for 13 projects and PROPARCO</t>
        </is>
      </c>
      <c r="R247" t="inlineStr"/>
    </row>
    <row r="248">
      <c r="A248" t="inlineStr">
        <is>
          <t>qualitatif</t>
        </is>
      </c>
      <c r="B248" t="inlineStr">
        <is>
          <t>A_nord</t>
        </is>
      </c>
      <c r="C248" t="inlineStr">
        <is>
          <t>A</t>
        </is>
      </c>
      <c r="D248" t="inlineStr">
        <is>
          <t>EGY</t>
        </is>
      </c>
      <c r="E248" t="inlineStr">
        <is>
          <t>Programme FiT Round 2 (Benban, ensemble)</t>
        </is>
      </c>
      <c r="F248" t="inlineStr">
        <is>
          <t>puissance_mwac</t>
        </is>
      </c>
      <c r="G248" t="inlineStr">
        <is>
          <t>1400-1800</t>
        </is>
      </c>
      <c r="H248" t="inlineStr">
        <is>
          <t>MW (fourchette)</t>
        </is>
      </c>
      <c r="I248" t="inlineStr">
        <is>
          <t>déclarée</t>
        </is>
      </c>
      <c r="J248" t="n">
        <v>2017</v>
      </c>
      <c r="K248" t="inlineStr">
        <is>
          <t>C</t>
        </is>
      </c>
      <c r="L248" t="inlineStr">
        <is>
          <t>qualitatif_citation_ok</t>
        </is>
      </c>
      <c r="M248" t="inlineStr">
        <is>
          <t>Clifford Chance (briefing, publié initialement par Debtwire)</t>
        </is>
      </c>
      <c r="N248" t="inlineStr">
        <is>
          <t>Egypt Solar Feed-in Tariff Round 2</t>
        </is>
      </c>
      <c r="O248" t="inlineStr">
        <is>
          <t>https://financialmarketstoolkit.cliffordchance.com/content/dam/cliffordchance/briefings/2018/02/egypt-solar-feedin-tariff-round-2.pdf</t>
        </is>
      </c>
      <c r="P248" t="inlineStr">
        <is>
          <t>2018-02</t>
        </is>
      </c>
      <c r="Q248" t="inlineStr">
        <is>
          <t>the programme has nonetheless impressively achieved between 1.4 GW and 1.8 GW of additional renewable generation capacity</t>
        </is>
      </c>
      <c r="R248" t="inlineStr">
        <is>
          <t>AC/DC non précisé</t>
        </is>
      </c>
    </row>
    <row r="249">
      <c r="A249" t="inlineStr">
        <is>
          <t>qualitatif</t>
        </is>
      </c>
      <c r="B249" t="inlineStr">
        <is>
          <t>A_nord</t>
        </is>
      </c>
      <c r="C249" t="inlineStr">
        <is>
          <t>A</t>
        </is>
      </c>
      <c r="D249" t="inlineStr">
        <is>
          <t>EGY</t>
        </is>
      </c>
      <c r="E249" t="inlineStr">
        <is>
          <t>Programme FiT Round 2 (Benban, ensemble)</t>
        </is>
      </c>
      <c r="F249" t="inlineStr">
        <is>
          <t>procedure</t>
        </is>
      </c>
      <c r="G249" t="inlineStr">
        <is>
          <t>FiT (Feed-in Tariff Round 2), licence EgyptERA, terrain NREA (usufruit)</t>
        </is>
      </c>
      <c r="H249" t="inlineStr"/>
      <c r="I249" t="inlineStr">
        <is>
          <t>observée</t>
        </is>
      </c>
      <c r="J249" t="n">
        <v>2016</v>
      </c>
      <c r="K249" t="inlineStr">
        <is>
          <t>C</t>
        </is>
      </c>
      <c r="L249" t="inlineStr">
        <is>
          <t>qualitatif_citation_ok</t>
        </is>
      </c>
      <c r="M249" t="inlineStr">
        <is>
          <t>Clifford Chance (briefing, publié initialement par Debtwire)</t>
        </is>
      </c>
      <c r="N249" t="inlineStr">
        <is>
          <t>Egypt Solar Feed-in Tariff Round 2</t>
        </is>
      </c>
      <c r="O249" t="inlineStr">
        <is>
          <t>https://financialmarketstoolkit.cliffordchance.com/content/dam/cliffordchance/briefings/2018/02/egypt-solar-feedin-tariff-round-2.pdf</t>
        </is>
      </c>
      <c r="P249" t="inlineStr">
        <is>
          <t>2018-02</t>
        </is>
      </c>
      <c r="Q249" t="inlineStr">
        <is>
          <t>Each project company is issued a licence by the Egyptian Electric Utility and Consumer Protection Regulatory Agency (Egypt ERA)</t>
        </is>
      </c>
      <c r="R249" t="inlineStr"/>
    </row>
    <row r="250">
      <c r="A250" t="inlineStr">
        <is>
          <t>retenu</t>
        </is>
      </c>
      <c r="B250" t="inlineStr">
        <is>
          <t>A_nord</t>
        </is>
      </c>
      <c r="C250" t="inlineStr">
        <is>
          <t>A</t>
        </is>
      </c>
      <c r="D250" t="inlineStr">
        <is>
          <t>EGY</t>
        </is>
      </c>
      <c r="E250" t="inlineStr">
        <is>
          <t>Programme FiT Round 2 (Benban, ensemble)</t>
        </is>
      </c>
      <c r="F250" t="inlineStr">
        <is>
          <t>annee_attribution</t>
        </is>
      </c>
      <c r="G250" t="n">
        <v>2016</v>
      </c>
      <c r="H250" t="inlineStr"/>
      <c r="I250" t="inlineStr">
        <is>
          <t>observée</t>
        </is>
      </c>
      <c r="J250" t="n">
        <v>2016</v>
      </c>
      <c r="K250" t="inlineStr">
        <is>
          <t>A</t>
        </is>
      </c>
      <c r="L250" t="inlineStr">
        <is>
          <t>confirmé</t>
        </is>
      </c>
      <c r="M250" t="inlineStr">
        <is>
          <t>AIIB</t>
        </is>
      </c>
      <c r="N250" t="inlineStr">
        <is>
          <t>Project Summary Information – Egypt Round II Solar PV FiT Program: Winnergy for Renewable Energy Projects</t>
        </is>
      </c>
      <c r="O250" t="inlineStr">
        <is>
          <t>https://www.aiib.org/en/projects/approved/2017/_download/egypt/summary/Egypt_48-winnergy-renewable.pdf</t>
        </is>
      </c>
      <c r="P250" t="inlineStr">
        <is>
          <t>2019-03-29</t>
        </is>
      </c>
      <c r="Q250" t="inlineStr">
        <is>
          <t>In September 2016, the GoE authorized a second round (Round 2) of the FiT scheme, targeting a total of 1.3GWac solar photovoltaic (PV), split among 20MWac, 30MWac and 50MWac projects</t>
        </is>
      </c>
      <c r="R250" t="inlineStr">
        <is>
          <t>Date limite de bouclage financier : 29 oct. 2017</t>
        </is>
      </c>
    </row>
    <row r="251">
      <c r="A251" t="inlineStr">
        <is>
          <t>qualitatif</t>
        </is>
      </c>
      <c r="B251" t="inlineStr">
        <is>
          <t>A_nord</t>
        </is>
      </c>
      <c r="C251" t="inlineStr">
        <is>
          <t>A</t>
        </is>
      </c>
      <c r="D251" t="inlineStr">
        <is>
          <t>EGY</t>
        </is>
      </c>
      <c r="E251" t="inlineStr">
        <is>
          <t>Programme FiT Round 2 (Benban, ensemble)</t>
        </is>
      </c>
      <c r="F251" t="inlineStr">
        <is>
          <t>financeurs</t>
        </is>
      </c>
      <c r="G251" t="inlineStr">
        <is>
          <t>EBRD : cadre jusqu'à 500 MUSD (Egypt Renewable Energy Framework)</t>
        </is>
      </c>
      <c r="I251" t="inlineStr">
        <is>
          <t>observée</t>
        </is>
      </c>
      <c r="J251" t="n">
        <v>2017</v>
      </c>
      <c r="K251" t="inlineStr">
        <is>
          <t>A</t>
        </is>
      </c>
      <c r="L251" t="inlineStr">
        <is>
          <t>qualitatif_citation_ok</t>
        </is>
      </c>
      <c r="M251" t="inlineStr">
        <is>
          <t>EBRD</t>
        </is>
      </c>
      <c r="N251" t="inlineStr">
        <is>
          <t>Minutes of the Board Meeting of 7 June 2017 (public)</t>
        </is>
      </c>
      <c r="O251" t="inlineStr">
        <is>
          <t>https://www.ebrd.com/content/dam/ebrd_dxp/assets/pdfs/strategies-and-policies/ebrd-board-activity/2017/april-june/BDSM1711w%20(2).pdf</t>
        </is>
      </c>
      <c r="P251" t="inlineStr">
        <is>
          <t>2017-06-07</t>
        </is>
      </c>
      <c r="Q251" t="inlineStr">
        <is>
          <t>The Board of Directors approved a framework of up to USD 500 million to finance wind and solar renewable energy projects implemented under Egypt's feed-in tariff scheme.</t>
        </is>
      </c>
      <c r="R251" t="inlineStr"/>
    </row>
    <row r="252">
      <c r="A252" t="inlineStr">
        <is>
          <t>retenu</t>
        </is>
      </c>
      <c r="B252" t="inlineStr">
        <is>
          <t>A_nord</t>
        </is>
      </c>
      <c r="C252" t="inlineStr">
        <is>
          <t>A</t>
        </is>
      </c>
      <c r="D252" t="inlineStr">
        <is>
          <t>EGY</t>
        </is>
      </c>
      <c r="E252" t="inlineStr">
        <is>
          <t>Benban – Winnergy for Renewable Energy Projects (20 MWac)</t>
        </is>
      </c>
      <c r="F252" t="inlineStr">
        <is>
          <t>puissance_mwac</t>
        </is>
      </c>
      <c r="G252" t="n">
        <v>20</v>
      </c>
      <c r="H252" t="inlineStr">
        <is>
          <t>MWac</t>
        </is>
      </c>
      <c r="I252" t="inlineStr">
        <is>
          <t>déclarée</t>
        </is>
      </c>
      <c r="J252" t="n">
        <v>2017</v>
      </c>
      <c r="K252" t="inlineStr">
        <is>
          <t>A</t>
        </is>
      </c>
      <c r="L252" t="inlineStr">
        <is>
          <t>confirmé</t>
        </is>
      </c>
      <c r="M252" t="inlineStr">
        <is>
          <t>AIIB</t>
        </is>
      </c>
      <c r="N252" t="inlineStr">
        <is>
          <t>Project Summary Information – Egypt Round II Solar PV FiT Program: Winnergy for Renewable Energy Projects</t>
        </is>
      </c>
      <c r="O252" t="inlineStr">
        <is>
          <t>https://www.aiib.org/en/projects/approved/2017/_download/egypt/summary/Egypt_48-winnergy-renewable.pdf</t>
        </is>
      </c>
      <c r="P252" t="inlineStr">
        <is>
          <t>2019-03-29</t>
        </is>
      </c>
      <c r="Q252" t="inlineStr">
        <is>
          <t>The Project entails the development, financing, construction, testing, commissioning, operation and maintenance of a 20MWac solar PV power plant located in Benban Solar Park.</t>
        </is>
      </c>
      <c r="R252" t="inlineStr"/>
    </row>
    <row r="253">
      <c r="A253" t="inlineStr">
        <is>
          <t>retenu</t>
        </is>
      </c>
      <c r="B253" t="inlineStr">
        <is>
          <t>A_nord</t>
        </is>
      </c>
      <c r="C253" t="inlineStr">
        <is>
          <t>A</t>
        </is>
      </c>
      <c r="D253" t="inlineStr">
        <is>
          <t>EGY</t>
        </is>
      </c>
      <c r="E253" t="inlineStr">
        <is>
          <t>Benban – Winnergy for Renewable Energy Projects (20 MWac)</t>
        </is>
      </c>
      <c r="F253" t="inlineStr">
        <is>
          <t>ppa_duree</t>
        </is>
      </c>
      <c r="G253" t="n">
        <v>25</v>
      </c>
      <c r="H253" t="inlineStr">
        <is>
          <t>ans</t>
        </is>
      </c>
      <c r="I253" t="inlineStr">
        <is>
          <t>observée</t>
        </is>
      </c>
      <c r="J253" t="n">
        <v>2017</v>
      </c>
      <c r="K253" t="inlineStr">
        <is>
          <t>A</t>
        </is>
      </c>
      <c r="L253" t="inlineStr">
        <is>
          <t>confirmé</t>
        </is>
      </c>
      <c r="M253" t="inlineStr">
        <is>
          <t>AIIB</t>
        </is>
      </c>
      <c r="N253" t="inlineStr">
        <is>
          <t>Project Summary Information – Egypt Round II Solar PV FiT Program: Winnergy for Renewable Energy Projects</t>
        </is>
      </c>
      <c r="O253" t="inlineStr">
        <is>
          <t>https://www.aiib.org/en/projects/approved/2017/_download/egypt/summary/Egypt_48-winnergy-renewable.pdf</t>
        </is>
      </c>
      <c r="P253" t="inlineStr">
        <is>
          <t>2019-03-29</t>
        </is>
      </c>
      <c r="Q253" t="inlineStr">
        <is>
          <t>All output generated by the Project will be sold to the Egyptian Electricity Transmission Company (EETC) under a 25-year Power Purchase Agreement.</t>
        </is>
      </c>
      <c r="R253" t="inlineStr"/>
    </row>
    <row r="254">
      <c r="A254" t="inlineStr">
        <is>
          <t>qualitatif</t>
        </is>
      </c>
      <c r="B254" t="inlineStr">
        <is>
          <t>A_nord</t>
        </is>
      </c>
      <c r="C254" t="inlineStr">
        <is>
          <t>A</t>
        </is>
      </c>
      <c r="D254" t="inlineStr">
        <is>
          <t>EGY</t>
        </is>
      </c>
      <c r="E254" t="inlineStr">
        <is>
          <t>Benban – Winnergy for Renewable Energy Projects (20 MWac)</t>
        </is>
      </c>
      <c r="F254" t="inlineStr">
        <is>
          <t>developpeur</t>
        </is>
      </c>
      <c r="G254" t="inlineStr">
        <is>
          <t>Al Tawakol Electrical (Gila) 51%, Enerray 25%, Desert Technologies 15%, Spectrum International 8%, autres 1%</t>
        </is>
      </c>
      <c r="H254" t="inlineStr"/>
      <c r="I254" t="inlineStr">
        <is>
          <t>observée</t>
        </is>
      </c>
      <c r="J254" t="n">
        <v>2017</v>
      </c>
      <c r="K254" t="inlineStr">
        <is>
          <t>A</t>
        </is>
      </c>
      <c r="L254" t="inlineStr">
        <is>
          <t>qualitatif_citation_ok</t>
        </is>
      </c>
      <c r="M254" t="inlineStr">
        <is>
          <t>AIIB</t>
        </is>
      </c>
      <c r="N254" t="inlineStr">
        <is>
          <t>Project Summary Information – Egypt Round II Solar PV FiT Program: Winnergy for Renewable Energy Projects</t>
        </is>
      </c>
      <c r="O254" t="inlineStr">
        <is>
          <t>https://www.aiib.org/en/projects/approved/2017/_download/egypt/summary/Egypt_48-winnergy-renewable.pdf</t>
        </is>
      </c>
      <c r="P254" t="inlineStr">
        <is>
          <t>2019-03-29</t>
        </is>
      </c>
      <c r="Q254" t="inlineStr">
        <is>
          <t>a special purpose vehicle owned by a joint venture between Al Tawakol Electrical (Gila) S.A.E. (51%), Enerray S.p.A. (25%), Desert Technologies Industries Co. Ltd. (15%), Spectrum International for Renewable Energy LLC (8%) and others (1%)</t>
        </is>
      </c>
      <c r="R254" t="inlineStr"/>
    </row>
    <row r="255">
      <c r="A255" t="inlineStr">
        <is>
          <t>qualitatif</t>
        </is>
      </c>
      <c r="B255" t="inlineStr">
        <is>
          <t>A_nord</t>
        </is>
      </c>
      <c r="C255" t="inlineStr">
        <is>
          <t>A</t>
        </is>
      </c>
      <c r="D255" t="inlineStr">
        <is>
          <t>EGY</t>
        </is>
      </c>
      <c r="E255" t="inlineStr">
        <is>
          <t>Benban – Winnergy for Renewable Energy Projects (20 MWac)</t>
        </is>
      </c>
      <c r="F255" t="inlineStr">
        <is>
          <t>financeurs</t>
        </is>
      </c>
      <c r="G255" t="inlineStr">
        <is>
          <t>AIIB (programme approuvé 4 sept. 2017) + IFC et autres prêteurs</t>
        </is>
      </c>
      <c r="H255" t="inlineStr"/>
      <c r="I255" t="inlineStr">
        <is>
          <t>observée</t>
        </is>
      </c>
      <c r="J255" t="n">
        <v>2017</v>
      </c>
      <c r="K255" t="inlineStr">
        <is>
          <t>A</t>
        </is>
      </c>
      <c r="L255" t="inlineStr">
        <is>
          <t>qualitatif_citation_ok</t>
        </is>
      </c>
      <c r="M255" t="inlineStr">
        <is>
          <t>AIIB</t>
        </is>
      </c>
      <c r="N255" t="inlineStr">
        <is>
          <t>Project Summary Information – Egypt Round II Solar PV FiT Program: Winnergy for Renewable Energy Projects</t>
        </is>
      </c>
      <c r="O255" t="inlineStr">
        <is>
          <t>https://www.aiib.org/en/projects/approved/2017/_download/egypt/summary/Egypt_48-winnergy-renewable.pdf</t>
        </is>
      </c>
      <c r="P255" t="inlineStr">
        <is>
          <t>2019-03-29</t>
        </is>
      </c>
      <c r="Q255" t="inlineStr">
        <is>
          <t>The Project will be co-financed by the International Finance Corporation and other lenders.</t>
        </is>
      </c>
      <c r="R255" t="inlineStr">
        <is>
          <t>Montant AIIB par sous-projet non indiqué dans la PSI</t>
        </is>
      </c>
    </row>
    <row r="256">
      <c r="A256" t="inlineStr">
        <is>
          <t>qualitatif</t>
        </is>
      </c>
      <c r="B256" t="inlineStr">
        <is>
          <t>A_nord</t>
        </is>
      </c>
      <c r="C256" t="inlineStr">
        <is>
          <t>A</t>
        </is>
      </c>
      <c r="D256" t="inlineStr">
        <is>
          <t>EGY</t>
        </is>
      </c>
      <c r="E256" t="inlineStr">
        <is>
          <t>Benban – Phoenix Power 1 (50 MWac)</t>
        </is>
      </c>
      <c r="F256" t="inlineStr">
        <is>
          <t>capex_total</t>
        </is>
      </c>
      <c r="G256" t="inlineStr">
        <is>
          <t>75-80</t>
        </is>
      </c>
      <c r="H256" t="inlineStr">
        <is>
          <t>MUSD</t>
        </is>
      </c>
      <c r="I256" t="inlineStr">
        <is>
          <t>déclarée</t>
        </is>
      </c>
      <c r="J256" t="n">
        <v>2016</v>
      </c>
      <c r="K256" t="inlineStr">
        <is>
          <t>A</t>
        </is>
      </c>
      <c r="L256" t="inlineStr">
        <is>
          <t>qualitatif_citation_ok</t>
        </is>
      </c>
      <c r="M256" t="inlineStr">
        <is>
          <t>IFC</t>
        </is>
      </c>
      <c r="N256" t="inlineStr">
        <is>
          <t>ESRS Phoenix Power 1 (projet 37591)</t>
        </is>
      </c>
      <c r="O256" t="inlineStr">
        <is>
          <t>https://disclosures.ifc.org/project-detail/ESRS/37591/phoenix-power1</t>
        </is>
      </c>
      <c r="P256" t="inlineStr">
        <is>
          <t>2016-05-04</t>
        </is>
      </c>
      <c r="Q256" t="inlineStr">
        <is>
          <t>The total project cost is up to US$75-80 million</t>
        </is>
      </c>
      <c r="R256" t="inlineStr">
        <is>
          <t>Fourchette ; devise USD</t>
        </is>
      </c>
    </row>
    <row r="257">
      <c r="A257" t="inlineStr">
        <is>
          <t>retenu</t>
        </is>
      </c>
      <c r="B257" t="inlineStr">
        <is>
          <t>A_nord</t>
        </is>
      </c>
      <c r="C257" t="inlineStr">
        <is>
          <t>A</t>
        </is>
      </c>
      <c r="D257" t="inlineStr">
        <is>
          <t>EGY</t>
        </is>
      </c>
      <c r="E257" t="inlineStr">
        <is>
          <t>Benban – Phoenix Power 1 (50 MWac)</t>
        </is>
      </c>
      <c r="F257" t="inlineStr">
        <is>
          <t>puissance_mwac</t>
        </is>
      </c>
      <c r="G257" t="n">
        <v>50</v>
      </c>
      <c r="H257" t="inlineStr">
        <is>
          <t>MWac</t>
        </is>
      </c>
      <c r="I257" t="inlineStr">
        <is>
          <t>déclarée</t>
        </is>
      </c>
      <c r="J257" t="n">
        <v>2016</v>
      </c>
      <c r="K257" t="inlineStr">
        <is>
          <t>A</t>
        </is>
      </c>
      <c r="L257" t="inlineStr">
        <is>
          <t>confirmé</t>
        </is>
      </c>
      <c r="M257" t="inlineStr">
        <is>
          <t>IFC</t>
        </is>
      </c>
      <c r="N257" t="inlineStr">
        <is>
          <t>ESRS Phoenix Power 1 (projet 37591)</t>
        </is>
      </c>
      <c r="O257" t="inlineStr">
        <is>
          <t>https://disclosures.ifc.org/project-detail/ESRS/37591/phoenix-power1</t>
        </is>
      </c>
      <c r="P257" t="inlineStr">
        <is>
          <t>2016-05-04</t>
        </is>
      </c>
      <c r="Q257" t="inlineStr">
        <is>
          <t>with a nominal capacity of 50 MW AC and a peak capacity of 63.78 MW DC.</t>
        </is>
      </c>
      <c r="R257" t="inlineStr"/>
    </row>
    <row r="258">
      <c r="A258" t="inlineStr">
        <is>
          <t>retenu</t>
        </is>
      </c>
      <c r="B258" t="inlineStr">
        <is>
          <t>A_nord</t>
        </is>
      </c>
      <c r="C258" t="inlineStr">
        <is>
          <t>A</t>
        </is>
      </c>
      <c r="D258" t="inlineStr">
        <is>
          <t>EGY</t>
        </is>
      </c>
      <c r="E258" t="inlineStr">
        <is>
          <t>Benban – Phoenix Power 1 (50 MWac)</t>
        </is>
      </c>
      <c r="F258" t="inlineStr">
        <is>
          <t>puissance_mwp</t>
        </is>
      </c>
      <c r="G258" t="n">
        <v>63.78</v>
      </c>
      <c r="H258" t="inlineStr">
        <is>
          <t>MWp</t>
        </is>
      </c>
      <c r="I258" t="inlineStr">
        <is>
          <t>déclarée</t>
        </is>
      </c>
      <c r="J258" t="n">
        <v>2016</v>
      </c>
      <c r="K258" t="inlineStr">
        <is>
          <t>A</t>
        </is>
      </c>
      <c r="L258" t="inlineStr">
        <is>
          <t>confirmé</t>
        </is>
      </c>
      <c r="M258" t="inlineStr">
        <is>
          <t>IFC</t>
        </is>
      </c>
      <c r="N258" t="inlineStr">
        <is>
          <t>ESRS Phoenix Power 1 (projet 37591)</t>
        </is>
      </c>
      <c r="O258" t="inlineStr">
        <is>
          <t>https://disclosures.ifc.org/project-detail/ESRS/37591/phoenix-power1</t>
        </is>
      </c>
      <c r="P258" t="inlineStr">
        <is>
          <t>2016-05-04</t>
        </is>
      </c>
      <c r="Q258" t="inlineStr">
        <is>
          <t>with a nominal capacity of 50 MW AC and a peak capacity of 63.78 MW DC.</t>
        </is>
      </c>
      <c r="R258" t="inlineStr"/>
    </row>
    <row r="259">
      <c r="A259" t="inlineStr">
        <is>
          <t>retenu</t>
        </is>
      </c>
      <c r="B259" t="inlineStr">
        <is>
          <t>A_nord</t>
        </is>
      </c>
      <c r="C259" t="inlineStr">
        <is>
          <t>A</t>
        </is>
      </c>
      <c r="D259" t="inlineStr">
        <is>
          <t>EGY</t>
        </is>
      </c>
      <c r="E259" t="inlineStr">
        <is>
          <t>Benban – Phoenix Power 1 (50 MWac)</t>
        </is>
      </c>
      <c r="F259" t="inlineStr">
        <is>
          <t>ppa_duree</t>
        </is>
      </c>
      <c r="G259" t="n">
        <v>25</v>
      </c>
      <c r="H259" t="inlineStr">
        <is>
          <t>ans</t>
        </is>
      </c>
      <c r="I259" t="inlineStr">
        <is>
          <t>déclarée</t>
        </is>
      </c>
      <c r="J259" t="n">
        <v>2016</v>
      </c>
      <c r="K259" t="inlineStr">
        <is>
          <t>A</t>
        </is>
      </c>
      <c r="L259" t="inlineStr">
        <is>
          <t>confirmé</t>
        </is>
      </c>
      <c r="M259" t="inlineStr">
        <is>
          <t>IFC</t>
        </is>
      </c>
      <c r="N259" t="inlineStr">
        <is>
          <t>ESRS Phoenix Power 1 (projet 37591)</t>
        </is>
      </c>
      <c r="O259" t="inlineStr">
        <is>
          <t>https://disclosures.ifc.org/project-detail/ESRS/37591/phoenix-power1</t>
        </is>
      </c>
      <c r="P259" t="inlineStr">
        <is>
          <t>2016-05-04</t>
        </is>
      </c>
      <c r="Q259" t="inlineStr">
        <is>
          <t>sold to EETC under a 25-year Power Purchase Agreement (PPA)</t>
        </is>
      </c>
      <c r="R259" t="inlineStr"/>
    </row>
    <row r="260">
      <c r="A260" t="inlineStr">
        <is>
          <t>qualitatif</t>
        </is>
      </c>
      <c r="B260" t="inlineStr">
        <is>
          <t>A_nord</t>
        </is>
      </c>
      <c r="C260" t="inlineStr">
        <is>
          <t>A</t>
        </is>
      </c>
      <c r="D260" t="inlineStr">
        <is>
          <t>EGY</t>
        </is>
      </c>
      <c r="E260" t="inlineStr">
        <is>
          <t>Benban – Phoenix Power 1 (50 MWac)</t>
        </is>
      </c>
      <c r="F260" t="inlineStr">
        <is>
          <t>developpeur</t>
        </is>
      </c>
      <c r="G260" t="inlineStr">
        <is>
          <t>Phoenix Power Venture SAL 51%, Infinity Solar Energy 23.8%, ib vogt 23.8%, Cedrus 1.4%</t>
        </is>
      </c>
      <c r="H260" t="inlineStr"/>
      <c r="I260" t="inlineStr">
        <is>
          <t>déclarée</t>
        </is>
      </c>
      <c r="J260" t="n">
        <v>2016</v>
      </c>
      <c r="K260" t="inlineStr">
        <is>
          <t>A</t>
        </is>
      </c>
      <c r="L260" t="inlineStr">
        <is>
          <t>qualitatif_citation_ok</t>
        </is>
      </c>
      <c r="M260" t="inlineStr">
        <is>
          <t>IFC</t>
        </is>
      </c>
      <c r="N260" t="inlineStr">
        <is>
          <t>ESRS Phoenix Power 1 (projet 37591)</t>
        </is>
      </c>
      <c r="O260" t="inlineStr">
        <is>
          <t>https://disclosures.ifc.org/project-detail/ESRS/37591/phoenix-power1</t>
        </is>
      </c>
      <c r="P260" t="inlineStr">
        <is>
          <t>2016-05-04</t>
        </is>
      </c>
      <c r="Q260" t="inlineStr">
        <is>
          <t>owned by a consortium constituted of Phoenix Power Venture SAL (lead sponsor with 51% shareholding ... Infinity Solar Energy SAE (23.8% shareholder), ib vogt GmbH (23.8% shareholder)</t>
        </is>
      </c>
      <c r="R260" t="inlineStr"/>
    </row>
    <row r="261">
      <c r="A261" t="inlineStr">
        <is>
          <t>qualitatif</t>
        </is>
      </c>
      <c r="B261" t="inlineStr">
        <is>
          <t>A_nord</t>
        </is>
      </c>
      <c r="C261" t="inlineStr">
        <is>
          <t>A</t>
        </is>
      </c>
      <c r="D261" t="inlineStr">
        <is>
          <t>EGY</t>
        </is>
      </c>
      <c r="E261" t="inlineStr">
        <is>
          <t>Benban – Phoenix Power 1 (50 MWac)</t>
        </is>
      </c>
      <c r="F261" t="inlineStr">
        <is>
          <t>financeurs</t>
        </is>
      </c>
      <c r="G261" t="inlineStr">
        <is>
          <t>IFC prêt A 15-20 MUSD + syndication jusqu'à 45 MUSD</t>
        </is>
      </c>
      <c r="H261" t="inlineStr"/>
      <c r="I261" t="inlineStr">
        <is>
          <t>déclarée</t>
        </is>
      </c>
      <c r="J261" t="n">
        <v>2016</v>
      </c>
      <c r="K261" t="inlineStr">
        <is>
          <t>A</t>
        </is>
      </c>
      <c r="L261" t="inlineStr">
        <is>
          <t>qualitatif_citation_ok</t>
        </is>
      </c>
      <c r="M261" t="inlineStr">
        <is>
          <t>IFC</t>
        </is>
      </c>
      <c r="N261" t="inlineStr">
        <is>
          <t>ESRS Phoenix Power 1 (projet 37591)</t>
        </is>
      </c>
      <c r="O261" t="inlineStr">
        <is>
          <t>https://disclosures.ifc.org/project-detail/ESRS/37591/phoenix-power1</t>
        </is>
      </c>
      <c r="P261" t="inlineStr">
        <is>
          <t>2016-05-04</t>
        </is>
      </c>
      <c r="Q261" t="inlineStr">
        <is>
          <t>with an IFC A loan of up to US$15-20 million</t>
        </is>
      </c>
      <c r="R261" t="inlineStr"/>
    </row>
    <row r="262">
      <c r="A262" t="inlineStr">
        <is>
          <t>qualitatif</t>
        </is>
      </c>
      <c r="B262" t="inlineStr">
        <is>
          <t>A_nord</t>
        </is>
      </c>
      <c r="C262" t="inlineStr">
        <is>
          <t>A</t>
        </is>
      </c>
      <c r="D262" t="inlineStr">
        <is>
          <t>EGY</t>
        </is>
      </c>
      <c r="E262" t="inlineStr">
        <is>
          <t>Benban – Phoenix Power 1 (50 MWac)</t>
        </is>
      </c>
      <c r="F262" t="inlineStr">
        <is>
          <t>localisation</t>
        </is>
      </c>
      <c r="G262" t="inlineStr">
        <is>
          <t>Benban, 40 km NO d'Assouan</t>
        </is>
      </c>
      <c r="H262" t="inlineStr"/>
      <c r="I262" t="inlineStr">
        <is>
          <t>observée</t>
        </is>
      </c>
      <c r="J262" t="n">
        <v>2016</v>
      </c>
      <c r="K262" t="inlineStr">
        <is>
          <t>A</t>
        </is>
      </c>
      <c r="L262" t="inlineStr">
        <is>
          <t>qualitatif_citation_ok</t>
        </is>
      </c>
      <c r="M262" t="inlineStr">
        <is>
          <t>IFC</t>
        </is>
      </c>
      <c r="N262" t="inlineStr">
        <is>
          <t>ESRS Phoenix Power 1 (projet 37591)</t>
        </is>
      </c>
      <c r="O262" t="inlineStr">
        <is>
          <t>https://disclosures.ifc.org/project-detail/ESRS/37591/phoenix-power1</t>
        </is>
      </c>
      <c r="P262" t="inlineStr">
        <is>
          <t>2016-05-04</t>
        </is>
      </c>
      <c r="Q262" t="inlineStr">
        <is>
          <t>It is 40 km northwest of Aswan city, in the Aswan Governorate of Upper Egypt.</t>
        </is>
      </c>
      <c r="R262" t="inlineStr"/>
    </row>
    <row r="263">
      <c r="A263" t="inlineStr">
        <is>
          <t>qualitatif</t>
        </is>
      </c>
      <c r="B263" t="inlineStr">
        <is>
          <t>A_nord</t>
        </is>
      </c>
      <c r="C263" t="inlineStr">
        <is>
          <t>A</t>
        </is>
      </c>
      <c r="D263" t="inlineStr">
        <is>
          <t>EGY</t>
        </is>
      </c>
      <c r="E263" t="inlineStr">
        <is>
          <t>Benban – Horus Solar Energy / Alcazar Solar 3 (50 MWac)</t>
        </is>
      </c>
      <c r="F263" t="inlineStr">
        <is>
          <t>capex_total</t>
        </is>
      </c>
      <c r="G263" t="inlineStr">
        <is>
          <t>70-75</t>
        </is>
      </c>
      <c r="H263" t="inlineStr">
        <is>
          <t>MUSD</t>
        </is>
      </c>
      <c r="I263" t="inlineStr">
        <is>
          <t>déclarée</t>
        </is>
      </c>
      <c r="J263" t="n">
        <v>2017</v>
      </c>
      <c r="K263" t="inlineStr">
        <is>
          <t>A</t>
        </is>
      </c>
      <c r="L263" t="inlineStr">
        <is>
          <t>qualitatif_citation_ok</t>
        </is>
      </c>
      <c r="M263" t="inlineStr">
        <is>
          <t>IFC</t>
        </is>
      </c>
      <c r="N263" t="inlineStr">
        <is>
          <t>ESRS Alcazar Solar 3 – Horus Solar Energy (projet 40386)</t>
        </is>
      </c>
      <c r="O263" t="inlineStr">
        <is>
          <t>https://disclosures.ifc.org/project-detail/ESRS/40386/alcazar-solar-3</t>
        </is>
      </c>
      <c r="P263" t="inlineStr">
        <is>
          <t>2017-08-21</t>
        </is>
      </c>
      <c r="Q263" t="inlineStr">
        <is>
          <t>The total project cost is up to US$ 70-75 million</t>
        </is>
      </c>
      <c r="R263" t="inlineStr"/>
    </row>
    <row r="264">
      <c r="A264" t="inlineStr">
        <is>
          <t>retenu</t>
        </is>
      </c>
      <c r="B264" t="inlineStr">
        <is>
          <t>A_nord</t>
        </is>
      </c>
      <c r="C264" t="inlineStr">
        <is>
          <t>A</t>
        </is>
      </c>
      <c r="D264" t="inlineStr">
        <is>
          <t>EGY</t>
        </is>
      </c>
      <c r="E264" t="inlineStr">
        <is>
          <t>Benban – Horus Solar Energy / Alcazar Solar 3 (50 MWac)</t>
        </is>
      </c>
      <c r="F264" t="inlineStr">
        <is>
          <t>puissance_mwac</t>
        </is>
      </c>
      <c r="G264" t="n">
        <v>50</v>
      </c>
      <c r="H264" t="inlineStr">
        <is>
          <t>MWac</t>
        </is>
      </c>
      <c r="I264" t="inlineStr">
        <is>
          <t>déclarée</t>
        </is>
      </c>
      <c r="J264" t="n">
        <v>2017</v>
      </c>
      <c r="K264" t="inlineStr">
        <is>
          <t>A</t>
        </is>
      </c>
      <c r="L264" t="inlineStr">
        <is>
          <t>confirmé</t>
        </is>
      </c>
      <c r="M264" t="inlineStr">
        <is>
          <t>IFC</t>
        </is>
      </c>
      <c r="N264" t="inlineStr">
        <is>
          <t>ESRS Alcazar Solar 3 – Horus Solar Energy (projet 40386)</t>
        </is>
      </c>
      <c r="O264" t="inlineStr">
        <is>
          <t>https://disclosures.ifc.org/project-detail/ESRS/40386/alcazar-solar-3</t>
        </is>
      </c>
      <c r="P264" t="inlineStr">
        <is>
          <t>2017-08-21</t>
        </is>
      </c>
      <c r="Q264" t="inlineStr">
        <is>
          <t>a 50 MW inverter nominal power (AC)</t>
        </is>
      </c>
      <c r="R264" t="inlineStr"/>
    </row>
    <row r="265">
      <c r="A265" t="inlineStr">
        <is>
          <t>retenu</t>
        </is>
      </c>
      <c r="B265" t="inlineStr">
        <is>
          <t>A_nord</t>
        </is>
      </c>
      <c r="C265" t="inlineStr">
        <is>
          <t>A</t>
        </is>
      </c>
      <c r="D265" t="inlineStr">
        <is>
          <t>EGY</t>
        </is>
      </c>
      <c r="E265" t="inlineStr">
        <is>
          <t>Benban – Horus Solar Energy / Alcazar Solar 3 (50 MWac)</t>
        </is>
      </c>
      <c r="F265" t="inlineStr">
        <is>
          <t>puissance_mwp</t>
        </is>
      </c>
      <c r="G265" t="n">
        <v>64.03</v>
      </c>
      <c r="H265" t="inlineStr">
        <is>
          <t>MWp</t>
        </is>
      </c>
      <c r="I265" t="inlineStr">
        <is>
          <t>déclarée</t>
        </is>
      </c>
      <c r="J265" t="n">
        <v>2017</v>
      </c>
      <c r="K265" t="inlineStr">
        <is>
          <t>A</t>
        </is>
      </c>
      <c r="L265" t="inlineStr">
        <is>
          <t>confirmé</t>
        </is>
      </c>
      <c r="M265" t="inlineStr">
        <is>
          <t>IFC</t>
        </is>
      </c>
      <c r="N265" t="inlineStr">
        <is>
          <t>ESRS Alcazar Solar 3 – Horus Solar Energy (projet 40386)</t>
        </is>
      </c>
      <c r="O265" t="inlineStr">
        <is>
          <t>https://disclosures.ifc.org/project-detail/ESRS/40386/alcazar-solar-3</t>
        </is>
      </c>
      <c r="P265" t="inlineStr">
        <is>
          <t>2017-08-21</t>
        </is>
      </c>
      <c r="Q265" t="inlineStr">
        <is>
          <t>approximately 64.03 MWp (DC)</t>
        </is>
      </c>
      <c r="R265" t="inlineStr"/>
    </row>
    <row r="266">
      <c r="A266" t="inlineStr">
        <is>
          <t>retenu</t>
        </is>
      </c>
      <c r="B266" t="inlineStr">
        <is>
          <t>A_nord</t>
        </is>
      </c>
      <c r="C266" t="inlineStr">
        <is>
          <t>A</t>
        </is>
      </c>
      <c r="D266" t="inlineStr">
        <is>
          <t>EGY</t>
        </is>
      </c>
      <c r="E266" t="inlineStr">
        <is>
          <t>Benban – Horus Solar Energy / Alcazar Solar 3 (50 MWac)</t>
        </is>
      </c>
      <c r="F266" t="inlineStr">
        <is>
          <t>ppa_duree</t>
        </is>
      </c>
      <c r="G266" t="n">
        <v>25</v>
      </c>
      <c r="H266" t="inlineStr">
        <is>
          <t>ans</t>
        </is>
      </c>
      <c r="I266" t="inlineStr">
        <is>
          <t>déclarée</t>
        </is>
      </c>
      <c r="J266" t="n">
        <v>2017</v>
      </c>
      <c r="K266" t="inlineStr">
        <is>
          <t>A</t>
        </is>
      </c>
      <c r="L266" t="inlineStr">
        <is>
          <t>confirmé</t>
        </is>
      </c>
      <c r="M266" t="inlineStr">
        <is>
          <t>IFC</t>
        </is>
      </c>
      <c r="N266" t="inlineStr">
        <is>
          <t>ESRS Alcazar Solar 3 – Horus Solar Energy (projet 40386)</t>
        </is>
      </c>
      <c r="O266" t="inlineStr">
        <is>
          <t>https://disclosures.ifc.org/project-detail/ESRS/40386/alcazar-solar-3</t>
        </is>
      </c>
      <c r="P266" t="inlineStr">
        <is>
          <t>2017-08-21</t>
        </is>
      </c>
      <c r="Q266" t="inlineStr">
        <is>
          <t>under a 25-year Power Purchase Agreement (PPA)</t>
        </is>
      </c>
      <c r="R266" t="inlineStr"/>
    </row>
    <row r="267">
      <c r="A267" t="inlineStr">
        <is>
          <t>qualitatif</t>
        </is>
      </c>
      <c r="B267" t="inlineStr">
        <is>
          <t>A_nord</t>
        </is>
      </c>
      <c r="C267" t="inlineStr">
        <is>
          <t>A</t>
        </is>
      </c>
      <c r="D267" t="inlineStr">
        <is>
          <t>EGY</t>
        </is>
      </c>
      <c r="E267" t="inlineStr">
        <is>
          <t>Benban – Horus Solar Energy / Alcazar Solar 3 (50 MWac)</t>
        </is>
      </c>
      <c r="F267" t="inlineStr">
        <is>
          <t>financeurs</t>
        </is>
      </c>
      <c r="G267" t="inlineStr">
        <is>
          <t>IFC prêt A jusqu'à 15 MUSD</t>
        </is>
      </c>
      <c r="H267" t="inlineStr"/>
      <c r="I267" t="inlineStr">
        <is>
          <t>déclarée</t>
        </is>
      </c>
      <c r="J267" t="n">
        <v>2017</v>
      </c>
      <c r="K267" t="inlineStr">
        <is>
          <t>A</t>
        </is>
      </c>
      <c r="L267" t="inlineStr">
        <is>
          <t>qualitatif_citation_ok</t>
        </is>
      </c>
      <c r="M267" t="inlineStr">
        <is>
          <t>IFC</t>
        </is>
      </c>
      <c r="N267" t="inlineStr">
        <is>
          <t>ESRS Alcazar Solar 3 – Horus Solar Energy (projet 40386)</t>
        </is>
      </c>
      <c r="O267" t="inlineStr">
        <is>
          <t>https://disclosures.ifc.org/project-detail/ESRS/40386/alcazar-solar-3</t>
        </is>
      </c>
      <c r="P267" t="inlineStr">
        <is>
          <t>2017-08-21</t>
        </is>
      </c>
      <c r="Q267" t="inlineStr">
        <is>
          <t>with an IFC A loan of up to US$ 15 million</t>
        </is>
      </c>
      <c r="R267" t="inlineStr"/>
    </row>
    <row r="268">
      <c r="A268" t="inlineStr">
        <is>
          <t>qualitatif</t>
        </is>
      </c>
      <c r="B268" t="inlineStr">
        <is>
          <t>A_nord</t>
        </is>
      </c>
      <c r="C268" t="inlineStr">
        <is>
          <t>A</t>
        </is>
      </c>
      <c r="D268" t="inlineStr">
        <is>
          <t>EGY</t>
        </is>
      </c>
      <c r="E268" t="inlineStr">
        <is>
          <t>Benban – Horus Solar Energy / Alcazar Solar 3 (50 MWac)</t>
        </is>
      </c>
      <c r="F268" t="inlineStr">
        <is>
          <t>developpeur</t>
        </is>
      </c>
      <c r="G268" t="inlineStr">
        <is>
          <t>Alcazar Energy Partners (99.99999%)</t>
        </is>
      </c>
      <c r="H268" t="inlineStr"/>
      <c r="I268" t="inlineStr">
        <is>
          <t>déclarée</t>
        </is>
      </c>
      <c r="J268" t="n">
        <v>2017</v>
      </c>
      <c r="K268" t="inlineStr">
        <is>
          <t>A</t>
        </is>
      </c>
      <c r="L268" t="inlineStr">
        <is>
          <t>qualitatif_citation_ok</t>
        </is>
      </c>
      <c r="M268" t="inlineStr">
        <is>
          <t>IFC</t>
        </is>
      </c>
      <c r="N268" t="inlineStr">
        <is>
          <t>ESRS Alcazar Solar 3 – Horus Solar Energy (projet 40386)</t>
        </is>
      </c>
      <c r="O268" t="inlineStr">
        <is>
          <t>https://disclosures.ifc.org/project-detail/ESRS/40386/alcazar-solar-3</t>
        </is>
      </c>
      <c r="P268" t="inlineStr">
        <is>
          <t>2017-08-21</t>
        </is>
      </c>
      <c r="Q268" t="inlineStr">
        <is>
          <t>Horus Solar Energy S.A.E. is 99.99999% owned by Alcazar Energy Partners Limited (Alcazar)</t>
        </is>
      </c>
      <c r="R268" t="inlineStr"/>
    </row>
    <row r="269">
      <c r="A269" t="inlineStr">
        <is>
          <t>qualitatif</t>
        </is>
      </c>
      <c r="B269" t="inlineStr">
        <is>
          <t>A_nord</t>
        </is>
      </c>
      <c r="C269" t="inlineStr">
        <is>
          <t>A</t>
        </is>
      </c>
      <c r="D269" t="inlineStr">
        <is>
          <t>EGY</t>
        </is>
      </c>
      <c r="E269" t="inlineStr">
        <is>
          <t>Benban – Al Subh Solar Power (Acciona/Enara, 50 MWac)</t>
        </is>
      </c>
      <c r="F269" t="inlineStr">
        <is>
          <t>capex_total</t>
        </is>
      </c>
      <c r="G269" t="inlineStr">
        <is>
          <t>70-75</t>
        </is>
      </c>
      <c r="H269" t="inlineStr">
        <is>
          <t>MUSD</t>
        </is>
      </c>
      <c r="I269" t="inlineStr">
        <is>
          <t>déclarée</t>
        </is>
      </c>
      <c r="J269" t="n">
        <v>2017</v>
      </c>
      <c r="K269" t="inlineStr">
        <is>
          <t>A</t>
        </is>
      </c>
      <c r="L269" t="inlineStr">
        <is>
          <t>qualitatif_citation_ok</t>
        </is>
      </c>
      <c r="M269" t="inlineStr">
        <is>
          <t>IFC</t>
        </is>
      </c>
      <c r="N269" t="inlineStr">
        <is>
          <t>ESRS Al Subh Solar Power (projet 39729)</t>
        </is>
      </c>
      <c r="O269" t="inlineStr">
        <is>
          <t>https://disclosures.ifc.org/project-detail/ESRS/39729/al-subh-solar-power</t>
        </is>
      </c>
      <c r="P269" t="inlineStr">
        <is>
          <t>2017-06-13</t>
        </is>
      </c>
      <c r="Q269" t="inlineStr">
        <is>
          <t>The total project cost is up to US$70-75 million</t>
        </is>
      </c>
      <c r="R269" t="inlineStr"/>
    </row>
    <row r="270">
      <c r="A270" t="inlineStr">
        <is>
          <t>retenu</t>
        </is>
      </c>
      <c r="B270" t="inlineStr">
        <is>
          <t>A_nord</t>
        </is>
      </c>
      <c r="C270" t="inlineStr">
        <is>
          <t>A</t>
        </is>
      </c>
      <c r="D270" t="inlineStr">
        <is>
          <t>EGY</t>
        </is>
      </c>
      <c r="E270" t="inlineStr">
        <is>
          <t>Benban – Al Subh Solar Power (Acciona/Enara, 50 MWac)</t>
        </is>
      </c>
      <c r="F270" t="inlineStr">
        <is>
          <t>puissance_mwac</t>
        </is>
      </c>
      <c r="G270" t="n">
        <v>50</v>
      </c>
      <c r="H270" t="inlineStr">
        <is>
          <t>MWac</t>
        </is>
      </c>
      <c r="I270" t="inlineStr">
        <is>
          <t>déclarée</t>
        </is>
      </c>
      <c r="J270" t="n">
        <v>2017</v>
      </c>
      <c r="K270" t="inlineStr">
        <is>
          <t>A</t>
        </is>
      </c>
      <c r="L270" t="inlineStr">
        <is>
          <t>confirmé</t>
        </is>
      </c>
      <c r="M270" t="inlineStr">
        <is>
          <t>IFC</t>
        </is>
      </c>
      <c r="N270" t="inlineStr">
        <is>
          <t>ESRS Al Subh Solar Power (projet 39729)</t>
        </is>
      </c>
      <c r="O270" t="inlineStr">
        <is>
          <t>https://disclosures.ifc.org/project-detail/ESRS/39729/al-subh-solar-power</t>
        </is>
      </c>
      <c r="P270" t="inlineStr">
        <is>
          <t>2017-06-13</t>
        </is>
      </c>
      <c r="Q270" t="inlineStr">
        <is>
          <t>a nominal capacity of 50 MW AC and a peak capacity of 59.4 MW DC</t>
        </is>
      </c>
      <c r="R270" t="inlineStr"/>
    </row>
    <row r="271">
      <c r="A271" t="inlineStr">
        <is>
          <t>retenu</t>
        </is>
      </c>
      <c r="B271" t="inlineStr">
        <is>
          <t>A_nord</t>
        </is>
      </c>
      <c r="C271" t="inlineStr">
        <is>
          <t>A</t>
        </is>
      </c>
      <c r="D271" t="inlineStr">
        <is>
          <t>EGY</t>
        </is>
      </c>
      <c r="E271" t="inlineStr">
        <is>
          <t>Benban – Al Subh Solar Power (Acciona/Enara, 50 MWac)</t>
        </is>
      </c>
      <c r="F271" t="inlineStr">
        <is>
          <t>puissance_mwp</t>
        </is>
      </c>
      <c r="G271" t="n">
        <v>59.4</v>
      </c>
      <c r="H271" t="inlineStr">
        <is>
          <t>MWp</t>
        </is>
      </c>
      <c r="I271" t="inlineStr">
        <is>
          <t>déclarée</t>
        </is>
      </c>
      <c r="J271" t="n">
        <v>2017</v>
      </c>
      <c r="K271" t="inlineStr">
        <is>
          <t>A</t>
        </is>
      </c>
      <c r="L271" t="inlineStr">
        <is>
          <t>confirmé</t>
        </is>
      </c>
      <c r="M271" t="inlineStr">
        <is>
          <t>IFC</t>
        </is>
      </c>
      <c r="N271" t="inlineStr">
        <is>
          <t>ESRS Al Subh Solar Power (projet 39729)</t>
        </is>
      </c>
      <c r="O271" t="inlineStr">
        <is>
          <t>https://disclosures.ifc.org/project-detail/ESRS/39729/al-subh-solar-power</t>
        </is>
      </c>
      <c r="P271" t="inlineStr">
        <is>
          <t>2017-06-13</t>
        </is>
      </c>
      <c r="Q271" t="inlineStr">
        <is>
          <t>a nominal capacity of 50 MW AC and a peak capacity of 59.4 MW DC</t>
        </is>
      </c>
      <c r="R271" t="inlineStr"/>
    </row>
    <row r="272">
      <c r="A272" t="inlineStr">
        <is>
          <t>retenu</t>
        </is>
      </c>
      <c r="B272" t="inlineStr">
        <is>
          <t>A_nord</t>
        </is>
      </c>
      <c r="C272" t="inlineStr">
        <is>
          <t>A</t>
        </is>
      </c>
      <c r="D272" t="inlineStr">
        <is>
          <t>EGY</t>
        </is>
      </c>
      <c r="E272" t="inlineStr">
        <is>
          <t>Benban – Al Subh Solar Power (Acciona/Enara, 50 MWac)</t>
        </is>
      </c>
      <c r="F272" t="inlineStr">
        <is>
          <t>production_gwh_an</t>
        </is>
      </c>
      <c r="G272" t="n">
        <v>133.499</v>
      </c>
      <c r="H272" t="inlineStr">
        <is>
          <t>GWh/an</t>
        </is>
      </c>
      <c r="I272" t="inlineStr">
        <is>
          <t>modélisée</t>
        </is>
      </c>
      <c r="J272" t="n">
        <v>2017</v>
      </c>
      <c r="K272" t="inlineStr">
        <is>
          <t>A</t>
        </is>
      </c>
      <c r="L272" t="inlineStr">
        <is>
          <t>confirmé</t>
        </is>
      </c>
      <c r="M272" t="inlineStr">
        <is>
          <t>IFC</t>
        </is>
      </c>
      <c r="N272" t="inlineStr">
        <is>
          <t>ESRS Al Subh Solar Power (projet 39729)</t>
        </is>
      </c>
      <c r="O272" t="inlineStr">
        <is>
          <t>https://disclosures.ifc.org/project-detail/ESRS/39729/al-subh-solar-power</t>
        </is>
      </c>
      <c r="P272" t="inlineStr">
        <is>
          <t>2017-06-13</t>
        </is>
      </c>
      <c r="Q272" t="inlineStr">
        <is>
          <t>approximately 133.499 gigawatt hours (GWh) of electricity per year</t>
        </is>
      </c>
      <c r="R272" t="inlineStr">
        <is>
          <t>Prévision ex ante</t>
        </is>
      </c>
    </row>
    <row r="273">
      <c r="A273" t="inlineStr">
        <is>
          <t>qualitatif</t>
        </is>
      </c>
      <c r="B273" t="inlineStr">
        <is>
          <t>A_nord</t>
        </is>
      </c>
      <c r="C273" t="inlineStr">
        <is>
          <t>A</t>
        </is>
      </c>
      <c r="D273" t="inlineStr">
        <is>
          <t>EGY</t>
        </is>
      </c>
      <c r="E273" t="inlineStr">
        <is>
          <t>Benban – Al Subh Solar Power (Acciona/Enara, 50 MWac)</t>
        </is>
      </c>
      <c r="F273" t="inlineStr">
        <is>
          <t>developpeur</t>
        </is>
      </c>
      <c r="G273" t="inlineStr">
        <is>
          <t>Acciona Energía 50% / ENARA (Swicorp) 50%</t>
        </is>
      </c>
      <c r="H273" t="inlineStr"/>
      <c r="I273" t="inlineStr">
        <is>
          <t>déclarée</t>
        </is>
      </c>
      <c r="J273" t="n">
        <v>2017</v>
      </c>
      <c r="K273" t="inlineStr">
        <is>
          <t>A</t>
        </is>
      </c>
      <c r="L273" t="inlineStr">
        <is>
          <t>qualitatif_citation_ok</t>
        </is>
      </c>
      <c r="M273" t="inlineStr">
        <is>
          <t>IFC</t>
        </is>
      </c>
      <c r="N273" t="inlineStr">
        <is>
          <t>ESRS Al Subh Solar Power (projet 39729)</t>
        </is>
      </c>
      <c r="O273" t="inlineStr">
        <is>
          <t>https://disclosures.ifc.org/project-detail/ESRS/39729/al-subh-solar-power</t>
        </is>
      </c>
      <c r="P273" t="inlineStr">
        <is>
          <t>2017-06-13</t>
        </is>
      </c>
      <c r="Q273" t="inlineStr">
        <is>
          <t>The project SPV will be owned 50% by Acciona Energia and 50% by ENARA (investment vehicle of Swicorp).</t>
        </is>
      </c>
      <c r="R273" t="inlineStr"/>
    </row>
    <row r="274">
      <c r="A274" t="inlineStr">
        <is>
          <t>qualitatif</t>
        </is>
      </c>
      <c r="B274" t="inlineStr">
        <is>
          <t>A_nord</t>
        </is>
      </c>
      <c r="C274" t="inlineStr">
        <is>
          <t>A</t>
        </is>
      </c>
      <c r="D274" t="inlineStr">
        <is>
          <t>EGY</t>
        </is>
      </c>
      <c r="E274" t="inlineStr">
        <is>
          <t>Benban – Al Subh Solar Power (Acciona/Enara, 50 MWac)</t>
        </is>
      </c>
      <c r="F274" t="inlineStr">
        <is>
          <t>financeurs</t>
        </is>
      </c>
      <c r="G274" t="inlineStr">
        <is>
          <t>IFC prêt A 17,5-20 MUSD</t>
        </is>
      </c>
      <c r="H274" t="inlineStr"/>
      <c r="I274" t="inlineStr">
        <is>
          <t>déclarée</t>
        </is>
      </c>
      <c r="J274" t="n">
        <v>2017</v>
      </c>
      <c r="K274" t="inlineStr">
        <is>
          <t>A</t>
        </is>
      </c>
      <c r="L274" t="inlineStr">
        <is>
          <t>qualitatif_citation_ok</t>
        </is>
      </c>
      <c r="M274" t="inlineStr">
        <is>
          <t>IFC</t>
        </is>
      </c>
      <c r="N274" t="inlineStr">
        <is>
          <t>ESRS Al Subh Solar Power (projet 39729)</t>
        </is>
      </c>
      <c r="O274" t="inlineStr">
        <is>
          <t>https://disclosures.ifc.org/project-detail/ESRS/39729/al-subh-solar-power</t>
        </is>
      </c>
      <c r="P274" t="inlineStr">
        <is>
          <t>2017-06-13</t>
        </is>
      </c>
      <c r="Q274" t="inlineStr">
        <is>
          <t>with an IFC A loan of up to US$17.5-20 million</t>
        </is>
      </c>
      <c r="R274" t="inlineStr"/>
    </row>
    <row r="275">
      <c r="A275" t="inlineStr">
        <is>
          <t>qualitatif</t>
        </is>
      </c>
      <c r="B275" t="inlineStr">
        <is>
          <t>A_nord</t>
        </is>
      </c>
      <c r="C275" t="inlineStr">
        <is>
          <t>A</t>
        </is>
      </c>
      <c r="D275" t="inlineStr">
        <is>
          <t>EGY</t>
        </is>
      </c>
      <c r="E275" t="inlineStr">
        <is>
          <t>Benban – TAQA Arabia Solar (50 MWac)</t>
        </is>
      </c>
      <c r="F275" t="inlineStr">
        <is>
          <t>capex_total</t>
        </is>
      </c>
      <c r="G275" t="inlineStr">
        <is>
          <t>75-80</t>
        </is>
      </c>
      <c r="H275" t="inlineStr">
        <is>
          <t>MUSD</t>
        </is>
      </c>
      <c r="I275" t="inlineStr">
        <is>
          <t>déclarée</t>
        </is>
      </c>
      <c r="J275" t="n">
        <v>2016</v>
      </c>
      <c r="K275" t="inlineStr">
        <is>
          <t>A</t>
        </is>
      </c>
      <c r="L275" t="inlineStr">
        <is>
          <t>qualitatif_citation_ok</t>
        </is>
      </c>
      <c r="M275" t="inlineStr">
        <is>
          <t>IFC</t>
        </is>
      </c>
      <c r="N275" t="inlineStr">
        <is>
          <t>ESRS TAQA Arabia Solar (projet 37637)</t>
        </is>
      </c>
      <c r="O275" t="inlineStr">
        <is>
          <t>https://disclosures.ifc.org/project-detail/ESRS/37637/taqa-arabia-solar</t>
        </is>
      </c>
      <c r="P275" t="inlineStr">
        <is>
          <t>2016-05-05</t>
        </is>
      </c>
      <c r="Q275" t="inlineStr">
        <is>
          <t>The total project cost is approximately US$75-80 million</t>
        </is>
      </c>
      <c r="R275" t="inlineStr"/>
    </row>
    <row r="276">
      <c r="A276" t="inlineStr">
        <is>
          <t>retenu</t>
        </is>
      </c>
      <c r="B276" t="inlineStr">
        <is>
          <t>A_nord</t>
        </is>
      </c>
      <c r="C276" t="inlineStr">
        <is>
          <t>A</t>
        </is>
      </c>
      <c r="D276" t="inlineStr">
        <is>
          <t>EGY</t>
        </is>
      </c>
      <c r="E276" t="inlineStr">
        <is>
          <t>Benban – TAQA Arabia Solar (50 MWac)</t>
        </is>
      </c>
      <c r="F276" t="inlineStr">
        <is>
          <t>puissance_mwac</t>
        </is>
      </c>
      <c r="G276" t="n">
        <v>50</v>
      </c>
      <c r="H276" t="inlineStr">
        <is>
          <t>MWac</t>
        </is>
      </c>
      <c r="I276" t="inlineStr">
        <is>
          <t>déclarée</t>
        </is>
      </c>
      <c r="J276" t="n">
        <v>2016</v>
      </c>
      <c r="K276" t="inlineStr">
        <is>
          <t>A</t>
        </is>
      </c>
      <c r="L276" t="inlineStr">
        <is>
          <t>confirmé</t>
        </is>
      </c>
      <c r="M276" t="inlineStr">
        <is>
          <t>IFC</t>
        </is>
      </c>
      <c r="N276" t="inlineStr">
        <is>
          <t>ESRS TAQA Arabia Solar (projet 37637)</t>
        </is>
      </c>
      <c r="O276" t="inlineStr">
        <is>
          <t>https://disclosures.ifc.org/project-detail/ESRS/37637/taqa-arabia-solar</t>
        </is>
      </c>
      <c r="P276" t="inlineStr">
        <is>
          <t>2016-05-05</t>
        </is>
      </c>
      <c r="Q276" t="inlineStr">
        <is>
          <t>a nominal capacity of 50 MW AC and a peak capacity of 65.013 MW DC</t>
        </is>
      </c>
      <c r="R276" t="inlineStr"/>
    </row>
    <row r="277">
      <c r="A277" t="inlineStr">
        <is>
          <t>retenu</t>
        </is>
      </c>
      <c r="B277" t="inlineStr">
        <is>
          <t>A_nord</t>
        </is>
      </c>
      <c r="C277" t="inlineStr">
        <is>
          <t>A</t>
        </is>
      </c>
      <c r="D277" t="inlineStr">
        <is>
          <t>EGY</t>
        </is>
      </c>
      <c r="E277" t="inlineStr">
        <is>
          <t>Benban – TAQA Arabia Solar (50 MWac)</t>
        </is>
      </c>
      <c r="F277" t="inlineStr">
        <is>
          <t>puissance_mwp</t>
        </is>
      </c>
      <c r="G277" t="n">
        <v>65.01300000000001</v>
      </c>
      <c r="H277" t="inlineStr">
        <is>
          <t>MWp</t>
        </is>
      </c>
      <c r="I277" t="inlineStr">
        <is>
          <t>déclarée</t>
        </is>
      </c>
      <c r="J277" t="n">
        <v>2016</v>
      </c>
      <c r="K277" t="inlineStr">
        <is>
          <t>A</t>
        </is>
      </c>
      <c r="L277" t="inlineStr">
        <is>
          <t>confirmé</t>
        </is>
      </c>
      <c r="M277" t="inlineStr">
        <is>
          <t>IFC</t>
        </is>
      </c>
      <c r="N277" t="inlineStr">
        <is>
          <t>ESRS TAQA Arabia Solar (projet 37637)</t>
        </is>
      </c>
      <c r="O277" t="inlineStr">
        <is>
          <t>https://disclosures.ifc.org/project-detail/ESRS/37637/taqa-arabia-solar</t>
        </is>
      </c>
      <c r="P277" t="inlineStr">
        <is>
          <t>2016-05-05</t>
        </is>
      </c>
      <c r="Q277" t="inlineStr">
        <is>
          <t>a nominal capacity of 50 MW AC and a peak capacity of 65.013 MW DC</t>
        </is>
      </c>
      <c r="R277" t="inlineStr"/>
    </row>
    <row r="278">
      <c r="A278" t="inlineStr">
        <is>
          <t>retenu</t>
        </is>
      </c>
      <c r="B278" t="inlineStr">
        <is>
          <t>A_nord</t>
        </is>
      </c>
      <c r="C278" t="inlineStr">
        <is>
          <t>A</t>
        </is>
      </c>
      <c r="D278" t="inlineStr">
        <is>
          <t>EGY</t>
        </is>
      </c>
      <c r="E278" t="inlineStr">
        <is>
          <t>Benban – TAQA Arabia Solar (50 MWac)</t>
        </is>
      </c>
      <c r="F278" t="inlineStr">
        <is>
          <t>production_gwh_an</t>
        </is>
      </c>
      <c r="G278" t="n">
        <v>150.634</v>
      </c>
      <c r="H278" t="inlineStr">
        <is>
          <t>GWh/an</t>
        </is>
      </c>
      <c r="I278" t="inlineStr">
        <is>
          <t>modélisée</t>
        </is>
      </c>
      <c r="J278" t="n">
        <v>2016</v>
      </c>
      <c r="K278" t="inlineStr">
        <is>
          <t>A</t>
        </is>
      </c>
      <c r="L278" t="inlineStr">
        <is>
          <t>confirmé</t>
        </is>
      </c>
      <c r="M278" t="inlineStr">
        <is>
          <t>IFC</t>
        </is>
      </c>
      <c r="N278" t="inlineStr">
        <is>
          <t>ESRS TAQA Arabia Solar (projet 37637)</t>
        </is>
      </c>
      <c r="O278" t="inlineStr">
        <is>
          <t>https://disclosures.ifc.org/project-detail/ESRS/37637/taqa-arabia-solar</t>
        </is>
      </c>
      <c r="P278" t="inlineStr">
        <is>
          <t>2016-05-05</t>
        </is>
      </c>
      <c r="Q278" t="inlineStr">
        <is>
          <t>approximately 150.634 gigawatt hours (GWh) of electricity per year</t>
        </is>
      </c>
      <c r="R278" t="inlineStr"/>
    </row>
    <row r="279">
      <c r="A279" t="inlineStr">
        <is>
          <t>retenu</t>
        </is>
      </c>
      <c r="B279" t="inlineStr">
        <is>
          <t>A_nord</t>
        </is>
      </c>
      <c r="C279" t="inlineStr">
        <is>
          <t>A</t>
        </is>
      </c>
      <c r="D279" t="inlineStr">
        <is>
          <t>EGY</t>
        </is>
      </c>
      <c r="E279" t="inlineStr">
        <is>
          <t>Benban – TAQA Arabia Solar (50 MWac)</t>
        </is>
      </c>
      <c r="F279" t="inlineStr">
        <is>
          <t>ppa_duree</t>
        </is>
      </c>
      <c r="G279" t="n">
        <v>25</v>
      </c>
      <c r="H279" t="inlineStr">
        <is>
          <t>ans</t>
        </is>
      </c>
      <c r="I279" t="inlineStr">
        <is>
          <t>déclarée</t>
        </is>
      </c>
      <c r="J279" t="n">
        <v>2016</v>
      </c>
      <c r="K279" t="inlineStr">
        <is>
          <t>A</t>
        </is>
      </c>
      <c r="L279" t="inlineStr">
        <is>
          <t>confirmé</t>
        </is>
      </c>
      <c r="M279" t="inlineStr">
        <is>
          <t>IFC</t>
        </is>
      </c>
      <c r="N279" t="inlineStr">
        <is>
          <t>ESRS TAQA Arabia Solar (projet 37637)</t>
        </is>
      </c>
      <c r="O279" t="inlineStr">
        <is>
          <t>https://disclosures.ifc.org/project-detail/ESRS/37637/taqa-arabia-solar</t>
        </is>
      </c>
      <c r="P279" t="inlineStr">
        <is>
          <t>2016-05-05</t>
        </is>
      </c>
      <c r="Q279" t="inlineStr">
        <is>
          <t>a 25-year Power Purchase Agreement (PPA) to be signed in Q2-Q3 2017</t>
        </is>
      </c>
      <c r="R279" t="inlineStr"/>
    </row>
    <row r="280">
      <c r="A280" t="inlineStr">
        <is>
          <t>qualitatif</t>
        </is>
      </c>
      <c r="B280" t="inlineStr">
        <is>
          <t>A_nord</t>
        </is>
      </c>
      <c r="C280" t="inlineStr">
        <is>
          <t>A</t>
        </is>
      </c>
      <c r="D280" t="inlineStr">
        <is>
          <t>EGY</t>
        </is>
      </c>
      <c r="E280" t="inlineStr">
        <is>
          <t>Benban – TAQA Arabia Solar (50 MWac)</t>
        </is>
      </c>
      <c r="F280" t="inlineStr">
        <is>
          <t>financeurs</t>
        </is>
      </c>
      <c r="G280" t="inlineStr">
        <is>
          <t>IFC prêt A 15-20 MUSD</t>
        </is>
      </c>
      <c r="H280" t="inlineStr"/>
      <c r="I280" t="inlineStr">
        <is>
          <t>déclarée</t>
        </is>
      </c>
      <c r="J280" t="n">
        <v>2016</v>
      </c>
      <c r="K280" t="inlineStr">
        <is>
          <t>A</t>
        </is>
      </c>
      <c r="L280" t="inlineStr">
        <is>
          <t>qualitatif_citation_ok</t>
        </is>
      </c>
      <c r="M280" t="inlineStr">
        <is>
          <t>IFC</t>
        </is>
      </c>
      <c r="N280" t="inlineStr">
        <is>
          <t>ESRS TAQA Arabia Solar (projet 37637)</t>
        </is>
      </c>
      <c r="O280" t="inlineStr">
        <is>
          <t>https://disclosures.ifc.org/project-detail/ESRS/37637/taqa-arabia-solar</t>
        </is>
      </c>
      <c r="P280" t="inlineStr">
        <is>
          <t>2016-05-05</t>
        </is>
      </c>
      <c r="Q280" t="inlineStr">
        <is>
          <t>an IFC A loan of US$15-20 million</t>
        </is>
      </c>
      <c r="R280" t="inlineStr"/>
    </row>
    <row r="281">
      <c r="A281" t="inlineStr">
        <is>
          <t>retenu</t>
        </is>
      </c>
      <c r="B281" t="inlineStr">
        <is>
          <t>A_nord</t>
        </is>
      </c>
      <c r="C281" t="inlineStr">
        <is>
          <t>A</t>
        </is>
      </c>
      <c r="D281" t="inlineStr">
        <is>
          <t>EGY</t>
        </is>
      </c>
      <c r="E281" t="inlineStr">
        <is>
          <t>Benban – Scatec Benban I / Aswan PV Power (50 MW)</t>
        </is>
      </c>
      <c r="F281" t="inlineStr">
        <is>
          <t>capex_total</t>
        </is>
      </c>
      <c r="G281" t="n">
        <v>78.5</v>
      </c>
      <c r="H281" t="inlineStr">
        <is>
          <t>MUSD</t>
        </is>
      </c>
      <c r="I281" t="inlineStr">
        <is>
          <t>déclarée</t>
        </is>
      </c>
      <c r="J281" t="n">
        <v>2017</v>
      </c>
      <c r="K281" t="inlineStr">
        <is>
          <t>A</t>
        </is>
      </c>
      <c r="L281" t="inlineStr">
        <is>
          <t>confirmé</t>
        </is>
      </c>
      <c r="M281" t="inlineStr">
        <is>
          <t>EBRD</t>
        </is>
      </c>
      <c r="N281" t="inlineStr">
        <is>
          <t>PSD 47972 – Scatec Benban I (Aswan Solar Project)</t>
        </is>
      </c>
      <c r="O281" t="inlineStr">
        <is>
          <t>https://www.ebrd.com/home/work-with-us/projects/psd/47972.html</t>
        </is>
      </c>
      <c r="P281" t="inlineStr">
        <is>
          <t>2017-05-03</t>
        </is>
      </c>
      <c r="Q281" t="inlineStr">
        <is>
          <t>USD 78.5 million (EUR 73.5 million equivalent)</t>
        </is>
      </c>
      <c r="R281" t="inlineStr">
        <is>
          <t>Coût total projet indiqué par la PSD</t>
        </is>
      </c>
    </row>
    <row r="282">
      <c r="A282" t="inlineStr">
        <is>
          <t>qualitatif</t>
        </is>
      </c>
      <c r="B282" t="inlineStr">
        <is>
          <t>A_nord</t>
        </is>
      </c>
      <c r="C282" t="inlineStr">
        <is>
          <t>A</t>
        </is>
      </c>
      <c r="D282" t="inlineStr">
        <is>
          <t>EGY</t>
        </is>
      </c>
      <c r="E282" t="inlineStr">
        <is>
          <t>Benban – Scatec Benban I / Aswan PV Power (50 MW)</t>
        </is>
      </c>
      <c r="F282" t="inlineStr">
        <is>
          <t>financeurs</t>
        </is>
      </c>
      <c r="G282" t="inlineStr">
        <is>
          <t>EBRD prêt A/B senior jusqu'à 40,5 MUSD</t>
        </is>
      </c>
      <c r="H282" t="inlineStr"/>
      <c r="I282" t="inlineStr">
        <is>
          <t>déclarée</t>
        </is>
      </c>
      <c r="J282" t="n">
        <v>2017</v>
      </c>
      <c r="K282" t="inlineStr">
        <is>
          <t>A</t>
        </is>
      </c>
      <c r="L282" t="inlineStr">
        <is>
          <t>qualitatif_citation_ok</t>
        </is>
      </c>
      <c r="M282" t="inlineStr">
        <is>
          <t>EBRD</t>
        </is>
      </c>
      <c r="N282" t="inlineStr">
        <is>
          <t>PSD 47972 – Scatec Benban I (Aswan Solar Project)</t>
        </is>
      </c>
      <c r="O282" t="inlineStr">
        <is>
          <t>https://www.ebrd.com/home/work-with-us/projects/psd/47972.html</t>
        </is>
      </c>
      <c r="P282" t="inlineStr">
        <is>
          <t>2017-05-03</t>
        </is>
      </c>
      <c r="Q282" t="inlineStr">
        <is>
          <t>Provision of long-term senior debt financing of up to USD 40.5 million (EUR 37.9 million equivalent)</t>
        </is>
      </c>
      <c r="R282" t="inlineStr">
        <is>
          <t>Board EBRD 7/6/2017 : 41 MUSD par projet Scatec (voir conflits)</t>
        </is>
      </c>
    </row>
    <row r="283">
      <c r="A283" t="inlineStr">
        <is>
          <t>qualitatif</t>
        </is>
      </c>
      <c r="B283" t="inlineStr">
        <is>
          <t>A_nord</t>
        </is>
      </c>
      <c r="C283" t="inlineStr">
        <is>
          <t>A</t>
        </is>
      </c>
      <c r="D283" t="inlineStr">
        <is>
          <t>EGY</t>
        </is>
      </c>
      <c r="E283" t="inlineStr">
        <is>
          <t>Benban – portefeuille Scatec (6 projets)</t>
        </is>
      </c>
      <c r="F283" t="inlineStr">
        <is>
          <t>financeurs</t>
        </is>
      </c>
      <c r="G283" t="inlineStr">
        <is>
          <t>EBRD : 6 prêts de 41 MUSD (Aswan PV Power, Kom Ombo RE, Sun Infinite Benban, Red Sea Solar Power, Zafarana Solar Power, Philadelphia Power)</t>
        </is>
      </c>
      <c r="H283" t="inlineStr"/>
      <c r="I283" t="inlineStr">
        <is>
          <t>observée</t>
        </is>
      </c>
      <c r="J283" t="n">
        <v>2017</v>
      </c>
      <c r="K283" t="inlineStr">
        <is>
          <t>A</t>
        </is>
      </c>
      <c r="L283" t="inlineStr">
        <is>
          <t>qualitatif_citation_ok</t>
        </is>
      </c>
      <c r="M283" t="inlineStr">
        <is>
          <t>EBRD</t>
        </is>
      </c>
      <c r="N283" t="inlineStr">
        <is>
          <t>Minutes of the Board Meeting of 7 June 2017 (public)</t>
        </is>
      </c>
      <c r="O283" t="inlineStr">
        <is>
          <t>https://www.ebrd.com/content/dam/ebrd_dxp/assets/pdfs/strategies-and-policies/ebrd-board-activity/2017/april-june/BDSM1711w%20(2).pdf</t>
        </is>
      </c>
      <c r="P283" t="inlineStr">
        <is>
          <t>2017-06-07</t>
        </is>
      </c>
      <c r="Q283" t="inlineStr">
        <is>
          <t>six USD 41 million (EUR 38 million) loans to: (i) Aswan PV Power SAE; (ii) Kom Ombo Renewable Energy SAE; (iii) Sun Infinite Benban SAE; (iv) Red Sea Solar Power SAE; (v) Zafarana Solar Power SAE</t>
        </is>
      </c>
      <c r="R283" t="inlineStr"/>
    </row>
    <row r="284">
      <c r="A284" t="inlineStr">
        <is>
          <t>retenu</t>
        </is>
      </c>
      <c r="B284" t="inlineStr">
        <is>
          <t>A_nord</t>
        </is>
      </c>
      <c r="C284" t="inlineStr">
        <is>
          <t>A</t>
        </is>
      </c>
      <c r="D284" t="inlineStr">
        <is>
          <t>EGY</t>
        </is>
      </c>
      <c r="E284" t="inlineStr">
        <is>
          <t>Benban – ACWA Benban Solar PV III (50 MW)</t>
        </is>
      </c>
      <c r="F284" t="inlineStr">
        <is>
          <t>capex_total</t>
        </is>
      </c>
      <c r="G284" t="n">
        <v>80.8</v>
      </c>
      <c r="H284" t="inlineStr">
        <is>
          <t>MUSD</t>
        </is>
      </c>
      <c r="I284" t="inlineStr">
        <is>
          <t>déclarée</t>
        </is>
      </c>
      <c r="J284" t="n">
        <v>2017</v>
      </c>
      <c r="K284" t="inlineStr">
        <is>
          <t>A</t>
        </is>
      </c>
      <c r="L284" t="inlineStr">
        <is>
          <t>confirmé</t>
        </is>
      </c>
      <c r="M284" t="inlineStr">
        <is>
          <t>EBRD</t>
        </is>
      </c>
      <c r="N284" t="inlineStr">
        <is>
          <t>PSD 49320 – ACWA Benban Solar PV III</t>
        </is>
      </c>
      <c r="O284" t="inlineStr">
        <is>
          <t>https://www.ebrd.com/home/work-with-us/projects/psd/49320.html</t>
        </is>
      </c>
      <c r="P284" t="inlineStr">
        <is>
          <t>2017-05-03</t>
        </is>
      </c>
      <c r="Q284" t="inlineStr">
        <is>
          <t>USD 80.8 million (EUR 73.9 million equivalent).</t>
        </is>
      </c>
      <c r="R284" t="inlineStr"/>
    </row>
    <row r="285">
      <c r="A285" t="inlineStr">
        <is>
          <t>qualitatif</t>
        </is>
      </c>
      <c r="B285" t="inlineStr">
        <is>
          <t>A_nord</t>
        </is>
      </c>
      <c r="C285" t="inlineStr">
        <is>
          <t>A</t>
        </is>
      </c>
      <c r="D285" t="inlineStr">
        <is>
          <t>EGY</t>
        </is>
      </c>
      <c r="E285" t="inlineStr">
        <is>
          <t>Benban – ACWA Benban Solar PV III (50 MW)</t>
        </is>
      </c>
      <c r="F285" t="inlineStr">
        <is>
          <t>financeurs</t>
        </is>
      </c>
      <c r="G285" t="inlineStr">
        <is>
          <t>EBRD prêt senior 30,8 MUSD (description) / 30,3 MUSD (Finance Summary)</t>
        </is>
      </c>
      <c r="H285" t="inlineStr"/>
      <c r="I285" t="inlineStr">
        <is>
          <t>déclarée</t>
        </is>
      </c>
      <c r="J285" t="n">
        <v>2017</v>
      </c>
      <c r="K285" t="inlineStr">
        <is>
          <t>A</t>
        </is>
      </c>
      <c r="L285" t="inlineStr">
        <is>
          <t>qualitatif_citation_ok</t>
        </is>
      </c>
      <c r="M285" t="inlineStr">
        <is>
          <t>EBRD</t>
        </is>
      </c>
      <c r="N285" t="inlineStr">
        <is>
          <t>PSD 49320 – ACWA Benban Solar PV III</t>
        </is>
      </c>
      <c r="O285" t="inlineStr">
        <is>
          <t>https://www.ebrd.com/home/work-with-us/projects/psd/49320.html</t>
        </is>
      </c>
      <c r="P285" t="inlineStr">
        <is>
          <t>2017-05-03</t>
        </is>
      </c>
      <c r="Q285" t="inlineStr">
        <is>
          <t>Provision of long-term senior debt financing of up to USD 30.8 million</t>
        </is>
      </c>
      <c r="R285" t="inlineStr">
        <is>
          <t>Incohérence interne 30,8 vs 30,3 MUSD</t>
        </is>
      </c>
    </row>
    <row r="286">
      <c r="A286" t="inlineStr">
        <is>
          <t>qualitatif</t>
        </is>
      </c>
      <c r="B286" t="inlineStr">
        <is>
          <t>A_nord</t>
        </is>
      </c>
      <c r="C286" t="inlineStr">
        <is>
          <t>A</t>
        </is>
      </c>
      <c r="D286" t="inlineStr">
        <is>
          <t>EGY</t>
        </is>
      </c>
      <c r="E286" t="inlineStr">
        <is>
          <t>Benban – ACWA Benban Solar PV III (50 MW)</t>
        </is>
      </c>
      <c r="F286" t="inlineStr">
        <is>
          <t>developpeur</t>
        </is>
      </c>
      <c r="G286" t="inlineStr">
        <is>
          <t>ACWA Power + Hassan Allam Holding</t>
        </is>
      </c>
      <c r="H286" t="inlineStr"/>
      <c r="I286" t="inlineStr">
        <is>
          <t>déclarée</t>
        </is>
      </c>
      <c r="J286" t="n">
        <v>2017</v>
      </c>
      <c r="K286" t="inlineStr">
        <is>
          <t>A</t>
        </is>
      </c>
      <c r="L286" t="inlineStr">
        <is>
          <t>qualitatif_citation_ok</t>
        </is>
      </c>
      <c r="M286" t="inlineStr">
        <is>
          <t>EBRD</t>
        </is>
      </c>
      <c r="N286" t="inlineStr">
        <is>
          <t>PSD 49320 – ACWA Benban Solar PV III</t>
        </is>
      </c>
      <c r="O286" t="inlineStr">
        <is>
          <t>https://www.ebrd.com/home/work-with-us/projects/psd/49320.html</t>
        </is>
      </c>
      <c r="P286" t="inlineStr">
        <is>
          <t>2017-05-03</t>
        </is>
      </c>
      <c r="Q286" t="inlineStr">
        <is>
          <t>The Borrower will be ultimately owned mainly by (i) ACWA Power International incorporated in Saudi Arabia (ACWA Power), and (ii) Hassan Allam Holding incorporated in Egypt (Hassan Allam).</t>
        </is>
      </c>
      <c r="R286" t="inlineStr"/>
    </row>
    <row r="287">
      <c r="A287" t="inlineStr">
        <is>
          <t>qualitatif</t>
        </is>
      </c>
      <c r="B287" t="inlineStr">
        <is>
          <t>A_nord</t>
        </is>
      </c>
      <c r="C287" t="inlineStr">
        <is>
          <t>A</t>
        </is>
      </c>
      <c r="D287" t="inlineStr">
        <is>
          <t>EGY</t>
        </is>
      </c>
      <c r="E287" t="inlineStr">
        <is>
          <t>Benban – portefeuille Access/Eren (2 x 50 MW)</t>
        </is>
      </c>
      <c r="F287" t="inlineStr">
        <is>
          <t>financeurs</t>
        </is>
      </c>
      <c r="G287" t="inlineStr">
        <is>
          <t>EBRD : 2 x 29 MUSD (Access Building Energy Solar One, Access Egypt Solar One)</t>
        </is>
      </c>
      <c r="H287" t="inlineStr"/>
      <c r="I287" t="inlineStr">
        <is>
          <t>observée</t>
        </is>
      </c>
      <c r="J287" t="n">
        <v>2017</v>
      </c>
      <c r="K287" t="inlineStr">
        <is>
          <t>A</t>
        </is>
      </c>
      <c r="L287" t="inlineStr">
        <is>
          <t>qualitatif_citation_ok</t>
        </is>
      </c>
      <c r="M287" t="inlineStr">
        <is>
          <t>EBRD</t>
        </is>
      </c>
      <c r="N287" t="inlineStr">
        <is>
          <t>Minutes of the Board Meeting of 7 June 2017 (public)</t>
        </is>
      </c>
      <c r="O287" t="inlineStr">
        <is>
          <t>https://www.ebrd.com/content/dam/ebrd_dxp/assets/pdfs/strategies-and-policies/ebrd-board-activity/2017/april-june/BDSM1711w%20(2).pdf</t>
        </is>
      </c>
      <c r="P287" t="inlineStr">
        <is>
          <t>2017-06-07</t>
        </is>
      </c>
      <c r="Q287" t="inlineStr">
        <is>
          <t>two senior secured loans totalling up to USD 58 million (EUR 54 million)</t>
        </is>
      </c>
      <c r="R287" t="inlineStr"/>
    </row>
    <row r="288">
      <c r="A288" t="inlineStr">
        <is>
          <t>qualitatif</t>
        </is>
      </c>
      <c r="B288" t="inlineStr">
        <is>
          <t>A_nord</t>
        </is>
      </c>
      <c r="C288" t="inlineStr">
        <is>
          <t>A</t>
        </is>
      </c>
      <c r="D288" t="inlineStr">
        <is>
          <t>EGY</t>
        </is>
      </c>
      <c r="E288" t="inlineStr">
        <is>
          <t>Benban – portefeuille EDF EN / El Sewedy (2 x 50 MW)</t>
        </is>
      </c>
      <c r="F288" t="inlineStr">
        <is>
          <t>financeurs</t>
        </is>
      </c>
      <c r="G288" t="inlineStr">
        <is>
          <t>EBRD : 2 x 27 MUSD (Aswan Solar 21 ; Egyptian Company for Solar Energy Development)</t>
        </is>
      </c>
      <c r="H288" t="inlineStr"/>
      <c r="I288" t="inlineStr">
        <is>
          <t>observée</t>
        </is>
      </c>
      <c r="J288" t="n">
        <v>2017</v>
      </c>
      <c r="K288" t="inlineStr">
        <is>
          <t>A</t>
        </is>
      </c>
      <c r="L288" t="inlineStr">
        <is>
          <t>qualitatif_citation_ok</t>
        </is>
      </c>
      <c r="M288" t="inlineStr">
        <is>
          <t>EBRD</t>
        </is>
      </c>
      <c r="N288" t="inlineStr">
        <is>
          <t>Minutes of the Board Meeting of 7 June 2017 (public)</t>
        </is>
      </c>
      <c r="O288" t="inlineStr">
        <is>
          <t>https://www.ebrd.com/content/dam/ebrd_dxp/assets/pdfs/strategies-and-policies/ebrd-board-activity/2017/april-june/BDSM1711w%20(2).pdf</t>
        </is>
      </c>
      <c r="P288" t="inlineStr">
        <is>
          <t>2017-06-07</t>
        </is>
      </c>
      <c r="Q288" t="inlineStr">
        <is>
          <t>two senior secured loans totalling up to USD 54 million (EUR 49.6 million)</t>
        </is>
      </c>
      <c r="R288" t="inlineStr"/>
    </row>
    <row r="289">
      <c r="A289" t="inlineStr">
        <is>
          <t>qualitatif</t>
        </is>
      </c>
      <c r="B289" t="inlineStr">
        <is>
          <t>A_nord</t>
        </is>
      </c>
      <c r="C289" t="inlineStr">
        <is>
          <t>A</t>
        </is>
      </c>
      <c r="D289" t="inlineStr">
        <is>
          <t>EGY</t>
        </is>
      </c>
      <c r="E289" t="inlineStr">
        <is>
          <t>Benban – Alfa Solar (50 MW)</t>
        </is>
      </c>
      <c r="F289" t="inlineStr">
        <is>
          <t>financeurs</t>
        </is>
      </c>
      <c r="G289" t="inlineStr">
        <is>
          <t>EBRD prêt senior jusqu'à 29 MUSD</t>
        </is>
      </c>
      <c r="H289" t="inlineStr"/>
      <c r="I289" t="inlineStr">
        <is>
          <t>observée</t>
        </is>
      </c>
      <c r="J289" t="n">
        <v>2017</v>
      </c>
      <c r="K289" t="inlineStr">
        <is>
          <t>A</t>
        </is>
      </c>
      <c r="L289" t="inlineStr">
        <is>
          <t>qualitatif_citation_ok</t>
        </is>
      </c>
      <c r="M289" t="inlineStr">
        <is>
          <t>EBRD</t>
        </is>
      </c>
      <c r="N289" t="inlineStr">
        <is>
          <t>Minutes of the Board Meeting of 7 June 2017 (public)</t>
        </is>
      </c>
      <c r="O289" t="inlineStr">
        <is>
          <t>https://www.ebrd.com/content/dam/ebrd_dxp/assets/pdfs/strategies-and-policies/ebrd-board-activity/2017/april-june/BDSM1711w%20(2).pdf</t>
        </is>
      </c>
      <c r="P289" t="inlineStr">
        <is>
          <t>2017-06-07</t>
        </is>
      </c>
      <c r="Q289" t="inlineStr">
        <is>
          <t>approved a senior secured loan of up to USD 29 million (EUR 26 million) to Alfa Solar Company</t>
        </is>
      </c>
      <c r="R289" t="inlineStr"/>
    </row>
    <row r="290">
      <c r="A290" t="inlineStr">
        <is>
          <t>qualitatif</t>
        </is>
      </c>
      <c r="B290" t="inlineStr">
        <is>
          <t>A_nord</t>
        </is>
      </c>
      <c r="C290" t="inlineStr">
        <is>
          <t>A</t>
        </is>
      </c>
      <c r="D290" t="inlineStr">
        <is>
          <t>EGY</t>
        </is>
      </c>
      <c r="E290" t="inlineStr">
        <is>
          <t>Benban – portefeuille Infinity/ib vogt (50 MW + 30 MW)</t>
        </is>
      </c>
      <c r="F290" t="inlineStr">
        <is>
          <t>financeurs</t>
        </is>
      </c>
      <c r="G290" t="inlineStr">
        <is>
          <t>EBRD : 34,7 MUSD (MMID 30) + 57 MUSD (TAQA Solar Reserve)</t>
        </is>
      </c>
      <c r="H290" t="inlineStr"/>
      <c r="I290" t="inlineStr">
        <is>
          <t>observée</t>
        </is>
      </c>
      <c r="J290" t="n">
        <v>2017</v>
      </c>
      <c r="K290" t="inlineStr">
        <is>
          <t>A</t>
        </is>
      </c>
      <c r="L290" t="inlineStr">
        <is>
          <t>qualitatif_citation_ok</t>
        </is>
      </c>
      <c r="M290" t="inlineStr">
        <is>
          <t>EBRD</t>
        </is>
      </c>
      <c r="N290" t="inlineStr">
        <is>
          <t>Minutes of the Board Meeting of 7 June 2017 (public)</t>
        </is>
      </c>
      <c r="O290" t="inlineStr">
        <is>
          <t>https://www.ebrd.com/content/dam/ebrd_dxp/assets/pdfs/strategies-and-policies/ebrd-board-activity/2017/april-june/BDSM1711w%20(2).pdf</t>
        </is>
      </c>
      <c r="P290" t="inlineStr">
        <is>
          <t>2017-06-07</t>
        </is>
      </c>
      <c r="Q290" t="inlineStr">
        <is>
          <t>(i) USD 34.7 million (EUR 31.9 million) to MMID 30 for Renewable Energy SAE; and (ii) USD 57 million (EUR 52.5 million) to TAQA Solar Reserve SAE</t>
        </is>
      </c>
      <c r="R290" t="inlineStr"/>
    </row>
    <row r="291">
      <c r="A291" t="inlineStr">
        <is>
          <t>retenu</t>
        </is>
      </c>
      <c r="B291" t="inlineStr">
        <is>
          <t>A_nord</t>
        </is>
      </c>
      <c r="C291" t="inlineStr">
        <is>
          <t>A</t>
        </is>
      </c>
      <c r="D291" t="inlineStr">
        <is>
          <t>EGY</t>
        </is>
      </c>
      <c r="E291" t="inlineStr">
        <is>
          <t>Benban – portefeuille Scatec/KLP/Norfund/Africa50 (6 x 65 MW)</t>
        </is>
      </c>
      <c r="F291" t="inlineStr">
        <is>
          <t>tarif</t>
        </is>
      </c>
      <c r="G291" t="n">
        <v>0.0735</v>
      </c>
      <c r="H291" t="inlineStr">
        <is>
          <t>USD/kWh (tarif actualisé)</t>
        </is>
      </c>
      <c r="I291" t="inlineStr">
        <is>
          <t>observée</t>
        </is>
      </c>
      <c r="J291" t="n">
        <v>2017</v>
      </c>
      <c r="K291" t="inlineStr">
        <is>
          <t>A</t>
        </is>
      </c>
      <c r="L291" t="inlineStr">
        <is>
          <t>confirmé</t>
        </is>
      </c>
      <c r="M291" t="inlineStr">
        <is>
          <t>MIGA</t>
        </is>
      </c>
      <c r="N291" t="inlineStr">
        <is>
          <t>Scatec's Feed-in-Tariff Program projects in Egypt</t>
        </is>
      </c>
      <c r="O291" t="inlineStr">
        <is>
          <t>https://miga.org/project/scatecs-feed-tariff-program-projects-egypt-1</t>
        </is>
      </c>
      <c r="P291" t="inlineStr">
        <is>
          <t>2019-12-16</t>
        </is>
      </c>
      <c r="Q291" t="inlineStr">
        <is>
          <t>applicable levelized tariff of US$ 7.35 cents/kWh</t>
        </is>
      </c>
      <c r="R291" t="inlineStr">
        <is>
          <t>Tarif lissé (levelized) ; diffère du tarif nominal FiT R2 8,4 USc</t>
        </is>
      </c>
    </row>
    <row r="292">
      <c r="A292" t="inlineStr">
        <is>
          <t>retenu</t>
        </is>
      </c>
      <c r="B292" t="inlineStr">
        <is>
          <t>A_nord</t>
        </is>
      </c>
      <c r="C292" t="inlineStr">
        <is>
          <t>A</t>
        </is>
      </c>
      <c r="D292" t="inlineStr">
        <is>
          <t>EGY</t>
        </is>
      </c>
      <c r="E292" t="inlineStr">
        <is>
          <t>Benban – portefeuille Scatec/KLP/Norfund/Africa50 (6 x 65 MW)</t>
        </is>
      </c>
      <c r="F292" t="inlineStr">
        <is>
          <t>capex_total</t>
        </is>
      </c>
      <c r="G292" t="n">
        <v>446</v>
      </c>
      <c r="H292" t="inlineStr">
        <is>
          <t>MUSD</t>
        </is>
      </c>
      <c r="I292" t="inlineStr">
        <is>
          <t>déclarée</t>
        </is>
      </c>
      <c r="J292" t="n">
        <v>2019</v>
      </c>
      <c r="K292" t="inlineStr">
        <is>
          <t>A</t>
        </is>
      </c>
      <c r="L292" t="inlineStr">
        <is>
          <t>confirmé</t>
        </is>
      </c>
      <c r="M292" t="inlineStr">
        <is>
          <t>MIGA</t>
        </is>
      </c>
      <c r="N292" t="inlineStr">
        <is>
          <t>Scatec's Feed-in-Tariff Program projects in Egypt</t>
        </is>
      </c>
      <c r="O292" t="inlineStr">
        <is>
          <t>https://miga.org/project/scatecs-feed-tariff-program-projects-egypt-1</t>
        </is>
      </c>
      <c r="P292" t="inlineStr">
        <is>
          <t>2019-12-16</t>
        </is>
      </c>
      <c r="Q292" t="inlineStr">
        <is>
          <t>represent a total investment of around US$ 446 million</t>
        </is>
      </c>
      <c r="R292" t="inlineStr">
        <is>
          <t>Pour 6 centrales (390 MW)</t>
        </is>
      </c>
    </row>
    <row r="293">
      <c r="A293" t="inlineStr">
        <is>
          <t>qualitatif</t>
        </is>
      </c>
      <c r="B293" t="inlineStr">
        <is>
          <t>A_nord</t>
        </is>
      </c>
      <c r="C293" t="inlineStr">
        <is>
          <t>A</t>
        </is>
      </c>
      <c r="D293" t="inlineStr">
        <is>
          <t>EGY</t>
        </is>
      </c>
      <c r="E293" t="inlineStr">
        <is>
          <t>Benban – portefeuille Scatec/KLP/Norfund/Africa50 (6 x 65 MW)</t>
        </is>
      </c>
      <c r="F293" t="inlineStr">
        <is>
          <t>garanties</t>
        </is>
      </c>
      <c r="G293" t="inlineStr">
        <is>
          <t>MIGA 76,43 MUSD, 90% des fonds propres, risque de transfert/inconvertibilité, jusqu'à 15 ans</t>
        </is>
      </c>
      <c r="H293" t="inlineStr"/>
      <c r="I293" t="inlineStr">
        <is>
          <t>observée</t>
        </is>
      </c>
      <c r="J293" t="n">
        <v>2020</v>
      </c>
      <c r="K293" t="inlineStr">
        <is>
          <t>A</t>
        </is>
      </c>
      <c r="L293" t="inlineStr">
        <is>
          <t>qualitatif_citation_ok</t>
        </is>
      </c>
      <c r="M293" t="inlineStr">
        <is>
          <t>MIGA</t>
        </is>
      </c>
      <c r="N293" t="inlineStr">
        <is>
          <t>Scatec's Feed-in-Tariff Program projects in Egypt</t>
        </is>
      </c>
      <c r="O293" t="inlineStr">
        <is>
          <t>https://miga.org/project/scatecs-feed-tariff-program-projects-egypt-1</t>
        </is>
      </c>
      <c r="P293" t="inlineStr">
        <is>
          <t>2019-12-16</t>
        </is>
      </c>
      <c r="Q293" t="inlineStr">
        <is>
          <t>Amounting to US$ 76.43 million, the guarantees were issued</t>
        </is>
      </c>
      <c r="R293" t="inlineStr">
        <is>
          <t>Le champ résumé de la page indique 52,35 MUSD (voir conflits)</t>
        </is>
      </c>
    </row>
    <row r="294">
      <c r="A294" t="inlineStr">
        <is>
          <t>qualitatif</t>
        </is>
      </c>
      <c r="B294" t="inlineStr">
        <is>
          <t>A_nord</t>
        </is>
      </c>
      <c r="C294" t="inlineStr">
        <is>
          <t>A</t>
        </is>
      </c>
      <c r="D294" t="inlineStr">
        <is>
          <t>EGY</t>
        </is>
      </c>
      <c r="E294" t="inlineStr">
        <is>
          <t>Benban – portefeuille Scatec/KLP/Norfund/Africa50 (6 x 65 MW)</t>
        </is>
      </c>
      <c r="F294" t="inlineStr">
        <is>
          <t>financeurs</t>
        </is>
      </c>
      <c r="G294" t="inlineStr">
        <is>
          <t>EBRD, IsDB, ICD, Green Climate Fund</t>
        </is>
      </c>
      <c r="H294" t="inlineStr"/>
      <c r="I294" t="inlineStr">
        <is>
          <t>observée</t>
        </is>
      </c>
      <c r="J294" t="n">
        <v>2019</v>
      </c>
      <c r="K294" t="inlineStr">
        <is>
          <t>A</t>
        </is>
      </c>
      <c r="L294" t="inlineStr">
        <is>
          <t>qualitatif_citation_ok</t>
        </is>
      </c>
      <c r="M294" t="inlineStr">
        <is>
          <t>MIGA</t>
        </is>
      </c>
      <c r="N294" t="inlineStr">
        <is>
          <t>Scatec's Feed-in-Tariff Program projects in Egypt</t>
        </is>
      </c>
      <c r="O294" t="inlineStr">
        <is>
          <t>https://miga.org/project/scatecs-feed-tariff-program-projects-egypt-1</t>
        </is>
      </c>
      <c r="P294" t="inlineStr">
        <is>
          <t>2019-12-16</t>
        </is>
      </c>
      <c r="Q294" t="inlineStr">
        <is>
          <t>by four International Finance Institutions, i.e. the European Bank for Reconstruction and Development</t>
        </is>
      </c>
      <c r="R294" t="inlineStr"/>
    </row>
    <row r="295">
      <c r="A295" t="inlineStr">
        <is>
          <t>retenu</t>
        </is>
      </c>
      <c r="B295" t="inlineStr">
        <is>
          <t>A_nord</t>
        </is>
      </c>
      <c r="C295" t="inlineStr">
        <is>
          <t>A</t>
        </is>
      </c>
      <c r="D295" t="inlineStr">
        <is>
          <t>EGY</t>
        </is>
      </c>
      <c r="E295" t="inlineStr">
        <is>
          <t>Benban – portefeuille Scatec/KLP/Norfund/Africa50 (6 x 65 MW)</t>
        </is>
      </c>
      <c r="F295" t="inlineStr">
        <is>
          <t>ppa_duree</t>
        </is>
      </c>
      <c r="G295" t="n">
        <v>25</v>
      </c>
      <c r="H295" t="inlineStr">
        <is>
          <t>ans</t>
        </is>
      </c>
      <c r="I295" t="inlineStr">
        <is>
          <t>observée</t>
        </is>
      </c>
      <c r="J295" t="n">
        <v>2019</v>
      </c>
      <c r="K295" t="inlineStr">
        <is>
          <t>A</t>
        </is>
      </c>
      <c r="L295" t="inlineStr">
        <is>
          <t>confirmé</t>
        </is>
      </c>
      <c r="M295" t="inlineStr">
        <is>
          <t>MIGA</t>
        </is>
      </c>
      <c r="N295" t="inlineStr">
        <is>
          <t>Scatec's Feed-in-Tariff Program projects in Egypt</t>
        </is>
      </c>
      <c r="O295" t="inlineStr">
        <is>
          <t>https://miga.org/project/scatecs-feed-tariff-program-projects-egypt-1</t>
        </is>
      </c>
      <c r="P295" t="inlineStr">
        <is>
          <t>2019-12-16</t>
        </is>
      </c>
      <c r="Q295" t="inlineStr">
        <is>
          <t>under 25-year Power Purchase Agreements</t>
        </is>
      </c>
      <c r="R295" t="inlineStr"/>
    </row>
    <row r="296">
      <c r="A296" t="inlineStr">
        <is>
          <t>retenu</t>
        </is>
      </c>
      <c r="B296" t="inlineStr">
        <is>
          <t>A_nord</t>
        </is>
      </c>
      <c r="C296" t="inlineStr">
        <is>
          <t>A</t>
        </is>
      </c>
      <c r="D296" t="inlineStr">
        <is>
          <t>EGY</t>
        </is>
      </c>
      <c r="E296" t="inlineStr">
        <is>
          <t>Benban – portefeuille Scatec/KLP/Norfund/Africa50 (6 x 65 MW)</t>
        </is>
      </c>
      <c r="F296" t="inlineStr">
        <is>
          <t>production_gwh_an</t>
        </is>
      </c>
      <c r="G296" t="n">
        <v>870</v>
      </c>
      <c r="H296" t="inlineStr">
        <is>
          <t>GWh/an</t>
        </is>
      </c>
      <c r="I296" t="inlineStr">
        <is>
          <t>déclarée</t>
        </is>
      </c>
      <c r="J296" t="n">
        <v>2019</v>
      </c>
      <c r="K296" t="inlineStr">
        <is>
          <t>B</t>
        </is>
      </c>
      <c r="L296" t="inlineStr">
        <is>
          <t>citation_partielle</t>
        </is>
      </c>
      <c r="M296" t="inlineStr">
        <is>
          <t>IPP Journal (reprise communiqué Scatec Solar)</t>
        </is>
      </c>
      <c r="N296" t="inlineStr">
        <is>
          <t>Scatec Solar and partners complete 390 MW solar portfolio of the 1.8 GW Benban solar complex</t>
        </is>
      </c>
      <c r="O296" t="inlineStr">
        <is>
          <t>https://ippjournal.com/update/scatec-solar-and-partners-complete-390-mw-solar-portfolio-of-the-18-gw-benban-solar-complex</t>
        </is>
      </c>
      <c r="P296" t="inlineStr">
        <is>
          <t>2019-10-16</t>
        </is>
      </c>
      <c r="Q296" t="inlineStr">
        <is>
          <t>The estimated annual electricity production is 870 GWh.</t>
        </is>
      </c>
      <c r="R296" t="inlineStr">
        <is>
          <t>Estimation, pas production mesurée</t>
        </is>
      </c>
    </row>
    <row r="297">
      <c r="A297" t="inlineStr">
        <is>
          <t>retenu</t>
        </is>
      </c>
      <c r="B297" t="inlineStr">
        <is>
          <t>A_nord</t>
        </is>
      </c>
      <c r="C297" t="inlineStr">
        <is>
          <t>A</t>
        </is>
      </c>
      <c r="D297" t="inlineStr">
        <is>
          <t>EGY</t>
        </is>
      </c>
      <c r="E297" t="inlineStr">
        <is>
          <t>Kom Ombo PV (200 MWac)</t>
        </is>
      </c>
      <c r="F297" t="inlineStr">
        <is>
          <t>tarif</t>
        </is>
      </c>
      <c r="G297" t="n">
        <v>0.0247</v>
      </c>
      <c r="H297" t="inlineStr">
        <is>
          <t>USD/kWh</t>
        </is>
      </c>
      <c r="I297" t="inlineStr">
        <is>
          <t>observée</t>
        </is>
      </c>
      <c r="J297" t="n">
        <v>2021</v>
      </c>
      <c r="K297" t="inlineStr">
        <is>
          <t>B</t>
        </is>
      </c>
      <c r="L297" t="inlineStr">
        <is>
          <t>confirmé</t>
        </is>
      </c>
      <c r="M297" t="inlineStr">
        <is>
          <t>ACWA Power</t>
        </is>
      </c>
      <c r="N297" t="inlineStr">
        <is>
          <t>Kom Ombo PV – fiche projet</t>
        </is>
      </c>
      <c r="O297" t="inlineStr">
        <is>
          <t>https://acwapower.com/en/what-we-do/projects/kom-ombo-pv/</t>
        </is>
      </c>
      <c r="P297" t="inlineStr">
        <is>
          <t>consulté 2026-10-17</t>
        </is>
      </c>
      <c r="Q297" t="inlineStr">
        <is>
          <t>2.47 Cent USD/kwhr</t>
        </is>
      </c>
      <c r="R297" t="inlineStr">
        <is>
          <t>Présenté comme le plus bas tarif solaire contracté en Afrique du Nord ; presse cite 2,75 USc (non vérifié)</t>
        </is>
      </c>
    </row>
    <row r="298">
      <c r="A298" t="inlineStr">
        <is>
          <t>retenu</t>
        </is>
      </c>
      <c r="B298" t="inlineStr">
        <is>
          <t>A_nord</t>
        </is>
      </c>
      <c r="C298" t="inlineStr">
        <is>
          <t>A</t>
        </is>
      </c>
      <c r="D298" t="inlineStr">
        <is>
          <t>EGY</t>
        </is>
      </c>
      <c r="E298" t="inlineStr">
        <is>
          <t>Kom Ombo PV (200 MWac)</t>
        </is>
      </c>
      <c r="F298" t="inlineStr">
        <is>
          <t>capex_total</t>
        </is>
      </c>
      <c r="G298" t="n">
        <v>163</v>
      </c>
      <c r="H298" t="inlineStr">
        <is>
          <t>MUSD</t>
        </is>
      </c>
      <c r="I298" t="inlineStr">
        <is>
          <t>déclarée</t>
        </is>
      </c>
      <c r="J298" t="n">
        <v>2021</v>
      </c>
      <c r="K298" t="inlineStr">
        <is>
          <t>B</t>
        </is>
      </c>
      <c r="L298" t="inlineStr">
        <is>
          <t>confirmé</t>
        </is>
      </c>
      <c r="M298" t="inlineStr">
        <is>
          <t>ACWA Power</t>
        </is>
      </c>
      <c r="N298" t="inlineStr">
        <is>
          <t>Kom Ombo PV – fiche projet</t>
        </is>
      </c>
      <c r="O298" t="inlineStr">
        <is>
          <t>https://acwapower.com/en/what-we-do/projects/kom-ombo-pv/</t>
        </is>
      </c>
      <c r="P298" t="inlineStr">
        <is>
          <t>consulté 2026-10-17</t>
        </is>
      </c>
      <c r="Q298" t="inlineStr">
        <is>
          <t>US$ 163 million</t>
        </is>
      </c>
      <c r="R298" t="inlineStr"/>
    </row>
    <row r="299">
      <c r="A299" t="inlineStr">
        <is>
          <t>retenu</t>
        </is>
      </c>
      <c r="B299" t="inlineStr">
        <is>
          <t>A_nord</t>
        </is>
      </c>
      <c r="C299" t="inlineStr">
        <is>
          <t>A</t>
        </is>
      </c>
      <c r="D299" t="inlineStr">
        <is>
          <t>EGY</t>
        </is>
      </c>
      <c r="E299" t="inlineStr">
        <is>
          <t>Kom Ombo PV (200 MWac)</t>
        </is>
      </c>
      <c r="F299" t="inlineStr">
        <is>
          <t>puissance_mwac</t>
        </is>
      </c>
      <c r="G299" t="n">
        <v>200</v>
      </c>
      <c r="H299" t="inlineStr">
        <is>
          <t>MWac</t>
        </is>
      </c>
      <c r="I299" t="inlineStr">
        <is>
          <t>observée</t>
        </is>
      </c>
      <c r="J299" t="n">
        <v>2024</v>
      </c>
      <c r="K299" t="inlineStr">
        <is>
          <t>B</t>
        </is>
      </c>
      <c r="L299" t="inlineStr">
        <is>
          <t>citation_partielle</t>
        </is>
      </c>
      <c r="M299" t="inlineStr">
        <is>
          <t>ACWA Power</t>
        </is>
      </c>
      <c r="N299" t="inlineStr">
        <is>
          <t>Kom Ombo PV – fiche projet</t>
        </is>
      </c>
      <c r="O299" t="inlineStr">
        <is>
          <t>https://acwapower.com/en/what-we-do/projects/kom-ombo-pv/</t>
        </is>
      </c>
      <c r="P299" t="inlineStr">
        <is>
          <t>consulté 2026-10-17</t>
        </is>
      </c>
      <c r="Q299" t="inlineStr">
        <is>
          <t>The plant generates 200 MW AC.</t>
        </is>
      </c>
      <c r="R299" t="inlineStr"/>
    </row>
    <row r="300">
      <c r="A300" t="inlineStr">
        <is>
          <t>retenu</t>
        </is>
      </c>
      <c r="B300" t="inlineStr">
        <is>
          <t>A_nord</t>
        </is>
      </c>
      <c r="C300" t="inlineStr">
        <is>
          <t>A</t>
        </is>
      </c>
      <c r="D300" t="inlineStr">
        <is>
          <t>EGY</t>
        </is>
      </c>
      <c r="E300" t="inlineStr">
        <is>
          <t>Kom Ombo PV (200 MWac)</t>
        </is>
      </c>
      <c r="F300" t="inlineStr">
        <is>
          <t>ppa_duree</t>
        </is>
      </c>
      <c r="G300" t="n">
        <v>25</v>
      </c>
      <c r="H300" t="inlineStr">
        <is>
          <t>ans</t>
        </is>
      </c>
      <c r="I300" t="inlineStr">
        <is>
          <t>observée</t>
        </is>
      </c>
      <c r="J300" t="n">
        <v>2021</v>
      </c>
      <c r="K300" t="inlineStr">
        <is>
          <t>B</t>
        </is>
      </c>
      <c r="L300" t="inlineStr">
        <is>
          <t>confirmé</t>
        </is>
      </c>
      <c r="M300" t="inlineStr">
        <is>
          <t>ACWA Power</t>
        </is>
      </c>
      <c r="N300" t="inlineStr">
        <is>
          <t>Kom Ombo PV – fiche projet</t>
        </is>
      </c>
      <c r="O300" t="inlineStr">
        <is>
          <t>https://acwapower.com/en/what-we-do/projects/kom-ombo-pv/</t>
        </is>
      </c>
      <c r="P300" t="inlineStr">
        <is>
          <t>consulté 2026-10-17</t>
        </is>
      </c>
      <c r="Q300" t="inlineStr">
        <is>
          <t>PPA-BOO-25 YR</t>
        </is>
      </c>
      <c r="R300" t="inlineStr"/>
    </row>
    <row r="301">
      <c r="A301" t="inlineStr">
        <is>
          <t>retenu</t>
        </is>
      </c>
      <c r="B301" t="inlineStr">
        <is>
          <t>A_nord</t>
        </is>
      </c>
      <c r="C301" t="inlineStr">
        <is>
          <t>A</t>
        </is>
      </c>
      <c r="D301" t="inlineStr">
        <is>
          <t>EGY</t>
        </is>
      </c>
      <c r="E301" t="inlineStr">
        <is>
          <t>Kom Ombo PV (200 MWac)</t>
        </is>
      </c>
      <c r="F301" t="inlineStr">
        <is>
          <t>annee_mise_en_service</t>
        </is>
      </c>
      <c r="G301" t="n">
        <v>2024</v>
      </c>
      <c r="H301" t="inlineStr"/>
      <c r="I301" t="inlineStr">
        <is>
          <t>observée</t>
        </is>
      </c>
      <c r="J301" t="n">
        <v>2024</v>
      </c>
      <c r="K301" t="inlineStr">
        <is>
          <t>B</t>
        </is>
      </c>
      <c r="L301" t="inlineStr">
        <is>
          <t>confirmé</t>
        </is>
      </c>
      <c r="M301" t="inlineStr">
        <is>
          <t>ACWA Power</t>
        </is>
      </c>
      <c r="N301" t="inlineStr">
        <is>
          <t>Kom Ombo PV – fiche projet</t>
        </is>
      </c>
      <c r="O301" t="inlineStr">
        <is>
          <t>https://acwapower.com/en/what-we-do/projects/kom-ombo-pv/</t>
        </is>
      </c>
      <c r="P301" t="inlineStr">
        <is>
          <t>consulté 2026-10-17</t>
        </is>
      </c>
      <c r="Q301" t="inlineStr">
        <is>
          <t>has been completed on 8 July 2024</t>
        </is>
      </c>
      <c r="R301" t="inlineStr">
        <is>
          <t>COD indiquée Q3 2024</t>
        </is>
      </c>
    </row>
    <row r="302">
      <c r="A302" t="inlineStr">
        <is>
          <t>qualitatif</t>
        </is>
      </c>
      <c r="B302" t="inlineStr">
        <is>
          <t>A_nord</t>
        </is>
      </c>
      <c r="C302" t="inlineStr">
        <is>
          <t>A</t>
        </is>
      </c>
      <c r="D302" t="inlineStr">
        <is>
          <t>EGY</t>
        </is>
      </c>
      <c r="E302" t="inlineStr">
        <is>
          <t>Kom Ombo PV (200 MWac)</t>
        </is>
      </c>
      <c r="F302" t="inlineStr">
        <is>
          <t>developpeur</t>
        </is>
      </c>
      <c r="G302" t="inlineStr">
        <is>
          <t>ACWA Power (100%)</t>
        </is>
      </c>
      <c r="H302" t="inlineStr"/>
      <c r="I302" t="inlineStr">
        <is>
          <t>observée</t>
        </is>
      </c>
      <c r="J302" t="n">
        <v>2021</v>
      </c>
      <c r="K302" t="inlineStr">
        <is>
          <t>B</t>
        </is>
      </c>
      <c r="L302" t="inlineStr">
        <is>
          <t>qualitatif_citation_ok</t>
        </is>
      </c>
      <c r="M302" t="inlineStr">
        <is>
          <t>ACWA Power</t>
        </is>
      </c>
      <c r="N302" t="inlineStr">
        <is>
          <t>Kom Ombo PV – fiche projet</t>
        </is>
      </c>
      <c r="O302" t="inlineStr">
        <is>
          <t>https://acwapower.com/en/what-we-do/projects/kom-ombo-pv/</t>
        </is>
      </c>
      <c r="P302" t="inlineStr">
        <is>
          <t>consulté 2026-10-17</t>
        </is>
      </c>
      <c r="Q302" t="inlineStr">
        <is>
          <t>100%</t>
        </is>
      </c>
      <c r="R302" t="inlineStr"/>
    </row>
    <row r="303">
      <c r="A303" t="inlineStr">
        <is>
          <t>qualitatif</t>
        </is>
      </c>
      <c r="B303" t="inlineStr">
        <is>
          <t>A_nord</t>
        </is>
      </c>
      <c r="C303" t="inlineStr">
        <is>
          <t>A</t>
        </is>
      </c>
      <c r="D303" t="inlineStr">
        <is>
          <t>EGY</t>
        </is>
      </c>
      <c r="E303" t="inlineStr">
        <is>
          <t>Kom Ombo PV (200 MWac)</t>
        </is>
      </c>
      <c r="F303" t="inlineStr">
        <is>
          <t>procedure</t>
        </is>
      </c>
      <c r="G303" t="inlineStr">
        <is>
          <t>Appel d'offres (premier appel d'offres PV en Égypte), contrat BOO</t>
        </is>
      </c>
      <c r="H303" t="inlineStr"/>
      <c r="I303" t="inlineStr">
        <is>
          <t>observée</t>
        </is>
      </c>
      <c r="J303" t="n">
        <v>2021</v>
      </c>
      <c r="K303" t="inlineStr">
        <is>
          <t>B</t>
        </is>
      </c>
      <c r="L303" t="inlineStr">
        <is>
          <t>qualitatif_citation_ok</t>
        </is>
      </c>
      <c r="M303" t="inlineStr">
        <is>
          <t>ACWA Power</t>
        </is>
      </c>
      <c r="N303" t="inlineStr">
        <is>
          <t>Kom Ombo PV – fiche projet</t>
        </is>
      </c>
      <c r="O303" t="inlineStr">
        <is>
          <t>https://acwapower.com/en/what-we-do/projects/kom-ombo-pv/</t>
        </is>
      </c>
      <c r="P303" t="inlineStr">
        <is>
          <t>consulté 2026-10-17</t>
        </is>
      </c>
      <c r="Q303" t="inlineStr">
        <is>
          <t>PPA-BOO-25 YR</t>
        </is>
      </c>
      <c r="R303" t="inlineStr"/>
    </row>
    <row r="304">
      <c r="A304" t="inlineStr">
        <is>
          <t>qualitatif</t>
        </is>
      </c>
      <c r="B304" t="inlineStr">
        <is>
          <t>A_nord</t>
        </is>
      </c>
      <c r="C304" t="inlineStr">
        <is>
          <t>A</t>
        </is>
      </c>
      <c r="D304" t="inlineStr">
        <is>
          <t>EGY</t>
        </is>
      </c>
      <c r="E304" t="inlineStr">
        <is>
          <t>Kom Ombo PV (200 MWac)</t>
        </is>
      </c>
      <c r="F304" t="inlineStr">
        <is>
          <t>financeurs</t>
        </is>
      </c>
      <c r="G304" t="inlineStr">
        <is>
          <t>EBRD ≤36 MUSD, OPEC Fund 18, AfDB 17,8, GCF 23,8, Arab Bank 18 (total ~114 MUSD) ; prêts relais fonds propres EBRD ≤14 et APICORP 33,5</t>
        </is>
      </c>
      <c r="H304" t="inlineStr"/>
      <c r="I304" t="inlineStr">
        <is>
          <t>observée</t>
        </is>
      </c>
      <c r="J304" t="n">
        <v>2021</v>
      </c>
      <c r="K304" t="inlineStr">
        <is>
          <t>B</t>
        </is>
      </c>
      <c r="L304" t="inlineStr">
        <is>
          <t>qualitatif_citation_ok</t>
        </is>
      </c>
      <c r="M304" t="inlineStr">
        <is>
          <t>AfDB (via AllAfrica)</t>
        </is>
      </c>
      <c r="N304" t="inlineStr">
        <is>
          <t>Egypt's Largest Solar Plant, Kom Ombo, Receives U.S.$ 114 Million Financing Package</t>
        </is>
      </c>
      <c r="O304" t="inlineStr">
        <is>
          <t>https://allafrica.com/stories/202104221041.html</t>
        </is>
      </c>
      <c r="P304" t="inlineStr">
        <is>
          <t>2021-04-22</t>
        </is>
      </c>
      <c r="Q304" t="inlineStr">
        <is>
          <t>The development of the Kom Ombo solar plant will add 200 MW of energy capacity.</t>
        </is>
      </c>
      <c r="R304" t="inlineStr">
        <is>
          <t>Montants listés dans le communiqué conjoint ; citation limitée à la capacité, montants : EBRD up to US$36 million, OPEC Fund US$18 million, AfDB US$17.8 million, GCF US$23.8 million, Arab Bank US$18 million</t>
        </is>
      </c>
    </row>
    <row r="305">
      <c r="A305" t="inlineStr">
        <is>
          <t>retenu</t>
        </is>
      </c>
      <c r="B305" t="inlineStr">
        <is>
          <t>A_nord</t>
        </is>
      </c>
      <c r="C305" t="inlineStr">
        <is>
          <t>A</t>
        </is>
      </c>
      <c r="D305" t="inlineStr">
        <is>
          <t>EGY</t>
        </is>
      </c>
      <c r="E305" t="inlineStr">
        <is>
          <t>Obelisk (PV + stockage, 1,1 GW + 100 MW/200 MWh) – PV+STOCKAGE</t>
        </is>
      </c>
      <c r="F305" t="inlineStr">
        <is>
          <t>capex_total</t>
        </is>
      </c>
      <c r="G305" t="n">
        <v>590</v>
      </c>
      <c r="H305" t="inlineStr">
        <is>
          <t>MUSD</t>
        </is>
      </c>
      <c r="I305" t="inlineStr">
        <is>
          <t>déclarée</t>
        </is>
      </c>
      <c r="J305" t="n">
        <v>2025</v>
      </c>
      <c r="K305" t="inlineStr">
        <is>
          <t>B</t>
        </is>
      </c>
      <c r="L305" t="inlineStr">
        <is>
          <t>confirmé</t>
        </is>
      </c>
      <c r="M305" t="inlineStr">
        <is>
          <t>Energy-pedia (reprise communiqué Scatec 15/06/2025)</t>
        </is>
      </c>
      <c r="N305" t="inlineStr">
        <is>
          <t>Scatec reaches financial close for the 1.1GW solar + 100MW/200MWh BESS Obelisk project</t>
        </is>
      </c>
      <c r="O305" t="inlineStr">
        <is>
          <t>https://www.energy-pedia.com/news/egypt/scatec-reaches-financial-close-for-the-1-1gw-solar---100mw-200mwh-bess-obelisk-project-200184</t>
        </is>
      </c>
      <c r="P305" t="inlineStr">
        <is>
          <t>2025-06-16</t>
        </is>
      </c>
      <c r="Q305" t="inlineStr">
        <is>
          <t>total estimated capex of USD 590 million</t>
        </is>
      </c>
      <c r="R305" t="inlineStr">
        <is>
          <t>PV+stockage ; Enterprise AM cite 600 MUSD (non consulté)</t>
        </is>
      </c>
    </row>
    <row r="306">
      <c r="A306" t="inlineStr">
        <is>
          <t>retenu</t>
        </is>
      </c>
      <c r="B306" t="inlineStr">
        <is>
          <t>A_nord</t>
        </is>
      </c>
      <c r="C306" t="inlineStr">
        <is>
          <t>A</t>
        </is>
      </c>
      <c r="D306" t="inlineStr">
        <is>
          <t>EGY</t>
        </is>
      </c>
      <c r="E306" t="inlineStr">
        <is>
          <t>Obelisk (PV + stockage, 1,1 GW + 100 MW/200 MWh) – PV+STOCKAGE</t>
        </is>
      </c>
      <c r="F306" t="inlineStr">
        <is>
          <t>stockage_mwh</t>
        </is>
      </c>
      <c r="G306" t="n">
        <v>200</v>
      </c>
      <c r="H306" t="inlineStr">
        <is>
          <t>MWh</t>
        </is>
      </c>
      <c r="I306" t="inlineStr">
        <is>
          <t>déclarée</t>
        </is>
      </c>
      <c r="J306" t="n">
        <v>2025</v>
      </c>
      <c r="K306" t="inlineStr">
        <is>
          <t>B</t>
        </is>
      </c>
      <c r="L306" t="inlineStr">
        <is>
          <t>confirmé</t>
        </is>
      </c>
      <c r="M306" t="inlineStr">
        <is>
          <t>Energy-pedia (reprise communiqué Scatec 15/06/2025)</t>
        </is>
      </c>
      <c r="N306" t="inlineStr">
        <is>
          <t>Scatec reaches financial close for the 1.1GW solar + 100MW/200MWh BESS Obelisk project</t>
        </is>
      </c>
      <c r="O306" t="inlineStr">
        <is>
          <t>https://www.energy-pedia.com/news/egypt/scatec-reaches-financial-close-for-the-1-1gw-solar---100mw-200mwh-bess-obelisk-project-200184</t>
        </is>
      </c>
      <c r="P306" t="inlineStr">
        <is>
          <t>2025-06-16</t>
        </is>
      </c>
      <c r="Q306" t="inlineStr">
        <is>
          <t>The first phase of 561 MW solar + 100 MW/200 MWh battery storage</t>
        </is>
      </c>
      <c r="R306" t="inlineStr"/>
    </row>
    <row r="307">
      <c r="A307" t="inlineStr">
        <is>
          <t>qualitatif</t>
        </is>
      </c>
      <c r="B307" t="inlineStr">
        <is>
          <t>A_nord</t>
        </is>
      </c>
      <c r="C307" t="inlineStr">
        <is>
          <t>A</t>
        </is>
      </c>
      <c r="D307" t="inlineStr">
        <is>
          <t>EGY</t>
        </is>
      </c>
      <c r="E307" t="inlineStr">
        <is>
          <t>Obelisk (PV + stockage, 1,1 GW + 100 MW/200 MWh) – PV+STOCKAGE</t>
        </is>
      </c>
      <c r="F307" t="inlineStr">
        <is>
          <t>financeurs</t>
        </is>
      </c>
      <c r="G307" t="inlineStr">
        <is>
          <t>EBRD, AfDB, BII – 479,1 MUSD non-recourse</t>
        </is>
      </c>
      <c r="H307" t="inlineStr"/>
      <c r="I307" t="inlineStr">
        <is>
          <t>observée</t>
        </is>
      </c>
      <c r="J307" t="n">
        <v>2025</v>
      </c>
      <c r="K307" t="inlineStr">
        <is>
          <t>B</t>
        </is>
      </c>
      <c r="L307" t="inlineStr">
        <is>
          <t>qualitatif_citation_ok</t>
        </is>
      </c>
      <c r="M307" t="inlineStr">
        <is>
          <t>Energy-pedia (reprise communiqué Scatec 15/06/2025)</t>
        </is>
      </c>
      <c r="N307" t="inlineStr">
        <is>
          <t>Scatec reaches financial close for the 1.1GW solar + 100MW/200MWh BESS Obelisk project</t>
        </is>
      </c>
      <c r="O307" t="inlineStr">
        <is>
          <t>https://www.energy-pedia.com/news/egypt/scatec-reaches-financial-close-for-the-1-1gw-solar---100mw-200mwh-bess-obelisk-project-200184</t>
        </is>
      </c>
      <c r="P307" t="inlineStr">
        <is>
          <t>2025-06-16</t>
        </is>
      </c>
      <c r="Q307" t="inlineStr">
        <is>
          <t>USD 479.1 million provided by the European Bank for Reconstruction and Development (EBRD)</t>
        </is>
      </c>
      <c r="R307" t="inlineStr">
        <is>
          <t>Répartition par prêteur non donnée</t>
        </is>
      </c>
    </row>
    <row r="308">
      <c r="A308" t="inlineStr">
        <is>
          <t>retenu</t>
        </is>
      </c>
      <c r="B308" t="inlineStr">
        <is>
          <t>A_nord</t>
        </is>
      </c>
      <c r="C308" t="inlineStr">
        <is>
          <t>A</t>
        </is>
      </c>
      <c r="D308" t="inlineStr">
        <is>
          <t>EGY</t>
        </is>
      </c>
      <c r="E308" t="inlineStr">
        <is>
          <t>Obelisk (PV + stockage, 1,1 GW + 100 MW/200 MWh) – PV+STOCKAGE</t>
        </is>
      </c>
      <c r="F308" t="inlineStr">
        <is>
          <t>ppa_duree</t>
        </is>
      </c>
      <c r="G308" t="n">
        <v>25</v>
      </c>
      <c r="H308" t="inlineStr">
        <is>
          <t>ans (USD, garantie souveraine)</t>
        </is>
      </c>
      <c r="I308" t="inlineStr">
        <is>
          <t>observée</t>
        </is>
      </c>
      <c r="J308" t="n">
        <v>2025</v>
      </c>
      <c r="K308" t="inlineStr">
        <is>
          <t>B</t>
        </is>
      </c>
      <c r="L308" t="inlineStr">
        <is>
          <t>confirmé</t>
        </is>
      </c>
      <c r="M308" t="inlineStr">
        <is>
          <t>Energy-pedia (reprise communiqué Scatec 15/06/2025)</t>
        </is>
      </c>
      <c r="N308" t="inlineStr">
        <is>
          <t>Scatec reaches financial close for the 1.1GW solar + 100MW/200MWh BESS Obelisk project</t>
        </is>
      </c>
      <c r="O308" t="inlineStr">
        <is>
          <t>https://www.energy-pedia.com/news/egypt/scatec-reaches-financial-close-for-the-1-1gw-solar---100mw-200mwh-bess-obelisk-project-200184</t>
        </is>
      </c>
      <c r="P308" t="inlineStr">
        <is>
          <t>2025-06-16</t>
        </is>
      </c>
      <c r="Q308" t="inlineStr">
        <is>
          <t>a USD-denominated 25-year Power Purchase Agreement (PPA)</t>
        </is>
      </c>
      <c r="R308" t="inlineStr"/>
    </row>
    <row r="309">
      <c r="A309" t="inlineStr">
        <is>
          <t>qualitatif</t>
        </is>
      </c>
      <c r="B309" t="inlineStr">
        <is>
          <t>A_nord</t>
        </is>
      </c>
      <c r="C309" t="inlineStr">
        <is>
          <t>A</t>
        </is>
      </c>
      <c r="D309" t="inlineStr">
        <is>
          <t>EGY</t>
        </is>
      </c>
      <c r="E309" t="inlineStr">
        <is>
          <t>Obelisk (PV + stockage, 1,1 GW + 100 MW/200 MWh) – PV+STOCKAGE</t>
        </is>
      </c>
      <c r="F309" t="inlineStr">
        <is>
          <t>garanties</t>
        </is>
      </c>
      <c r="G309" t="inlineStr">
        <is>
          <t>Garantie souveraine sur le PPA EETC</t>
        </is>
      </c>
      <c r="H309" t="inlineStr"/>
      <c r="I309" t="inlineStr">
        <is>
          <t>observée</t>
        </is>
      </c>
      <c r="J309" t="n">
        <v>2025</v>
      </c>
      <c r="K309" t="inlineStr">
        <is>
          <t>B</t>
        </is>
      </c>
      <c r="L309" t="inlineStr">
        <is>
          <t>qualitatif_citation_ok</t>
        </is>
      </c>
      <c r="M309" t="inlineStr">
        <is>
          <t>Energy-pedia (reprise communiqué Scatec 15/06/2025)</t>
        </is>
      </c>
      <c r="N309" t="inlineStr">
        <is>
          <t>Scatec reaches financial close for the 1.1GW solar + 100MW/200MWh BESS Obelisk project</t>
        </is>
      </c>
      <c r="O309" t="inlineStr">
        <is>
          <t>https://www.energy-pedia.com/news/egypt/scatec-reaches-financial-close-for-the-1-1gw-solar---100mw-200mwh-bess-obelisk-project-200184</t>
        </is>
      </c>
      <c r="P309" t="inlineStr">
        <is>
          <t>2025-06-16</t>
        </is>
      </c>
      <c r="Q309" t="inlineStr">
        <is>
          <t>backed by a sovereign guarantee</t>
        </is>
      </c>
      <c r="R309" t="inlineStr"/>
    </row>
    <row r="310">
      <c r="A310" t="inlineStr">
        <is>
          <t>qualitatif</t>
        </is>
      </c>
      <c r="B310" t="inlineStr">
        <is>
          <t>A_nord</t>
        </is>
      </c>
      <c r="C310" t="inlineStr">
        <is>
          <t>A</t>
        </is>
      </c>
      <c r="D310" t="inlineStr">
        <is>
          <t>EGY</t>
        </is>
      </c>
      <c r="E310" t="inlineStr">
        <is>
          <t>Obelisk (PV + stockage, 1,1 GW + 100 MW/200 MWh) – PV+STOCKAGE</t>
        </is>
      </c>
      <c r="F310" t="inlineStr">
        <is>
          <t>statut</t>
        </is>
      </c>
      <c r="G310" t="inlineStr">
        <is>
          <t>en construction (COD visée S1 2026 phase 1, S2 2026 phase 2)</t>
        </is>
      </c>
      <c r="H310" t="inlineStr"/>
      <c r="I310" t="inlineStr">
        <is>
          <t>déclarée</t>
        </is>
      </c>
      <c r="J310" t="n">
        <v>2025</v>
      </c>
      <c r="K310" t="inlineStr">
        <is>
          <t>B</t>
        </is>
      </c>
      <c r="L310" t="inlineStr">
        <is>
          <t>qualitatif_citation_ok</t>
        </is>
      </c>
      <c r="M310" t="inlineStr">
        <is>
          <t>Energy-pedia (reprise communiqué Scatec 15/06/2025)</t>
        </is>
      </c>
      <c r="N310" t="inlineStr">
        <is>
          <t>Scatec reaches financial close for the 1.1GW solar + 100MW/200MWh BESS Obelisk project</t>
        </is>
      </c>
      <c r="O310" t="inlineStr">
        <is>
          <t>https://www.energy-pedia.com/news/egypt/scatec-reaches-financial-close-for-the-1-1gw-solar---100mw-200mwh-bess-obelisk-project-200184</t>
        </is>
      </c>
      <c r="P310" t="inlineStr">
        <is>
          <t>2025-06-16</t>
        </is>
      </c>
      <c r="Q310" t="inlineStr">
        <is>
          <t>reach commercial operational date (COD) in the first half of 2026</t>
        </is>
      </c>
      <c r="R310" t="inlineStr">
        <is>
          <t>Statut actuel (oct. 2026) non vérifié</t>
        </is>
      </c>
    </row>
    <row r="311">
      <c r="A311" t="inlineStr">
        <is>
          <t>retenu</t>
        </is>
      </c>
      <c r="B311" t="inlineStr">
        <is>
          <t>A_nord</t>
        </is>
      </c>
      <c r="C311" t="inlineStr">
        <is>
          <t>A</t>
        </is>
      </c>
      <c r="D311" t="inlineStr">
        <is>
          <t>MAR</t>
        </is>
      </c>
      <c r="E311" t="inlineStr">
        <is>
          <t>Programme NOOR PV I (Ouarzazate IV + Laâyoune + Boujdour)</t>
        </is>
      </c>
      <c r="F311" t="inlineStr">
        <is>
          <t>tarif</t>
        </is>
      </c>
      <c r="G311" t="n">
        <v>0.46</v>
      </c>
      <c r="H311" t="inlineStr">
        <is>
          <t>MAD/kWh (combiné programme)</t>
        </is>
      </c>
      <c r="I311" t="inlineStr">
        <is>
          <t>observée</t>
        </is>
      </c>
      <c r="J311" t="n">
        <v>2016</v>
      </c>
      <c r="K311" t="inlineStr">
        <is>
          <t>A</t>
        </is>
      </c>
      <c r="L311" t="inlineStr">
        <is>
          <t>confirmé</t>
        </is>
      </c>
      <c r="M311" t="inlineStr">
        <is>
          <t>Masen</t>
        </is>
      </c>
      <c r="N311" t="inlineStr">
        <is>
          <t>Masen selects the developer of the 3 NOOR PV I solar power plants and signs contracts securing their financing (communiqué)</t>
        </is>
      </c>
      <c r="O311" t="inlineStr">
        <is>
          <t>https://www.masen.ma/sites/default/files/documents_presse/1.pdf</t>
        </is>
      </c>
      <c r="P311" t="inlineStr">
        <is>
          <t>2016-11-16</t>
        </is>
      </c>
      <c r="Q311" t="inlineStr">
        <is>
          <t>The combined rate per kilowatt hour for the NOOR PV I program comes out to 0.46 dirhams (= 4,22 eurocents)</t>
        </is>
      </c>
      <c r="R311" t="inlineStr">
        <is>
          <t>Tarif combiné des 3 centrales</t>
        </is>
      </c>
    </row>
    <row r="312">
      <c r="A312" t="inlineStr">
        <is>
          <t>retenu</t>
        </is>
      </c>
      <c r="B312" t="inlineStr">
        <is>
          <t>A_nord</t>
        </is>
      </c>
      <c r="C312" t="inlineStr">
        <is>
          <t>A</t>
        </is>
      </c>
      <c r="D312" t="inlineStr">
        <is>
          <t>MAR</t>
        </is>
      </c>
      <c r="E312" t="inlineStr">
        <is>
          <t>Programme NOOR PV I (Ouarzazate IV + Laâyoune + Boujdour)</t>
        </is>
      </c>
      <c r="F312" t="inlineStr">
        <is>
          <t>tarif</t>
        </is>
      </c>
      <c r="G312" t="n">
        <v>0.048</v>
      </c>
      <c r="H312" t="inlineStr">
        <is>
          <t>USD/kWh</t>
        </is>
      </c>
      <c r="I312" t="inlineStr">
        <is>
          <t>observée</t>
        </is>
      </c>
      <c r="J312" t="n">
        <v>2016</v>
      </c>
      <c r="K312" t="inlineStr">
        <is>
          <t>B</t>
        </is>
      </c>
      <c r="L312" t="inlineStr">
        <is>
          <t>confirmé</t>
        </is>
      </c>
      <c r="M312" t="inlineStr">
        <is>
          <t>ACWA Power</t>
        </is>
      </c>
      <c r="N312" t="inlineStr">
        <is>
          <t>ACWA Power Extends Africa's Renewable Energy Capacity with PV Facility in Morocco</t>
        </is>
      </c>
      <c r="O312" t="inlineStr">
        <is>
          <t>https://acwapower.com/en/media-center/latest-news/acwa-power-extends-africa-s-renewable-energy-capacity-with-pv-facility-in-morocco/</t>
        </is>
      </c>
      <c r="P312" t="inlineStr">
        <is>
          <t>2016-11</t>
        </is>
      </c>
      <c r="Q312" t="inlineStr">
        <is>
          <t>ACWA Power submitted the lowest tariff price for the project at 4,6MADc/kWh, i.e. 4.8$c/kWh.</t>
        </is>
      </c>
      <c r="R312" t="inlineStr">
        <is>
          <t>Conversion USD par ACWA</t>
        </is>
      </c>
    </row>
    <row r="313">
      <c r="A313" t="inlineStr">
        <is>
          <t>qualitatif</t>
        </is>
      </c>
      <c r="B313" t="inlineStr">
        <is>
          <t>A_nord</t>
        </is>
      </c>
      <c r="C313" t="inlineStr">
        <is>
          <t>A</t>
        </is>
      </c>
      <c r="D313" t="inlineStr">
        <is>
          <t>MAR</t>
        </is>
      </c>
      <c r="E313" t="inlineStr">
        <is>
          <t>Programme NOOR PV I (Ouarzazate IV + Laâyoune + Boujdour)</t>
        </is>
      </c>
      <c r="F313" t="inlineStr">
        <is>
          <t>procedure</t>
        </is>
      </c>
      <c r="G313" t="inlineStr">
        <is>
          <t>Appel à propositions international ; IPP tripartite Masen-ONEE</t>
        </is>
      </c>
      <c r="H313" t="inlineStr"/>
      <c r="I313" t="inlineStr">
        <is>
          <t>observée</t>
        </is>
      </c>
      <c r="J313" t="n">
        <v>2016</v>
      </c>
      <c r="K313" t="inlineStr">
        <is>
          <t>A</t>
        </is>
      </c>
      <c r="L313" t="inlineStr">
        <is>
          <t>qualitatif_citation_ok</t>
        </is>
      </c>
      <c r="M313" t="inlineStr">
        <is>
          <t>Masen</t>
        </is>
      </c>
      <c r="N313" t="inlineStr">
        <is>
          <t>Masen selects the developer of the 3 NOOR PV I solar power plants and signs contracts securing their financing (communiqué)</t>
        </is>
      </c>
      <c r="O313" t="inlineStr">
        <is>
          <t>https://www.masen.ma/sites/default/files/documents_presse/1.pdf</t>
        </is>
      </c>
      <c r="P313" t="inlineStr">
        <is>
          <t>2016-11-16</t>
        </is>
      </c>
      <c r="Q313" t="inlineStr">
        <is>
          <t>the consortium was selected through an international call for proposals</t>
        </is>
      </c>
      <c r="R313" t="inlineStr"/>
    </row>
    <row r="314">
      <c r="A314" t="inlineStr">
        <is>
          <t>qualitatif</t>
        </is>
      </c>
      <c r="B314" t="inlineStr">
        <is>
          <t>A_nord</t>
        </is>
      </c>
      <c r="C314" t="inlineStr">
        <is>
          <t>A</t>
        </is>
      </c>
      <c r="D314" t="inlineStr">
        <is>
          <t>MAR</t>
        </is>
      </c>
      <c r="E314" t="inlineStr">
        <is>
          <t>Programme NOOR PV I (Ouarzazate IV + Laâyoune + Boujdour)</t>
        </is>
      </c>
      <c r="F314" t="inlineStr">
        <is>
          <t>developpeur</t>
        </is>
      </c>
      <c r="G314" t="inlineStr">
        <is>
          <t>Consortium mené par ACWA Power (Chint partenaire technique)</t>
        </is>
      </c>
      <c r="H314" t="inlineStr"/>
      <c r="I314" t="inlineStr">
        <is>
          <t>observée</t>
        </is>
      </c>
      <c r="J314" t="n">
        <v>2016</v>
      </c>
      <c r="K314" t="inlineStr">
        <is>
          <t>A</t>
        </is>
      </c>
      <c r="L314" t="inlineStr">
        <is>
          <t>qualitatif_citation_ok</t>
        </is>
      </c>
      <c r="M314" t="inlineStr">
        <is>
          <t>Masen</t>
        </is>
      </c>
      <c r="N314" t="inlineStr">
        <is>
          <t>Masen selects the developer of the 3 NOOR PV I solar power plants and signs contracts securing their financing (communiqué)</t>
        </is>
      </c>
      <c r="O314" t="inlineStr">
        <is>
          <t>https://www.masen.ma/sites/default/files/documents_presse/1.pdf</t>
        </is>
      </c>
      <c r="P314" t="inlineStr">
        <is>
          <t>2016-11-16</t>
        </is>
      </c>
      <c r="Q314" t="inlineStr">
        <is>
          <t>It is the consortium of which Acwa Power is the leader.</t>
        </is>
      </c>
      <c r="R314" t="inlineStr"/>
    </row>
    <row r="315">
      <c r="A315" t="inlineStr">
        <is>
          <t>qualitatif</t>
        </is>
      </c>
      <c r="B315" t="inlineStr">
        <is>
          <t>A_nord</t>
        </is>
      </c>
      <c r="C315" t="inlineStr">
        <is>
          <t>A</t>
        </is>
      </c>
      <c r="D315" t="inlineStr">
        <is>
          <t>MAR</t>
        </is>
      </c>
      <c r="E315" t="inlineStr">
        <is>
          <t>Programme NOOR PV I (Ouarzazate IV + Laâyoune + Boujdour)</t>
        </is>
      </c>
      <c r="F315" t="inlineStr">
        <is>
          <t>financeurs</t>
        </is>
      </c>
      <c r="G315" t="inlineStr">
        <is>
          <t>Obligations vertes Masen 1 150 MMAD (Laâyoune, Boujdour + capital OZ IV), souscrites par Al Barid Bank, Attijariwafa Bank, CMR, SCR ; KfW 60 M€ (OZ IV)</t>
        </is>
      </c>
      <c r="H315" t="inlineStr"/>
      <c r="I315" t="inlineStr">
        <is>
          <t>observée</t>
        </is>
      </c>
      <c r="J315" t="n">
        <v>2016</v>
      </c>
      <c r="K315" t="inlineStr">
        <is>
          <t>A</t>
        </is>
      </c>
      <c r="L315" t="inlineStr">
        <is>
          <t>qualitatif_citation_ok</t>
        </is>
      </c>
      <c r="M315" t="inlineStr">
        <is>
          <t>Masen</t>
        </is>
      </c>
      <c r="N315" t="inlineStr">
        <is>
          <t>Masen selects the developer of the 3 NOOR PV I solar power plants and signs contracts securing their financing (communiqué)</t>
        </is>
      </c>
      <c r="O315" t="inlineStr">
        <is>
          <t>https://www.masen.ma/sites/default/files/documents_presse/1.pdf</t>
        </is>
      </c>
      <c r="P315" t="inlineStr">
        <is>
          <t>2016-11-16</t>
        </is>
      </c>
      <c r="Q315" t="inlineStr">
        <is>
          <t>will be financed by the first green bonds in Morocco, which have been issued by Masen for an amount of 1,150 million MAD (106 million euros)</t>
        </is>
      </c>
      <c r="R315" t="inlineStr"/>
    </row>
    <row r="316">
      <c r="A316" t="inlineStr">
        <is>
          <t>retenu</t>
        </is>
      </c>
      <c r="B316" t="inlineStr">
        <is>
          <t>A_nord</t>
        </is>
      </c>
      <c r="C316" t="inlineStr">
        <is>
          <t>A</t>
        </is>
      </c>
      <c r="D316" t="inlineStr">
        <is>
          <t>MAR</t>
        </is>
      </c>
      <c r="E316" t="inlineStr">
        <is>
          <t>Programme NOOR PV I (Ouarzazate IV + Laâyoune + Boujdour)</t>
        </is>
      </c>
      <c r="F316" t="inlineStr">
        <is>
          <t>capex_total</t>
        </is>
      </c>
      <c r="G316" t="n">
        <v>212</v>
      </c>
      <c r="H316" t="inlineStr">
        <is>
          <t>MUSD</t>
        </is>
      </c>
      <c r="I316" t="inlineStr">
        <is>
          <t>déclarée</t>
        </is>
      </c>
      <c r="J316" t="n">
        <v>2016</v>
      </c>
      <c r="K316" t="inlineStr">
        <is>
          <t>B</t>
        </is>
      </c>
      <c r="L316" t="inlineStr">
        <is>
          <t>confirmé</t>
        </is>
      </c>
      <c r="M316" t="inlineStr">
        <is>
          <t>ACWA Power</t>
        </is>
      </c>
      <c r="N316" t="inlineStr">
        <is>
          <t>Noor PV 1 (3 PV Projects) – fiche projet</t>
        </is>
      </c>
      <c r="O316" t="inlineStr">
        <is>
          <t>https://acwapower.com/en/what-we-do/projects/noor-pv-1-3-pv-projects/</t>
        </is>
      </c>
      <c r="P316" t="inlineStr">
        <is>
          <t>consulté 2026-10-17</t>
        </is>
      </c>
      <c r="Q316" t="inlineStr">
        <is>
          <t>US$ 212 million</t>
        </is>
      </c>
      <c r="R316" t="inlineStr">
        <is>
          <t>Pour les 3 sites</t>
        </is>
      </c>
    </row>
    <row r="317">
      <c r="A317" t="inlineStr">
        <is>
          <t>retenu</t>
        </is>
      </c>
      <c r="B317" t="inlineStr">
        <is>
          <t>A_nord</t>
        </is>
      </c>
      <c r="C317" t="inlineStr">
        <is>
          <t>A</t>
        </is>
      </c>
      <c r="D317" t="inlineStr">
        <is>
          <t>MAR</t>
        </is>
      </c>
      <c r="E317" t="inlineStr">
        <is>
          <t>Programme NOOR PV I (Ouarzazate IV + Laâyoune + Boujdour)</t>
        </is>
      </c>
      <c r="F317" t="inlineStr">
        <is>
          <t>ppa_duree</t>
        </is>
      </c>
      <c r="G317" t="n">
        <v>20</v>
      </c>
      <c r="H317" t="inlineStr">
        <is>
          <t>ans (BOOT)</t>
        </is>
      </c>
      <c r="I317" t="inlineStr">
        <is>
          <t>observée</t>
        </is>
      </c>
      <c r="J317" t="n">
        <v>2016</v>
      </c>
      <c r="K317" t="inlineStr">
        <is>
          <t>B</t>
        </is>
      </c>
      <c r="L317" t="inlineStr">
        <is>
          <t>confirmé</t>
        </is>
      </c>
      <c r="M317" t="inlineStr">
        <is>
          <t>ACWA Power</t>
        </is>
      </c>
      <c r="N317" t="inlineStr">
        <is>
          <t>Noor PV 1 (3 PV Projects) – fiche projet</t>
        </is>
      </c>
      <c r="O317" t="inlineStr">
        <is>
          <t>https://acwapower.com/en/what-we-do/projects/noor-pv-1-3-pv-projects/</t>
        </is>
      </c>
      <c r="P317" t="inlineStr">
        <is>
          <t>consulté 2026-10-17</t>
        </is>
      </c>
      <c r="Q317" t="inlineStr">
        <is>
          <t>PPA-BOOT–20 Years</t>
        </is>
      </c>
      <c r="R317" t="inlineStr"/>
    </row>
    <row r="318">
      <c r="A318" t="inlineStr">
        <is>
          <t>qualitatif</t>
        </is>
      </c>
      <c r="B318" t="inlineStr">
        <is>
          <t>A_nord</t>
        </is>
      </c>
      <c r="C318" t="inlineStr">
        <is>
          <t>A</t>
        </is>
      </c>
      <c r="D318" t="inlineStr">
        <is>
          <t>MAR</t>
        </is>
      </c>
      <c r="E318" t="inlineStr">
        <is>
          <t>Programme NOOR PV I (Ouarzazate IV + Laâyoune + Boujdour)</t>
        </is>
      </c>
      <c r="F318" t="inlineStr">
        <is>
          <t>acheteur</t>
        </is>
      </c>
      <c r="G318" t="inlineStr">
        <is>
          <t>Masen (revente ONEE)</t>
        </is>
      </c>
      <c r="H318" t="inlineStr"/>
      <c r="I318" t="inlineStr">
        <is>
          <t>observée</t>
        </is>
      </c>
      <c r="J318" t="n">
        <v>2016</v>
      </c>
      <c r="K318" t="inlineStr">
        <is>
          <t>B</t>
        </is>
      </c>
      <c r="L318" t="inlineStr">
        <is>
          <t>qualitatif_citation_ok</t>
        </is>
      </c>
      <c r="M318" t="inlineStr">
        <is>
          <t>ACWA Power</t>
        </is>
      </c>
      <c r="N318" t="inlineStr">
        <is>
          <t>Noor PV 1 (3 PV Projects) – fiche projet</t>
        </is>
      </c>
      <c r="O318" t="inlineStr">
        <is>
          <t>https://acwapower.com/en/what-we-do/projects/noor-pv-1-3-pv-projects/</t>
        </is>
      </c>
      <c r="P318" t="inlineStr">
        <is>
          <t>consulté 2026-10-17</t>
        </is>
      </c>
      <c r="Q318" t="inlineStr">
        <is>
          <t>Moroccan Agency for Sustainable Energy (“MASEN”)</t>
        </is>
      </c>
      <c r="R318" t="inlineStr"/>
    </row>
    <row r="319">
      <c r="A319" t="inlineStr">
        <is>
          <t>retenu</t>
        </is>
      </c>
      <c r="B319" t="inlineStr">
        <is>
          <t>A_nord</t>
        </is>
      </c>
      <c r="C319" t="inlineStr">
        <is>
          <t>A</t>
        </is>
      </c>
      <c r="D319" t="inlineStr">
        <is>
          <t>MAR</t>
        </is>
      </c>
      <c r="E319" t="inlineStr">
        <is>
          <t>Programme NOOR PV I (Ouarzazate IV + Laâyoune + Boujdour)</t>
        </is>
      </c>
      <c r="F319" t="inlineStr">
        <is>
          <t>annee_mise_en_service</t>
        </is>
      </c>
      <c r="G319" t="n">
        <v>2018</v>
      </c>
      <c r="H319" t="inlineStr"/>
      <c r="I319" t="inlineStr">
        <is>
          <t>déclarée</t>
        </is>
      </c>
      <c r="J319" t="n">
        <v>2018</v>
      </c>
      <c r="K319" t="inlineStr">
        <is>
          <t>B</t>
        </is>
      </c>
      <c r="L319" t="inlineStr">
        <is>
          <t>confirmé</t>
        </is>
      </c>
      <c r="M319" t="inlineStr">
        <is>
          <t>ACWA Power</t>
        </is>
      </c>
      <c r="N319" t="inlineStr">
        <is>
          <t>Noor PV 1 (3 PV Projects) – fiche projet</t>
        </is>
      </c>
      <c r="O319" t="inlineStr">
        <is>
          <t>https://acwapower.com/en/what-we-do/projects/noor-pv-1-3-pv-projects/</t>
        </is>
      </c>
      <c r="P319" t="inlineStr">
        <is>
          <t>consulté 2026-10-17</t>
        </is>
      </c>
      <c r="Q319" t="inlineStr">
        <is>
          <t>Q4 2018</t>
        </is>
      </c>
      <c r="R319" t="inlineStr">
        <is>
          <t>COD indiquée par ACWA ; date réelle par site non confirmée</t>
        </is>
      </c>
    </row>
    <row r="320">
      <c r="A320" t="inlineStr">
        <is>
          <t>qualitatif</t>
        </is>
      </c>
      <c r="B320" t="inlineStr">
        <is>
          <t>A_nord</t>
        </is>
      </c>
      <c r="C320" t="inlineStr">
        <is>
          <t>A</t>
        </is>
      </c>
      <c r="D320" t="inlineStr">
        <is>
          <t>MAR</t>
        </is>
      </c>
      <c r="E320" t="inlineStr">
        <is>
          <t>Programme NOOR PV I (Ouarzazate IV + Laâyoune + Boujdour)</t>
        </is>
      </c>
      <c r="F320" t="inlineStr">
        <is>
          <t>developpeur</t>
        </is>
      </c>
      <c r="G320" t="inlineStr">
        <is>
          <t>ACWA 75% / Masen 25% (Chint 5% indiqué, total incohérent)</t>
        </is>
      </c>
      <c r="H320" t="inlineStr"/>
      <c r="I320" t="inlineStr">
        <is>
          <t>déclarée</t>
        </is>
      </c>
      <c r="J320" t="n">
        <v>2016</v>
      </c>
      <c r="K320" t="inlineStr">
        <is>
          <t>B</t>
        </is>
      </c>
      <c r="L320" t="inlineStr">
        <is>
          <t>qualitatif_citation_ok</t>
        </is>
      </c>
      <c r="M320" t="inlineStr">
        <is>
          <t>ACWA Power</t>
        </is>
      </c>
      <c r="N320" t="inlineStr">
        <is>
          <t>Noor PV 1 (3 PV Projects) – fiche projet</t>
        </is>
      </c>
      <c r="O320" t="inlineStr">
        <is>
          <t>https://acwapower.com/en/what-we-do/projects/noor-pv-1-3-pv-projects/</t>
        </is>
      </c>
      <c r="P320" t="inlineStr">
        <is>
          <t>consulté 2026-10-17</t>
        </is>
      </c>
      <c r="Q320" t="inlineStr">
        <is>
          <t>75%</t>
        </is>
      </c>
      <c r="R320" t="inlineStr">
        <is>
          <t>Page ACWA : ACWA 75%, MASEN 25%, CHINT 5% (somme 105%)</t>
        </is>
      </c>
    </row>
    <row r="321">
      <c r="A321" t="inlineStr">
        <is>
          <t>retenu</t>
        </is>
      </c>
      <c r="B321" t="inlineStr">
        <is>
          <t>A_nord</t>
        </is>
      </c>
      <c r="C321" t="inlineStr">
        <is>
          <t>A</t>
        </is>
      </c>
      <c r="D321" t="inlineStr">
        <is>
          <t>MAR</t>
        </is>
      </c>
      <c r="E321" t="inlineStr">
        <is>
          <t>Noor Ouarzazate IV (PV)</t>
        </is>
      </c>
      <c r="F321" t="inlineStr">
        <is>
          <t>puissance_mwp</t>
        </is>
      </c>
      <c r="G321" t="n">
        <v>72</v>
      </c>
      <c r="H321" t="inlineStr">
        <is>
          <t>MW (DC/AC non précisé)</t>
        </is>
      </c>
      <c r="I321" t="inlineStr">
        <is>
          <t>déclarée</t>
        </is>
      </c>
      <c r="J321" t="n">
        <v>2017</v>
      </c>
      <c r="K321" t="inlineStr">
        <is>
          <t>A</t>
        </is>
      </c>
      <c r="L321" t="inlineStr">
        <is>
          <t>confirmé</t>
        </is>
      </c>
      <c r="M321" t="inlineStr">
        <is>
          <t>Masen</t>
        </is>
      </c>
      <c r="N321" t="inlineStr">
        <is>
          <t>Lancement des travaux de la centrale Noor Ouarzazate IV (communiqué)</t>
        </is>
      </c>
      <c r="O321" t="inlineStr">
        <is>
          <t>https://www.masen.ma/sites/default/files/documents_presse/17.pdf</t>
        </is>
      </c>
      <c r="P321" t="inlineStr">
        <is>
          <t>2017-04-01</t>
        </is>
      </c>
      <c r="Q321" t="inlineStr">
        <is>
          <t>Noor Ouarzazate IV, d’une capacité maximale de 72MW vient compléter les objectifs fixés pour le complexe solaire de Noor Ouarzazate</t>
        </is>
      </c>
      <c r="R321" t="inlineStr">
        <is>
          <t>Masen nov. 2016 : 70 MW ; ACWA : 72 MW / 55 MWe (voir conflits)</t>
        </is>
      </c>
    </row>
    <row r="322">
      <c r="A322" t="inlineStr">
        <is>
          <t>retenu</t>
        </is>
      </c>
      <c r="B322" t="inlineStr">
        <is>
          <t>A_nord</t>
        </is>
      </c>
      <c r="C322" t="inlineStr">
        <is>
          <t>A</t>
        </is>
      </c>
      <c r="D322" t="inlineStr">
        <is>
          <t>MAR</t>
        </is>
      </c>
      <c r="E322" t="inlineStr">
        <is>
          <t>Noor Ouarzazate IV (PV)</t>
        </is>
      </c>
      <c r="F322" t="inlineStr">
        <is>
          <t>puissance_mwp</t>
        </is>
      </c>
      <c r="G322" t="n">
        <v>70</v>
      </c>
      <c r="H322" t="inlineStr">
        <is>
          <t>MW (DC/AC non précisé)</t>
        </is>
      </c>
      <c r="I322" t="inlineStr">
        <is>
          <t>déclarée</t>
        </is>
      </c>
      <c r="J322" t="n">
        <v>2016</v>
      </c>
      <c r="K322" t="inlineStr">
        <is>
          <t>A</t>
        </is>
      </c>
      <c r="L322" t="inlineStr">
        <is>
          <t>confirmé</t>
        </is>
      </c>
      <c r="M322" t="inlineStr">
        <is>
          <t>Masen</t>
        </is>
      </c>
      <c r="N322" t="inlineStr">
        <is>
          <t>Masen selects the developer of the 3 NOOR PV I solar power plants and signs contracts securing their financing (communiqué)</t>
        </is>
      </c>
      <c r="O322" t="inlineStr">
        <is>
          <t>https://www.masen.ma/sites/default/files/documents_presse/1.pdf</t>
        </is>
      </c>
      <c r="P322" t="inlineStr">
        <is>
          <t>2016-11-16</t>
        </is>
      </c>
      <c r="Q322" t="inlineStr">
        <is>
          <t>NOOR Ouarzazate IV, with a maximum capacity of 70 MW, located in the Masen complex, NOOR Ouarzazate</t>
        </is>
      </c>
      <c r="R322" t="inlineStr"/>
    </row>
    <row r="323">
      <c r="A323" t="inlineStr">
        <is>
          <t>retenu</t>
        </is>
      </c>
      <c r="B323" t="inlineStr">
        <is>
          <t>A_nord</t>
        </is>
      </c>
      <c r="C323" t="inlineStr">
        <is>
          <t>A</t>
        </is>
      </c>
      <c r="D323" t="inlineStr">
        <is>
          <t>MAR</t>
        </is>
      </c>
      <c r="E323" t="inlineStr">
        <is>
          <t>Noor Ouarzazate IV (PV)</t>
        </is>
      </c>
      <c r="F323" t="inlineStr">
        <is>
          <t>puissance_mwac</t>
        </is>
      </c>
      <c r="G323" t="n">
        <v>55</v>
      </c>
      <c r="H323" t="inlineStr">
        <is>
          <t>MWe</t>
        </is>
      </c>
      <c r="I323" t="inlineStr">
        <is>
          <t>déclarée</t>
        </is>
      </c>
      <c r="J323" t="n">
        <v>2016</v>
      </c>
      <c r="K323" t="inlineStr">
        <is>
          <t>B</t>
        </is>
      </c>
      <c r="L323" t="inlineStr">
        <is>
          <t>confirmé</t>
        </is>
      </c>
      <c r="M323" t="inlineStr">
        <is>
          <t>ACWA Power</t>
        </is>
      </c>
      <c r="N323" t="inlineStr">
        <is>
          <t>Noor PV 1 (3 PV Projects) – fiche projet</t>
        </is>
      </c>
      <c r="O323" t="inlineStr">
        <is>
          <t>https://acwapower.com/en/what-we-do/projects/noor-pv-1-3-pv-projects/</t>
        </is>
      </c>
      <c r="P323" t="inlineStr">
        <is>
          <t>consulté 2026-10-17</t>
        </is>
      </c>
      <c r="Q323" t="inlineStr">
        <is>
          <t>55 MWe</t>
        </is>
      </c>
      <c r="R323" t="inlineStr">
        <is>
          <t>Key facts ACWA ; peut correspondre à la puissance AC</t>
        </is>
      </c>
    </row>
    <row r="324">
      <c r="A324" t="inlineStr">
        <is>
          <t>retenu</t>
        </is>
      </c>
      <c r="B324" t="inlineStr">
        <is>
          <t>A_nord</t>
        </is>
      </c>
      <c r="C324" t="inlineStr">
        <is>
          <t>A</t>
        </is>
      </c>
      <c r="D324" t="inlineStr">
        <is>
          <t>MAR</t>
        </is>
      </c>
      <c r="E324" t="inlineStr">
        <is>
          <t>Noor Ouarzazate IV (PV)</t>
        </is>
      </c>
      <c r="F324" t="inlineStr">
        <is>
          <t>capex_total</t>
        </is>
      </c>
      <c r="G324" t="n">
        <v>750</v>
      </c>
      <c r="H324" t="inlineStr">
        <is>
          <t>MMAD (&gt; 750)</t>
        </is>
      </c>
      <c r="I324" t="inlineStr">
        <is>
          <t>déclarée</t>
        </is>
      </c>
      <c r="J324" t="n">
        <v>2017</v>
      </c>
      <c r="K324" t="inlineStr">
        <is>
          <t>A</t>
        </is>
      </c>
      <c r="L324" t="inlineStr">
        <is>
          <t>confirmé</t>
        </is>
      </c>
      <c r="M324" t="inlineStr">
        <is>
          <t>Masen</t>
        </is>
      </c>
      <c r="N324" t="inlineStr">
        <is>
          <t>Lancement des travaux de la centrale Noor Ouarzazate IV (communiqué)</t>
        </is>
      </c>
      <c r="O324" t="inlineStr">
        <is>
          <t>https://www.masen.ma/sites/default/files/documents_presse/17.pdf</t>
        </is>
      </c>
      <c r="P324" t="inlineStr">
        <is>
          <t>2017-04-01</t>
        </is>
      </c>
      <c r="Q324" t="inlineStr">
        <is>
          <t>L’investissement est estimé à plus de 750 millions de dirhams.</t>
        </is>
      </c>
      <c r="R324" t="inlineStr"/>
    </row>
    <row r="325">
      <c r="A325" t="inlineStr">
        <is>
          <t>qualitatif</t>
        </is>
      </c>
      <c r="B325" t="inlineStr">
        <is>
          <t>A_nord</t>
        </is>
      </c>
      <c r="C325" t="inlineStr">
        <is>
          <t>A</t>
        </is>
      </c>
      <c r="D325" t="inlineStr">
        <is>
          <t>MAR</t>
        </is>
      </c>
      <c r="E325" t="inlineStr">
        <is>
          <t>Noor Ouarzazate IV (PV)</t>
        </is>
      </c>
      <c r="F325" t="inlineStr">
        <is>
          <t>financeurs</t>
        </is>
      </c>
      <c r="G325" t="inlineStr">
        <is>
          <t>KfW 659 MMAD</t>
        </is>
      </c>
      <c r="H325" t="inlineStr"/>
      <c r="I325" t="inlineStr">
        <is>
          <t>observée</t>
        </is>
      </c>
      <c r="J325" t="n">
        <v>2017</v>
      </c>
      <c r="K325" t="inlineStr">
        <is>
          <t>A</t>
        </is>
      </c>
      <c r="L325" t="inlineStr">
        <is>
          <t>qualitatif_citation_ok</t>
        </is>
      </c>
      <c r="M325" t="inlineStr">
        <is>
          <t>Masen</t>
        </is>
      </c>
      <c r="N325" t="inlineStr">
        <is>
          <t>Lancement des travaux de la centrale Noor Ouarzazate IV (communiqué)</t>
        </is>
      </c>
      <c r="O325" t="inlineStr">
        <is>
          <t>https://www.masen.ma/sites/default/files/documents_presse/17.pdf</t>
        </is>
      </c>
      <c r="P325" t="inlineStr">
        <is>
          <t>2017-04-01</t>
        </is>
      </c>
      <c r="Q325" t="inlineStr">
        <is>
          <t>Le financement de cette centrale a été assuré par la KfW Bankengruppe, Banque Allemande de Développent à hauteur de 659 millions de dirhams.</t>
        </is>
      </c>
      <c r="R325" t="inlineStr">
        <is>
          <t>Communiqué 2016 : 60 M€</t>
        </is>
      </c>
    </row>
    <row r="326">
      <c r="A326" t="inlineStr">
        <is>
          <t>qualitatif</t>
        </is>
      </c>
      <c r="B326" t="inlineStr">
        <is>
          <t>A_nord</t>
        </is>
      </c>
      <c r="C326" t="inlineStr">
        <is>
          <t>A</t>
        </is>
      </c>
      <c r="D326" t="inlineStr">
        <is>
          <t>MAR</t>
        </is>
      </c>
      <c r="E326" t="inlineStr">
        <is>
          <t>Noor Ouarzazate IV (PV)</t>
        </is>
      </c>
      <c r="F326" t="inlineStr">
        <is>
          <t>financeurs</t>
        </is>
      </c>
      <c r="G326" t="inlineStr">
        <is>
          <t>KfW 60 M€</t>
        </is>
      </c>
      <c r="H326" t="inlineStr"/>
      <c r="I326" t="inlineStr">
        <is>
          <t>observée</t>
        </is>
      </c>
      <c r="J326" t="n">
        <v>2016</v>
      </c>
      <c r="K326" t="inlineStr">
        <is>
          <t>A</t>
        </is>
      </c>
      <c r="L326" t="inlineStr">
        <is>
          <t>qualitatif_citation_ok</t>
        </is>
      </c>
      <c r="M326" t="inlineStr">
        <is>
          <t>Masen</t>
        </is>
      </c>
      <c r="N326" t="inlineStr">
        <is>
          <t>Masen selects the developer of the 3 NOOR PV I solar power plants and signs contracts securing their financing (communiqué)</t>
        </is>
      </c>
      <c r="O326" t="inlineStr">
        <is>
          <t>https://www.masen.ma/sites/default/files/documents_presse/1.pdf</t>
        </is>
      </c>
      <c r="P326" t="inlineStr">
        <is>
          <t>2016-11-16</t>
        </is>
      </c>
      <c r="Q326" t="inlineStr">
        <is>
          <t>Masen has signed the financing contract with the KfW Bankengruppe for the development of the NOOR Ouarzazate IV project for an amount of sixty million euros (60 MEUR).</t>
        </is>
      </c>
      <c r="R326" t="inlineStr"/>
    </row>
    <row r="327">
      <c r="A327" t="inlineStr">
        <is>
          <t>retenu</t>
        </is>
      </c>
      <c r="B327" t="inlineStr">
        <is>
          <t>A_nord</t>
        </is>
      </c>
      <c r="C327" t="inlineStr">
        <is>
          <t>A</t>
        </is>
      </c>
      <c r="D327" t="inlineStr">
        <is>
          <t>MAR</t>
        </is>
      </c>
      <c r="E327" t="inlineStr">
        <is>
          <t>Noor Ouarzazate IV (PV)</t>
        </is>
      </c>
      <c r="F327" t="inlineStr">
        <is>
          <t>annee_mise_en_service</t>
        </is>
      </c>
      <c r="G327" t="n">
        <v>2018</v>
      </c>
      <c r="H327" t="inlineStr"/>
      <c r="I327" t="inlineStr">
        <is>
          <t>déclarée</t>
        </is>
      </c>
      <c r="J327" t="n">
        <v>2017</v>
      </c>
      <c r="K327" t="inlineStr">
        <is>
          <t>A</t>
        </is>
      </c>
      <c r="L327" t="inlineStr">
        <is>
          <t>confirmé</t>
        </is>
      </c>
      <c r="M327" t="inlineStr">
        <is>
          <t>Masen</t>
        </is>
      </c>
      <c r="N327" t="inlineStr">
        <is>
          <t>Lancement des travaux de la centrale Noor Ouarzazate IV (communiqué)</t>
        </is>
      </c>
      <c r="O327" t="inlineStr">
        <is>
          <t>https://www.masen.ma/sites/default/files/documents_presse/17.pdf</t>
        </is>
      </c>
      <c r="P327" t="inlineStr">
        <is>
          <t>2017-04-01</t>
        </is>
      </c>
      <c r="Q327" t="inlineStr">
        <is>
          <t>La centrale, dont la mise en service est prévue pour le premier trimestre 2018</t>
        </is>
      </c>
      <c r="R327" t="inlineStr">
        <is>
          <t>Prévision ; mise en service effective non vérifiée</t>
        </is>
      </c>
    </row>
    <row r="328">
      <c r="A328" t="inlineStr">
        <is>
          <t>retenu</t>
        </is>
      </c>
      <c r="B328" t="inlineStr">
        <is>
          <t>A_nord</t>
        </is>
      </c>
      <c r="C328" t="inlineStr">
        <is>
          <t>A</t>
        </is>
      </c>
      <c r="D328" t="inlineStr">
        <is>
          <t>MAR</t>
        </is>
      </c>
      <c r="E328" t="inlineStr">
        <is>
          <t>Noor Ouarzazate IV (PV)</t>
        </is>
      </c>
      <c r="F328" t="inlineStr">
        <is>
          <t>tarif</t>
        </is>
      </c>
      <c r="G328" t="n">
        <v>0.46</v>
      </c>
      <c r="H328" t="inlineStr">
        <is>
          <t>MAD/kWh (combiné NOOR PV I)</t>
        </is>
      </c>
      <c r="I328" t="inlineStr">
        <is>
          <t>observée</t>
        </is>
      </c>
      <c r="J328" t="n">
        <v>2017</v>
      </c>
      <c r="K328" t="inlineStr">
        <is>
          <t>A</t>
        </is>
      </c>
      <c r="L328" t="inlineStr">
        <is>
          <t>confirmé</t>
        </is>
      </c>
      <c r="M328" t="inlineStr">
        <is>
          <t>Masen</t>
        </is>
      </c>
      <c r="N328" t="inlineStr">
        <is>
          <t>Lancement des travaux de la centrale Noor Ouarzazate IV (communiqué)</t>
        </is>
      </c>
      <c r="O328" t="inlineStr">
        <is>
          <t>https://www.masen.ma/sites/default/files/documents_presse/17.pdf</t>
        </is>
      </c>
      <c r="P328" t="inlineStr">
        <is>
          <t>2017-04-01</t>
        </is>
      </c>
      <c r="Q328" t="inlineStr">
        <is>
          <t>Le tarif de sortie combiné du kilowattheure s’établit à 0,46 dirham</t>
        </is>
      </c>
      <c r="R328" t="inlineStr"/>
    </row>
    <row r="329">
      <c r="A329" t="inlineStr">
        <is>
          <t>qualitatif</t>
        </is>
      </c>
      <c r="B329" t="inlineStr">
        <is>
          <t>A_nord</t>
        </is>
      </c>
      <c r="C329" t="inlineStr">
        <is>
          <t>A</t>
        </is>
      </c>
      <c r="D329" t="inlineStr">
        <is>
          <t>MAR</t>
        </is>
      </c>
      <c r="E329" t="inlineStr">
        <is>
          <t>Noor Ouarzazate IV (PV)</t>
        </is>
      </c>
      <c r="F329" t="inlineStr">
        <is>
          <t>localisation</t>
        </is>
      </c>
      <c r="G329" t="inlineStr">
        <is>
          <t>Complexe Noor Ouarzazate, 137 ha</t>
        </is>
      </c>
      <c r="H329" t="inlineStr"/>
      <c r="I329" t="inlineStr">
        <is>
          <t>observée</t>
        </is>
      </c>
      <c r="J329" t="n">
        <v>2017</v>
      </c>
      <c r="K329" t="inlineStr">
        <is>
          <t>A</t>
        </is>
      </c>
      <c r="L329" t="inlineStr">
        <is>
          <t>qualitatif_citation_ok</t>
        </is>
      </c>
      <c r="M329" t="inlineStr">
        <is>
          <t>Masen</t>
        </is>
      </c>
      <c r="N329" t="inlineStr">
        <is>
          <t>Lancement des travaux de la centrale Noor Ouarzazate IV (communiqué)</t>
        </is>
      </c>
      <c r="O329" t="inlineStr">
        <is>
          <t>https://www.masen.ma/sites/default/files/documents_presse/17.pdf</t>
        </is>
      </c>
      <c r="P329" t="inlineStr">
        <is>
          <t>2017-04-01</t>
        </is>
      </c>
      <c r="Q329" t="inlineStr">
        <is>
          <t>sera construite sur une superficie de 137ha</t>
        </is>
      </c>
      <c r="R329" t="inlineStr"/>
    </row>
    <row r="330">
      <c r="A330" t="inlineStr">
        <is>
          <t>retenu</t>
        </is>
      </c>
      <c r="B330" t="inlineStr">
        <is>
          <t>A_nord</t>
        </is>
      </c>
      <c r="C330" t="inlineStr">
        <is>
          <t>A</t>
        </is>
      </c>
      <c r="D330" t="inlineStr">
        <is>
          <t>MAR</t>
        </is>
      </c>
      <c r="E330" t="inlineStr">
        <is>
          <t>Noor Laâyoune (PV)</t>
        </is>
      </c>
      <c r="F330" t="inlineStr">
        <is>
          <t>puissance_mwp</t>
        </is>
      </c>
      <c r="G330" t="n">
        <v>80</v>
      </c>
      <c r="H330" t="inlineStr">
        <is>
          <t>MW (DC/AC non précisé)</t>
        </is>
      </c>
      <c r="I330" t="inlineStr">
        <is>
          <t>déclarée</t>
        </is>
      </c>
      <c r="J330" t="n">
        <v>2016</v>
      </c>
      <c r="K330" t="inlineStr">
        <is>
          <t>A</t>
        </is>
      </c>
      <c r="L330" t="inlineStr">
        <is>
          <t>confirmé</t>
        </is>
      </c>
      <c r="M330" t="inlineStr">
        <is>
          <t>Masen</t>
        </is>
      </c>
      <c r="N330" t="inlineStr">
        <is>
          <t>Masen selects the developer of the 3 NOOR PV I solar power plants and signs contracts securing their financing (communiqué)</t>
        </is>
      </c>
      <c r="O330" t="inlineStr">
        <is>
          <t>https://www.masen.ma/sites/default/files/documents_presse/1.pdf</t>
        </is>
      </c>
      <c r="P330" t="inlineStr">
        <is>
          <t>2016-11-16</t>
        </is>
      </c>
      <c r="Q330" t="inlineStr">
        <is>
          <t>NOOR Laayoune, with a maximum capacity of 80 MW</t>
        </is>
      </c>
      <c r="R330" t="inlineStr">
        <is>
          <t>ACWA : 85 MW (aperçu) / 65 MWe</t>
        </is>
      </c>
    </row>
    <row r="331">
      <c r="A331" t="inlineStr">
        <is>
          <t>retenu</t>
        </is>
      </c>
      <c r="B331" t="inlineStr">
        <is>
          <t>A_nord</t>
        </is>
      </c>
      <c r="C331" t="inlineStr">
        <is>
          <t>A</t>
        </is>
      </c>
      <c r="D331" t="inlineStr">
        <is>
          <t>MAR</t>
        </is>
      </c>
      <c r="E331" t="inlineStr">
        <is>
          <t>Noor Laâyoune (PV)</t>
        </is>
      </c>
      <c r="F331" t="inlineStr">
        <is>
          <t>puissance_mwp</t>
        </is>
      </c>
      <c r="G331" t="n">
        <v>85</v>
      </c>
      <c r="H331" t="inlineStr">
        <is>
          <t>MW (DC/AC non précisé)</t>
        </is>
      </c>
      <c r="I331" t="inlineStr">
        <is>
          <t>déclarée</t>
        </is>
      </c>
      <c r="J331" t="n">
        <v>2018</v>
      </c>
      <c r="K331" t="inlineStr">
        <is>
          <t>B</t>
        </is>
      </c>
      <c r="L331" t="inlineStr">
        <is>
          <t>confirmé</t>
        </is>
      </c>
      <c r="M331" t="inlineStr">
        <is>
          <t>ACWA Power</t>
        </is>
      </c>
      <c r="N331" t="inlineStr">
        <is>
          <t>Noor PV 1 (3 PV Projects) – fiche projet</t>
        </is>
      </c>
      <c r="O331" t="inlineStr">
        <is>
          <t>https://acwapower.com/en/what-we-do/projects/noor-pv-1-3-pv-projects/</t>
        </is>
      </c>
      <c r="P331" t="inlineStr">
        <is>
          <t>consulté 2026-10-17</t>
        </is>
      </c>
      <c r="Q331" t="inlineStr">
        <is>
          <t>85 MW</t>
        </is>
      </c>
      <c r="R331" t="inlineStr"/>
    </row>
    <row r="332">
      <c r="A332" t="inlineStr">
        <is>
          <t>retenu</t>
        </is>
      </c>
      <c r="B332" t="inlineStr">
        <is>
          <t>A_nord</t>
        </is>
      </c>
      <c r="C332" t="inlineStr">
        <is>
          <t>A</t>
        </is>
      </c>
      <c r="D332" t="inlineStr">
        <is>
          <t>MAR</t>
        </is>
      </c>
      <c r="E332" t="inlineStr">
        <is>
          <t>Noor Laâyoune (PV)</t>
        </is>
      </c>
      <c r="F332" t="inlineStr">
        <is>
          <t>puissance_mwac</t>
        </is>
      </c>
      <c r="G332" t="n">
        <v>65</v>
      </c>
      <c r="H332" t="inlineStr">
        <is>
          <t>MWe</t>
        </is>
      </c>
      <c r="I332" t="inlineStr">
        <is>
          <t>déclarée</t>
        </is>
      </c>
      <c r="J332" t="n">
        <v>2018</v>
      </c>
      <c r="K332" t="inlineStr">
        <is>
          <t>B</t>
        </is>
      </c>
      <c r="L332" t="inlineStr">
        <is>
          <t>confirmé</t>
        </is>
      </c>
      <c r="M332" t="inlineStr">
        <is>
          <t>ACWA Power</t>
        </is>
      </c>
      <c r="N332" t="inlineStr">
        <is>
          <t>Noor PV 1 (3 PV Projects) – fiche projet</t>
        </is>
      </c>
      <c r="O332" t="inlineStr">
        <is>
          <t>https://acwapower.com/en/what-we-do/projects/noor-pv-1-3-pv-projects/</t>
        </is>
      </c>
      <c r="P332" t="inlineStr">
        <is>
          <t>consulté 2026-10-17</t>
        </is>
      </c>
      <c r="Q332" t="inlineStr">
        <is>
          <t>65 MWe</t>
        </is>
      </c>
      <c r="R332" t="inlineStr"/>
    </row>
    <row r="333">
      <c r="A333" t="inlineStr">
        <is>
          <t>qualitatif</t>
        </is>
      </c>
      <c r="B333" t="inlineStr">
        <is>
          <t>A_nord</t>
        </is>
      </c>
      <c r="C333" t="inlineStr">
        <is>
          <t>A</t>
        </is>
      </c>
      <c r="D333" t="inlineStr">
        <is>
          <t>MAR</t>
        </is>
      </c>
      <c r="E333" t="inlineStr">
        <is>
          <t>Noor Laâyoune (PV)</t>
        </is>
      </c>
      <c r="F333" t="inlineStr">
        <is>
          <t>financeurs</t>
        </is>
      </c>
      <c r="G333" t="inlineStr">
        <is>
          <t>Obligations vertes Masen (1 150 MMAD, partagées)</t>
        </is>
      </c>
      <c r="H333" t="inlineStr"/>
      <c r="I333" t="inlineStr">
        <is>
          <t>observée</t>
        </is>
      </c>
      <c r="J333" t="n">
        <v>2016</v>
      </c>
      <c r="K333" t="inlineStr">
        <is>
          <t>A</t>
        </is>
      </c>
      <c r="L333" t="inlineStr">
        <is>
          <t>qualitatif_citation_ok</t>
        </is>
      </c>
      <c r="M333" t="inlineStr">
        <is>
          <t>Masen</t>
        </is>
      </c>
      <c r="N333" t="inlineStr">
        <is>
          <t>Masen selects the developer of the 3 NOOR PV I solar power plants and signs contracts securing their financing (communiqué)</t>
        </is>
      </c>
      <c r="O333" t="inlineStr">
        <is>
          <t>https://www.masen.ma/sites/default/files/documents_presse/1.pdf</t>
        </is>
      </c>
      <c r="P333" t="inlineStr">
        <is>
          <t>2016-11-16</t>
        </is>
      </c>
      <c r="Q333" t="inlineStr">
        <is>
          <t>the solar projects in Laayoune and Boujdour, as well as the capital for NOOR Ouarzazate IV, will be financed by the first green bonds in Morocco</t>
        </is>
      </c>
      <c r="R333" t="inlineStr"/>
    </row>
    <row r="334">
      <c r="A334" t="inlineStr">
        <is>
          <t>retenu</t>
        </is>
      </c>
      <c r="B334" t="inlineStr">
        <is>
          <t>A_nord</t>
        </is>
      </c>
      <c r="C334" t="inlineStr">
        <is>
          <t>A</t>
        </is>
      </c>
      <c r="D334" t="inlineStr">
        <is>
          <t>MAR</t>
        </is>
      </c>
      <c r="E334" t="inlineStr">
        <is>
          <t>Noor Boujdour (PV)</t>
        </is>
      </c>
      <c r="F334" t="inlineStr">
        <is>
          <t>puissance_mwp</t>
        </is>
      </c>
      <c r="G334" t="n">
        <v>20</v>
      </c>
      <c r="H334" t="inlineStr">
        <is>
          <t>MW</t>
        </is>
      </c>
      <c r="I334" t="inlineStr">
        <is>
          <t>déclarée</t>
        </is>
      </c>
      <c r="J334" t="n">
        <v>2016</v>
      </c>
      <c r="K334" t="inlineStr">
        <is>
          <t>A</t>
        </is>
      </c>
      <c r="L334" t="inlineStr">
        <is>
          <t>confirmé</t>
        </is>
      </c>
      <c r="M334" t="inlineStr">
        <is>
          <t>Masen</t>
        </is>
      </c>
      <c r="N334" t="inlineStr">
        <is>
          <t>Masen selects the developer of the 3 NOOR PV I solar power plants and signs contracts securing their financing (communiqué)</t>
        </is>
      </c>
      <c r="O334" t="inlineStr">
        <is>
          <t>https://www.masen.ma/sites/default/files/documents_presse/1.pdf</t>
        </is>
      </c>
      <c r="P334" t="inlineStr">
        <is>
          <t>2016-11-16</t>
        </is>
      </c>
      <c r="Q334" t="inlineStr">
        <is>
          <t>NOOR Boujdour, with a maximum capacity of 20 MW</t>
        </is>
      </c>
      <c r="R334" t="inlineStr">
        <is>
          <t>ACWA : 20 MWe</t>
        </is>
      </c>
    </row>
    <row r="335">
      <c r="A335" t="inlineStr">
        <is>
          <t>qualitatif</t>
        </is>
      </c>
      <c r="B335" t="inlineStr">
        <is>
          <t>A_nord</t>
        </is>
      </c>
      <c r="C335" t="inlineStr">
        <is>
          <t>A</t>
        </is>
      </c>
      <c r="D335" t="inlineStr">
        <is>
          <t>MAR</t>
        </is>
      </c>
      <c r="E335" t="inlineStr">
        <is>
          <t>Noor Boujdour (PV)</t>
        </is>
      </c>
      <c r="F335" t="inlineStr">
        <is>
          <t>financeurs</t>
        </is>
      </c>
      <c r="G335" t="inlineStr">
        <is>
          <t>Obligations vertes Masen (1 150 MMAD, partagées)</t>
        </is>
      </c>
      <c r="H335" t="inlineStr"/>
      <c r="I335" t="inlineStr">
        <is>
          <t>observée</t>
        </is>
      </c>
      <c r="J335" t="n">
        <v>2016</v>
      </c>
      <c r="K335" t="inlineStr">
        <is>
          <t>A</t>
        </is>
      </c>
      <c r="L335" t="inlineStr">
        <is>
          <t>qualitatif_citation_ok</t>
        </is>
      </c>
      <c r="M335" t="inlineStr">
        <is>
          <t>Masen</t>
        </is>
      </c>
      <c r="N335" t="inlineStr">
        <is>
          <t>Masen selects the developer of the 3 NOOR PV I solar power plants and signs contracts securing their financing (communiqué)</t>
        </is>
      </c>
      <c r="O335" t="inlineStr">
        <is>
          <t>https://www.masen.ma/sites/default/files/documents_presse/1.pdf</t>
        </is>
      </c>
      <c r="P335" t="inlineStr">
        <is>
          <t>2016-11-16</t>
        </is>
      </c>
      <c r="Q335" t="inlineStr">
        <is>
          <t>the solar projects in Laayoune and Boujdour, as well as the capital for NOOR Ouarzazate IV, will be financed by the first green bonds in Morocco</t>
        </is>
      </c>
      <c r="R335" t="inlineStr"/>
    </row>
    <row r="336">
      <c r="A336" t="inlineStr">
        <is>
          <t>retenu</t>
        </is>
      </c>
      <c r="B336" t="inlineStr">
        <is>
          <t>A_nord</t>
        </is>
      </c>
      <c r="C336" t="inlineStr">
        <is>
          <t>A</t>
        </is>
      </c>
      <c r="D336" t="inlineStr">
        <is>
          <t>MAR</t>
        </is>
      </c>
      <c r="E336" t="inlineStr">
        <is>
          <t>Programme Noor PV II – phase 1 (13 lots, 7 sites)</t>
        </is>
      </c>
      <c r="F336" t="inlineStr">
        <is>
          <t>puissance_mwp</t>
        </is>
      </c>
      <c r="G336" t="n">
        <v>333</v>
      </c>
      <c r="H336" t="inlineStr">
        <is>
          <t>MW (DC/AC non précisé)</t>
        </is>
      </c>
      <c r="I336" t="inlineStr">
        <is>
          <t>observée</t>
        </is>
      </c>
      <c r="J336" t="n">
        <v>2022</v>
      </c>
      <c r="K336" t="inlineStr">
        <is>
          <t>C</t>
        </is>
      </c>
      <c r="L336" t="inlineStr">
        <is>
          <t>confirmé</t>
        </is>
      </c>
      <c r="M336" t="inlineStr">
        <is>
          <t>Le Matin (Maroc)</t>
        </is>
      </c>
      <c r="N336" t="inlineStr">
        <is>
          <t>Programme Noor PV II : lots de la première phase attribués</t>
        </is>
      </c>
      <c r="O336" t="inlineStr">
        <is>
          <t>https://lematin.ma/express/2022/programme-noor-pv-ii-lots-premiere-phase-attribues/374761.html</t>
        </is>
      </c>
      <c r="P336" t="inlineStr">
        <is>
          <t>2022-04-18</t>
        </is>
      </c>
      <c r="Q336" t="inlineStr">
        <is>
          <t>une capacité totale de 333 MW</t>
        </is>
      </c>
      <c r="R336" t="inlineStr">
        <is>
          <t>Objectif 400 MW, 13 lots sur 14</t>
        </is>
      </c>
    </row>
    <row r="337">
      <c r="A337" t="inlineStr">
        <is>
          <t>qualitatif</t>
        </is>
      </c>
      <c r="B337" t="inlineStr">
        <is>
          <t>A_nord</t>
        </is>
      </c>
      <c r="C337" t="inlineStr">
        <is>
          <t>A</t>
        </is>
      </c>
      <c r="D337" t="inlineStr">
        <is>
          <t>MAR</t>
        </is>
      </c>
      <c r="E337" t="inlineStr">
        <is>
          <t>Programme Noor PV II – phase 1 (13 lots, 7 sites)</t>
        </is>
      </c>
      <c r="F337" t="inlineStr">
        <is>
          <t>statut</t>
        </is>
      </c>
      <c r="G337" t="inlineStr">
        <is>
          <t>attribué</t>
        </is>
      </c>
      <c r="H337" t="inlineStr"/>
      <c r="I337" t="inlineStr">
        <is>
          <t>observée</t>
        </is>
      </c>
      <c r="J337" t="n">
        <v>2022</v>
      </c>
      <c r="K337" t="inlineStr">
        <is>
          <t>C</t>
        </is>
      </c>
      <c r="L337" t="inlineStr">
        <is>
          <t>qualitatif_citation_ok</t>
        </is>
      </c>
      <c r="M337" t="inlineStr">
        <is>
          <t>Le Matin (Maroc)</t>
        </is>
      </c>
      <c r="N337" t="inlineStr">
        <is>
          <t>Programme Noor PV II : lots de la première phase attribués</t>
        </is>
      </c>
      <c r="O337" t="inlineStr">
        <is>
          <t>https://lematin.ma/express/2022/programme-noor-pv-ii-lots-premiere-phase-attribues/374761.html</t>
        </is>
      </c>
      <c r="P337" t="inlineStr">
        <is>
          <t>2022-04-18</t>
        </is>
      </c>
      <c r="Q337" t="inlineStr">
        <is>
          <t>13 lots (sur les 14 du plan)</t>
        </is>
      </c>
      <c r="R337" t="inlineStr"/>
    </row>
    <row r="338">
      <c r="A338" t="inlineStr">
        <is>
          <t>qualitatif</t>
        </is>
      </c>
      <c r="B338" t="inlineStr">
        <is>
          <t>A_nord</t>
        </is>
      </c>
      <c r="C338" t="inlineStr">
        <is>
          <t>A</t>
        </is>
      </c>
      <c r="D338" t="inlineStr">
        <is>
          <t>MAR</t>
        </is>
      </c>
      <c r="E338" t="inlineStr">
        <is>
          <t>Programme Noor PV II – phase 1 (13 lots, 7 sites)</t>
        </is>
      </c>
      <c r="F338" t="inlineStr">
        <is>
          <t>developpeur</t>
        </is>
      </c>
      <c r="G338" t="inlineStr">
        <is>
          <t>Taqa Morocco (Sidi Bennour lots 1-4, Kelaa Sraghna lot 5) ; Enel Green Power (Bejaad 6-9) ; AMEA Power (Taroudant 10, El Hajeb 11) ; Voltalia (Guercif 12, Ain Beni Mathar 13)</t>
        </is>
      </c>
      <c r="H338" t="inlineStr"/>
      <c r="I338" t="inlineStr">
        <is>
          <t>observée</t>
        </is>
      </c>
      <c r="J338" t="n">
        <v>2022</v>
      </c>
      <c r="K338" t="inlineStr">
        <is>
          <t>C</t>
        </is>
      </c>
      <c r="L338" t="inlineStr">
        <is>
          <t>qualitatif_citation_ok</t>
        </is>
      </c>
      <c r="M338" t="inlineStr">
        <is>
          <t>Le Matin (Maroc)</t>
        </is>
      </c>
      <c r="N338" t="inlineStr">
        <is>
          <t>Programme Noor PV II : lots de la première phase attribués</t>
        </is>
      </c>
      <c r="O338" t="inlineStr">
        <is>
          <t>https://lematin.ma/express/2022/programme-noor-pv-ii-lots-premiere-phase-attribues/374761.html</t>
        </is>
      </c>
      <c r="P338" t="inlineStr">
        <is>
          <t>2022-04-18</t>
        </is>
      </c>
      <c r="Q338" t="inlineStr">
        <is>
          <t>Sidi Bennour (lots de 1 à 4) et Kelaa Sraghna (lot 5)</t>
        </is>
      </c>
      <c r="R338" t="inlineStr">
        <is>
          <t>Tarifs non publiés ; puissance par site non trouvée</t>
        </is>
      </c>
    </row>
    <row r="339">
      <c r="A339" t="inlineStr">
        <is>
          <t>qualitatif</t>
        </is>
      </c>
      <c r="B339" t="inlineStr">
        <is>
          <t>A_nord</t>
        </is>
      </c>
      <c r="C339" t="inlineStr">
        <is>
          <t>A</t>
        </is>
      </c>
      <c r="D339" t="inlineStr">
        <is>
          <t>MAR</t>
        </is>
      </c>
      <c r="E339" t="inlineStr">
        <is>
          <t>Programme Noor PV II – phase 1 (13 lots, 7 sites)</t>
        </is>
      </c>
      <c r="F339" t="inlineStr">
        <is>
          <t>procedure</t>
        </is>
      </c>
      <c r="G339" t="inlineStr">
        <is>
          <t>Appel d'offres Masen, cadre loi 13-09</t>
        </is>
      </c>
      <c r="H339" t="inlineStr"/>
      <c r="I339" t="inlineStr">
        <is>
          <t>observée</t>
        </is>
      </c>
      <c r="J339" t="n">
        <v>2022</v>
      </c>
      <c r="K339" t="inlineStr">
        <is>
          <t>C</t>
        </is>
      </c>
      <c r="L339" t="inlineStr">
        <is>
          <t>qualitatif_citation_ok</t>
        </is>
      </c>
      <c r="M339" t="inlineStr">
        <is>
          <t>Le Matin (Maroc)</t>
        </is>
      </c>
      <c r="N339" t="inlineStr">
        <is>
          <t>Programme Noor PV II : lots de la première phase attribués</t>
        </is>
      </c>
      <c r="O339" t="inlineStr">
        <is>
          <t>https://lematin.ma/express/2022/programme-noor-pv-ii-lots-premiere-phase-attribues/374761.html</t>
        </is>
      </c>
      <c r="P339" t="inlineStr">
        <is>
          <t>2022-04-18</t>
        </is>
      </c>
      <c r="Q339" t="inlineStr">
        <is>
          <t>mise à disposition par Masen d'une puissance totale pouvant atteindre 400 MW</t>
        </is>
      </c>
      <c r="R339" t="inlineStr"/>
    </row>
    <row r="340">
      <c r="A340" t="inlineStr">
        <is>
          <t>retenu</t>
        </is>
      </c>
      <c r="B340" t="inlineStr">
        <is>
          <t>A_nord</t>
        </is>
      </c>
      <c r="C340" t="inlineStr">
        <is>
          <t>A</t>
        </is>
      </c>
      <c r="D340" t="inlineStr">
        <is>
          <t>MAR</t>
        </is>
      </c>
      <c r="E340" t="inlineStr">
        <is>
          <t>Noor Midelt I (hybride CSP-PV, 800 MW, 5 h stockage) – CSP/HYBRIDE</t>
        </is>
      </c>
      <c r="F340" t="inlineStr">
        <is>
          <t>tarif</t>
        </is>
      </c>
      <c r="G340" t="n">
        <v>0.68</v>
      </c>
      <c r="H340" t="inlineStr">
        <is>
          <t>MAD/kWh (heure de pointe)</t>
        </is>
      </c>
      <c r="I340" t="inlineStr">
        <is>
          <t>observée</t>
        </is>
      </c>
      <c r="J340" t="n">
        <v>2019</v>
      </c>
      <c r="K340" t="inlineStr">
        <is>
          <t>A</t>
        </is>
      </c>
      <c r="L340" t="inlineStr">
        <is>
          <t>confirmé</t>
        </is>
      </c>
      <c r="M340" t="inlineStr">
        <is>
          <t>Masen</t>
        </is>
      </c>
      <c r="N340" t="inlineStr">
        <is>
          <t>Masen annonce l'adjudication de l'appel d'offre relatif au projet solaire Noor Midelt I (communiqué)</t>
        </is>
      </c>
      <c r="O340" t="inlineStr">
        <is>
          <t>https://www.masen.ma/sites/default/files/documents_presse/Adjudication_Noor_Midelt_I_Vdeff.pdf</t>
        </is>
      </c>
      <c r="P340" t="inlineStr">
        <is>
          <t>2019-05-21</t>
        </is>
      </c>
      <c r="Q340" t="inlineStr">
        <is>
          <t>un tarif encore plus compétitif, de 0,68 dirhams le kwH en heure de pointe, a été obtenu.</t>
        </is>
      </c>
      <c r="R340" t="inlineStr">
        <is>
          <t>Hybride CSP-PV, pas PV seul</t>
        </is>
      </c>
    </row>
    <row r="341">
      <c r="A341" t="inlineStr">
        <is>
          <t>retenu</t>
        </is>
      </c>
      <c r="B341" t="inlineStr">
        <is>
          <t>A_nord</t>
        </is>
      </c>
      <c r="C341" t="inlineStr">
        <is>
          <t>A</t>
        </is>
      </c>
      <c r="D341" t="inlineStr">
        <is>
          <t>MAR</t>
        </is>
      </c>
      <c r="E341" t="inlineStr">
        <is>
          <t>Noor Midelt I (hybride CSP-PV, 800 MW, 5 h stockage) – CSP/HYBRIDE</t>
        </is>
      </c>
      <c r="F341" t="inlineStr">
        <is>
          <t>capex_total</t>
        </is>
      </c>
      <c r="G341" t="n">
        <v>7570</v>
      </c>
      <c r="H341" t="inlineStr">
        <is>
          <t>MMAD</t>
        </is>
      </c>
      <c r="I341" t="inlineStr">
        <is>
          <t>déclarée</t>
        </is>
      </c>
      <c r="J341" t="n">
        <v>2019</v>
      </c>
      <c r="K341" t="inlineStr">
        <is>
          <t>A</t>
        </is>
      </c>
      <c r="L341" t="inlineStr">
        <is>
          <t>confirmé</t>
        </is>
      </c>
      <c r="M341" t="inlineStr">
        <is>
          <t>Masen</t>
        </is>
      </c>
      <c r="N341" t="inlineStr">
        <is>
          <t>Masen annonce l'adjudication de l'appel d'offre relatif au projet solaire Noor Midelt I (communiqué)</t>
        </is>
      </c>
      <c r="O341" t="inlineStr">
        <is>
          <t>https://www.masen.ma/sites/default/files/documents_presse/Adjudication_Noor_Midelt_I_Vdeff.pdf</t>
        </is>
      </c>
      <c r="P341" t="inlineStr">
        <is>
          <t>2019-05-21</t>
        </is>
      </c>
      <c r="Q341" t="inlineStr">
        <is>
          <t>L’investissement afférent à Noor Midelt I est de près de 7,57 Milliards de MAD.</t>
        </is>
      </c>
      <c r="R341" t="inlineStr"/>
    </row>
    <row r="342">
      <c r="A342" t="inlineStr">
        <is>
          <t>retenu</t>
        </is>
      </c>
      <c r="B342" t="inlineStr">
        <is>
          <t>A_nord</t>
        </is>
      </c>
      <c r="C342" t="inlineStr">
        <is>
          <t>A</t>
        </is>
      </c>
      <c r="D342" t="inlineStr">
        <is>
          <t>MAR</t>
        </is>
      </c>
      <c r="E342" t="inlineStr">
        <is>
          <t>Noor Midelt I (hybride CSP-PV, 800 MW, 5 h stockage) – CSP/HYBRIDE</t>
        </is>
      </c>
      <c r="F342" t="inlineStr">
        <is>
          <t>puissance_mwp</t>
        </is>
      </c>
      <c r="G342" t="n">
        <v>800</v>
      </c>
      <c r="H342" t="inlineStr">
        <is>
          <t>MW installés (CSP+PV)</t>
        </is>
      </c>
      <c r="I342" t="inlineStr">
        <is>
          <t>déclarée</t>
        </is>
      </c>
      <c r="J342" t="n">
        <v>2019</v>
      </c>
      <c r="K342" t="inlineStr">
        <is>
          <t>A</t>
        </is>
      </c>
      <c r="L342" t="inlineStr">
        <is>
          <t>confirmé</t>
        </is>
      </c>
      <c r="M342" t="inlineStr">
        <is>
          <t>Masen</t>
        </is>
      </c>
      <c r="N342" t="inlineStr">
        <is>
          <t>Masen annonce l'adjudication de l'appel d'offre relatif au projet solaire Noor Midelt I (communiqué)</t>
        </is>
      </c>
      <c r="O342" t="inlineStr">
        <is>
          <t>https://www.masen.ma/sites/default/files/documents_presse/Adjudication_Noor_Midelt_I_Vdeff.pdf</t>
        </is>
      </c>
      <c r="P342" t="inlineStr">
        <is>
          <t>2019-05-21</t>
        </is>
      </c>
      <c r="Q342" t="inlineStr">
        <is>
          <t>Noor Midelt I aura une puissance installée de 800 MW avec une capacité de stockage de 5 heures.</t>
        </is>
      </c>
      <c r="R342" t="inlineStr"/>
    </row>
    <row r="343">
      <c r="A343" t="inlineStr">
        <is>
          <t>qualitatif</t>
        </is>
      </c>
      <c r="B343" t="inlineStr">
        <is>
          <t>A_nord</t>
        </is>
      </c>
      <c r="C343" t="inlineStr">
        <is>
          <t>A</t>
        </is>
      </c>
      <c r="D343" t="inlineStr">
        <is>
          <t>MAR</t>
        </is>
      </c>
      <c r="E343" t="inlineStr">
        <is>
          <t>Noor Midelt I (hybride CSP-PV, 800 MW, 5 h stockage) – CSP/HYBRIDE</t>
        </is>
      </c>
      <c r="F343" t="inlineStr">
        <is>
          <t>developpeur</t>
        </is>
      </c>
      <c r="G343" t="inlineStr">
        <is>
          <t>EDF Renouvelables (chef de file), Masdar, Green of Africa</t>
        </is>
      </c>
      <c r="H343" t="inlineStr"/>
      <c r="I343" t="inlineStr">
        <is>
          <t>observée</t>
        </is>
      </c>
      <c r="J343" t="n">
        <v>2019</v>
      </c>
      <c r="K343" t="inlineStr">
        <is>
          <t>A</t>
        </is>
      </c>
      <c r="L343" t="inlineStr">
        <is>
          <t>qualitatif_citation_ok</t>
        </is>
      </c>
      <c r="M343" t="inlineStr">
        <is>
          <t>Masen</t>
        </is>
      </c>
      <c r="N343" t="inlineStr">
        <is>
          <t>Masen annonce l'adjudication de l'appel d'offre relatif au projet solaire Noor Midelt I (communiqué)</t>
        </is>
      </c>
      <c r="O343" t="inlineStr">
        <is>
          <t>https://www.masen.ma/sites/default/files/documents_presse/Adjudication_Noor_Midelt_I_Vdeff.pdf</t>
        </is>
      </c>
      <c r="P343" t="inlineStr">
        <is>
          <t>2019-05-21</t>
        </is>
      </c>
      <c r="Q343" t="inlineStr">
        <is>
          <t>au consortium mené par EDF Renouvelables (France) et composé de Masdar (Emirats Arabes Unis) et Green of Africa (Maroc).</t>
        </is>
      </c>
      <c r="R343" t="inlineStr"/>
    </row>
    <row r="344">
      <c r="A344" t="inlineStr">
        <is>
          <t>qualitatif</t>
        </is>
      </c>
      <c r="B344" t="inlineStr">
        <is>
          <t>A_nord</t>
        </is>
      </c>
      <c r="C344" t="inlineStr">
        <is>
          <t>A</t>
        </is>
      </c>
      <c r="D344" t="inlineStr">
        <is>
          <t>MAR</t>
        </is>
      </c>
      <c r="E344" t="inlineStr">
        <is>
          <t>Noor Midelt I (hybride CSP-PV, 800 MW, 5 h stockage) – CSP/HYBRIDE</t>
        </is>
      </c>
      <c r="F344" t="inlineStr">
        <is>
          <t>financeurs</t>
        </is>
      </c>
      <c r="G344" t="inlineStr">
        <is>
          <t>KfW, BEI, AFD, Commission européenne, Banque mondiale, BAD, CTF (prévus)</t>
        </is>
      </c>
      <c r="H344" t="inlineStr"/>
      <c r="I344" t="inlineStr">
        <is>
          <t>déclarée</t>
        </is>
      </c>
      <c r="J344" t="n">
        <v>2019</v>
      </c>
      <c r="K344" t="inlineStr">
        <is>
          <t>A</t>
        </is>
      </c>
      <c r="L344" t="inlineStr">
        <is>
          <t>qualitatif_citation_ok</t>
        </is>
      </c>
      <c r="M344" t="inlineStr">
        <is>
          <t>Masen</t>
        </is>
      </c>
      <c r="N344" t="inlineStr">
        <is>
          <t>Masen annonce l'adjudication de l'appel d'offre relatif au projet solaire Noor Midelt I (communiqué)</t>
        </is>
      </c>
      <c r="O344" t="inlineStr">
        <is>
          <t>https://www.masen.ma/sites/default/files/documents_presse/Adjudication_Noor_Midelt_I_Vdeff.pdf</t>
        </is>
      </c>
      <c r="P344" t="inlineStr">
        <is>
          <t>2019-05-21</t>
        </is>
      </c>
      <c r="Q344" t="inlineStr">
        <is>
          <t>la KfW, la Banque Européenne d’Investissement, l’Agence Française de Développement, la Commission Européenne, la Banque Mondiale, la Banque Africaine de Développement et le Fonds des Technologies Propres.</t>
        </is>
      </c>
      <c r="R344" t="inlineStr"/>
    </row>
    <row r="345">
      <c r="A345" t="inlineStr">
        <is>
          <t>qualitatif</t>
        </is>
      </c>
      <c r="B345" t="inlineStr">
        <is>
          <t>A_nord</t>
        </is>
      </c>
      <c r="C345" t="inlineStr">
        <is>
          <t>A</t>
        </is>
      </c>
      <c r="D345" t="inlineStr">
        <is>
          <t>MAR</t>
        </is>
      </c>
      <c r="E345" t="inlineStr">
        <is>
          <t>Noor Midelt I (hybride CSP-PV, 800 MW, 5 h stockage) – CSP/HYBRIDE</t>
        </is>
      </c>
      <c r="F345" t="inlineStr">
        <is>
          <t>statut</t>
        </is>
      </c>
      <c r="G345" t="inlineStr">
        <is>
          <t>attribué (2019) – mise en service non vérifiée</t>
        </is>
      </c>
      <c r="H345" t="inlineStr"/>
      <c r="I345" t="inlineStr">
        <is>
          <t>observée</t>
        </is>
      </c>
      <c r="J345" t="n">
        <v>2019</v>
      </c>
      <c r="K345" t="inlineStr">
        <is>
          <t>A</t>
        </is>
      </c>
      <c r="L345" t="inlineStr">
        <is>
          <t>qualitatif_citation_ok</t>
        </is>
      </c>
      <c r="M345" t="inlineStr">
        <is>
          <t>Masen</t>
        </is>
      </c>
      <c r="N345" t="inlineStr">
        <is>
          <t>Masen annonce l'adjudication de l'appel d'offre relatif au projet solaire Noor Midelt I (communiqué)</t>
        </is>
      </c>
      <c r="O345" t="inlineStr">
        <is>
          <t>https://www.masen.ma/sites/default/files/documents_presse/Adjudication_Noor_Midelt_I_Vdeff.pdf</t>
        </is>
      </c>
      <c r="P345" t="inlineStr">
        <is>
          <t>2019-05-21</t>
        </is>
      </c>
      <c r="Q345" t="inlineStr">
        <is>
          <t>Masen déclare aujourd’hui l’attribution de l’appel d’offres international</t>
        </is>
      </c>
      <c r="R345" t="inlineStr"/>
    </row>
    <row r="346">
      <c r="A346" t="inlineStr">
        <is>
          <t>retenu</t>
        </is>
      </c>
      <c r="B346" t="inlineStr">
        <is>
          <t>A_nord</t>
        </is>
      </c>
      <c r="C346" t="inlineStr">
        <is>
          <t>A</t>
        </is>
      </c>
      <c r="D346" t="inlineStr">
        <is>
          <t>TUN</t>
        </is>
      </c>
      <c r="E346" t="inlineStr">
        <is>
          <t>Tataouine (200 MW, Scatec) – AO 500 MW 2018-19</t>
        </is>
      </c>
      <c r="F346" t="inlineStr">
        <is>
          <t>tarif</t>
        </is>
      </c>
      <c r="G346" t="n">
        <v>0.0244</v>
      </c>
      <c r="H346" t="inlineStr">
        <is>
          <t>USD/kWh (71,800 millimes/kWh)</t>
        </is>
      </c>
      <c r="I346" t="inlineStr">
        <is>
          <t>déclarée</t>
        </is>
      </c>
      <c r="J346" t="n">
        <v>2019</v>
      </c>
      <c r="K346" t="inlineStr">
        <is>
          <t>C</t>
        </is>
      </c>
      <c r="L346" t="inlineStr">
        <is>
          <t>citation_partielle</t>
        </is>
      </c>
      <c r="M346" t="inlineStr">
        <is>
          <t>pv magazine (d'après M. Majoul, conseiller du Ministère de l'Énergie, LinkedIn)</t>
        </is>
      </c>
      <c r="N346" t="inlineStr">
        <is>
          <t>Lowest bid in Tunisia's 500 MW solar tender comes in at $0.0244</t>
        </is>
      </c>
      <c r="O346" t="inlineStr">
        <is>
          <t>https://www.pv-magazine.com/2019/07/23/lowest-bid-in-tunisias-500-mw-solar-tender-comes-in-at-0-0244/</t>
        </is>
      </c>
      <c r="P346" t="inlineStr">
        <is>
          <t>2019-07-23</t>
        </is>
      </c>
      <c r="Q346" t="inlineStr">
        <is>
          <t>The lowest bid, millimes 71.800/kWh ($0.0244), was for a 200 MW project in the province of Tataouine.</t>
        </is>
      </c>
      <c r="R346" t="inlineStr">
        <is>
          <t>Offre préliminaire ; Scatec annonce ensuite ~240 MW</t>
        </is>
      </c>
    </row>
    <row r="347">
      <c r="A347" t="inlineStr">
        <is>
          <t>retenu</t>
        </is>
      </c>
      <c r="B347" t="inlineStr">
        <is>
          <t>A_nord</t>
        </is>
      </c>
      <c r="C347" t="inlineStr">
        <is>
          <t>A</t>
        </is>
      </c>
      <c r="D347" t="inlineStr">
        <is>
          <t>TUN</t>
        </is>
      </c>
      <c r="E347" t="inlineStr">
        <is>
          <t>Sidi Bouzid (50 MW lot, Scatec) – AO 500 MW</t>
        </is>
      </c>
      <c r="F347" t="inlineStr">
        <is>
          <t>tarif</t>
        </is>
      </c>
      <c r="G347" t="n">
        <v>0.027</v>
      </c>
      <c r="H347" t="inlineStr">
        <is>
          <t>USD/kWh (79,300 millimes/kWh)</t>
        </is>
      </c>
      <c r="I347" t="inlineStr">
        <is>
          <t>déclarée</t>
        </is>
      </c>
      <c r="J347" t="n">
        <v>2019</v>
      </c>
      <c r="K347" t="inlineStr">
        <is>
          <t>C</t>
        </is>
      </c>
      <c r="L347" t="inlineStr">
        <is>
          <t>confirmé</t>
        </is>
      </c>
      <c r="M347" t="inlineStr">
        <is>
          <t>pv magazine (d'après M. Majoul, conseiller du Ministère de l'Énergie, LinkedIn)</t>
        </is>
      </c>
      <c r="N347" t="inlineStr">
        <is>
          <t>Lowest bid in Tunisia's 500 MW solar tender comes in at $0.0244</t>
        </is>
      </c>
      <c r="O347" t="inlineStr">
        <is>
          <t>https://www.pv-magazine.com/2019/07/23/lowest-bid-in-tunisias-500-mw-solar-tender-comes-in-at-0-0244/</t>
        </is>
      </c>
      <c r="P347" t="inlineStr">
        <is>
          <t>2019-07-23</t>
        </is>
      </c>
      <c r="Q347" t="inlineStr">
        <is>
          <t>Two 50 MW projects, in the provinces of Sidi Bouzid and Tozeur, attracted offers of millimes 79.300/kWh ($0.027)</t>
        </is>
      </c>
      <c r="R347" t="inlineStr">
        <is>
          <t>Offre préliminaire</t>
        </is>
      </c>
    </row>
    <row r="348">
      <c r="A348" t="inlineStr">
        <is>
          <t>retenu</t>
        </is>
      </c>
      <c r="B348" t="inlineStr">
        <is>
          <t>A_nord</t>
        </is>
      </c>
      <c r="C348" t="inlineStr">
        <is>
          <t>A</t>
        </is>
      </c>
      <c r="D348" t="inlineStr">
        <is>
          <t>TUN</t>
        </is>
      </c>
      <c r="E348" t="inlineStr">
        <is>
          <t>Tozeur (50 MW lot, Scatec) – AO 500 MW</t>
        </is>
      </c>
      <c r="F348" t="inlineStr">
        <is>
          <t>tarif</t>
        </is>
      </c>
      <c r="G348" t="n">
        <v>0.027</v>
      </c>
      <c r="H348" t="inlineStr">
        <is>
          <t>USD/kWh (79,300 millimes/kWh)</t>
        </is>
      </c>
      <c r="I348" t="inlineStr">
        <is>
          <t>déclarée</t>
        </is>
      </c>
      <c r="J348" t="n">
        <v>2019</v>
      </c>
      <c r="K348" t="inlineStr">
        <is>
          <t>C</t>
        </is>
      </c>
      <c r="L348" t="inlineStr">
        <is>
          <t>confirmé</t>
        </is>
      </c>
      <c r="M348" t="inlineStr">
        <is>
          <t>pv magazine (d'après M. Majoul, conseiller du Ministère de l'Énergie, LinkedIn)</t>
        </is>
      </c>
      <c r="N348" t="inlineStr">
        <is>
          <t>Lowest bid in Tunisia's 500 MW solar tender comes in at $0.0244</t>
        </is>
      </c>
      <c r="O348" t="inlineStr">
        <is>
          <t>https://www.pv-magazine.com/2019/07/23/lowest-bid-in-tunisias-500-mw-solar-tender-comes-in-at-0-0244/</t>
        </is>
      </c>
      <c r="P348" t="inlineStr">
        <is>
          <t>2019-07-23</t>
        </is>
      </c>
      <c r="Q348" t="inlineStr">
        <is>
          <t>Two 50 MW projects, in the provinces of Sidi Bouzid and Tozeur, attracted offers of millimes 79.300/kWh ($0.027)</t>
        </is>
      </c>
      <c r="R348" t="inlineStr">
        <is>
          <t>Offre préliminaire</t>
        </is>
      </c>
    </row>
    <row r="349">
      <c r="A349" t="inlineStr">
        <is>
          <t>retenu</t>
        </is>
      </c>
      <c r="B349" t="inlineStr">
        <is>
          <t>A_nord</t>
        </is>
      </c>
      <c r="C349" t="inlineStr">
        <is>
          <t>A</t>
        </is>
      </c>
      <c r="D349" t="inlineStr">
        <is>
          <t>TUN</t>
        </is>
      </c>
      <c r="E349" t="inlineStr">
        <is>
          <t>Gafsa (100 MW) – AO 500 MW</t>
        </is>
      </c>
      <c r="F349" t="inlineStr">
        <is>
          <t>tarif</t>
        </is>
      </c>
      <c r="G349" t="n">
        <v>0.0272</v>
      </c>
      <c r="H349" t="inlineStr">
        <is>
          <t>USD/kWh (79,900 millimes/kWh)</t>
        </is>
      </c>
      <c r="I349" t="inlineStr">
        <is>
          <t>déclarée</t>
        </is>
      </c>
      <c r="J349" t="n">
        <v>2019</v>
      </c>
      <c r="K349" t="inlineStr">
        <is>
          <t>C</t>
        </is>
      </c>
      <c r="L349" t="inlineStr">
        <is>
          <t>citation_partielle</t>
        </is>
      </c>
      <c r="M349" t="inlineStr">
        <is>
          <t>pv magazine (d'après M. Majoul, conseiller du Ministère de l'Énergie, LinkedIn)</t>
        </is>
      </c>
      <c r="N349" t="inlineStr">
        <is>
          <t>Lowest bid in Tunisia's 500 MW solar tender comes in at $0.0244</t>
        </is>
      </c>
      <c r="O349" t="inlineStr">
        <is>
          <t>https://www.pv-magazine.com/2019/07/23/lowest-bid-in-tunisias-500-mw-solar-tender-comes-in-at-0-0244/</t>
        </is>
      </c>
      <c r="P349" t="inlineStr">
        <is>
          <t>2019-07-23</t>
        </is>
      </c>
      <c r="Q349" t="inlineStr">
        <is>
          <t>the two remaining 100 MW projects in Gafsa and Kairouan prompted bids of millimes 79.900/kWh ($0.0272) and millimes 84.100/kWh ($0.0286), respectively</t>
        </is>
      </c>
      <c r="R349" t="inlineStr">
        <is>
          <t>Lauréat non nommé dans la source</t>
        </is>
      </c>
    </row>
    <row r="350">
      <c r="A350" t="inlineStr">
        <is>
          <t>retenu</t>
        </is>
      </c>
      <c r="B350" t="inlineStr">
        <is>
          <t>A_nord</t>
        </is>
      </c>
      <c r="C350" t="inlineStr">
        <is>
          <t>A</t>
        </is>
      </c>
      <c r="D350" t="inlineStr">
        <is>
          <t>TUN</t>
        </is>
      </c>
      <c r="E350" t="inlineStr">
        <is>
          <t>Kairouan Solar Plant (AMEA Power, 100 MWac / 120 MWp)</t>
        </is>
      </c>
      <c r="F350" t="inlineStr">
        <is>
          <t>tarif</t>
        </is>
      </c>
      <c r="G350" t="n">
        <v>0.0286</v>
      </c>
      <c r="H350" t="inlineStr">
        <is>
          <t>USD/kWh (84,100 millimes/kWh)</t>
        </is>
      </c>
      <c r="I350" t="inlineStr">
        <is>
          <t>déclarée</t>
        </is>
      </c>
      <c r="J350" t="n">
        <v>2019</v>
      </c>
      <c r="K350" t="inlineStr">
        <is>
          <t>C</t>
        </is>
      </c>
      <c r="L350" t="inlineStr">
        <is>
          <t>citation_partielle</t>
        </is>
      </c>
      <c r="M350" t="inlineStr">
        <is>
          <t>pv magazine (d'après M. Majoul, conseiller du Ministère de l'Énergie, LinkedIn)</t>
        </is>
      </c>
      <c r="N350" t="inlineStr">
        <is>
          <t>Lowest bid in Tunisia's 500 MW solar tender comes in at $0.0244</t>
        </is>
      </c>
      <c r="O350" t="inlineStr">
        <is>
          <t>https://www.pv-magazine.com/2019/07/23/lowest-bid-in-tunisias-500-mw-solar-tender-comes-in-at-0-0244/</t>
        </is>
      </c>
      <c r="P350" t="inlineStr">
        <is>
          <t>2019-07-23</t>
        </is>
      </c>
      <c r="Q350" t="inlineStr">
        <is>
          <t>the two remaining 100 MW projects in Gafsa and Kairouan prompted bids of millimes 79.900/kWh ($0.0272) and millimes 84.100/kWh ($0.0286), respectively</t>
        </is>
      </c>
      <c r="R350" t="inlineStr">
        <is>
          <t>Offre préliminaire juillet 2019 ; tarif contractuel final non trouvé (voir conflits)</t>
        </is>
      </c>
    </row>
    <row r="351">
      <c r="A351" t="inlineStr">
        <is>
          <t>retenu</t>
        </is>
      </c>
      <c r="B351" t="inlineStr">
        <is>
          <t>A_nord</t>
        </is>
      </c>
      <c r="C351" t="inlineStr">
        <is>
          <t>A</t>
        </is>
      </c>
      <c r="D351" t="inlineStr">
        <is>
          <t>TUN</t>
        </is>
      </c>
      <c r="E351" t="inlineStr">
        <is>
          <t>Kairouan Solar Plant (AMEA Power, 100 MWac / 120 MWp)</t>
        </is>
      </c>
      <c r="F351" t="inlineStr">
        <is>
          <t>capex_total</t>
        </is>
      </c>
      <c r="G351" t="n">
        <v>100</v>
      </c>
      <c r="H351" t="inlineStr">
        <is>
          <t>MUSD (environ)</t>
        </is>
      </c>
      <c r="I351" t="inlineStr">
        <is>
          <t>déclarée</t>
        </is>
      </c>
      <c r="J351" t="n">
        <v>2022</v>
      </c>
      <c r="K351" t="inlineStr">
        <is>
          <t>A</t>
        </is>
      </c>
      <c r="L351" t="inlineStr">
        <is>
          <t>confirmé</t>
        </is>
      </c>
      <c r="M351" t="inlineStr">
        <is>
          <t>IFC</t>
        </is>
      </c>
      <c r="N351" t="inlineStr">
        <is>
          <t>SII Kairouan Solar Plant (projet 43011)</t>
        </is>
      </c>
      <c r="O351" t="inlineStr">
        <is>
          <t>https://disclosures.ifc.org/project-detail/SII/43011/kairouan-solar-plant</t>
        </is>
      </c>
      <c r="P351" t="inlineStr">
        <is>
          <t>2022-10-26</t>
        </is>
      </c>
      <c r="Q351" t="inlineStr">
        <is>
          <t>The total Project cost is estimated at approximately $100 million</t>
        </is>
      </c>
      <c r="R351" t="inlineStr">
        <is>
          <t>AfDB 2023 (non consultable, 403) citerait 86 MUSD</t>
        </is>
      </c>
    </row>
    <row r="352">
      <c r="A352" t="inlineStr">
        <is>
          <t>qualitatif</t>
        </is>
      </c>
      <c r="B352" t="inlineStr">
        <is>
          <t>A_nord</t>
        </is>
      </c>
      <c r="C352" t="inlineStr">
        <is>
          <t>A</t>
        </is>
      </c>
      <c r="D352" t="inlineStr">
        <is>
          <t>TUN</t>
        </is>
      </c>
      <c r="E352" t="inlineStr">
        <is>
          <t>Kairouan Solar Plant (AMEA Power, 100 MWac / 120 MWp)</t>
        </is>
      </c>
      <c r="F352" t="inlineStr">
        <is>
          <t>financeurs</t>
        </is>
      </c>
      <c r="G352" t="inlineStr">
        <is>
          <t>IFC prêt A ≤20 MUSD + CTF ≤17 MUSD (concessionnel, IFC agent) ; AfDB/SEFA (montants non vérifiés)</t>
        </is>
      </c>
      <c r="H352" t="inlineStr"/>
      <c r="I352" t="inlineStr">
        <is>
          <t>déclarée</t>
        </is>
      </c>
      <c r="J352" t="n">
        <v>2022</v>
      </c>
      <c r="K352" t="inlineStr">
        <is>
          <t>A</t>
        </is>
      </c>
      <c r="L352" t="inlineStr">
        <is>
          <t>qualitatif_citation_ok</t>
        </is>
      </c>
      <c r="M352" t="inlineStr">
        <is>
          <t>IFC</t>
        </is>
      </c>
      <c r="N352" t="inlineStr">
        <is>
          <t>SII Kairouan Solar Plant (projet 43011)</t>
        </is>
      </c>
      <c r="O352" t="inlineStr">
        <is>
          <t>https://disclosures.ifc.org/project-detail/SII/43011/kairouan-solar-plant</t>
        </is>
      </c>
      <c r="P352" t="inlineStr">
        <is>
          <t>2022-10-26</t>
        </is>
      </c>
      <c r="Q352" t="inlineStr">
        <is>
          <t>up to $20 million A Loan from its own account</t>
        </is>
      </c>
      <c r="R352" t="inlineStr"/>
    </row>
    <row r="353">
      <c r="A353" t="inlineStr">
        <is>
          <t>retenu</t>
        </is>
      </c>
      <c r="B353" t="inlineStr">
        <is>
          <t>A_nord</t>
        </is>
      </c>
      <c r="C353" t="inlineStr">
        <is>
          <t>A</t>
        </is>
      </c>
      <c r="D353" t="inlineStr">
        <is>
          <t>TUN</t>
        </is>
      </c>
      <c r="E353" t="inlineStr">
        <is>
          <t>Kairouan Solar Plant (AMEA Power, 100 MWac / 120 MWp)</t>
        </is>
      </c>
      <c r="F353" t="inlineStr">
        <is>
          <t>ppa_duree</t>
        </is>
      </c>
      <c r="G353" t="n">
        <v>20</v>
      </c>
      <c r="H353" t="inlineStr">
        <is>
          <t>ans</t>
        </is>
      </c>
      <c r="I353" t="inlineStr">
        <is>
          <t>observée</t>
        </is>
      </c>
      <c r="J353" t="n">
        <v>2022</v>
      </c>
      <c r="K353" t="inlineStr">
        <is>
          <t>A</t>
        </is>
      </c>
      <c r="L353" t="inlineStr">
        <is>
          <t>confirmé</t>
        </is>
      </c>
      <c r="M353" t="inlineStr">
        <is>
          <t>IFC</t>
        </is>
      </c>
      <c r="N353" t="inlineStr">
        <is>
          <t>SII Kairouan Solar Plant (projet 43011)</t>
        </is>
      </c>
      <c r="O353" t="inlineStr">
        <is>
          <t>https://disclosures.ifc.org/project-detail/SII/43011/kairouan-solar-plant</t>
        </is>
      </c>
      <c r="P353" t="inlineStr">
        <is>
          <t>2022-10-26</t>
        </is>
      </c>
      <c r="Q353" t="inlineStr">
        <is>
          <t>20-year Power Purchase Agreement with the Société Tunisienne de l'Electricité et du Gaz</t>
        </is>
      </c>
      <c r="R353" t="inlineStr"/>
    </row>
    <row r="354">
      <c r="A354" t="inlineStr">
        <is>
          <t>qualitatif</t>
        </is>
      </c>
      <c r="B354" t="inlineStr">
        <is>
          <t>A_nord</t>
        </is>
      </c>
      <c r="C354" t="inlineStr">
        <is>
          <t>A</t>
        </is>
      </c>
      <c r="D354" t="inlineStr">
        <is>
          <t>TUN</t>
        </is>
      </c>
      <c r="E354" t="inlineStr">
        <is>
          <t>Kairouan Solar Plant (AMEA Power, 100 MWac / 120 MWp)</t>
        </is>
      </c>
      <c r="F354" t="inlineStr">
        <is>
          <t>acheteur</t>
        </is>
      </c>
      <c r="G354" t="inlineStr">
        <is>
          <t>STEG</t>
        </is>
      </c>
      <c r="H354" t="inlineStr"/>
      <c r="I354" t="inlineStr">
        <is>
          <t>observée</t>
        </is>
      </c>
      <c r="J354" t="n">
        <v>2022</v>
      </c>
      <c r="K354" t="inlineStr">
        <is>
          <t>A</t>
        </is>
      </c>
      <c r="L354" t="inlineStr">
        <is>
          <t>qualitatif_citation_ok</t>
        </is>
      </c>
      <c r="M354" t="inlineStr">
        <is>
          <t>IFC</t>
        </is>
      </c>
      <c r="N354" t="inlineStr">
        <is>
          <t>SII Kairouan Solar Plant (projet 43011)</t>
        </is>
      </c>
      <c r="O354" t="inlineStr">
        <is>
          <t>https://disclosures.ifc.org/project-detail/SII/43011/kairouan-solar-plant</t>
        </is>
      </c>
      <c r="P354" t="inlineStr">
        <is>
          <t>2022-10-26</t>
        </is>
      </c>
      <c r="Q354" t="inlineStr">
        <is>
          <t>20-year Power Purchase Agreement with the Société Tunisienne de l'Electricité et du Gaz</t>
        </is>
      </c>
      <c r="R354" t="inlineStr"/>
    </row>
    <row r="355">
      <c r="A355" t="inlineStr">
        <is>
          <t>qualitatif</t>
        </is>
      </c>
      <c r="B355" t="inlineStr">
        <is>
          <t>A_nord</t>
        </is>
      </c>
      <c r="C355" t="inlineStr">
        <is>
          <t>A</t>
        </is>
      </c>
      <c r="D355" t="inlineStr">
        <is>
          <t>TUN</t>
        </is>
      </c>
      <c r="E355" t="inlineStr">
        <is>
          <t>Kairouan Solar Plant (AMEA Power, 100 MWac / 120 MWp)</t>
        </is>
      </c>
      <c r="F355" t="inlineStr">
        <is>
          <t>garanties</t>
        </is>
      </c>
      <c r="G355" t="inlineStr">
        <is>
          <t>MIGA 38,5 MUSD (transfert/inconvertibilité, guerre, expropriation, rupture de contrat), 20 ans</t>
        </is>
      </c>
      <c r="H355" t="inlineStr"/>
      <c r="I355" t="inlineStr">
        <is>
          <t>déclarée</t>
        </is>
      </c>
      <c r="J355" t="n">
        <v>2024</v>
      </c>
      <c r="K355" t="inlineStr">
        <is>
          <t>A</t>
        </is>
      </c>
      <c r="L355" t="inlineStr">
        <is>
          <t>qualitatif_citation_ok</t>
        </is>
      </c>
      <c r="M355" t="inlineStr">
        <is>
          <t>MIGA</t>
        </is>
      </c>
      <c r="N355" t="inlineStr">
        <is>
          <t>Kairouan Solar Plant</t>
        </is>
      </c>
      <c r="O355" t="inlineStr">
        <is>
          <t>https://miga.org/project/kairouan-solar-plant</t>
        </is>
      </c>
      <c r="P355" t="inlineStr">
        <is>
          <t>2024-01-16</t>
        </is>
      </c>
      <c r="Q355" t="inlineStr">
        <is>
          <t>Transfer Restriction and Currency Inconvertibility, War and Civil Disturbance, Expropriation, and Breach of Contract</t>
        </is>
      </c>
      <c r="R355" t="inlineStr">
        <is>
          <t>Statut 'Proposed' lors de la divulgation</t>
        </is>
      </c>
    </row>
    <row r="356">
      <c r="A356" t="inlineStr">
        <is>
          <t>retenu</t>
        </is>
      </c>
      <c r="B356" t="inlineStr">
        <is>
          <t>A_nord</t>
        </is>
      </c>
      <c r="C356" t="inlineStr">
        <is>
          <t>A</t>
        </is>
      </c>
      <c r="D356" t="inlineStr">
        <is>
          <t>TUN</t>
        </is>
      </c>
      <c r="E356" t="inlineStr">
        <is>
          <t>Kairouan Solar Plant (AMEA Power, 100 MWac / 120 MWp)</t>
        </is>
      </c>
      <c r="F356" t="inlineStr">
        <is>
          <t>annee_attribution</t>
        </is>
      </c>
      <c r="G356" t="n">
        <v>2019</v>
      </c>
      <c r="H356" t="inlineStr"/>
      <c r="I356" t="inlineStr">
        <is>
          <t>observée</t>
        </is>
      </c>
      <c r="J356" t="n">
        <v>2019</v>
      </c>
      <c r="K356" t="inlineStr">
        <is>
          <t>A</t>
        </is>
      </c>
      <c r="L356" t="inlineStr">
        <is>
          <t>citation_partielle</t>
        </is>
      </c>
      <c r="M356" t="inlineStr">
        <is>
          <t>MIGA</t>
        </is>
      </c>
      <c r="N356" t="inlineStr">
        <is>
          <t>Kairouan Solar Plant</t>
        </is>
      </c>
      <c r="O356" t="inlineStr">
        <is>
          <t>https://miga.org/project/kairouan-solar-plant</t>
        </is>
      </c>
      <c r="P356" t="inlineStr">
        <is>
          <t>2024-01-16</t>
        </is>
      </c>
      <c r="Q356" t="inlineStr">
        <is>
          <t>awarded the concession in December 2019</t>
        </is>
      </c>
      <c r="R356" t="inlineStr"/>
    </row>
    <row r="357">
      <c r="A357" t="inlineStr">
        <is>
          <t>retenu</t>
        </is>
      </c>
      <c r="B357" t="inlineStr">
        <is>
          <t>A_nord</t>
        </is>
      </c>
      <c r="C357" t="inlineStr">
        <is>
          <t>A</t>
        </is>
      </c>
      <c r="D357" t="inlineStr">
        <is>
          <t>TUN</t>
        </is>
      </c>
      <c r="E357" t="inlineStr">
        <is>
          <t>Kairouan Solar Plant (AMEA Power, 100 MWac / 120 MWp)</t>
        </is>
      </c>
      <c r="F357" t="inlineStr">
        <is>
          <t>puissance_mwac</t>
        </is>
      </c>
      <c r="G357" t="n">
        <v>100</v>
      </c>
      <c r="H357" t="inlineStr">
        <is>
          <t>MWac</t>
        </is>
      </c>
      <c r="I357" t="inlineStr">
        <is>
          <t>observée</t>
        </is>
      </c>
      <c r="J357" t="n">
        <v>2023</v>
      </c>
      <c r="K357" t="inlineStr">
        <is>
          <t>C</t>
        </is>
      </c>
      <c r="L357" t="inlineStr">
        <is>
          <t>confirmé</t>
        </is>
      </c>
      <c r="M357" t="inlineStr">
        <is>
          <t>Gide Loyrette Nouel</t>
        </is>
      </c>
      <c r="N357" t="inlineStr">
        <is>
          <t>Gide counsel to AMEA Power on the financing of a 100MWac (120MW peak) PV plant in Kairouan</t>
        </is>
      </c>
      <c r="O357" t="inlineStr">
        <is>
          <t>https://www.gide.com/en/news-insights/gide-counsel-to-amea-power-on-the-financing-of-a-100mwac-120mw-peak-photovoltaic-solar-power-plant-in-kairouan-tunisia/</t>
        </is>
      </c>
      <c r="P357" t="inlineStr">
        <is>
          <t>2023-10-02</t>
        </is>
      </c>
      <c r="Q357" t="inlineStr">
        <is>
          <t>100MWac (120MW peak) solar photovoltaic power plant in Kairouan</t>
        </is>
      </c>
      <c r="R357" t="inlineStr"/>
    </row>
    <row r="358">
      <c r="A358" t="inlineStr">
        <is>
          <t>retenu</t>
        </is>
      </c>
      <c r="B358" t="inlineStr">
        <is>
          <t>A_nord</t>
        </is>
      </c>
      <c r="C358" t="inlineStr">
        <is>
          <t>A</t>
        </is>
      </c>
      <c r="D358" t="inlineStr">
        <is>
          <t>TUN</t>
        </is>
      </c>
      <c r="E358" t="inlineStr">
        <is>
          <t>Kairouan Solar Plant (AMEA Power, 100 MWac / 120 MWp)</t>
        </is>
      </c>
      <c r="F358" t="inlineStr">
        <is>
          <t>puissance_mwp</t>
        </is>
      </c>
      <c r="G358" t="n">
        <v>120</v>
      </c>
      <c r="H358" t="inlineStr">
        <is>
          <t>MWp</t>
        </is>
      </c>
      <c r="I358" t="inlineStr">
        <is>
          <t>observée</t>
        </is>
      </c>
      <c r="J358" t="n">
        <v>2023</v>
      </c>
      <c r="K358" t="inlineStr">
        <is>
          <t>C</t>
        </is>
      </c>
      <c r="L358" t="inlineStr">
        <is>
          <t>confirmé</t>
        </is>
      </c>
      <c r="M358" t="inlineStr">
        <is>
          <t>Gide Loyrette Nouel</t>
        </is>
      </c>
      <c r="N358" t="inlineStr">
        <is>
          <t>Gide counsel to AMEA Power on the financing of a 100MWac (120MW peak) PV plant in Kairouan</t>
        </is>
      </c>
      <c r="O358" t="inlineStr">
        <is>
          <t>https://www.gide.com/en/news-insights/gide-counsel-to-amea-power-on-the-financing-of-a-100mwac-120mw-peak-photovoltaic-solar-power-plant-in-kairouan-tunisia/</t>
        </is>
      </c>
      <c r="P358" t="inlineStr">
        <is>
          <t>2023-10-02</t>
        </is>
      </c>
      <c r="Q358" t="inlineStr">
        <is>
          <t>100MWac (120MW peak) solar photovoltaic power plant in Kairouan</t>
        </is>
      </c>
      <c r="R358" t="inlineStr"/>
    </row>
    <row r="359">
      <c r="A359" t="inlineStr">
        <is>
          <t>qualitatif</t>
        </is>
      </c>
      <c r="B359" t="inlineStr">
        <is>
          <t>A_nord</t>
        </is>
      </c>
      <c r="C359" t="inlineStr">
        <is>
          <t>A</t>
        </is>
      </c>
      <c r="D359" t="inlineStr">
        <is>
          <t>TUN</t>
        </is>
      </c>
      <c r="E359" t="inlineStr">
        <is>
          <t>Kairouan Solar Plant (AMEA Power, 100 MWac / 120 MWp)</t>
        </is>
      </c>
      <c r="F359" t="inlineStr">
        <is>
          <t>procedure</t>
        </is>
      </c>
      <c r="G359" t="inlineStr">
        <is>
          <t>Appel d'offres international (concessions) 2019 ; contrat BOO</t>
        </is>
      </c>
      <c r="H359" t="inlineStr"/>
      <c r="I359" t="inlineStr">
        <is>
          <t>observée</t>
        </is>
      </c>
      <c r="J359" t="n">
        <v>2019</v>
      </c>
      <c r="K359" t="inlineStr">
        <is>
          <t>C</t>
        </is>
      </c>
      <c r="L359" t="inlineStr">
        <is>
          <t>qualitatif_citation_ok</t>
        </is>
      </c>
      <c r="M359" t="inlineStr">
        <is>
          <t>Gide Loyrette Nouel</t>
        </is>
      </c>
      <c r="N359" t="inlineStr">
        <is>
          <t>Gide counsel to AMEA Power on the financing of a 100MWac (120MW peak) PV plant in Kairouan</t>
        </is>
      </c>
      <c r="O359" t="inlineStr">
        <is>
          <t>https://www.gide.com/en/news-insights/gide-counsel-to-amea-power-on-the-financing-of-a-100mwac-120mw-peak-photovoltaic-solar-power-plant-in-kairouan-tunisia/</t>
        </is>
      </c>
      <c r="P359" t="inlineStr">
        <is>
          <t>2023-10-02</t>
        </is>
      </c>
      <c r="Q359" t="inlineStr">
        <is>
          <t>one of five projects to be awarded in 2019 following an international call for tenders</t>
        </is>
      </c>
      <c r="R359" t="inlineStr"/>
    </row>
    <row r="360">
      <c r="A360" t="inlineStr">
        <is>
          <t>retenu</t>
        </is>
      </c>
      <c r="B360" t="inlineStr">
        <is>
          <t>A_nord</t>
        </is>
      </c>
      <c r="C360" t="inlineStr">
        <is>
          <t>A</t>
        </is>
      </c>
      <c r="D360" t="inlineStr">
        <is>
          <t>TUN</t>
        </is>
      </c>
      <c r="E360" t="inlineStr">
        <is>
          <t>Sidi Bouzid II (Scatec/Aeolus, 120 MW)</t>
        </is>
      </c>
      <c r="F360" t="inlineStr">
        <is>
          <t>capex_total</t>
        </is>
      </c>
      <c r="G360" t="n">
        <v>96</v>
      </c>
      <c r="H360" t="inlineStr">
        <is>
          <t>M EUR</t>
        </is>
      </c>
      <c r="I360" t="inlineStr">
        <is>
          <t>déclarée</t>
        </is>
      </c>
      <c r="J360" t="n">
        <v>2026</v>
      </c>
      <c r="K360" t="inlineStr">
        <is>
          <t>B</t>
        </is>
      </c>
      <c r="L360" t="inlineStr">
        <is>
          <t>confirmé</t>
        </is>
      </c>
      <c r="M360" t="inlineStr">
        <is>
          <t>Scatec</t>
        </is>
      </c>
      <c r="N360" t="inlineStr">
        <is>
          <t>Scatec reaches financial close ... Sidi Bouzid II (communiqué)</t>
        </is>
      </c>
      <c r="O360" t="inlineStr">
        <is>
          <t>https://www.scatec.com/en/?p=8244</t>
        </is>
      </c>
      <c r="P360" t="inlineStr">
        <is>
          <t>2026-06-17</t>
        </is>
      </c>
      <c r="Q360" t="inlineStr">
        <is>
          <t>EUR 96 million</t>
        </is>
      </c>
      <c r="R360" t="inlineStr"/>
    </row>
    <row r="361">
      <c r="A361" t="inlineStr">
        <is>
          <t>retenu</t>
        </is>
      </c>
      <c r="B361" t="inlineStr">
        <is>
          <t>A_nord</t>
        </is>
      </c>
      <c r="C361" t="inlineStr">
        <is>
          <t>A</t>
        </is>
      </c>
      <c r="D361" t="inlineStr">
        <is>
          <t>TUN</t>
        </is>
      </c>
      <c r="E361" t="inlineStr">
        <is>
          <t>Sidi Bouzid II (Scatec/Aeolus, 120 MW)</t>
        </is>
      </c>
      <c r="F361" t="inlineStr">
        <is>
          <t>production_gwh_an</t>
        </is>
      </c>
      <c r="G361" t="n">
        <v>276</v>
      </c>
      <c r="H361" t="inlineStr">
        <is>
          <t>GWh/an</t>
        </is>
      </c>
      <c r="I361" t="inlineStr">
        <is>
          <t>déclarée</t>
        </is>
      </c>
      <c r="J361" t="n">
        <v>2026</v>
      </c>
      <c r="K361" t="inlineStr">
        <is>
          <t>B</t>
        </is>
      </c>
      <c r="L361" t="inlineStr">
        <is>
          <t>confirmé</t>
        </is>
      </c>
      <c r="M361" t="inlineStr">
        <is>
          <t>Scatec</t>
        </is>
      </c>
      <c r="N361" t="inlineStr">
        <is>
          <t>Scatec reaches financial close ... Sidi Bouzid II (communiqué)</t>
        </is>
      </c>
      <c r="O361" t="inlineStr">
        <is>
          <t>https://www.scatec.com/en/?p=8244</t>
        </is>
      </c>
      <c r="P361" t="inlineStr">
        <is>
          <t>2026-06-17</t>
        </is>
      </c>
      <c r="Q361" t="inlineStr">
        <is>
          <t>276 GWh</t>
        </is>
      </c>
      <c r="R361" t="inlineStr"/>
    </row>
    <row r="362">
      <c r="A362" t="inlineStr">
        <is>
          <t>qualitatif</t>
        </is>
      </c>
      <c r="B362" t="inlineStr">
        <is>
          <t>A_nord</t>
        </is>
      </c>
      <c r="C362" t="inlineStr">
        <is>
          <t>A</t>
        </is>
      </c>
      <c r="D362" t="inlineStr">
        <is>
          <t>TUN</t>
        </is>
      </c>
      <c r="E362" t="inlineStr">
        <is>
          <t>Sidi Bouzid II (Scatec/Aeolus, 120 MW)</t>
        </is>
      </c>
      <c r="F362" t="inlineStr">
        <is>
          <t>financeurs</t>
        </is>
      </c>
      <c r="G362" t="inlineStr">
        <is>
          <t>EBRD et BEI (prêteurs seniors)</t>
        </is>
      </c>
      <c r="H362" t="inlineStr"/>
      <c r="I362" t="inlineStr">
        <is>
          <t>observée</t>
        </is>
      </c>
      <c r="J362" t="n">
        <v>2026</v>
      </c>
      <c r="K362" t="inlineStr">
        <is>
          <t>B</t>
        </is>
      </c>
      <c r="L362" t="inlineStr">
        <is>
          <t>qualitatif_citation_ok</t>
        </is>
      </c>
      <c r="M362" t="inlineStr">
        <is>
          <t>Scatec</t>
        </is>
      </c>
      <c r="N362" t="inlineStr">
        <is>
          <t>Scatec reaches financial close ... Sidi Bouzid II (communiqué)</t>
        </is>
      </c>
      <c r="O362" t="inlineStr">
        <is>
          <t>https://www.scatec.com/en/?p=8244</t>
        </is>
      </c>
      <c r="P362" t="inlineStr">
        <is>
          <t>2026-06-17</t>
        </is>
      </c>
      <c r="Q362" t="inlineStr">
        <is>
          <t>European Bank of Reconstruction and Development (EBRD) and European Investment Bank (EIB)</t>
        </is>
      </c>
      <c r="R362" t="inlineStr"/>
    </row>
    <row r="363">
      <c r="A363" t="inlineStr">
        <is>
          <t>retenu</t>
        </is>
      </c>
      <c r="B363" t="inlineStr">
        <is>
          <t>A_nord</t>
        </is>
      </c>
      <c r="C363" t="inlineStr">
        <is>
          <t>A</t>
        </is>
      </c>
      <c r="D363" t="inlineStr">
        <is>
          <t>TUN</t>
        </is>
      </c>
      <c r="E363" t="inlineStr">
        <is>
          <t>Sidi Bouzid II (Scatec/Aeolus, 120 MW)</t>
        </is>
      </c>
      <c r="F363" t="inlineStr">
        <is>
          <t>annee_attribution</t>
        </is>
      </c>
      <c r="G363" t="n">
        <v>2024</v>
      </c>
      <c r="H363" t="inlineStr"/>
      <c r="I363" t="inlineStr">
        <is>
          <t>observée</t>
        </is>
      </c>
      <c r="J363" t="n">
        <v>2024</v>
      </c>
      <c r="K363" t="inlineStr">
        <is>
          <t>B</t>
        </is>
      </c>
      <c r="L363" t="inlineStr">
        <is>
          <t>citation_partielle</t>
        </is>
      </c>
      <c r="M363" t="inlineStr">
        <is>
          <t>Scatec</t>
        </is>
      </c>
      <c r="N363" t="inlineStr">
        <is>
          <t>Scatec reaches financial close ... Sidi Bouzid II (communiqué)</t>
        </is>
      </c>
      <c r="O363" t="inlineStr">
        <is>
          <t>https://www.scatec.com/en/?p=8244</t>
        </is>
      </c>
      <c r="P363" t="inlineStr">
        <is>
          <t>2026-06-17</t>
        </is>
      </c>
      <c r="Q363" t="inlineStr">
        <is>
          <t>The PPA was awarded in December 2024 through a government tender.</t>
        </is>
      </c>
      <c r="R363" t="inlineStr">
        <is>
          <t>Citation reformulée par l'outil ; à vérifier</t>
        </is>
      </c>
    </row>
    <row r="364">
      <c r="A364" t="inlineStr">
        <is>
          <t>qualitatif</t>
        </is>
      </c>
      <c r="B364" t="inlineStr">
        <is>
          <t>A_nord</t>
        </is>
      </c>
      <c r="C364" t="inlineStr">
        <is>
          <t>A</t>
        </is>
      </c>
      <c r="D364" t="inlineStr">
        <is>
          <t>TUN</t>
        </is>
      </c>
      <c r="E364" t="inlineStr">
        <is>
          <t>Sidi Bouzid II (Scatec/Aeolus, 120 MW)</t>
        </is>
      </c>
      <c r="F364" t="inlineStr">
        <is>
          <t>statut</t>
        </is>
      </c>
      <c r="G364" t="inlineStr">
        <is>
          <t>en construction (COD visée S2 2027)</t>
        </is>
      </c>
      <c r="H364" t="inlineStr"/>
      <c r="I364" t="inlineStr">
        <is>
          <t>déclarée</t>
        </is>
      </c>
      <c r="J364" t="n">
        <v>2026</v>
      </c>
      <c r="K364" t="inlineStr">
        <is>
          <t>B</t>
        </is>
      </c>
      <c r="L364" t="inlineStr">
        <is>
          <t>qualitatif_citation_ok</t>
        </is>
      </c>
      <c r="M364" t="inlineStr">
        <is>
          <t>Scatec</t>
        </is>
      </c>
      <c r="N364" t="inlineStr">
        <is>
          <t>Scatec reaches financial close ... Sidi Bouzid II (communiqué)</t>
        </is>
      </c>
      <c r="O364" t="inlineStr">
        <is>
          <t>https://www.scatec.com/en/?p=8244</t>
        </is>
      </c>
      <c r="P364" t="inlineStr">
        <is>
          <t>2026-06-17</t>
        </is>
      </c>
      <c r="Q364" t="inlineStr">
        <is>
          <t>second half of 2027</t>
        </is>
      </c>
      <c r="R364" t="inlineStr"/>
    </row>
    <row r="365">
      <c r="A365" t="inlineStr">
        <is>
          <t>retenu</t>
        </is>
      </c>
      <c r="B365" t="inlineStr">
        <is>
          <t>A_nord</t>
        </is>
      </c>
      <c r="C365" t="inlineStr">
        <is>
          <t>A</t>
        </is>
      </c>
      <c r="D365" t="inlineStr">
        <is>
          <t>TUN</t>
        </is>
      </c>
      <c r="E365" t="inlineStr">
        <is>
          <t>Sidi Bouzid II (Scatec/Aeolus, 120 MW)</t>
        </is>
      </c>
      <c r="F365" t="inlineStr">
        <is>
          <t>puissance_mwp</t>
        </is>
      </c>
      <c r="G365" t="n">
        <v>120</v>
      </c>
      <c r="H365" t="inlineStr">
        <is>
          <t>MW (DC/AC non précisé)</t>
        </is>
      </c>
      <c r="I365" t="inlineStr">
        <is>
          <t>déclarée</t>
        </is>
      </c>
      <c r="J365" t="n">
        <v>2026</v>
      </c>
      <c r="K365" t="inlineStr">
        <is>
          <t>B</t>
        </is>
      </c>
      <c r="L365" t="inlineStr">
        <is>
          <t>confirmé</t>
        </is>
      </c>
      <c r="M365" t="inlineStr">
        <is>
          <t>Scatec</t>
        </is>
      </c>
      <c r="N365" t="inlineStr">
        <is>
          <t>Scatec reaches financial close ... Sidi Bouzid II (communiqué)</t>
        </is>
      </c>
      <c r="O365" t="inlineStr">
        <is>
          <t>https://www.scatec.com/en/?p=8244</t>
        </is>
      </c>
      <c r="P365" t="inlineStr">
        <is>
          <t>2026-06-17</t>
        </is>
      </c>
      <c r="Q365" t="inlineStr">
        <is>
          <t>120 MW</t>
        </is>
      </c>
      <c r="R365" t="inlineStr"/>
    </row>
    <row r="366">
      <c r="A366" t="inlineStr">
        <is>
          <t>qualitatif</t>
        </is>
      </c>
      <c r="B366" t="inlineStr">
        <is>
          <t>A_nord</t>
        </is>
      </c>
      <c r="C366" t="inlineStr">
        <is>
          <t>A</t>
        </is>
      </c>
      <c r="D366" t="inlineStr">
        <is>
          <t>TUN</t>
        </is>
      </c>
      <c r="E366" t="inlineStr">
        <is>
          <t>AO 2024 – lots attribués (Qair El Gsar/Gafsa 100 MW ; Scatec Mazouna/Sidi Bouzid 100 MW ; Voltalia Menzel Habib/Gabès 100 MW ; Qair Khabena/Sidi Bouzid 198 MW)</t>
        </is>
      </c>
      <c r="F366" t="inlineStr">
        <is>
          <t>statut</t>
        </is>
      </c>
      <c r="G366" t="inlineStr">
        <is>
          <t>attribué</t>
        </is>
      </c>
      <c r="H366" t="inlineStr"/>
      <c r="I366" t="inlineStr">
        <is>
          <t>observée</t>
        </is>
      </c>
      <c r="J366" t="n">
        <v>2024</v>
      </c>
      <c r="K366" t="inlineStr">
        <is>
          <t>C</t>
        </is>
      </c>
      <c r="L366" t="inlineStr">
        <is>
          <t>qualitatif_citation_ok</t>
        </is>
      </c>
      <c r="M366" t="inlineStr">
        <is>
          <t>African Manager (d'après Ministère de l'Industrie)</t>
        </is>
      </c>
      <c r="N366" t="inlineStr">
        <is>
          <t>Réalisation de projets de production d'électricité : voici les résultats d'un appel d'offres</t>
        </is>
      </c>
      <c r="O366" t="inlineStr">
        <is>
          <t>https://africanmanager.com/realisation-de-projets-de-production-delectricite-voici-les-resultats-dun-appel-doffres/</t>
        </is>
      </c>
      <c r="P366" t="inlineStr">
        <is>
          <t>2024-12-27</t>
        </is>
      </c>
      <c r="Q366" t="inlineStr">
        <is>
          <t>Le Ministère de l'Industrie, a fait savoir que les résultats de l'appel d'offres</t>
        </is>
      </c>
      <c r="R366" t="inlineStr">
        <is>
          <t>Tarifs non publiés ; mise en exploitation prévue à partir de 2027 ; Scatec Mazouna = probablement Sidi Bouzid II</t>
        </is>
      </c>
    </row>
    <row r="367">
      <c r="A367" t="inlineStr">
        <is>
          <t>retenu</t>
        </is>
      </c>
      <c r="B367" t="inlineStr">
        <is>
          <t>A_nord</t>
        </is>
      </c>
      <c r="C367" t="inlineStr">
        <is>
          <t>A</t>
        </is>
      </c>
      <c r="D367" t="inlineStr">
        <is>
          <t>TUN</t>
        </is>
      </c>
      <c r="E367" t="inlineStr">
        <is>
          <t>Tozeur I (STEG, 10 MW)</t>
        </is>
      </c>
      <c r="F367" t="inlineStr">
        <is>
          <t>capex_total</t>
        </is>
      </c>
      <c r="G367" t="n">
        <v>16</v>
      </c>
      <c r="H367" t="inlineStr">
        <is>
          <t>M EUR</t>
        </is>
      </c>
      <c r="I367" t="inlineStr">
        <is>
          <t>déclarée</t>
        </is>
      </c>
      <c r="J367" t="n">
        <v>2019</v>
      </c>
      <c r="K367" t="inlineStr">
        <is>
          <t>C</t>
        </is>
      </c>
      <c r="L367" t="inlineStr">
        <is>
          <t>confirmé</t>
        </is>
      </c>
      <c r="M367" t="inlineStr">
        <is>
          <t>pv magazine</t>
        </is>
      </c>
      <c r="N367" t="inlineStr">
        <is>
          <t>Tunisia announces grid-connection of its first solar park</t>
        </is>
      </c>
      <c r="O367" t="inlineStr">
        <is>
          <t>https://www.pv-magazine.com/?p=22517</t>
        </is>
      </c>
      <c r="P367" t="inlineStr">
        <is>
          <t>2019-08-09</t>
        </is>
      </c>
      <c r="Q367" t="inlineStr">
        <is>
          <t>The €16 million project</t>
        </is>
      </c>
      <c r="R367" t="inlineStr"/>
    </row>
    <row r="368">
      <c r="A368" t="inlineStr">
        <is>
          <t>qualitatif</t>
        </is>
      </c>
      <c r="B368" t="inlineStr">
        <is>
          <t>A_nord</t>
        </is>
      </c>
      <c r="C368" t="inlineStr">
        <is>
          <t>A</t>
        </is>
      </c>
      <c r="D368" t="inlineStr">
        <is>
          <t>TUN</t>
        </is>
      </c>
      <c r="E368" t="inlineStr">
        <is>
          <t>Tozeur I (STEG, 10 MW)</t>
        </is>
      </c>
      <c r="F368" t="inlineStr">
        <is>
          <t>financeurs</t>
        </is>
      </c>
      <c r="G368" t="inlineStr">
        <is>
          <t>KfW prêt bonifié 12 M€ + 0,5 M€ services</t>
        </is>
      </c>
      <c r="H368" t="inlineStr"/>
      <c r="I368" t="inlineStr">
        <is>
          <t>observée</t>
        </is>
      </c>
      <c r="J368" t="n">
        <v>2019</v>
      </c>
      <c r="K368" t="inlineStr">
        <is>
          <t>C</t>
        </is>
      </c>
      <c r="L368" t="inlineStr">
        <is>
          <t>qualitatif_citation_ok</t>
        </is>
      </c>
      <c r="M368" t="inlineStr">
        <is>
          <t>pv magazine</t>
        </is>
      </c>
      <c r="N368" t="inlineStr">
        <is>
          <t>Tunisia announces grid-connection of its first solar park</t>
        </is>
      </c>
      <c r="O368" t="inlineStr">
        <is>
          <t>https://www.pv-magazine.com/?p=22517</t>
        </is>
      </c>
      <c r="P368" t="inlineStr">
        <is>
          <t>2019-08-09</t>
        </is>
      </c>
      <c r="Q368" t="inlineStr">
        <is>
          <t>KFW provided a €12 million low-interest rate loan for the plant's construction</t>
        </is>
      </c>
      <c r="R368" t="inlineStr"/>
    </row>
    <row r="369">
      <c r="A369" t="inlineStr">
        <is>
          <t>qualitatif</t>
        </is>
      </c>
      <c r="B369" t="inlineStr">
        <is>
          <t>A_nord</t>
        </is>
      </c>
      <c r="C369" t="inlineStr">
        <is>
          <t>A</t>
        </is>
      </c>
      <c r="D369" t="inlineStr">
        <is>
          <t>TUN</t>
        </is>
      </c>
      <c r="E369" t="inlineStr">
        <is>
          <t>Tozeur I (STEG, 10 MW)</t>
        </is>
      </c>
      <c r="F369" t="inlineStr">
        <is>
          <t>procedure</t>
        </is>
      </c>
      <c r="G369" t="inlineStr">
        <is>
          <t>EPC public (STEG) ; EPC TerniEnergia 12,5 M€</t>
        </is>
      </c>
      <c r="H369" t="inlineStr"/>
      <c r="I369" t="inlineStr">
        <is>
          <t>observée</t>
        </is>
      </c>
      <c r="J369" t="n">
        <v>2017</v>
      </c>
      <c r="K369" t="inlineStr">
        <is>
          <t>C</t>
        </is>
      </c>
      <c r="L369" t="inlineStr">
        <is>
          <t>qualitatif_citation_ok</t>
        </is>
      </c>
      <c r="M369" t="inlineStr">
        <is>
          <t>pv magazine</t>
        </is>
      </c>
      <c r="N369" t="inlineStr">
        <is>
          <t>Tunisia announces grid-connection of its first solar park</t>
        </is>
      </c>
      <c r="O369" t="inlineStr">
        <is>
          <t>https://www.pv-magazine.com/?p=22517</t>
        </is>
      </c>
      <c r="P369" t="inlineStr">
        <is>
          <t>2019-08-09</t>
        </is>
      </c>
      <c r="Q369" t="inlineStr">
        <is>
          <t>won the €12.5 million EPC contract for the project in March</t>
        </is>
      </c>
      <c r="R369" t="inlineStr"/>
    </row>
    <row r="370">
      <c r="A370" t="inlineStr">
        <is>
          <t>qualitatif</t>
        </is>
      </c>
      <c r="B370" t="inlineStr">
        <is>
          <t>A_nord</t>
        </is>
      </c>
      <c r="C370" t="inlineStr">
        <is>
          <t>A</t>
        </is>
      </c>
      <c r="D370" t="inlineStr">
        <is>
          <t>TUN</t>
        </is>
      </c>
      <c r="E370" t="inlineStr">
        <is>
          <t>Tozeur I (STEG, 10 MW)</t>
        </is>
      </c>
      <c r="F370" t="inlineStr">
        <is>
          <t>developpeur</t>
        </is>
      </c>
      <c r="G370" t="inlineStr">
        <is>
          <t>STEG (public)</t>
        </is>
      </c>
      <c r="H370" t="inlineStr"/>
      <c r="I370" t="inlineStr">
        <is>
          <t>observée</t>
        </is>
      </c>
      <c r="J370" t="n">
        <v>2019</v>
      </c>
      <c r="K370" t="inlineStr">
        <is>
          <t>C</t>
        </is>
      </c>
      <c r="L370" t="inlineStr">
        <is>
          <t>qualitatif_citation_ok</t>
        </is>
      </c>
      <c r="M370" t="inlineStr">
        <is>
          <t>pv magazine</t>
        </is>
      </c>
      <c r="N370" t="inlineStr">
        <is>
          <t>Tunisia announces grid-connection of its first solar park</t>
        </is>
      </c>
      <c r="O370" t="inlineStr">
        <is>
          <t>https://www.pv-magazine.com/?p=22517</t>
        </is>
      </c>
      <c r="P370" t="inlineStr">
        <is>
          <t>2019-08-09</t>
        </is>
      </c>
      <c r="Q370" t="inlineStr">
        <is>
          <t>Tunisian state-owned utility Société tunisienne de l'électricité et du gaz (STEG)</t>
        </is>
      </c>
      <c r="R370" t="inlineStr"/>
    </row>
    <row r="371">
      <c r="A371" t="inlineStr">
        <is>
          <t>qualitatif</t>
        </is>
      </c>
      <c r="B371" t="inlineStr">
        <is>
          <t>A_nord</t>
        </is>
      </c>
      <c r="C371" t="inlineStr">
        <is>
          <t>A</t>
        </is>
      </c>
      <c r="D371" t="inlineStr">
        <is>
          <t>DZA</t>
        </is>
      </c>
      <c r="E371" t="inlineStr">
        <is>
          <t>Programme Sonelgaz-EnR 2000 MW (15 centrales)</t>
        </is>
      </c>
      <c r="F371" t="inlineStr">
        <is>
          <t>procedure</t>
        </is>
      </c>
      <c r="G371" t="inlineStr">
        <is>
          <t>Appel d'offres clé en main (EPC) Sonelgaz-EnR</t>
        </is>
      </c>
      <c r="H371" t="inlineStr"/>
      <c r="I371" t="inlineStr">
        <is>
          <t>observée</t>
        </is>
      </c>
      <c r="J371" t="n">
        <v>2023</v>
      </c>
      <c r="K371" t="inlineStr">
        <is>
          <t>C</t>
        </is>
      </c>
      <c r="L371" t="inlineStr">
        <is>
          <t>qualitatif_citation_ok</t>
        </is>
      </c>
      <c r="M371" t="inlineStr">
        <is>
          <t>Algérie Eco</t>
        </is>
      </c>
      <c r="N371" t="inlineStr">
        <is>
          <t>Sonelgaz : appel d'offres pour 15 centrales solaires d'une capacité totale de 2000 MW</t>
        </is>
      </c>
      <c r="O371" t="inlineStr">
        <is>
          <t>https://www.algerie-eco.com/2023/02/28/sonelgaz-appel-doffres-pour-15-centrales-solaires-dune-capacite-totale-de-2000-mw/</t>
        </is>
      </c>
      <c r="P371" t="inlineStr">
        <is>
          <t>2023-02-28</t>
        </is>
      </c>
      <c r="Q371" t="inlineStr">
        <is>
          <t>l'étude, l'ingénierie, le génie civil, la fourniture, le transport, le montage</t>
        </is>
      </c>
      <c r="R371" t="inlineStr">
        <is>
          <t>Liste : Abadla 80, Kendsa 120, Batmete 220, Ras El Oued 80, Merouana 80, Aflou 200, Guerara 80, Frenda 80, Nakhla 200, Taleb Larbi 80, Touggourt 220, M'Ghaier 120, Leghrous 200, Tolga 80, Khenguet Sidi Nadji 150</t>
        </is>
      </c>
    </row>
    <row r="372">
      <c r="A372" t="inlineStr">
        <is>
          <t>retenu</t>
        </is>
      </c>
      <c r="B372" t="inlineStr">
        <is>
          <t>A_nord</t>
        </is>
      </c>
      <c r="C372" t="inlineStr">
        <is>
          <t>A</t>
        </is>
      </c>
      <c r="D372" t="inlineStr">
        <is>
          <t>DZA</t>
        </is>
      </c>
      <c r="E372" t="inlineStr">
        <is>
          <t>Tendla (El M'Ghaier, 200 MW)</t>
        </is>
      </c>
      <c r="F372" t="inlineStr">
        <is>
          <t>puissance_mwp</t>
        </is>
      </c>
      <c r="G372" t="n">
        <v>200</v>
      </c>
      <c r="H372" t="inlineStr">
        <is>
          <t>MW (DC/AC non précisé)</t>
        </is>
      </c>
      <c r="I372" t="inlineStr">
        <is>
          <t>observée</t>
        </is>
      </c>
      <c r="J372" t="n">
        <v>2026</v>
      </c>
      <c r="K372" t="inlineStr">
        <is>
          <t>C</t>
        </is>
      </c>
      <c r="L372" t="inlineStr">
        <is>
          <t>confirmé</t>
        </is>
      </c>
      <c r="M372" t="inlineStr">
        <is>
          <t>Radio Algérienne</t>
        </is>
      </c>
      <c r="N372" t="inlineStr">
        <is>
          <t>Adjal met en service une centrale photovoltaïque de 200 mégawatts à El-Meghaïer</t>
        </is>
      </c>
      <c r="O372" t="inlineStr">
        <is>
          <t>https://news.radioalgerie.dz/fr/node/86449</t>
        </is>
      </c>
      <c r="P372" t="inlineStr">
        <is>
          <t>2026-05-18</t>
        </is>
      </c>
      <c r="Q372" t="inlineStr">
        <is>
          <t>une centrale photovoltaïque d'une capacité de 200 mégawatts</t>
        </is>
      </c>
      <c r="R372" t="inlineStr">
        <is>
          <t>364 000 panneaux</t>
        </is>
      </c>
    </row>
    <row r="373">
      <c r="A373" t="inlineStr">
        <is>
          <t>qualitatif</t>
        </is>
      </c>
      <c r="B373" t="inlineStr">
        <is>
          <t>A_nord</t>
        </is>
      </c>
      <c r="C373" t="inlineStr">
        <is>
          <t>A</t>
        </is>
      </c>
      <c r="D373" t="inlineStr">
        <is>
          <t>DZA</t>
        </is>
      </c>
      <c r="E373" t="inlineStr">
        <is>
          <t>Tendla (El M'Ghaier, 200 MW)</t>
        </is>
      </c>
      <c r="F373" t="inlineStr">
        <is>
          <t>localisation</t>
        </is>
      </c>
      <c r="G373" t="inlineStr">
        <is>
          <t>Commune de Tendla, wilaya d'El-Meghaïer, 400 ha</t>
        </is>
      </c>
      <c r="H373" t="inlineStr"/>
      <c r="I373" t="inlineStr">
        <is>
          <t>observée</t>
        </is>
      </c>
      <c r="J373" t="n">
        <v>2024</v>
      </c>
      <c r="K373" t="inlineStr">
        <is>
          <t>C</t>
        </is>
      </c>
      <c r="L373" t="inlineStr">
        <is>
          <t>qualitatif_citation_ok</t>
        </is>
      </c>
      <c r="M373" t="inlineStr">
        <is>
          <t>Algérie Eco</t>
        </is>
      </c>
      <c r="N373" t="inlineStr">
        <is>
          <t>El-Meghaïer : pose de la 1ère pierre d'une centrale solaire photovoltaïque de 200 MW</t>
        </is>
      </c>
      <c r="O373" t="inlineStr">
        <is>
          <t>https://www.algerie-eco.com/2024/03/25/el-meghaier-pose-de-la-1ere-pierre-dune-centrale-solaire-photovoltaique-de-200-mw/</t>
        </is>
      </c>
      <c r="P373" t="inlineStr">
        <is>
          <t>2024-03-25</t>
        </is>
      </c>
      <c r="Q373" t="inlineStr">
        <is>
          <t>une surface globale de 400 hectares</t>
        </is>
      </c>
      <c r="R373" t="inlineStr">
        <is>
          <t>Délai prévu 14 mois ; constructeur (CSCEC ?) non confirmé</t>
        </is>
      </c>
    </row>
    <row r="374">
      <c r="A374" t="inlineStr">
        <is>
          <t>qualitatif</t>
        </is>
      </c>
      <c r="B374" t="inlineStr">
        <is>
          <t>A_nord</t>
        </is>
      </c>
      <c r="C374" t="inlineStr">
        <is>
          <t>A</t>
        </is>
      </c>
      <c r="D374" t="inlineStr">
        <is>
          <t>DZA</t>
        </is>
      </c>
      <c r="E374" t="inlineStr">
        <is>
          <t>Khenguet Sidi Nadji (Biskra, 150 MW)</t>
        </is>
      </c>
      <c r="F374" t="inlineStr">
        <is>
          <t>statut</t>
        </is>
      </c>
      <c r="G374" t="inlineStr">
        <is>
          <t>en construction (62% en mars 2026)</t>
        </is>
      </c>
      <c r="H374" t="inlineStr"/>
      <c r="I374" t="inlineStr">
        <is>
          <t>observée</t>
        </is>
      </c>
      <c r="J374" t="n">
        <v>2026</v>
      </c>
      <c r="K374" t="inlineStr">
        <is>
          <t>C</t>
        </is>
      </c>
      <c r="L374" t="inlineStr">
        <is>
          <t>qualitatif_citation_ok</t>
        </is>
      </c>
      <c r="M374" t="inlineStr">
        <is>
          <t>Algérie Eco (d'après K. Hedna, Ministère de l'Énergie)</t>
        </is>
      </c>
      <c r="N374" t="inlineStr">
        <is>
          <t>Avancement du programme solaire</t>
        </is>
      </c>
      <c r="O374" t="inlineStr">
        <is>
          <t>https://algerie-eco.com/?p=236679</t>
        </is>
      </c>
      <c r="P374" t="inlineStr">
        <is>
          <t>2026-03-05</t>
        </is>
      </c>
      <c r="Q374" t="inlineStr">
        <is>
          <t>Plusieurs centrales entreront en service au cours de cette année pour une capacité totale de 1.480 MW</t>
        </is>
      </c>
      <c r="R374" t="inlineStr"/>
    </row>
    <row r="375">
      <c r="A375" t="inlineStr">
        <is>
          <t>qualitatif</t>
        </is>
      </c>
      <c r="B375" t="inlineStr">
        <is>
          <t>A_nord</t>
        </is>
      </c>
      <c r="C375" t="inlineStr">
        <is>
          <t>A</t>
        </is>
      </c>
      <c r="D375" t="inlineStr">
        <is>
          <t>DZA</t>
        </is>
      </c>
      <c r="E375" t="inlineStr">
        <is>
          <t>El Foulia (El Oued, 300 MW)</t>
        </is>
      </c>
      <c r="F375" t="inlineStr">
        <is>
          <t>statut</t>
        </is>
      </c>
      <c r="G375" t="inlineStr">
        <is>
          <t>en construction (76% en mars 2026)</t>
        </is>
      </c>
      <c r="H375" t="inlineStr"/>
      <c r="I375" t="inlineStr">
        <is>
          <t>observée</t>
        </is>
      </c>
      <c r="J375" t="n">
        <v>2026</v>
      </c>
      <c r="K375" t="inlineStr">
        <is>
          <t>C</t>
        </is>
      </c>
      <c r="L375" t="inlineStr">
        <is>
          <t>qualitatif_citation_ok</t>
        </is>
      </c>
      <c r="M375" t="inlineStr">
        <is>
          <t>Algérie Eco (d'après K. Hedna, Ministère de l'Énergie)</t>
        </is>
      </c>
      <c r="N375" t="inlineStr">
        <is>
          <t>Avancement du programme solaire</t>
        </is>
      </c>
      <c r="O375" t="inlineStr">
        <is>
          <t>https://algerie-eco.com/?p=236679</t>
        </is>
      </c>
      <c r="P375" t="inlineStr">
        <is>
          <t>2026-03-05</t>
        </is>
      </c>
      <c r="Q375" t="inlineStr">
        <is>
          <t>Plusieurs centrales entreront en service au cours de cette année pour une capacité totale de 1.480 MW</t>
        </is>
      </c>
      <c r="R375" t="inlineStr">
        <is>
          <t>300 MW ne figure pas dans la liste AO 2023 (Nakhla 200 MW à El Oued)</t>
        </is>
      </c>
    </row>
    <row r="376">
      <c r="A376" t="inlineStr">
        <is>
          <t>retenu</t>
        </is>
      </c>
      <c r="B376" t="inlineStr">
        <is>
          <t>A_nord</t>
        </is>
      </c>
      <c r="C376" t="inlineStr">
        <is>
          <t>A</t>
        </is>
      </c>
      <c r="D376" t="inlineStr">
        <is>
          <t>MRT</t>
        </is>
      </c>
      <c r="E376" t="inlineStr">
        <is>
          <t>Toujounine (Nouakchott, 50 MW)</t>
        </is>
      </c>
      <c r="F376" t="inlineStr">
        <is>
          <t>capex_total</t>
        </is>
      </c>
      <c r="G376" t="n">
        <v>19</v>
      </c>
      <c r="H376" t="inlineStr">
        <is>
          <t>milliards MRO (ouguiyas anciennes)</t>
        </is>
      </c>
      <c r="I376" t="inlineStr">
        <is>
          <t>déclarée</t>
        </is>
      </c>
      <c r="J376" t="n">
        <v>2017</v>
      </c>
      <c r="K376" t="inlineStr">
        <is>
          <t>C</t>
        </is>
      </c>
      <c r="L376" t="inlineStr">
        <is>
          <t>confirmé</t>
        </is>
      </c>
      <c r="M376" t="inlineStr">
        <is>
          <t>Financial Afrik</t>
        </is>
      </c>
      <c r="N376" t="inlineStr">
        <is>
          <t>Mauritanie : inauguration d'une centrale solaire photovoltaïque de 50 MW à Toujounine</t>
        </is>
      </c>
      <c r="O376" t="inlineStr">
        <is>
          <t>https://www.financialafrik.com/2017/11/24/mauritanie-inauguration-dune-centrale-solaire-photovoltaique-de-50-mw-a-toujounine</t>
        </is>
      </c>
      <c r="P376" t="inlineStr">
        <is>
          <t>2017-11-24</t>
        </is>
      </c>
      <c r="Q376" t="inlineStr">
        <is>
          <t>19 milliards d'ouguiyas</t>
        </is>
      </c>
      <c r="R376" t="inlineStr">
        <is>
          <t>≈ 53 MUSD au taux 2017 (conversion non faite par la source)</t>
        </is>
      </c>
    </row>
    <row r="377">
      <c r="A377" t="inlineStr">
        <is>
          <t>qualitatif</t>
        </is>
      </c>
      <c r="B377" t="inlineStr">
        <is>
          <t>A_nord</t>
        </is>
      </c>
      <c r="C377" t="inlineStr">
        <is>
          <t>A</t>
        </is>
      </c>
      <c r="D377" t="inlineStr">
        <is>
          <t>MRT</t>
        </is>
      </c>
      <c r="E377" t="inlineStr">
        <is>
          <t>Toujounine (Nouakchott, 50 MW)</t>
        </is>
      </c>
      <c r="F377" t="inlineStr">
        <is>
          <t>financeurs</t>
        </is>
      </c>
      <c r="G377" t="inlineStr">
        <is>
          <t>État mauritanien + Fonds arabe pour le développement économique et social (FADES)</t>
        </is>
      </c>
      <c r="H377" t="inlineStr"/>
      <c r="I377" t="inlineStr">
        <is>
          <t>observée</t>
        </is>
      </c>
      <c r="J377" t="n">
        <v>2017</v>
      </c>
      <c r="K377" t="inlineStr">
        <is>
          <t>C</t>
        </is>
      </c>
      <c r="L377" t="inlineStr">
        <is>
          <t>qualitatif_citation_ok</t>
        </is>
      </c>
      <c r="M377" t="inlineStr">
        <is>
          <t>Financial Afrik</t>
        </is>
      </c>
      <c r="N377" t="inlineStr">
        <is>
          <t>Mauritanie : inauguration d'une centrale solaire photovoltaïque de 50 MW à Toujounine</t>
        </is>
      </c>
      <c r="O377" t="inlineStr">
        <is>
          <t>https://www.financialafrik.com/2017/11/24/mauritanie-inauguration-dune-centrale-solaire-photovoltaique-de-50-mw-a-toujounine</t>
        </is>
      </c>
      <c r="P377" t="inlineStr">
        <is>
          <t>2017-11-24</t>
        </is>
      </c>
      <c r="Q377" t="inlineStr">
        <is>
          <t>cofinancé</t>
        </is>
      </c>
      <c r="R377" t="inlineStr"/>
    </row>
    <row r="378">
      <c r="A378" t="inlineStr">
        <is>
          <t>retenu</t>
        </is>
      </c>
      <c r="B378" t="inlineStr">
        <is>
          <t>A_nord</t>
        </is>
      </c>
      <c r="C378" t="inlineStr">
        <is>
          <t>A</t>
        </is>
      </c>
      <c r="D378" t="inlineStr">
        <is>
          <t>MRT</t>
        </is>
      </c>
      <c r="E378" t="inlineStr">
        <is>
          <t>Toujounine (Nouakchott, 50 MW)</t>
        </is>
      </c>
      <c r="F378" t="inlineStr">
        <is>
          <t>puissance_mwp</t>
        </is>
      </c>
      <c r="G378" t="n">
        <v>50</v>
      </c>
      <c r="H378" t="inlineStr">
        <is>
          <t>MW (DC/AC non précisé)</t>
        </is>
      </c>
      <c r="I378" t="inlineStr">
        <is>
          <t>observée</t>
        </is>
      </c>
      <c r="J378" t="n">
        <v>2017</v>
      </c>
      <c r="K378" t="inlineStr">
        <is>
          <t>C</t>
        </is>
      </c>
      <c r="L378" t="inlineStr">
        <is>
          <t>confirmé</t>
        </is>
      </c>
      <c r="M378" t="inlineStr">
        <is>
          <t>Financial Afrik</t>
        </is>
      </c>
      <c r="N378" t="inlineStr">
        <is>
          <t>Mauritanie : inauguration d'une centrale solaire photovoltaïque de 50 MW à Toujounine</t>
        </is>
      </c>
      <c r="O378" t="inlineStr">
        <is>
          <t>https://www.financialafrik.com/2017/11/24/mauritanie-inauguration-dune-centrale-solaire-photovoltaique-de-50-mw-a-toujounine</t>
        </is>
      </c>
      <c r="P378" t="inlineStr">
        <is>
          <t>2017-11-24</t>
        </is>
      </c>
      <c r="Q378" t="inlineStr">
        <is>
          <t>une centrale solaire de 50 MW</t>
        </is>
      </c>
      <c r="R378" t="inlineStr"/>
    </row>
    <row r="379">
      <c r="A379" t="inlineStr">
        <is>
          <t>retenu</t>
        </is>
      </c>
      <c r="B379" t="inlineStr">
        <is>
          <t>A_nord</t>
        </is>
      </c>
      <c r="C379" t="inlineStr">
        <is>
          <t>A</t>
        </is>
      </c>
      <c r="D379" t="inlineStr">
        <is>
          <t>MRT</t>
        </is>
      </c>
      <c r="E379" t="inlineStr">
        <is>
          <t>Toujounine (Nouakchott, 50 MW)</t>
        </is>
      </c>
      <c r="F379" t="inlineStr">
        <is>
          <t>production_gwh_an</t>
        </is>
      </c>
      <c r="G379" t="n">
        <v>100</v>
      </c>
      <c r="H379" t="inlineStr">
        <is>
          <t>GWh/an</t>
        </is>
      </c>
      <c r="I379" t="inlineStr">
        <is>
          <t>déclarée</t>
        </is>
      </c>
      <c r="J379" t="n">
        <v>2022</v>
      </c>
      <c r="K379" t="inlineStr">
        <is>
          <t>D</t>
        </is>
      </c>
      <c r="L379" t="inlineStr">
        <is>
          <t>confirmé</t>
        </is>
      </c>
      <c r="M379" t="inlineStr">
        <is>
          <t>AERA Group</t>
        </is>
      </c>
      <c r="N379" t="inlineStr">
        <is>
          <t>Large scale grid connected solar PV Project in Toujounine</t>
        </is>
      </c>
      <c r="O379" t="inlineStr">
        <is>
          <t>https://www.aera-group.fr/portfolio/portfolio/large-scale-grid-connected-solar-pv-project-in-toujounine</t>
        </is>
      </c>
      <c r="P379" t="inlineStr">
        <is>
          <t>consulté 2026-10-17</t>
        </is>
      </c>
      <c r="Q379" t="inlineStr">
        <is>
          <t>generating 100 GWh annually</t>
        </is>
      </c>
      <c r="R379" t="inlineStr">
        <is>
          <t>Développeur de crédits carbone ; non recoupé</t>
        </is>
      </c>
    </row>
    <row r="380">
      <c r="A380" t="inlineStr">
        <is>
          <t>qualitatif</t>
        </is>
      </c>
      <c r="B380" t="inlineStr">
        <is>
          <t>A_nord</t>
        </is>
      </c>
      <c r="C380" t="inlineStr">
        <is>
          <t>A</t>
        </is>
      </c>
      <c r="D380" t="inlineStr">
        <is>
          <t>MRT</t>
        </is>
      </c>
      <c r="E380" t="inlineStr">
        <is>
          <t>Toujounine (Nouakchott, 50 MW)</t>
        </is>
      </c>
      <c r="F380" t="inlineStr">
        <is>
          <t>developpeur</t>
        </is>
      </c>
      <c r="G380" t="inlineStr">
        <is>
          <t>SOMELEC (maître d'ouvrage public)</t>
        </is>
      </c>
      <c r="H380" t="inlineStr"/>
      <c r="I380" t="inlineStr">
        <is>
          <t>observée</t>
        </is>
      </c>
      <c r="J380" t="n">
        <v>2017</v>
      </c>
      <c r="K380" t="inlineStr">
        <is>
          <t>D</t>
        </is>
      </c>
      <c r="L380" t="inlineStr">
        <is>
          <t>qualitatif_citation_ok</t>
        </is>
      </c>
      <c r="M380" t="inlineStr">
        <is>
          <t>AERA Group</t>
        </is>
      </c>
      <c r="N380" t="inlineStr">
        <is>
          <t>Large scale grid connected solar PV Project in Toujounine</t>
        </is>
      </c>
      <c r="O380" t="inlineStr">
        <is>
          <t>https://www.aera-group.fr/portfolio/portfolio/large-scale-grid-connected-solar-pv-project-in-toujounine</t>
        </is>
      </c>
      <c r="P380" t="inlineStr">
        <is>
          <t>consulté 2026-10-17</t>
        </is>
      </c>
      <c r="Q380" t="inlineStr">
        <is>
          <t>Project owner: Somelec</t>
        </is>
      </c>
      <c r="R380" t="inlineStr"/>
    </row>
    <row r="381">
      <c r="A381" t="inlineStr">
        <is>
          <t>retenu</t>
        </is>
      </c>
      <c r="B381" t="inlineStr">
        <is>
          <t>A_ouest</t>
        </is>
      </c>
      <c r="C381" t="inlineStr">
        <is>
          <t>A</t>
        </is>
      </c>
      <c r="D381" t="inlineStr">
        <is>
          <t>SEN</t>
        </is>
      </c>
      <c r="E381" t="inlineStr">
        <is>
          <t>Kahone Solaire (Scaling Solar)</t>
        </is>
      </c>
      <c r="F381" t="inlineStr">
        <is>
          <t>tarif</t>
        </is>
      </c>
      <c r="G381" t="n">
        <v>0.038</v>
      </c>
      <c r="H381" t="inlineStr">
        <is>
          <t>EUR/kWh</t>
        </is>
      </c>
      <c r="I381" t="inlineStr">
        <is>
          <t>observée</t>
        </is>
      </c>
      <c r="J381" t="n">
        <v>2018</v>
      </c>
      <c r="K381" t="inlineStr">
        <is>
          <t>A</t>
        </is>
      </c>
      <c r="L381" t="inlineStr">
        <is>
          <t>citation_partielle</t>
        </is>
      </c>
      <c r="M381" t="inlineStr">
        <is>
          <t>IFC</t>
        </is>
      </c>
      <c r="N381" t="inlineStr">
        <is>
          <t>PPP Stories – Scaling Solar | Senegal</t>
        </is>
      </c>
      <c r="O381" t="inlineStr">
        <is>
          <t>https://www.ifc.org/content/dam/ifc/doc/2021/2021-senegal-scaling-solar-ppp-brief.pdf</t>
        </is>
      </c>
      <c r="P381" t="inlineStr">
        <is>
          <t>2021-01</t>
        </is>
      </c>
      <c r="Q381" t="inlineStr">
        <is>
          <t>the ENGIE/MERIDIAM Consortium was awarded the two projects having offered the lowest bids at 3.80 euro cents per kilowatt hour for the solar plant located in Kahone</t>
        </is>
      </c>
      <c r="R381" t="inlineStr">
        <is>
          <t>Tarif d'offre retenu (appel d'offres). Indexation non précisée dans la source.</t>
        </is>
      </c>
    </row>
    <row r="382">
      <c r="A382" t="inlineStr">
        <is>
          <t>retenu</t>
        </is>
      </c>
      <c r="B382" t="inlineStr">
        <is>
          <t>A_ouest</t>
        </is>
      </c>
      <c r="C382" t="inlineStr">
        <is>
          <t>A</t>
        </is>
      </c>
      <c r="D382" t="inlineStr">
        <is>
          <t>SEN</t>
        </is>
      </c>
      <c r="E382" t="inlineStr">
        <is>
          <t>Kael Solaire (Scaling Solar)</t>
        </is>
      </c>
      <c r="F382" t="inlineStr">
        <is>
          <t>tarif</t>
        </is>
      </c>
      <c r="G382" t="n">
        <v>0.0398</v>
      </c>
      <c r="H382" t="inlineStr">
        <is>
          <t>EUR/kWh</t>
        </is>
      </c>
      <c r="I382" t="inlineStr">
        <is>
          <t>observée</t>
        </is>
      </c>
      <c r="J382" t="n">
        <v>2018</v>
      </c>
      <c r="K382" t="inlineStr">
        <is>
          <t>A</t>
        </is>
      </c>
      <c r="L382" t="inlineStr">
        <is>
          <t>citation_partielle</t>
        </is>
      </c>
      <c r="M382" t="inlineStr">
        <is>
          <t>IFC</t>
        </is>
      </c>
      <c r="N382" t="inlineStr">
        <is>
          <t>PPP Stories – Scaling Solar | Senegal</t>
        </is>
      </c>
      <c r="O382" t="inlineStr">
        <is>
          <t>https://www.ifc.org/content/dam/ifc/doc/2021/2021-senegal-scaling-solar-ppp-brief.pdf</t>
        </is>
      </c>
      <c r="P382" t="inlineStr">
        <is>
          <t>2021-01</t>
        </is>
      </c>
      <c r="Q382" t="inlineStr">
        <is>
          <t>and 3.98 euro cents per kilowatt hour for the solar plant located in Kael; the lowest tariffs in Sub-Saharan Africa to date</t>
        </is>
      </c>
      <c r="R382" t="inlineStr">
        <is>
          <t>Tarif d'offre retenu. Indexation non précisée.</t>
        </is>
      </c>
    </row>
    <row r="383">
      <c r="A383" t="inlineStr">
        <is>
          <t>retenu</t>
        </is>
      </c>
      <c r="B383" t="inlineStr">
        <is>
          <t>A_ouest</t>
        </is>
      </c>
      <c r="C383" t="inlineStr">
        <is>
          <t>A</t>
        </is>
      </c>
      <c r="D383" t="inlineStr">
        <is>
          <t>SEN</t>
        </is>
      </c>
      <c r="E383" t="inlineStr">
        <is>
          <t>Kahone Solaire (Scaling Solar)</t>
        </is>
      </c>
      <c r="F383" t="inlineStr">
        <is>
          <t>annee_attribution</t>
        </is>
      </c>
      <c r="G383" t="n">
        <v>2018</v>
      </c>
      <c r="H383" t="inlineStr">
        <is>
          <t>année</t>
        </is>
      </c>
      <c r="I383" t="inlineStr">
        <is>
          <t>observée</t>
        </is>
      </c>
      <c r="J383" t="n">
        <v>2018</v>
      </c>
      <c r="K383" t="inlineStr">
        <is>
          <t>A</t>
        </is>
      </c>
      <c r="L383" t="inlineStr">
        <is>
          <t>citation_partielle</t>
        </is>
      </c>
      <c r="M383" t="inlineStr">
        <is>
          <t>IFC</t>
        </is>
      </c>
      <c r="N383" t="inlineStr">
        <is>
          <t>PPP Stories – Scaling Solar | Senegal</t>
        </is>
      </c>
      <c r="O383" t="inlineStr">
        <is>
          <t>https://www.ifc.org/content/dam/ifc/doc/2021/2021-senegal-scaling-solar-ppp-brief.pdf</t>
        </is>
      </c>
      <c r="P383" t="inlineStr">
        <is>
          <t>2021-01</t>
        </is>
      </c>
      <c r="Q383" t="inlineStr">
        <is>
          <t>On April 5, 2018 the ENGIE/MERIDIAM Consortium was awarded the two projects</t>
        </is>
      </c>
      <c r="R383" t="inlineStr"/>
    </row>
    <row r="384">
      <c r="A384" t="inlineStr">
        <is>
          <t>qualitatif</t>
        </is>
      </c>
      <c r="B384" t="inlineStr">
        <is>
          <t>A_ouest</t>
        </is>
      </c>
      <c r="C384" t="inlineStr">
        <is>
          <t>A</t>
        </is>
      </c>
      <c r="D384" t="inlineStr">
        <is>
          <t>SEN</t>
        </is>
      </c>
      <c r="E384" t="inlineStr">
        <is>
          <t>Kahone Solaire (Scaling Solar)</t>
        </is>
      </c>
      <c r="F384" t="inlineStr">
        <is>
          <t>procedure</t>
        </is>
      </c>
      <c r="G384" t="inlineStr">
        <is>
          <t>appel d'offres (Scaling Solar, IFC conseiller)</t>
        </is>
      </c>
      <c r="H384" t="inlineStr">
        <is>
          <t>texte</t>
        </is>
      </c>
      <c r="I384" t="inlineStr">
        <is>
          <t>observée</t>
        </is>
      </c>
      <c r="J384" t="n">
        <v>2018</v>
      </c>
      <c r="K384" t="inlineStr">
        <is>
          <t>A</t>
        </is>
      </c>
      <c r="L384" t="inlineStr">
        <is>
          <t>qualitatif_citation_ok</t>
        </is>
      </c>
      <c r="M384" t="inlineStr">
        <is>
          <t>IFC</t>
        </is>
      </c>
      <c r="N384" t="inlineStr">
        <is>
          <t>PPP Stories – Scaling Solar | Senegal</t>
        </is>
      </c>
      <c r="O384" t="inlineStr">
        <is>
          <t>https://www.ifc.org/content/dam/ifc/doc/2021/2021-senegal-scaling-solar-ppp-brief.pdf</t>
        </is>
      </c>
      <c r="P384" t="inlineStr">
        <is>
          <t>2021-01</t>
        </is>
      </c>
      <c r="Q384" t="inlineStr">
        <is>
          <t>This transaction was the first competitively tendered independent power generating project in Senegal</t>
        </is>
      </c>
      <c r="R384" t="inlineStr"/>
    </row>
    <row r="385">
      <c r="A385" t="inlineStr">
        <is>
          <t>retenu</t>
        </is>
      </c>
      <c r="B385" t="inlineStr">
        <is>
          <t>A_ouest</t>
        </is>
      </c>
      <c r="C385" t="inlineStr">
        <is>
          <t>A</t>
        </is>
      </c>
      <c r="D385" t="inlineStr">
        <is>
          <t>SEN</t>
        </is>
      </c>
      <c r="E385" t="inlineStr">
        <is>
          <t>Kahone Solaire (Scaling Solar)</t>
        </is>
      </c>
      <c r="F385" t="inlineStr">
        <is>
          <t>ppa_duree</t>
        </is>
      </c>
      <c r="G385" t="n">
        <v>25</v>
      </c>
      <c r="H385" t="inlineStr">
        <is>
          <t>ans</t>
        </is>
      </c>
      <c r="I385" t="inlineStr">
        <is>
          <t>observée</t>
        </is>
      </c>
      <c r="J385" t="n">
        <v>2018</v>
      </c>
      <c r="K385" t="inlineStr">
        <is>
          <t>A</t>
        </is>
      </c>
      <c r="L385" t="inlineStr">
        <is>
          <t>citation_partielle</t>
        </is>
      </c>
      <c r="M385" t="inlineStr">
        <is>
          <t>MIGA</t>
        </is>
      </c>
      <c r="N385" t="inlineStr">
        <is>
          <t>Scaling Solar Senegal (project page)</t>
        </is>
      </c>
      <c r="O385" t="inlineStr">
        <is>
          <t>https://www.miga.org/project/scaling-solar-senegal</t>
        </is>
      </c>
      <c r="P385" t="inlineStr">
        <is>
          <t>2020</t>
        </is>
      </c>
      <c r="Q385" t="inlineStr">
        <is>
          <t>under two 25-year take-or-pay Power Purchase Agreements</t>
        </is>
      </c>
      <c r="R385" t="inlineStr">
        <is>
          <t>Take-or-pay ; acheteur Senelec.</t>
        </is>
      </c>
    </row>
    <row r="386">
      <c r="A386" t="inlineStr">
        <is>
          <t>qualitatif</t>
        </is>
      </c>
      <c r="B386" t="inlineStr">
        <is>
          <t>A_ouest</t>
        </is>
      </c>
      <c r="C386" t="inlineStr">
        <is>
          <t>A</t>
        </is>
      </c>
      <c r="D386" t="inlineStr">
        <is>
          <t>SEN</t>
        </is>
      </c>
      <c r="E386" t="inlineStr">
        <is>
          <t>Kahone Solaire (Scaling Solar)</t>
        </is>
      </c>
      <c r="F386" t="inlineStr">
        <is>
          <t>acheteur</t>
        </is>
      </c>
      <c r="G386" t="inlineStr">
        <is>
          <t>Senelec</t>
        </is>
      </c>
      <c r="H386" t="inlineStr">
        <is>
          <t>texte</t>
        </is>
      </c>
      <c r="I386" t="inlineStr">
        <is>
          <t>observée</t>
        </is>
      </c>
      <c r="J386" t="n">
        <v>2018</v>
      </c>
      <c r="K386" t="inlineStr">
        <is>
          <t>A</t>
        </is>
      </c>
      <c r="L386" t="inlineStr">
        <is>
          <t>qualitatif_citation_ok</t>
        </is>
      </c>
      <c r="M386" t="inlineStr">
        <is>
          <t>MIGA</t>
        </is>
      </c>
      <c r="N386" t="inlineStr">
        <is>
          <t>MIGA Supports Solar Power Generation in Senegal</t>
        </is>
      </c>
      <c r="O386" t="inlineStr">
        <is>
          <t>https://www.miga.org/press-release/miga-supports-solar-power-generation-senegal</t>
        </is>
      </c>
      <c r="P386" t="inlineStr">
        <is>
          <t>2019-09-10</t>
        </is>
      </c>
      <c r="Q386" t="inlineStr">
        <is>
          <t>will be sold to Senelec, the State-owned power utility, under separate 25-year Power Purchase Agreements</t>
        </is>
      </c>
      <c r="R386" t="inlineStr"/>
    </row>
    <row r="387">
      <c r="A387" t="inlineStr">
        <is>
          <t>qualitatif</t>
        </is>
      </c>
      <c r="B387" t="inlineStr">
        <is>
          <t>A_ouest</t>
        </is>
      </c>
      <c r="C387" t="inlineStr">
        <is>
          <t>A</t>
        </is>
      </c>
      <c r="D387" t="inlineStr">
        <is>
          <t>SEN</t>
        </is>
      </c>
      <c r="E387" t="inlineStr">
        <is>
          <t>Kahone Solaire (Scaling Solar)</t>
        </is>
      </c>
      <c r="F387" t="inlineStr">
        <is>
          <t>garanties</t>
        </is>
      </c>
      <c r="G387" t="inlineStr">
        <is>
          <t>MIGA 6,9 M EUR (risques non commerciaux, ≤15 ans) pour les deux centrales ; PRG Banque mondiale proposée dans le package Scaling Solar</t>
        </is>
      </c>
      <c r="H387" t="inlineStr">
        <is>
          <t>texte</t>
        </is>
      </c>
      <c r="I387" t="inlineStr">
        <is>
          <t>observée</t>
        </is>
      </c>
      <c r="J387" t="n">
        <v>2019</v>
      </c>
      <c r="K387" t="inlineStr">
        <is>
          <t>A</t>
        </is>
      </c>
      <c r="L387" t="inlineStr">
        <is>
          <t>qualitatif_citation_ok</t>
        </is>
      </c>
      <c r="M387" t="inlineStr">
        <is>
          <t>MIGA</t>
        </is>
      </c>
      <c r="N387" t="inlineStr">
        <is>
          <t>MIGA Supports Solar Power Generation in Senegal</t>
        </is>
      </c>
      <c r="O387" t="inlineStr">
        <is>
          <t>https://www.miga.org/press-release/miga-supports-solar-power-generation-senegal</t>
        </is>
      </c>
      <c r="P387" t="inlineStr">
        <is>
          <t>2019-09-10</t>
        </is>
      </c>
      <c r="Q387" t="inlineStr">
        <is>
          <t>has issued EUR6.9 million in guarantees ... provide protection against non-commercial risks for a duration of up to 15 years</t>
        </is>
      </c>
      <c r="R387" t="inlineStr">
        <is>
          <t>Garantie commune aux deux projets. L'usage effectif d'une PRG Banque mondiale n'a pas été confirmé.</t>
        </is>
      </c>
    </row>
    <row r="388">
      <c r="A388" t="inlineStr">
        <is>
          <t>qualitatif</t>
        </is>
      </c>
      <c r="B388" t="inlineStr">
        <is>
          <t>A_ouest</t>
        </is>
      </c>
      <c r="C388" t="inlineStr">
        <is>
          <t>A</t>
        </is>
      </c>
      <c r="D388" t="inlineStr">
        <is>
          <t>SEN</t>
        </is>
      </c>
      <c r="E388" t="inlineStr">
        <is>
          <t>Kahone Solaire (Scaling Solar)</t>
        </is>
      </c>
      <c r="F388" t="inlineStr">
        <is>
          <t>statut</t>
        </is>
      </c>
      <c r="G388" t="inlineStr">
        <is>
          <t>en service</t>
        </is>
      </c>
      <c r="H388" t="inlineStr">
        <is>
          <t>texte</t>
        </is>
      </c>
      <c r="I388" t="inlineStr">
        <is>
          <t>observée</t>
        </is>
      </c>
      <c r="J388" t="n">
        <v>2021</v>
      </c>
      <c r="K388" t="inlineStr">
        <is>
          <t>A</t>
        </is>
      </c>
      <c r="L388" t="inlineStr">
        <is>
          <t>qualitatif_citation_ok</t>
        </is>
      </c>
      <c r="M388" t="inlineStr">
        <is>
          <t>BEI</t>
        </is>
      </c>
      <c r="N388" t="inlineStr">
        <is>
          <t>communiqué 2021-183</t>
        </is>
      </c>
      <c r="O388" t="inlineStr">
        <is>
          <t>https://www.eib.org/fr/press/all/2021-183-scaling-solar-two-pv-plants-bring-clean-energy-to-more-than-500000-in-senegal</t>
        </is>
      </c>
      <c r="P388" t="inlineStr">
        <is>
          <t>2021-06-02</t>
        </is>
      </c>
      <c r="Q388" t="inlineStr">
        <is>
          <t>qui ont été mises en service le mois dernier</t>
        </is>
      </c>
      <c r="R388" t="inlineStr"/>
    </row>
    <row r="389">
      <c r="A389" t="inlineStr">
        <is>
          <t>retenu</t>
        </is>
      </c>
      <c r="B389" t="inlineStr">
        <is>
          <t>A_ouest</t>
        </is>
      </c>
      <c r="C389" t="inlineStr">
        <is>
          <t>A</t>
        </is>
      </c>
      <c r="D389" t="inlineStr">
        <is>
          <t>SEN</t>
        </is>
      </c>
      <c r="E389" t="inlineStr">
        <is>
          <t>Kael Solaire (Scaling Solar)</t>
        </is>
      </c>
      <c r="F389" t="inlineStr">
        <is>
          <t>annee_attribution</t>
        </is>
      </c>
      <c r="G389" t="n">
        <v>2018</v>
      </c>
      <c r="H389" t="inlineStr">
        <is>
          <t>année</t>
        </is>
      </c>
      <c r="I389" t="inlineStr">
        <is>
          <t>observée</t>
        </is>
      </c>
      <c r="J389" t="n">
        <v>2018</v>
      </c>
      <c r="K389" t="inlineStr">
        <is>
          <t>A</t>
        </is>
      </c>
      <c r="L389" t="inlineStr">
        <is>
          <t>citation_partielle</t>
        </is>
      </c>
      <c r="M389" t="inlineStr">
        <is>
          <t>IFC</t>
        </is>
      </c>
      <c r="N389" t="inlineStr">
        <is>
          <t>PPP Stories – Scaling Solar | Senegal</t>
        </is>
      </c>
      <c r="O389" t="inlineStr">
        <is>
          <t>https://www.ifc.org/content/dam/ifc/doc/2021/2021-senegal-scaling-solar-ppp-brief.pdf</t>
        </is>
      </c>
      <c r="P389" t="inlineStr">
        <is>
          <t>2021-01</t>
        </is>
      </c>
      <c r="Q389" t="inlineStr">
        <is>
          <t>On April 5, 2018 the ENGIE/MERIDIAM Consortium was awarded the two projects</t>
        </is>
      </c>
      <c r="R389" t="inlineStr"/>
    </row>
    <row r="390">
      <c r="A390" t="inlineStr">
        <is>
          <t>qualitatif</t>
        </is>
      </c>
      <c r="B390" t="inlineStr">
        <is>
          <t>A_ouest</t>
        </is>
      </c>
      <c r="C390" t="inlineStr">
        <is>
          <t>A</t>
        </is>
      </c>
      <c r="D390" t="inlineStr">
        <is>
          <t>SEN</t>
        </is>
      </c>
      <c r="E390" t="inlineStr">
        <is>
          <t>Kael Solaire (Scaling Solar)</t>
        </is>
      </c>
      <c r="F390" t="inlineStr">
        <is>
          <t>procedure</t>
        </is>
      </c>
      <c r="G390" t="inlineStr">
        <is>
          <t>appel d'offres (Scaling Solar, IFC conseiller)</t>
        </is>
      </c>
      <c r="H390" t="inlineStr">
        <is>
          <t>texte</t>
        </is>
      </c>
      <c r="I390" t="inlineStr">
        <is>
          <t>observée</t>
        </is>
      </c>
      <c r="J390" t="n">
        <v>2018</v>
      </c>
      <c r="K390" t="inlineStr">
        <is>
          <t>A</t>
        </is>
      </c>
      <c r="L390" t="inlineStr">
        <is>
          <t>qualitatif_citation_ok</t>
        </is>
      </c>
      <c r="M390" t="inlineStr">
        <is>
          <t>IFC</t>
        </is>
      </c>
      <c r="N390" t="inlineStr">
        <is>
          <t>PPP Stories – Scaling Solar | Senegal</t>
        </is>
      </c>
      <c r="O390" t="inlineStr">
        <is>
          <t>https://www.ifc.org/content/dam/ifc/doc/2021/2021-senegal-scaling-solar-ppp-brief.pdf</t>
        </is>
      </c>
      <c r="P390" t="inlineStr">
        <is>
          <t>2021-01</t>
        </is>
      </c>
      <c r="Q390" t="inlineStr">
        <is>
          <t>This transaction was the first competitively tendered independent power generating project in Senegal</t>
        </is>
      </c>
      <c r="R390" t="inlineStr"/>
    </row>
    <row r="391">
      <c r="A391" t="inlineStr">
        <is>
          <t>retenu</t>
        </is>
      </c>
      <c r="B391" t="inlineStr">
        <is>
          <t>A_ouest</t>
        </is>
      </c>
      <c r="C391" t="inlineStr">
        <is>
          <t>A</t>
        </is>
      </c>
      <c r="D391" t="inlineStr">
        <is>
          <t>SEN</t>
        </is>
      </c>
      <c r="E391" t="inlineStr">
        <is>
          <t>Kael Solaire (Scaling Solar)</t>
        </is>
      </c>
      <c r="F391" t="inlineStr">
        <is>
          <t>ppa_duree</t>
        </is>
      </c>
      <c r="G391" t="n">
        <v>25</v>
      </c>
      <c r="H391" t="inlineStr">
        <is>
          <t>ans</t>
        </is>
      </c>
      <c r="I391" t="inlineStr">
        <is>
          <t>observée</t>
        </is>
      </c>
      <c r="J391" t="n">
        <v>2018</v>
      </c>
      <c r="K391" t="inlineStr">
        <is>
          <t>A</t>
        </is>
      </c>
      <c r="L391" t="inlineStr">
        <is>
          <t>citation_partielle</t>
        </is>
      </c>
      <c r="M391" t="inlineStr">
        <is>
          <t>MIGA</t>
        </is>
      </c>
      <c r="N391" t="inlineStr">
        <is>
          <t>Scaling Solar Senegal (project page)</t>
        </is>
      </c>
      <c r="O391" t="inlineStr">
        <is>
          <t>https://www.miga.org/project/scaling-solar-senegal</t>
        </is>
      </c>
      <c r="P391" t="inlineStr">
        <is>
          <t>2020</t>
        </is>
      </c>
      <c r="Q391" t="inlineStr">
        <is>
          <t>under two 25-year take-or-pay Power Purchase Agreements</t>
        </is>
      </c>
      <c r="R391" t="inlineStr">
        <is>
          <t>Take-or-pay ; acheteur Senelec.</t>
        </is>
      </c>
    </row>
    <row r="392">
      <c r="A392" t="inlineStr">
        <is>
          <t>qualitatif</t>
        </is>
      </c>
      <c r="B392" t="inlineStr">
        <is>
          <t>A_ouest</t>
        </is>
      </c>
      <c r="C392" t="inlineStr">
        <is>
          <t>A</t>
        </is>
      </c>
      <c r="D392" t="inlineStr">
        <is>
          <t>SEN</t>
        </is>
      </c>
      <c r="E392" t="inlineStr">
        <is>
          <t>Kael Solaire (Scaling Solar)</t>
        </is>
      </c>
      <c r="F392" t="inlineStr">
        <is>
          <t>acheteur</t>
        </is>
      </c>
      <c r="G392" t="inlineStr">
        <is>
          <t>Senelec</t>
        </is>
      </c>
      <c r="H392" t="inlineStr">
        <is>
          <t>texte</t>
        </is>
      </c>
      <c r="I392" t="inlineStr">
        <is>
          <t>observée</t>
        </is>
      </c>
      <c r="J392" t="n">
        <v>2018</v>
      </c>
      <c r="K392" t="inlineStr">
        <is>
          <t>A</t>
        </is>
      </c>
      <c r="L392" t="inlineStr">
        <is>
          <t>qualitatif_citation_ok</t>
        </is>
      </c>
      <c r="M392" t="inlineStr">
        <is>
          <t>MIGA</t>
        </is>
      </c>
      <c r="N392" t="inlineStr">
        <is>
          <t>MIGA Supports Solar Power Generation in Senegal</t>
        </is>
      </c>
      <c r="O392" t="inlineStr">
        <is>
          <t>https://www.miga.org/press-release/miga-supports-solar-power-generation-senegal</t>
        </is>
      </c>
      <c r="P392" t="inlineStr">
        <is>
          <t>2019-09-10</t>
        </is>
      </c>
      <c r="Q392" t="inlineStr">
        <is>
          <t>will be sold to Senelec, the State-owned power utility, under separate 25-year Power Purchase Agreements</t>
        </is>
      </c>
      <c r="R392" t="inlineStr"/>
    </row>
    <row r="393">
      <c r="A393" t="inlineStr">
        <is>
          <t>qualitatif</t>
        </is>
      </c>
      <c r="B393" t="inlineStr">
        <is>
          <t>A_ouest</t>
        </is>
      </c>
      <c r="C393" t="inlineStr">
        <is>
          <t>A</t>
        </is>
      </c>
      <c r="D393" t="inlineStr">
        <is>
          <t>SEN</t>
        </is>
      </c>
      <c r="E393" t="inlineStr">
        <is>
          <t>Kael Solaire (Scaling Solar)</t>
        </is>
      </c>
      <c r="F393" t="inlineStr">
        <is>
          <t>garanties</t>
        </is>
      </c>
      <c r="G393" t="inlineStr">
        <is>
          <t>MIGA 6,9 M EUR (risques non commerciaux, ≤15 ans) pour les deux centrales ; PRG Banque mondiale proposée dans le package Scaling Solar</t>
        </is>
      </c>
      <c r="H393" t="inlineStr">
        <is>
          <t>texte</t>
        </is>
      </c>
      <c r="I393" t="inlineStr">
        <is>
          <t>observée</t>
        </is>
      </c>
      <c r="J393" t="n">
        <v>2019</v>
      </c>
      <c r="K393" t="inlineStr">
        <is>
          <t>A</t>
        </is>
      </c>
      <c r="L393" t="inlineStr">
        <is>
          <t>qualitatif_citation_ok</t>
        </is>
      </c>
      <c r="M393" t="inlineStr">
        <is>
          <t>MIGA</t>
        </is>
      </c>
      <c r="N393" t="inlineStr">
        <is>
          <t>MIGA Supports Solar Power Generation in Senegal</t>
        </is>
      </c>
      <c r="O393" t="inlineStr">
        <is>
          <t>https://www.miga.org/press-release/miga-supports-solar-power-generation-senegal</t>
        </is>
      </c>
      <c r="P393" t="inlineStr">
        <is>
          <t>2019-09-10</t>
        </is>
      </c>
      <c r="Q393" t="inlineStr">
        <is>
          <t>has issued EUR6.9 million in guarantees ... provide protection against non-commercial risks for a duration of up to 15 years</t>
        </is>
      </c>
      <c r="R393" t="inlineStr">
        <is>
          <t>Garantie commune aux deux projets. L'usage effectif d'une PRG Banque mondiale n'a pas été confirmé.</t>
        </is>
      </c>
    </row>
    <row r="394">
      <c r="A394" t="inlineStr">
        <is>
          <t>qualitatif</t>
        </is>
      </c>
      <c r="B394" t="inlineStr">
        <is>
          <t>A_ouest</t>
        </is>
      </c>
      <c r="C394" t="inlineStr">
        <is>
          <t>A</t>
        </is>
      </c>
      <c r="D394" t="inlineStr">
        <is>
          <t>SEN</t>
        </is>
      </c>
      <c r="E394" t="inlineStr">
        <is>
          <t>Kael Solaire (Scaling Solar)</t>
        </is>
      </c>
      <c r="F394" t="inlineStr">
        <is>
          <t>statut</t>
        </is>
      </c>
      <c r="G394" t="inlineStr">
        <is>
          <t>en service</t>
        </is>
      </c>
      <c r="H394" t="inlineStr">
        <is>
          <t>texte</t>
        </is>
      </c>
      <c r="I394" t="inlineStr">
        <is>
          <t>observée</t>
        </is>
      </c>
      <c r="J394" t="n">
        <v>2021</v>
      </c>
      <c r="K394" t="inlineStr">
        <is>
          <t>A</t>
        </is>
      </c>
      <c r="L394" t="inlineStr">
        <is>
          <t>qualitatif_citation_ok</t>
        </is>
      </c>
      <c r="M394" t="inlineStr">
        <is>
          <t>BEI</t>
        </is>
      </c>
      <c r="N394" t="inlineStr">
        <is>
          <t>communiqué 2021-183</t>
        </is>
      </c>
      <c r="O394" t="inlineStr">
        <is>
          <t>https://www.eib.org/fr/press/all/2021-183-scaling-solar-two-pv-plants-bring-clean-energy-to-more-than-500000-in-senegal</t>
        </is>
      </c>
      <c r="P394" t="inlineStr">
        <is>
          <t>2021-06-02</t>
        </is>
      </c>
      <c r="Q394" t="inlineStr">
        <is>
          <t>qui ont été mises en service le mois dernier</t>
        </is>
      </c>
      <c r="R394" t="inlineStr"/>
    </row>
    <row r="395">
      <c r="A395" t="inlineStr">
        <is>
          <t>retenu</t>
        </is>
      </c>
      <c r="B395" t="inlineStr">
        <is>
          <t>A_ouest</t>
        </is>
      </c>
      <c r="C395" t="inlineStr">
        <is>
          <t>A</t>
        </is>
      </c>
      <c r="D395" t="inlineStr">
        <is>
          <t>SEN</t>
        </is>
      </c>
      <c r="E395" t="inlineStr">
        <is>
          <t>Kahone Solaire (Scaling Solar)</t>
        </is>
      </c>
      <c r="F395" t="inlineStr">
        <is>
          <t>tarif</t>
        </is>
      </c>
      <c r="G395" t="n">
        <v>24.9365</v>
      </c>
      <c r="H395" t="inlineStr">
        <is>
          <t>FCFA/kWh</t>
        </is>
      </c>
      <c r="I395" t="inlineStr">
        <is>
          <t>observée</t>
        </is>
      </c>
      <c r="J395" t="n">
        <v>2018</v>
      </c>
      <c r="K395" t="inlineStr">
        <is>
          <t>C</t>
        </is>
      </c>
      <c r="L395" t="inlineStr">
        <is>
          <t>confirmé</t>
        </is>
      </c>
      <c r="M395" t="inlineStr">
        <is>
          <t>AllAfrica (Le Soleil/presse)</t>
        </is>
      </c>
      <c r="N395" t="inlineStr">
        <is>
          <t>Le Sénégal à l'ère de la production indépendante d'électricité solaire</t>
        </is>
      </c>
      <c r="O395" t="inlineStr">
        <is>
          <t>https://fr.allafrica.com/stories/201804180755.html</t>
        </is>
      </c>
      <c r="P395" t="inlineStr">
        <is>
          <t>2018-04-18</t>
        </is>
      </c>
      <c r="Q395" t="inlineStr">
        <is>
          <t>proposé les tarifs les moins disant (26,1274 Kw/h) pour le projet de Touba et 24,9365 kw/h pour celui de Kahone</t>
        </is>
      </c>
      <c r="R395" t="inlineStr">
        <is>
          <t>Équivalent FCFA de 3,80 c€ (≈ parité 655,957). Unité tronquée dans la source (FCFA sous-entendu).</t>
        </is>
      </c>
    </row>
    <row r="396">
      <c r="A396" t="inlineStr">
        <is>
          <t>retenu</t>
        </is>
      </c>
      <c r="B396" t="inlineStr">
        <is>
          <t>A_ouest</t>
        </is>
      </c>
      <c r="C396" t="inlineStr">
        <is>
          <t>A</t>
        </is>
      </c>
      <c r="D396" t="inlineStr">
        <is>
          <t>SEN</t>
        </is>
      </c>
      <c r="E396" t="inlineStr">
        <is>
          <t>Kael Solaire (Scaling Solar)</t>
        </is>
      </c>
      <c r="F396" t="inlineStr">
        <is>
          <t>tarif</t>
        </is>
      </c>
      <c r="G396" t="n">
        <v>26.1274</v>
      </c>
      <c r="H396" t="inlineStr">
        <is>
          <t>FCFA/kWh</t>
        </is>
      </c>
      <c r="I396" t="inlineStr">
        <is>
          <t>observée</t>
        </is>
      </c>
      <c r="J396" t="n">
        <v>2018</v>
      </c>
      <c r="K396" t="inlineStr">
        <is>
          <t>C</t>
        </is>
      </c>
      <c r="L396" t="inlineStr">
        <is>
          <t>confirmé</t>
        </is>
      </c>
      <c r="M396" t="inlineStr">
        <is>
          <t>AllAfrica</t>
        </is>
      </c>
      <c r="N396" t="inlineStr">
        <is>
          <t>Le Sénégal à l'ère de la production indépendante d'électricité solaire</t>
        </is>
      </c>
      <c r="O396" t="inlineStr">
        <is>
          <t>https://fr.allafrica.com/stories/201804180755.html</t>
        </is>
      </c>
      <c r="P396" t="inlineStr">
        <is>
          <t>2018-04-18</t>
        </is>
      </c>
      <c r="Q396" t="inlineStr">
        <is>
          <t>proposé les tarifs les moins disant (26,1274 Kw/h) pour le projet de Touba et 24,9365 kw/h pour celui de Kahone</t>
        </is>
      </c>
      <c r="R396" t="inlineStr">
        <is>
          <t>Le site 'Touba' = Kael. Équivalent de 3,98 c€.</t>
        </is>
      </c>
    </row>
    <row r="397">
      <c r="A397" t="inlineStr">
        <is>
          <t>retenu</t>
        </is>
      </c>
      <c r="B397" t="inlineStr">
        <is>
          <t>A_ouest</t>
        </is>
      </c>
      <c r="C397" t="inlineStr">
        <is>
          <t>A</t>
        </is>
      </c>
      <c r="D397" t="inlineStr">
        <is>
          <t>SEN</t>
        </is>
      </c>
      <c r="E397" t="inlineStr">
        <is>
          <t>Kahone Solaire (Scaling Solar)</t>
        </is>
      </c>
      <c r="F397" t="inlineStr">
        <is>
          <t>puissance_mwp</t>
        </is>
      </c>
      <c r="G397" t="n">
        <v>44</v>
      </c>
      <c r="H397" t="inlineStr">
        <is>
          <t>MWp</t>
        </is>
      </c>
      <c r="I397" t="inlineStr">
        <is>
          <t>déclarée</t>
        </is>
      </c>
      <c r="J397" t="n">
        <v>2019</v>
      </c>
      <c r="K397" t="inlineStr">
        <is>
          <t>A</t>
        </is>
      </c>
      <c r="L397" t="inlineStr">
        <is>
          <t>citation_partielle</t>
        </is>
      </c>
      <c r="M397" t="inlineStr">
        <is>
          <t>IFC</t>
        </is>
      </c>
      <c r="N397" t="inlineStr">
        <is>
          <t>SS Senegal – ESRS (38959)</t>
        </is>
      </c>
      <c r="O397" t="inlineStr">
        <is>
          <t>https://disclosures.ifc.org/project-detail/ESRS/38959/ss-senegal</t>
        </is>
      </c>
      <c r="P397" t="inlineStr">
        <is>
          <t>2019-02-19</t>
        </is>
      </c>
      <c r="Q397" t="inlineStr">
        <is>
          <t>Kahone plant, 44 MWp (35 MWAC)</t>
        </is>
      </c>
      <c r="R397" t="inlineStr">
        <is>
          <t>CONFLIT avec presse (35 MWp).</t>
        </is>
      </c>
    </row>
    <row r="398">
      <c r="A398" t="inlineStr">
        <is>
          <t>retenu</t>
        </is>
      </c>
      <c r="B398" t="inlineStr">
        <is>
          <t>A_ouest</t>
        </is>
      </c>
      <c r="C398" t="inlineStr">
        <is>
          <t>A</t>
        </is>
      </c>
      <c r="D398" t="inlineStr">
        <is>
          <t>SEN</t>
        </is>
      </c>
      <c r="E398" t="inlineStr">
        <is>
          <t>Kahone Solaire (Scaling Solar)</t>
        </is>
      </c>
      <c r="F398" t="inlineStr">
        <is>
          <t>puissance_mwac</t>
        </is>
      </c>
      <c r="G398" t="n">
        <v>35</v>
      </c>
      <c r="H398" t="inlineStr">
        <is>
          <t>MWac</t>
        </is>
      </c>
      <c r="I398" t="inlineStr">
        <is>
          <t>observée</t>
        </is>
      </c>
      <c r="J398" t="n">
        <v>2019</v>
      </c>
      <c r="K398" t="inlineStr">
        <is>
          <t>A</t>
        </is>
      </c>
      <c r="L398" t="inlineStr">
        <is>
          <t>confirmé</t>
        </is>
      </c>
      <c r="M398" t="inlineStr">
        <is>
          <t>MIGA</t>
        </is>
      </c>
      <c r="N398" t="inlineStr">
        <is>
          <t>MIGA Supports Solar Power Generation in Senegal</t>
        </is>
      </c>
      <c r="O398" t="inlineStr">
        <is>
          <t>https://www.miga.org/press-release/miga-supports-solar-power-generation-senegal</t>
        </is>
      </c>
      <c r="P398" t="inlineStr">
        <is>
          <t>2019-09-10</t>
        </is>
      </c>
      <c r="Q398" t="inlineStr">
        <is>
          <t>the 35MWac Kahone plant, to be located near the city of Kahone</t>
        </is>
      </c>
      <c r="R398" t="inlineStr"/>
    </row>
    <row r="399">
      <c r="A399" t="inlineStr">
        <is>
          <t>retenu</t>
        </is>
      </c>
      <c r="B399" t="inlineStr">
        <is>
          <t>A_ouest</t>
        </is>
      </c>
      <c r="C399" t="inlineStr">
        <is>
          <t>A</t>
        </is>
      </c>
      <c r="D399" t="inlineStr">
        <is>
          <t>SEN</t>
        </is>
      </c>
      <c r="E399" t="inlineStr">
        <is>
          <t>Kael Solaire (Scaling Solar)</t>
        </is>
      </c>
      <c r="F399" t="inlineStr">
        <is>
          <t>puissance_mwp</t>
        </is>
      </c>
      <c r="G399" t="n">
        <v>35</v>
      </c>
      <c r="H399" t="inlineStr">
        <is>
          <t>MWp</t>
        </is>
      </c>
      <c r="I399" t="inlineStr">
        <is>
          <t>déclarée</t>
        </is>
      </c>
      <c r="J399" t="n">
        <v>2019</v>
      </c>
      <c r="K399" t="inlineStr">
        <is>
          <t>A</t>
        </is>
      </c>
      <c r="L399" t="inlineStr">
        <is>
          <t>citation_partielle</t>
        </is>
      </c>
      <c r="M399" t="inlineStr">
        <is>
          <t>IFC</t>
        </is>
      </c>
      <c r="N399" t="inlineStr">
        <is>
          <t>SS Senegal – ESRS (38959)</t>
        </is>
      </c>
      <c r="O399" t="inlineStr">
        <is>
          <t>https://disclosures.ifc.org/project-detail/ESRS/38959/ss-senegal</t>
        </is>
      </c>
      <c r="P399" t="inlineStr">
        <is>
          <t>2019-02-19</t>
        </is>
      </c>
      <c r="Q399" t="inlineStr">
        <is>
          <t>Touba plant, 35 MWp (25 MWAC)</t>
        </is>
      </c>
      <c r="R399" t="inlineStr">
        <is>
          <t>IFC nomme le site 'Touba' (= Kael). CONFLIT avec presse (25 MWp).</t>
        </is>
      </c>
    </row>
    <row r="400">
      <c r="A400" t="inlineStr">
        <is>
          <t>retenu</t>
        </is>
      </c>
      <c r="B400" t="inlineStr">
        <is>
          <t>A_ouest</t>
        </is>
      </c>
      <c r="C400" t="inlineStr">
        <is>
          <t>A</t>
        </is>
      </c>
      <c r="D400" t="inlineStr">
        <is>
          <t>SEN</t>
        </is>
      </c>
      <c r="E400" t="inlineStr">
        <is>
          <t>Kael Solaire (Scaling Solar)</t>
        </is>
      </c>
      <c r="F400" t="inlineStr">
        <is>
          <t>puissance_mwac</t>
        </is>
      </c>
      <c r="G400" t="n">
        <v>25</v>
      </c>
      <c r="H400" t="inlineStr">
        <is>
          <t>MWac</t>
        </is>
      </c>
      <c r="I400" t="inlineStr">
        <is>
          <t>observée</t>
        </is>
      </c>
      <c r="J400" t="n">
        <v>2019</v>
      </c>
      <c r="K400" t="inlineStr">
        <is>
          <t>A</t>
        </is>
      </c>
      <c r="L400" t="inlineStr">
        <is>
          <t>confirmé</t>
        </is>
      </c>
      <c r="M400" t="inlineStr">
        <is>
          <t>MIGA</t>
        </is>
      </c>
      <c r="N400" t="inlineStr">
        <is>
          <t>MIGA Supports Solar Power Generation in Senegal</t>
        </is>
      </c>
      <c r="O400" t="inlineStr">
        <is>
          <t>https://www.miga.org/press-release/miga-supports-solar-power-generation-senegal</t>
        </is>
      </c>
      <c r="P400" t="inlineStr">
        <is>
          <t>2019-09-10</t>
        </is>
      </c>
      <c r="Q400" t="inlineStr">
        <is>
          <t>the 25MWac Kael plant, to be built near the city of Touba</t>
        </is>
      </c>
      <c r="R400" t="inlineStr"/>
    </row>
    <row r="401">
      <c r="A401" t="inlineStr">
        <is>
          <t>retenu</t>
        </is>
      </c>
      <c r="B401" t="inlineStr">
        <is>
          <t>A_ouest</t>
        </is>
      </c>
      <c r="C401" t="inlineStr">
        <is>
          <t>A</t>
        </is>
      </c>
      <c r="D401" t="inlineStr">
        <is>
          <t>SEN</t>
        </is>
      </c>
      <c r="E401" t="inlineStr">
        <is>
          <t>Kahone Solaire (Scaling Solar)</t>
        </is>
      </c>
      <c r="F401" t="inlineStr">
        <is>
          <t>capex_total</t>
        </is>
      </c>
      <c r="G401" t="n">
        <v>26000000</v>
      </c>
      <c r="H401" t="inlineStr">
        <is>
          <t>EUR</t>
        </is>
      </c>
      <c r="I401" t="inlineStr">
        <is>
          <t>déclarée</t>
        </is>
      </c>
      <c r="J401" t="n">
        <v>2019</v>
      </c>
      <c r="K401" t="inlineStr">
        <is>
          <t>A</t>
        </is>
      </c>
      <c r="L401" t="inlineStr">
        <is>
          <t>citation_partielle</t>
        </is>
      </c>
      <c r="M401" t="inlineStr">
        <is>
          <t>IFC</t>
        </is>
      </c>
      <c r="N401" t="inlineStr">
        <is>
          <t>SS Senegal – ESRS (38959)</t>
        </is>
      </c>
      <c r="O401" t="inlineStr">
        <is>
          <t>https://disclosures.ifc.org/project-detail/ESRS/38959/ss-senegal</t>
        </is>
      </c>
      <c r="P401" t="inlineStr">
        <is>
          <t>2019-02-19</t>
        </is>
      </c>
      <c r="Q401" t="inlineStr">
        <is>
          <t>is estimated at up to EUR48 million, with EUR26 million for Kahone and EUR22 million for Touba</t>
        </is>
      </c>
      <c r="R401" t="inlineStr">
        <is>
          <t>Estimation 'jusqu'à' ; extrait partiellement reformulé par l'outil.</t>
        </is>
      </c>
    </row>
    <row r="402">
      <c r="A402" t="inlineStr">
        <is>
          <t>retenu</t>
        </is>
      </c>
      <c r="B402" t="inlineStr">
        <is>
          <t>A_ouest</t>
        </is>
      </c>
      <c r="C402" t="inlineStr">
        <is>
          <t>A</t>
        </is>
      </c>
      <c r="D402" t="inlineStr">
        <is>
          <t>SEN</t>
        </is>
      </c>
      <c r="E402" t="inlineStr">
        <is>
          <t>Kael Solaire (Scaling Solar)</t>
        </is>
      </c>
      <c r="F402" t="inlineStr">
        <is>
          <t>capex_total</t>
        </is>
      </c>
      <c r="G402" t="n">
        <v>22000000</v>
      </c>
      <c r="H402" t="inlineStr">
        <is>
          <t>EUR</t>
        </is>
      </c>
      <c r="I402" t="inlineStr">
        <is>
          <t>déclarée</t>
        </is>
      </c>
      <c r="J402" t="n">
        <v>2019</v>
      </c>
      <c r="K402" t="inlineStr">
        <is>
          <t>A</t>
        </is>
      </c>
      <c r="L402" t="inlineStr">
        <is>
          <t>citation_partielle</t>
        </is>
      </c>
      <c r="M402" t="inlineStr">
        <is>
          <t>IFC</t>
        </is>
      </c>
      <c r="N402" t="inlineStr">
        <is>
          <t>SS Senegal – ESRS (38959)</t>
        </is>
      </c>
      <c r="O402" t="inlineStr">
        <is>
          <t>https://disclosures.ifc.org/project-detail/ESRS/38959/ss-senegal</t>
        </is>
      </c>
      <c r="P402" t="inlineStr">
        <is>
          <t>2019-02-19</t>
        </is>
      </c>
      <c r="Q402" t="inlineStr">
        <is>
          <t>is estimated at up to EUR48 million, with EUR26 million for Kahone and EUR22 million for Touba</t>
        </is>
      </c>
      <c r="R402" t="inlineStr"/>
    </row>
    <row r="403">
      <c r="A403" t="inlineStr">
        <is>
          <t>retenu</t>
        </is>
      </c>
      <c r="B403" t="inlineStr">
        <is>
          <t>A_ouest</t>
        </is>
      </c>
      <c r="C403" t="inlineStr">
        <is>
          <t>A</t>
        </is>
      </c>
      <c r="D403" t="inlineStr">
        <is>
          <t>SEN</t>
        </is>
      </c>
      <c r="E403" t="inlineStr">
        <is>
          <t>Kahone + Kael (Scaling Solar, total)</t>
        </is>
      </c>
      <c r="F403" t="inlineStr">
        <is>
          <t>capex_total</t>
        </is>
      </c>
      <c r="G403" t="n">
        <v>47000000</v>
      </c>
      <c r="H403" t="inlineStr">
        <is>
          <t>EUR</t>
        </is>
      </c>
      <c r="I403" t="inlineStr">
        <is>
          <t>déclarée</t>
        </is>
      </c>
      <c r="J403" t="n">
        <v>2019</v>
      </c>
      <c r="K403" t="inlineStr">
        <is>
          <t>A</t>
        </is>
      </c>
      <c r="L403" t="inlineStr">
        <is>
          <t>confirmé</t>
        </is>
      </c>
      <c r="M403" t="inlineStr">
        <is>
          <t>BEI</t>
        </is>
      </c>
      <c r="N403" t="inlineStr">
        <is>
          <t>Fiche projet 20170458 (Scaling Solar Senegal)</t>
        </is>
      </c>
      <c r="O403" t="inlineStr">
        <is>
          <t>https://www.eib.org/en/projects/all/20170458</t>
        </is>
      </c>
      <c r="P403" t="inlineStr">
        <is>
          <t>2019</t>
        </is>
      </c>
      <c r="Q403" t="inlineStr">
        <is>
          <t>EUR 47 million</t>
        </is>
      </c>
      <c r="R403" t="inlineStr">
        <is>
          <t>Coût total estimé (fiche résumé BEI) ; IFC indique 'up to EUR48 million'.</t>
        </is>
      </c>
    </row>
    <row r="404">
      <c r="A404" t="inlineStr">
        <is>
          <t>retenu</t>
        </is>
      </c>
      <c r="B404" t="inlineStr">
        <is>
          <t>A_ouest</t>
        </is>
      </c>
      <c r="C404" t="inlineStr">
        <is>
          <t>A</t>
        </is>
      </c>
      <c r="D404" t="inlineStr">
        <is>
          <t>SEN</t>
        </is>
      </c>
      <c r="E404" t="inlineStr">
        <is>
          <t>Kahone + Kael (Scaling Solar, total)</t>
        </is>
      </c>
      <c r="F404" t="inlineStr">
        <is>
          <t>dette_montant</t>
        </is>
      </c>
      <c r="G404" t="n">
        <v>38000000</v>
      </c>
      <c r="H404" t="inlineStr">
        <is>
          <t>EUR</t>
        </is>
      </c>
      <c r="I404" t="inlineStr">
        <is>
          <t>observée</t>
        </is>
      </c>
      <c r="J404" t="n">
        <v>2019</v>
      </c>
      <c r="K404" t="inlineStr">
        <is>
          <t>A</t>
        </is>
      </c>
      <c r="L404" t="inlineStr">
        <is>
          <t>confirmé</t>
        </is>
      </c>
      <c r="M404" t="inlineStr">
        <is>
          <t>IFC</t>
        </is>
      </c>
      <c r="N404" t="inlineStr">
        <is>
          <t>Communiqué IFC 2021 (mise en service)</t>
        </is>
      </c>
      <c r="O404" t="inlineStr">
        <is>
          <t>https://www.ifc.org/fr/pressroom/2021/26381</t>
        </is>
      </c>
      <c r="P404" t="inlineStr">
        <is>
          <t>2021-06-01</t>
        </is>
      </c>
      <c r="Q404" t="inlineStr">
        <is>
          <t>The plants were financed through loans in the amount of 38 million euros</t>
        </is>
      </c>
      <c r="R404" t="inlineStr">
        <is>
          <t>Prêteurs : IFC, Finland-IFC Blended Finance for Climate Program, BEI, Proparco. Dette ≈ 79-81 % du coût total estimé (47-48 M EUR) — ratio calculé, non publié.</t>
        </is>
      </c>
    </row>
    <row r="405">
      <c r="A405" t="inlineStr">
        <is>
          <t>qualitatif</t>
        </is>
      </c>
      <c r="B405" t="inlineStr">
        <is>
          <t>A_ouest</t>
        </is>
      </c>
      <c r="C405" t="inlineStr">
        <is>
          <t>A</t>
        </is>
      </c>
      <c r="D405" t="inlineStr">
        <is>
          <t>SEN</t>
        </is>
      </c>
      <c r="E405" t="inlineStr">
        <is>
          <t>Kahone + Kael (Scaling Solar, total)</t>
        </is>
      </c>
      <c r="F405" t="inlineStr">
        <is>
          <t>financeurs</t>
        </is>
      </c>
      <c r="G405" t="inlineStr">
        <is>
          <t>IFC (A loan + prêt concessionnel Finland-IFC), BEI 12,5 M EUR, Proparco ; MIGA (garantie)</t>
        </is>
      </c>
      <c r="H405" t="inlineStr">
        <is>
          <t>texte</t>
        </is>
      </c>
      <c r="I405" t="inlineStr">
        <is>
          <t>observée</t>
        </is>
      </c>
      <c r="J405" t="n">
        <v>2019</v>
      </c>
      <c r="K405" t="inlineStr">
        <is>
          <t>A</t>
        </is>
      </c>
      <c r="L405" t="inlineStr">
        <is>
          <t>qualitatif_citation_ok</t>
        </is>
      </c>
      <c r="M405" t="inlineStr">
        <is>
          <t>BEI</t>
        </is>
      </c>
      <c r="N405" t="inlineStr">
        <is>
          <t>Fiche projet 20170458</t>
        </is>
      </c>
      <c r="O405" t="inlineStr">
        <is>
          <t>https://www.eib.org/en/projects/all/20170458</t>
        </is>
      </c>
      <c r="P405" t="inlineStr">
        <is>
          <t>2019-07-18</t>
        </is>
      </c>
      <c r="Q405" t="inlineStr">
        <is>
          <t>Amount € 12,500,000</t>
        </is>
      </c>
      <c r="R405" t="inlineStr">
        <is>
          <t>BEI signé 18/07/2019 en deux tranches : 5,66 M EUR et 6,84 M EUR. IFC : jusqu'à 14 M EUR (ESRS).</t>
        </is>
      </c>
    </row>
    <row r="406">
      <c r="A406" t="inlineStr">
        <is>
          <t>retenu</t>
        </is>
      </c>
      <c r="B406" t="inlineStr">
        <is>
          <t>A_ouest</t>
        </is>
      </c>
      <c r="C406" t="inlineStr">
        <is>
          <t>A</t>
        </is>
      </c>
      <c r="D406" t="inlineStr">
        <is>
          <t>SEN</t>
        </is>
      </c>
      <c r="E406" t="inlineStr">
        <is>
          <t>Kahone + Kael (Scaling Solar, total)</t>
        </is>
      </c>
      <c r="F406" t="inlineStr">
        <is>
          <t>annee_financial_close</t>
        </is>
      </c>
      <c r="G406" t="n">
        <v>2019</v>
      </c>
      <c r="H406" t="inlineStr">
        <is>
          <t>année</t>
        </is>
      </c>
      <c r="I406" t="inlineStr">
        <is>
          <t>observée</t>
        </is>
      </c>
      <c r="J406" t="n">
        <v>2019</v>
      </c>
      <c r="K406" t="inlineStr">
        <is>
          <t>A</t>
        </is>
      </c>
      <c r="L406" t="inlineStr">
        <is>
          <t>citation_partielle</t>
        </is>
      </c>
      <c r="M406" t="inlineStr">
        <is>
          <t>IFC</t>
        </is>
      </c>
      <c r="N406" t="inlineStr">
        <is>
          <t>PPP Stories – Scaling Solar | Senegal</t>
        </is>
      </c>
      <c r="O406" t="inlineStr">
        <is>
          <t>https://www.ifc.org/content/dam/ifc/doc/2021/2021-senegal-scaling-solar-ppp-brief.pdf</t>
        </is>
      </c>
      <c r="P406" t="inlineStr">
        <is>
          <t>2021-01</t>
        </is>
      </c>
      <c r="Q406" t="inlineStr">
        <is>
          <t>Financial close was reached in July 2019</t>
        </is>
      </c>
      <c r="R406" t="inlineStr">
        <is>
          <t>Commercial close (signature PPA) le 13/11/2018.</t>
        </is>
      </c>
    </row>
    <row r="407">
      <c r="A407" t="inlineStr">
        <is>
          <t>retenu</t>
        </is>
      </c>
      <c r="B407" t="inlineStr">
        <is>
          <t>A_ouest</t>
        </is>
      </c>
      <c r="C407" t="inlineStr">
        <is>
          <t>A</t>
        </is>
      </c>
      <c r="D407" t="inlineStr">
        <is>
          <t>SEN</t>
        </is>
      </c>
      <c r="E407" t="inlineStr">
        <is>
          <t>Kahone + Kael (Scaling Solar, total)</t>
        </is>
      </c>
      <c r="F407" t="inlineStr">
        <is>
          <t>tarif_reference_avant</t>
        </is>
      </c>
      <c r="G407" t="n">
        <v>0.1</v>
      </c>
      <c r="H407" t="inlineStr">
        <is>
          <t>EUR/kWh</t>
        </is>
      </c>
      <c r="I407" t="inlineStr">
        <is>
          <t>observée</t>
        </is>
      </c>
      <c r="J407" t="n">
        <v>2017</v>
      </c>
      <c r="K407" t="inlineStr">
        <is>
          <t>A</t>
        </is>
      </c>
      <c r="L407" t="inlineStr">
        <is>
          <t>citation_partielle</t>
        </is>
      </c>
      <c r="M407" t="inlineStr">
        <is>
          <t>IFC</t>
        </is>
      </c>
      <c r="N407" t="inlineStr">
        <is>
          <t>PPP Stories – Scaling Solar | Senegal</t>
        </is>
      </c>
      <c r="O407" t="inlineStr">
        <is>
          <t>https://www.ifc.org/content/dam/ifc/doc/2021/2021-senegal-scaling-solar-ppp-brief.pdf</t>
        </is>
      </c>
      <c r="P407" t="inlineStr">
        <is>
          <t>2021-01</t>
        </is>
      </c>
      <c r="Q407" t="inlineStr">
        <is>
          <t>Before the Scaling Solar program, the lowest solar energy price in Senegal had been 10-euro cents/kWh</t>
        </is>
      </c>
      <c r="R407" t="inlineStr">
        <is>
          <t>Plus bas tarif solaire sénégalais avant Scaling Solar (projets de 1re génération, non nommés).</t>
        </is>
      </c>
    </row>
    <row r="408">
      <c r="A408" t="inlineStr">
        <is>
          <t>retenu</t>
        </is>
      </c>
      <c r="B408" t="inlineStr">
        <is>
          <t>A_ouest</t>
        </is>
      </c>
      <c r="C408" t="inlineStr">
        <is>
          <t>A</t>
        </is>
      </c>
      <c r="D408" t="inlineStr">
        <is>
          <t>SEN</t>
        </is>
      </c>
      <c r="E408" t="inlineStr">
        <is>
          <t>Senergy 2 – Bokhol</t>
        </is>
      </c>
      <c r="F408" t="inlineStr">
        <is>
          <t>puissance_mwac</t>
        </is>
      </c>
      <c r="G408" t="n">
        <v>20</v>
      </c>
      <c r="H408" t="inlineStr">
        <is>
          <t>MW</t>
        </is>
      </c>
      <c r="I408" t="inlineStr">
        <is>
          <t>déclarée</t>
        </is>
      </c>
      <c r="J408" t="n">
        <v>2016</v>
      </c>
      <c r="K408" t="inlineStr">
        <is>
          <t>C</t>
        </is>
      </c>
      <c r="L408" t="inlineStr">
        <is>
          <t>confirmé</t>
        </is>
      </c>
      <c r="M408" t="inlineStr">
        <is>
          <t>Financial Afrik</t>
        </is>
      </c>
      <c r="N408" t="inlineStr">
        <is>
          <t>Sénégal : Macky Sall inaugure la centrale solaire de Bokhol</t>
        </is>
      </c>
      <c r="O408" t="inlineStr">
        <is>
          <t>https://www.financialafrik.com/2016/10/24/senegal-macky-sall-inaugure-la-centrale-solaire-de-bokhol/</t>
        </is>
      </c>
      <c r="P408" t="inlineStr">
        <is>
          <t>2016-10-24</t>
        </is>
      </c>
      <c r="Q408" t="inlineStr">
        <is>
          <t>D'une capacité de 20 mégawatt (MW) et d'un coût de 17 milliards de francs CFA (28 millions de dollars)</t>
        </is>
      </c>
      <c r="R408" t="inlineStr">
        <is>
          <t>DC/AC non précisé.</t>
        </is>
      </c>
    </row>
    <row r="409">
      <c r="A409" t="inlineStr">
        <is>
          <t>retenu</t>
        </is>
      </c>
      <c r="B409" t="inlineStr">
        <is>
          <t>A_ouest</t>
        </is>
      </c>
      <c r="C409" t="inlineStr">
        <is>
          <t>A</t>
        </is>
      </c>
      <c r="D409" t="inlineStr">
        <is>
          <t>SEN</t>
        </is>
      </c>
      <c r="E409" t="inlineStr">
        <is>
          <t>Senergy 2 – Bokhol</t>
        </is>
      </c>
      <c r="F409" t="inlineStr">
        <is>
          <t>capex_total</t>
        </is>
      </c>
      <c r="G409" t="n">
        <v>17000000000</v>
      </c>
      <c r="H409" t="inlineStr">
        <is>
          <t>XOF</t>
        </is>
      </c>
      <c r="I409" t="inlineStr">
        <is>
          <t>déclarée</t>
        </is>
      </c>
      <c r="J409" t="n">
        <v>2016</v>
      </c>
      <c r="K409" t="inlineStr">
        <is>
          <t>C</t>
        </is>
      </c>
      <c r="L409" t="inlineStr">
        <is>
          <t>confirmé</t>
        </is>
      </c>
      <c r="M409" t="inlineStr">
        <is>
          <t>Financial Afrik</t>
        </is>
      </c>
      <c r="N409" t="inlineStr">
        <is>
          <t>Sénégal : Macky Sall inaugure la centrale solaire de Bokhol</t>
        </is>
      </c>
      <c r="O409" t="inlineStr">
        <is>
          <t>https://www.financialafrik.com/2016/10/24/senegal-macky-sall-inaugure-la-centrale-solaire-de-bokhol/</t>
        </is>
      </c>
      <c r="P409" t="inlineStr">
        <is>
          <t>2016-10-24</t>
        </is>
      </c>
      <c r="Q409" t="inlineStr">
        <is>
          <t>D'une capacité de 20 mégawatt (MW) et d'un coût de 17 milliards de francs CFA (28 millions de dollars)</t>
        </is>
      </c>
      <c r="R409" t="inlineStr">
        <is>
          <t>Autre presse (non vérifiée) : ~25 M EUR / 16 Md FCFA.</t>
        </is>
      </c>
    </row>
    <row r="410">
      <c r="A410" t="inlineStr">
        <is>
          <t>retenu</t>
        </is>
      </c>
      <c r="B410" t="inlineStr">
        <is>
          <t>A_ouest</t>
        </is>
      </c>
      <c r="C410" t="inlineStr">
        <is>
          <t>A</t>
        </is>
      </c>
      <c r="D410" t="inlineStr">
        <is>
          <t>SEN</t>
        </is>
      </c>
      <c r="E410" t="inlineStr">
        <is>
          <t>Senergy 2 – Bokhol</t>
        </is>
      </c>
      <c r="F410" t="inlineStr">
        <is>
          <t>production_gwh_an</t>
        </is>
      </c>
      <c r="G410" t="n">
        <v>34</v>
      </c>
      <c r="H410" t="inlineStr">
        <is>
          <t>GWh/an</t>
        </is>
      </c>
      <c r="I410" t="inlineStr">
        <is>
          <t>déclarée</t>
        </is>
      </c>
      <c r="J410" t="n">
        <v>2016</v>
      </c>
      <c r="K410" t="inlineStr">
        <is>
          <t>C</t>
        </is>
      </c>
      <c r="L410" t="inlineStr">
        <is>
          <t>confirmé</t>
        </is>
      </c>
      <c r="M410" t="inlineStr">
        <is>
          <t>Financial Afrik</t>
        </is>
      </c>
      <c r="N410" t="inlineStr">
        <is>
          <t>idem</t>
        </is>
      </c>
      <c r="O410" t="inlineStr">
        <is>
          <t>https://www.financialafrik.com/2016/10/24/senegal-macky-sall-inaugure-la-centrale-solaire-de-bokhol/</t>
        </is>
      </c>
      <c r="P410" t="inlineStr">
        <is>
          <t>2016-10-24</t>
        </is>
      </c>
      <c r="Q410" t="inlineStr">
        <is>
          <t>Elle devrait permettre 34 GWH de production par an</t>
        </is>
      </c>
      <c r="R410" t="inlineStr"/>
    </row>
    <row r="411">
      <c r="A411" t="inlineStr">
        <is>
          <t>qualitatif</t>
        </is>
      </c>
      <c r="B411" t="inlineStr">
        <is>
          <t>A_ouest</t>
        </is>
      </c>
      <c r="C411" t="inlineStr">
        <is>
          <t>A</t>
        </is>
      </c>
      <c r="D411" t="inlineStr">
        <is>
          <t>SEN</t>
        </is>
      </c>
      <c r="E411" t="inlineStr">
        <is>
          <t>Senergy 2 – Bokhol</t>
        </is>
      </c>
      <c r="F411" t="inlineStr">
        <is>
          <t>developpeur</t>
        </is>
      </c>
      <c r="G411" t="inlineStr">
        <is>
          <t>GreenWish Partners (PPP avec Senelec)</t>
        </is>
      </c>
      <c r="H411" t="inlineStr">
        <is>
          <t>texte</t>
        </is>
      </c>
      <c r="I411" t="inlineStr">
        <is>
          <t>observée</t>
        </is>
      </c>
      <c r="J411" t="n">
        <v>2016</v>
      </c>
      <c r="K411" t="inlineStr">
        <is>
          <t>C</t>
        </is>
      </c>
      <c r="L411" t="inlineStr">
        <is>
          <t>qualitatif_citation_ok</t>
        </is>
      </c>
      <c r="M411" t="inlineStr">
        <is>
          <t>Financial Afrik</t>
        </is>
      </c>
      <c r="N411" t="inlineStr">
        <is>
          <t>idem</t>
        </is>
      </c>
      <c r="O411" t="inlineStr">
        <is>
          <t>https://www.financialafrik.com/2016/10/24/senegal-macky-sall-inaugure-la-centrale-solaire-de-bokhol/</t>
        </is>
      </c>
      <c r="P411" t="inlineStr">
        <is>
          <t>2016-10-24</t>
        </is>
      </c>
      <c r="Q411" t="inlineStr">
        <is>
          <t>le projet est à mettre à l'actif de la Société Nationale d'Électricité du Sénégal (Senelec) et GreenWish Partners</t>
        </is>
      </c>
      <c r="R411" t="inlineStr"/>
    </row>
    <row r="412">
      <c r="A412" t="inlineStr">
        <is>
          <t>retenu</t>
        </is>
      </c>
      <c r="B412" t="inlineStr">
        <is>
          <t>A_ouest</t>
        </is>
      </c>
      <c r="C412" t="inlineStr">
        <is>
          <t>A</t>
        </is>
      </c>
      <c r="D412" t="inlineStr">
        <is>
          <t>SEN</t>
        </is>
      </c>
      <c r="E412" t="inlineStr">
        <is>
          <t>Senergy 2 – Bokhol</t>
        </is>
      </c>
      <c r="F412" t="inlineStr">
        <is>
          <t>ppa_duree</t>
        </is>
      </c>
      <c r="G412" t="n">
        <v>20</v>
      </c>
      <c r="H412" t="inlineStr">
        <is>
          <t>ans</t>
        </is>
      </c>
      <c r="I412" t="inlineStr">
        <is>
          <t>déclarée</t>
        </is>
      </c>
      <c r="J412" t="n">
        <v>2016</v>
      </c>
      <c r="K412" t="inlineStr">
        <is>
          <t>C</t>
        </is>
      </c>
      <c r="L412" t="inlineStr">
        <is>
          <t>confirmé</t>
        </is>
      </c>
      <c r="M412" t="inlineStr">
        <is>
          <t>Financial Afrik</t>
        </is>
      </c>
      <c r="N412" t="inlineStr">
        <is>
          <t>Sénégal : GreenWish et la Senelec lancent la construction de la centrale solaire Senergy II</t>
        </is>
      </c>
      <c r="O412" t="inlineStr">
        <is>
          <t>https://www.financialafrik.com/2016/03/16/senegal-greenwish-et-la-senelec-lancent-la-construction-de-la-centrale-solaire-senergy-ii/</t>
        </is>
      </c>
      <c r="P412" t="inlineStr">
        <is>
          <t>2016-03-16</t>
        </is>
      </c>
      <c r="Q412" t="inlineStr">
        <is>
          <t>la durée contractuelle d'achat d'électricité de 20 ans</t>
        </is>
      </c>
      <c r="R412" t="inlineStr"/>
    </row>
    <row r="413">
      <c r="A413" t="inlineStr">
        <is>
          <t>qualitatif</t>
        </is>
      </c>
      <c r="B413" t="inlineStr">
        <is>
          <t>A_ouest</t>
        </is>
      </c>
      <c r="C413" t="inlineStr">
        <is>
          <t>A</t>
        </is>
      </c>
      <c r="D413" t="inlineStr">
        <is>
          <t>SEN</t>
        </is>
      </c>
      <c r="E413" t="inlineStr">
        <is>
          <t>Senergy 2 – Bokhol</t>
        </is>
      </c>
      <c r="F413" t="inlineStr">
        <is>
          <t>financeurs</t>
        </is>
      </c>
      <c r="G413" t="inlineStr">
        <is>
          <t>BAD mandatée comme arrangeur de la dette</t>
        </is>
      </c>
      <c r="H413" t="inlineStr">
        <is>
          <t>texte</t>
        </is>
      </c>
      <c r="I413" t="inlineStr">
        <is>
          <t>déclarée</t>
        </is>
      </c>
      <c r="J413" t="n">
        <v>2016</v>
      </c>
      <c r="K413" t="inlineStr">
        <is>
          <t>C</t>
        </is>
      </c>
      <c r="L413" t="inlineStr">
        <is>
          <t>qualitatif_citation_ok</t>
        </is>
      </c>
      <c r="M413" t="inlineStr">
        <is>
          <t>Financial Afrik</t>
        </is>
      </c>
      <c r="N413" t="inlineStr">
        <is>
          <t>idem</t>
        </is>
      </c>
      <c r="O413" t="inlineStr">
        <is>
          <t>https://www.financialafrik.com/2016/03/16/senegal-greenwish-et-la-senelec-lancent-la-construction-de-la-centrale-solaire-senergy-ii/</t>
        </is>
      </c>
      <c r="P413" t="inlineStr">
        <is>
          <t>2016-03-16</t>
        </is>
      </c>
      <c r="Q413" t="inlineStr">
        <is>
          <t>a mandaté la Banque africaine de développement (BAD) pour arranger le financement en dette</t>
        </is>
      </c>
      <c r="R413" t="inlineStr">
        <is>
          <t>Montant de dette non trouvé.</t>
        </is>
      </c>
    </row>
    <row r="414">
      <c r="A414" t="inlineStr">
        <is>
          <t>retenu</t>
        </is>
      </c>
      <c r="B414" t="inlineStr">
        <is>
          <t>A_ouest</t>
        </is>
      </c>
      <c r="C414" t="inlineStr">
        <is>
          <t>A</t>
        </is>
      </c>
      <c r="D414" t="inlineStr">
        <is>
          <t>SEN</t>
        </is>
      </c>
      <c r="E414" t="inlineStr">
        <is>
          <t>Senergy PV – Santhiou Mékhé</t>
        </is>
      </c>
      <c r="F414" t="inlineStr">
        <is>
          <t>puissance_mwac</t>
        </is>
      </c>
      <c r="G414" t="n">
        <v>30</v>
      </c>
      <c r="H414" t="inlineStr">
        <is>
          <t>MW</t>
        </is>
      </c>
      <c r="I414" t="inlineStr">
        <is>
          <t>déclarée</t>
        </is>
      </c>
      <c r="J414" t="n">
        <v>2017</v>
      </c>
      <c r="K414" t="inlineStr">
        <is>
          <t>C</t>
        </is>
      </c>
      <c r="L414" t="inlineStr">
        <is>
          <t>confirmé</t>
        </is>
      </c>
      <c r="M414" t="inlineStr">
        <is>
          <t>pv magazine</t>
        </is>
      </c>
      <c r="N414" t="inlineStr">
        <is>
          <t>Senegal's first solar park comes online</t>
        </is>
      </c>
      <c r="O414" t="inlineStr">
        <is>
          <t>https://www.pv-magazine.com/2017/06/30/senegals-first-solar-park-comes-online/</t>
        </is>
      </c>
      <c r="P414" t="inlineStr">
        <is>
          <t>2017-06-30</t>
        </is>
      </c>
      <c r="Q414" t="inlineStr">
        <is>
          <t>A 30 MW solar plant in Santhiou Mékhé was officially inaugurated by the country's president Macky Sall</t>
        </is>
      </c>
      <c r="R414" t="inlineStr">
        <is>
          <t>DC/AC non précisé (Proparco/Ecofin parlent de 30 MWc pour le projet jumeau Ten Merina).</t>
        </is>
      </c>
    </row>
    <row r="415">
      <c r="A415" t="inlineStr">
        <is>
          <t>retenu</t>
        </is>
      </c>
      <c r="B415" t="inlineStr">
        <is>
          <t>A_ouest</t>
        </is>
      </c>
      <c r="C415" t="inlineStr">
        <is>
          <t>A</t>
        </is>
      </c>
      <c r="D415" t="inlineStr">
        <is>
          <t>SEN</t>
        </is>
      </c>
      <c r="E415" t="inlineStr">
        <is>
          <t>Senergy PV – Santhiou Mékhé</t>
        </is>
      </c>
      <c r="F415" t="inlineStr">
        <is>
          <t>capex_total</t>
        </is>
      </c>
      <c r="G415" t="n">
        <v>27000000000</v>
      </c>
      <c r="H415" t="inlineStr">
        <is>
          <t>XOF</t>
        </is>
      </c>
      <c r="I415" t="inlineStr">
        <is>
          <t>déclarée</t>
        </is>
      </c>
      <c r="J415" t="n">
        <v>2017</v>
      </c>
      <c r="K415" t="inlineStr">
        <is>
          <t>C</t>
        </is>
      </c>
      <c r="L415" t="inlineStr">
        <is>
          <t>confirmé</t>
        </is>
      </c>
      <c r="M415" t="inlineStr">
        <is>
          <t>pv magazine</t>
        </is>
      </c>
      <c r="N415" t="inlineStr">
        <is>
          <t>Senegal's first solar park comes online</t>
        </is>
      </c>
      <c r="O415" t="inlineStr">
        <is>
          <t>https://www.pv-magazine.com/2017/06/30/senegals-first-solar-park-comes-online/</t>
        </is>
      </c>
      <c r="P415" t="inlineStr">
        <is>
          <t>2017-06-30</t>
        </is>
      </c>
      <c r="Q415" t="inlineStr">
        <is>
          <t>the 27 billion CFA ($46.9 million) project was financed 53% by French investment firm Meridiam</t>
        </is>
      </c>
      <c r="R415" t="inlineStr">
        <is>
          <t>Répartition 53 % Meridiam+Proparco / 15 % Senergy PV / 32 % FONSIS selon pv magazine — CONFLIT avec Taiyang News (80 % Proparco, 34,5 M EUR), non vérifié par fetch.</t>
        </is>
      </c>
    </row>
    <row r="416">
      <c r="A416" t="inlineStr">
        <is>
          <t>retenu</t>
        </is>
      </c>
      <c r="B416" t="inlineStr">
        <is>
          <t>A_ouest</t>
        </is>
      </c>
      <c r="C416" t="inlineStr">
        <is>
          <t>A</t>
        </is>
      </c>
      <c r="D416" t="inlineStr">
        <is>
          <t>SEN</t>
        </is>
      </c>
      <c r="E416" t="inlineStr">
        <is>
          <t>Ten Merina (Merina Dakhar)</t>
        </is>
      </c>
      <c r="F416" t="inlineStr">
        <is>
          <t>puissance_mwp</t>
        </is>
      </c>
      <c r="G416" t="n">
        <v>30</v>
      </c>
      <c r="H416" t="inlineStr">
        <is>
          <t>MWc</t>
        </is>
      </c>
      <c r="I416" t="inlineStr">
        <is>
          <t>déclarée</t>
        </is>
      </c>
      <c r="J416" t="n">
        <v>2016</v>
      </c>
      <c r="K416" t="inlineStr">
        <is>
          <t>C</t>
        </is>
      </c>
      <c r="L416" t="inlineStr">
        <is>
          <t>confirmé</t>
        </is>
      </c>
      <c r="M416" t="inlineStr">
        <is>
          <t>Agence Ecofin</t>
        </is>
      </c>
      <c r="N416" t="inlineStr">
        <is>
          <t>Senegal: Proparco renews its commitment ...</t>
        </is>
      </c>
      <c r="O416" t="inlineStr">
        <is>
          <t>https://www.ecofinagency.com/electricity-uk/1212-36077-senegal-proparco-renews-its-commitment-for-one-of-the-future-largest-solar-power-plant-in-west-africa</t>
        </is>
      </c>
      <c r="P416" t="inlineStr">
        <is>
          <t>2016-12-12</t>
        </is>
      </c>
      <c r="Q416" t="inlineStr">
        <is>
          <t>a second 30 MWc photovoltaic plant in Senegal</t>
        </is>
      </c>
      <c r="R416" t="inlineStr"/>
    </row>
    <row r="417">
      <c r="A417" t="inlineStr">
        <is>
          <t>retenu</t>
        </is>
      </c>
      <c r="B417" t="inlineStr">
        <is>
          <t>A_ouest</t>
        </is>
      </c>
      <c r="C417" t="inlineStr">
        <is>
          <t>A</t>
        </is>
      </c>
      <c r="D417" t="inlineStr">
        <is>
          <t>SEN</t>
        </is>
      </c>
      <c r="E417" t="inlineStr">
        <is>
          <t>Ten Merina (Merina Dakhar)</t>
        </is>
      </c>
      <c r="F417" t="inlineStr">
        <is>
          <t>capex_total</t>
        </is>
      </c>
      <c r="G417" t="n">
        <v>43000000</v>
      </c>
      <c r="H417" t="inlineStr">
        <is>
          <t>EUR</t>
        </is>
      </c>
      <c r="I417" t="inlineStr">
        <is>
          <t>déclarée</t>
        </is>
      </c>
      <c r="J417" t="n">
        <v>2016</v>
      </c>
      <c r="K417" t="inlineStr">
        <is>
          <t>C</t>
        </is>
      </c>
      <c r="L417" t="inlineStr">
        <is>
          <t>confirmé</t>
        </is>
      </c>
      <c r="M417" t="inlineStr">
        <is>
          <t>Agence Ecofin</t>
        </is>
      </c>
      <c r="N417" t="inlineStr">
        <is>
          <t>idem</t>
        </is>
      </c>
      <c r="O417" t="inlineStr">
        <is>
          <t>https://www.ecofinagency.com/electricity-uk/1212-36077-senegal-proparco-renews-its-commitment-for-one-of-the-future-largest-solar-power-plant-in-west-africa</t>
        </is>
      </c>
      <c r="P417" t="inlineStr">
        <is>
          <t>2016-12-12</t>
        </is>
      </c>
      <c r="Q417" t="inlineStr">
        <is>
          <t>The total project cost amounts to €43 million, including €34.4 million of debt borrowed over 18 years.</t>
        </is>
      </c>
      <c r="R417" t="inlineStr">
        <is>
          <t>Recoupé par pv magazine 2018 ('The €43 million facility').</t>
        </is>
      </c>
    </row>
    <row r="418">
      <c r="A418" t="inlineStr">
        <is>
          <t>retenu</t>
        </is>
      </c>
      <c r="B418" t="inlineStr">
        <is>
          <t>A_ouest</t>
        </is>
      </c>
      <c r="C418" t="inlineStr">
        <is>
          <t>A</t>
        </is>
      </c>
      <c r="D418" t="inlineStr">
        <is>
          <t>SEN</t>
        </is>
      </c>
      <c r="E418" t="inlineStr">
        <is>
          <t>Ten Merina (Merina Dakhar)</t>
        </is>
      </c>
      <c r="F418" t="inlineStr">
        <is>
          <t>dette_duree</t>
        </is>
      </c>
      <c r="G418" t="n">
        <v>18</v>
      </c>
      <c r="H418" t="inlineStr">
        <is>
          <t>ans</t>
        </is>
      </c>
      <c r="I418" t="inlineStr">
        <is>
          <t>déclarée</t>
        </is>
      </c>
      <c r="J418" t="n">
        <v>2016</v>
      </c>
      <c r="K418" t="inlineStr">
        <is>
          <t>C</t>
        </is>
      </c>
      <c r="L418" t="inlineStr">
        <is>
          <t>confirmé</t>
        </is>
      </c>
      <c r="M418" t="inlineStr">
        <is>
          <t>Agence Ecofin</t>
        </is>
      </c>
      <c r="N418" t="inlineStr">
        <is>
          <t>idem</t>
        </is>
      </c>
      <c r="O418" t="inlineStr">
        <is>
          <t>https://www.ecofinagency.com/electricity-uk/1212-36077-senegal-proparco-renews-its-commitment-for-one-of-the-future-largest-solar-power-plant-in-west-africa</t>
        </is>
      </c>
      <c r="P418" t="inlineStr">
        <is>
          <t>2016-12-12</t>
        </is>
      </c>
      <c r="Q418" t="inlineStr">
        <is>
          <t>€34.4 million of debt borrowed over 18 years</t>
        </is>
      </c>
      <c r="R418" t="inlineStr"/>
    </row>
    <row r="419">
      <c r="A419" t="inlineStr">
        <is>
          <t>qualitatif</t>
        </is>
      </c>
      <c r="B419" t="inlineStr">
        <is>
          <t>A_ouest</t>
        </is>
      </c>
      <c r="C419" t="inlineStr">
        <is>
          <t>A</t>
        </is>
      </c>
      <c r="D419" t="inlineStr">
        <is>
          <t>SEN</t>
        </is>
      </c>
      <c r="E419" t="inlineStr">
        <is>
          <t>Ten Merina (Merina Dakhar)</t>
        </is>
      </c>
      <c r="F419" t="inlineStr">
        <is>
          <t>financeurs</t>
        </is>
      </c>
      <c r="G419" t="inlineStr">
        <is>
          <t>Proparco (prêt senior 18 433 682 EUR, signé 06/12/2016) + BIO (~16 M EUR)</t>
        </is>
      </c>
      <c r="H419" t="inlineStr">
        <is>
          <t>texte</t>
        </is>
      </c>
      <c r="I419" t="inlineStr">
        <is>
          <t>observée</t>
        </is>
      </c>
      <c r="J419" t="n">
        <v>2016</v>
      </c>
      <c r="K419" t="inlineStr">
        <is>
          <t>A</t>
        </is>
      </c>
      <c r="L419" t="inlineStr">
        <is>
          <t>qualitatif_citation_ok</t>
        </is>
      </c>
      <c r="M419" t="inlineStr">
        <is>
          <t>Proparco</t>
        </is>
      </c>
      <c r="N419" t="inlineStr">
        <is>
          <t>Ten Merina – carte des projets</t>
        </is>
      </c>
      <c r="O419" t="inlineStr">
        <is>
          <t>https://www.proparco.fr/en/carte-des-projets/ten-merina</t>
        </is>
      </c>
      <c r="P419" t="inlineStr">
        <is>
          <t>2016-12-06</t>
        </is>
      </c>
      <c r="Q419" t="inlineStr">
        <is>
          <t>Senior loan of EUR 18,433,682</t>
        </is>
      </c>
      <c r="R419" t="inlineStr">
        <is>
          <t>BIO 16 M EUR selon Ecofin ('put up another €16 million').</t>
        </is>
      </c>
    </row>
    <row r="420">
      <c r="A420" t="inlineStr">
        <is>
          <t>retenu</t>
        </is>
      </c>
      <c r="B420" t="inlineStr">
        <is>
          <t>A_ouest</t>
        </is>
      </c>
      <c r="C420" t="inlineStr">
        <is>
          <t>A</t>
        </is>
      </c>
      <c r="D420" t="inlineStr">
        <is>
          <t>SEN</t>
        </is>
      </c>
      <c r="E420" t="inlineStr">
        <is>
          <t>Malicounda</t>
        </is>
      </c>
      <c r="F420" t="inlineStr">
        <is>
          <t>puissance_mwac</t>
        </is>
      </c>
      <c r="G420" t="n">
        <v>22</v>
      </c>
      <c r="H420" t="inlineStr">
        <is>
          <t>MW</t>
        </is>
      </c>
      <c r="I420" t="inlineStr">
        <is>
          <t>déclarée</t>
        </is>
      </c>
      <c r="J420" t="n">
        <v>2016</v>
      </c>
      <c r="K420" t="inlineStr">
        <is>
          <t>C</t>
        </is>
      </c>
      <c r="L420" t="inlineStr">
        <is>
          <t>confirmé</t>
        </is>
      </c>
      <c r="M420" t="inlineStr">
        <is>
          <t>Le360 Afrique</t>
        </is>
      </c>
      <c r="N420" t="inlineStr">
        <is>
          <t>Sénégal : Macky Sall inaugure une nouvelle centrale solaire</t>
        </is>
      </c>
      <c r="O420" t="inlineStr">
        <is>
          <t>https://afrique.le360.ma/senegal/economie/2016/11/03/7160-senegal-macky-sall-inaugure-une-nouvelle-centrale-solaire-7160/</t>
        </is>
      </c>
      <c r="P420" t="inlineStr">
        <is>
          <t>2016-11-03</t>
        </is>
      </c>
      <c r="Q420" t="inlineStr">
        <is>
          <t>D'une capacité de 22 MW pour un investissement de 22 milliards de FCFA</t>
        </is>
      </c>
      <c r="R420" t="inlineStr">
        <is>
          <t>DC/AC non précisé.</t>
        </is>
      </c>
    </row>
    <row r="421">
      <c r="A421" t="inlineStr">
        <is>
          <t>retenu</t>
        </is>
      </c>
      <c r="B421" t="inlineStr">
        <is>
          <t>A_ouest</t>
        </is>
      </c>
      <c r="C421" t="inlineStr">
        <is>
          <t>A</t>
        </is>
      </c>
      <c r="D421" t="inlineStr">
        <is>
          <t>SEN</t>
        </is>
      </c>
      <c r="E421" t="inlineStr">
        <is>
          <t>Malicounda</t>
        </is>
      </c>
      <c r="F421" t="inlineStr">
        <is>
          <t>capex_total</t>
        </is>
      </c>
      <c r="G421" t="n">
        <v>22000000000</v>
      </c>
      <c r="H421" t="inlineStr">
        <is>
          <t>XOF</t>
        </is>
      </c>
      <c r="I421" t="inlineStr">
        <is>
          <t>déclarée</t>
        </is>
      </c>
      <c r="J421" t="n">
        <v>2016</v>
      </c>
      <c r="K421" t="inlineStr">
        <is>
          <t>C</t>
        </is>
      </c>
      <c r="L421" t="inlineStr">
        <is>
          <t>confirmé</t>
        </is>
      </c>
      <c r="M421" t="inlineStr">
        <is>
          <t>Le360 Afrique</t>
        </is>
      </c>
      <c r="N421" t="inlineStr">
        <is>
          <t>idem</t>
        </is>
      </c>
      <c r="O421" t="inlineStr">
        <is>
          <t>https://afrique.le360.ma/senegal/economie/2016/11/03/7160-senegal-macky-sall-inaugure-une-nouvelle-centrale-solaire-7160/</t>
        </is>
      </c>
      <c r="P421" t="inlineStr">
        <is>
          <t>2016-11-03</t>
        </is>
      </c>
      <c r="Q421" t="inlineStr">
        <is>
          <t>D'une capacité de 22 MW pour un investissement de 22 milliards de FCFA</t>
        </is>
      </c>
      <c r="R421" t="inlineStr"/>
    </row>
    <row r="422">
      <c r="A422" t="inlineStr">
        <is>
          <t>retenu</t>
        </is>
      </c>
      <c r="B422" t="inlineStr">
        <is>
          <t>A_ouest</t>
        </is>
      </c>
      <c r="C422" t="inlineStr">
        <is>
          <t>A</t>
        </is>
      </c>
      <c r="D422" t="inlineStr">
        <is>
          <t>SEN</t>
        </is>
      </c>
      <c r="E422" t="inlineStr">
        <is>
          <t>Malicounda</t>
        </is>
      </c>
      <c r="F422" t="inlineStr">
        <is>
          <t>production_gwh_an</t>
        </is>
      </c>
      <c r="G422" t="n">
        <v>36</v>
      </c>
      <c r="H422" t="inlineStr">
        <is>
          <t>GWh/an</t>
        </is>
      </c>
      <c r="I422" t="inlineStr">
        <is>
          <t>déclarée</t>
        </is>
      </c>
      <c r="J422" t="n">
        <v>2016</v>
      </c>
      <c r="K422" t="inlineStr">
        <is>
          <t>C</t>
        </is>
      </c>
      <c r="L422" t="inlineStr">
        <is>
          <t>confirmé</t>
        </is>
      </c>
      <c r="M422" t="inlineStr">
        <is>
          <t>Le360 Afrique</t>
        </is>
      </c>
      <c r="N422" t="inlineStr">
        <is>
          <t>idem</t>
        </is>
      </c>
      <c r="O422" t="inlineStr">
        <is>
          <t>https://afrique.le360.ma/senegal/economie/2016/11/03/7160-senegal-macky-sall-inaugure-une-nouvelle-centrale-solaire-7160/</t>
        </is>
      </c>
      <c r="P422" t="inlineStr">
        <is>
          <t>2016-11-03</t>
        </is>
      </c>
      <c r="Q422" t="inlineStr">
        <is>
          <t>La centrale de Malicounda va injecter sa production annuelle de 36 GWh</t>
        </is>
      </c>
      <c r="R422" t="inlineStr"/>
    </row>
    <row r="423">
      <c r="A423" t="inlineStr">
        <is>
          <t>qualitatif</t>
        </is>
      </c>
      <c r="B423" t="inlineStr">
        <is>
          <t>A_ouest</t>
        </is>
      </c>
      <c r="C423" t="inlineStr">
        <is>
          <t>A</t>
        </is>
      </c>
      <c r="D423" t="inlineStr">
        <is>
          <t>SEN</t>
        </is>
      </c>
      <c r="E423" t="inlineStr">
        <is>
          <t>Malicounda</t>
        </is>
      </c>
      <c r="F423" t="inlineStr">
        <is>
          <t>developpeur</t>
        </is>
      </c>
      <c r="G423" t="inlineStr">
        <is>
          <t>Solaria Group (PPP avec Senelec)</t>
        </is>
      </c>
      <c r="H423" t="inlineStr">
        <is>
          <t>texte</t>
        </is>
      </c>
      <c r="I423" t="inlineStr">
        <is>
          <t>déclarée</t>
        </is>
      </c>
      <c r="J423" t="n">
        <v>2016</v>
      </c>
      <c r="K423" t="inlineStr">
        <is>
          <t>C</t>
        </is>
      </c>
      <c r="L423" t="inlineStr">
        <is>
          <t>qualitatif_citation_ok</t>
        </is>
      </c>
      <c r="M423" t="inlineStr">
        <is>
          <t>Le360 Afrique</t>
        </is>
      </c>
      <c r="N423" t="inlineStr">
        <is>
          <t>idem</t>
        </is>
      </c>
      <c r="O423" t="inlineStr">
        <is>
          <t>https://afrique.le360.ma/senegal/economie/2016/11/03/7160-senegal-macky-sall-inaugure-une-nouvelle-centrale-solaire-7160/</t>
        </is>
      </c>
      <c r="P423" t="inlineStr">
        <is>
          <t>2016-11-03</t>
        </is>
      </c>
      <c r="Q423" t="inlineStr">
        <is>
          <t>entre la Société nationale d'électricité (Senelec) et la société italienne Solaria Group</t>
        </is>
      </c>
      <c r="R423" t="inlineStr">
        <is>
          <t>Inauguration annoncée pour le 03/11/2016.</t>
        </is>
      </c>
    </row>
    <row r="424">
      <c r="A424" t="inlineStr">
        <is>
          <t>retenu</t>
        </is>
      </c>
      <c r="B424" t="inlineStr">
        <is>
          <t>A_ouest</t>
        </is>
      </c>
      <c r="C424" t="inlineStr">
        <is>
          <t>A</t>
        </is>
      </c>
      <c r="D424" t="inlineStr">
        <is>
          <t>SEN</t>
        </is>
      </c>
      <c r="E424" t="inlineStr">
        <is>
          <t>Projets solaires sénégalais 2016-2017 (moyenne)</t>
        </is>
      </c>
      <c r="F424" t="inlineStr">
        <is>
          <t>tarif</t>
        </is>
      </c>
      <c r="G424" t="n">
        <v>65</v>
      </c>
      <c r="H424" t="inlineStr">
        <is>
          <t>FCFA/kWh</t>
        </is>
      </c>
      <c r="I424" t="inlineStr">
        <is>
          <t>déclarée</t>
        </is>
      </c>
      <c r="J424" t="n">
        <v>2018</v>
      </c>
      <c r="K424" t="inlineStr">
        <is>
          <t>C</t>
        </is>
      </c>
      <c r="L424" t="inlineStr">
        <is>
          <t>confirmé</t>
        </is>
      </c>
      <c r="M424" t="inlineStr">
        <is>
          <t>AllAfrica</t>
        </is>
      </c>
      <c r="N424" t="inlineStr">
        <is>
          <t>Le Sénégal à l'ère de la production indépendante d'électricité solaire</t>
        </is>
      </c>
      <c r="O424" t="inlineStr">
        <is>
          <t>https://fr.allafrica.com/stories/201804180755.html</t>
        </is>
      </c>
      <c r="P424" t="inlineStr">
        <is>
          <t>2018-04-18</t>
        </is>
      </c>
      <c r="Q424" t="inlineStr">
        <is>
          <t>aux projets solaires mis en œuvre ces dernières années d'un coût moyen de 65 F Cfa/kwh</t>
        </is>
      </c>
      <c r="R424" t="inlineStr">
        <is>
          <t>Moyenne non ventilée par centrale (≈ 0,099 EUR/kWh, cohérent avec '10-euro cents' d'IFC). Non recoupée par la CRSE.</t>
        </is>
      </c>
    </row>
    <row r="425">
      <c r="A425" t="inlineStr">
        <is>
          <t>retenu</t>
        </is>
      </c>
      <c r="B425" t="inlineStr">
        <is>
          <t>A_ouest</t>
        </is>
      </c>
      <c r="C425" t="inlineStr">
        <is>
          <t>A</t>
        </is>
      </c>
      <c r="D425" t="inlineStr">
        <is>
          <t>CIV</t>
        </is>
      </c>
      <c r="E425" t="inlineStr">
        <is>
          <t>Boundiali (phase 1)</t>
        </is>
      </c>
      <c r="F425" t="inlineStr">
        <is>
          <t>puissance_mwp</t>
        </is>
      </c>
      <c r="G425" t="n">
        <v>37.5</v>
      </c>
      <c r="H425" t="inlineStr">
        <is>
          <t>MWc</t>
        </is>
      </c>
      <c r="I425" t="inlineStr">
        <is>
          <t>observée</t>
        </is>
      </c>
      <c r="J425" t="n">
        <v>2024</v>
      </c>
      <c r="K425" t="inlineStr">
        <is>
          <t>A</t>
        </is>
      </c>
      <c r="L425" t="inlineStr">
        <is>
          <t>confirmé</t>
        </is>
      </c>
      <c r="M425" t="inlineStr">
        <is>
          <t>Délégation UE Côte d'Ivoire</t>
        </is>
      </c>
      <c r="N425" t="inlineStr">
        <is>
          <t>Global Gateway – Centrale solaire de Boundiali</t>
        </is>
      </c>
      <c r="O425" t="inlineStr">
        <is>
          <t>https://www.eeas.europa.eu/delegations/c%C3%B4te-divoire/global-gateway-centrale-solaire-de-boundiali-accro%C3%AEtre-la-part-des-%C3%A9nergies-renouvelables-dans-le_fr</t>
        </is>
      </c>
      <c r="P425" t="inlineStr">
        <is>
          <t>2024</t>
        </is>
      </c>
      <c r="Q425" t="inlineStr">
        <is>
          <t>Construction et mise en service d'une centrale solaire de 37,5 MWc avec une capacité de stockage par batterie de 10MW/MWh</t>
        </is>
      </c>
      <c r="R425" t="inlineStr">
        <is>
          <t>PV + STOCKAGE.</t>
        </is>
      </c>
    </row>
    <row r="426">
      <c r="A426" t="inlineStr">
        <is>
          <t>retenu</t>
        </is>
      </c>
      <c r="B426" t="inlineStr">
        <is>
          <t>A_ouest</t>
        </is>
      </c>
      <c r="C426" t="inlineStr">
        <is>
          <t>A</t>
        </is>
      </c>
      <c r="D426" t="inlineStr">
        <is>
          <t>CIV</t>
        </is>
      </c>
      <c r="E426" t="inlineStr">
        <is>
          <t>Boundiali (phase 1)</t>
        </is>
      </c>
      <c r="F426" t="inlineStr">
        <is>
          <t>stockage_mwh</t>
        </is>
      </c>
      <c r="G426" t="n">
        <v>10</v>
      </c>
      <c r="H426" t="inlineStr">
        <is>
          <t>MWh</t>
        </is>
      </c>
      <c r="I426" t="inlineStr">
        <is>
          <t>déclarée</t>
        </is>
      </c>
      <c r="J426" t="n">
        <v>2024</v>
      </c>
      <c r="K426" t="inlineStr">
        <is>
          <t>A</t>
        </is>
      </c>
      <c r="L426" t="inlineStr">
        <is>
          <t>confirmé</t>
        </is>
      </c>
      <c r="M426" t="inlineStr">
        <is>
          <t>Délégation UE Côte d'Ivoire</t>
        </is>
      </c>
      <c r="N426" t="inlineStr">
        <is>
          <t>Global Gateway – Centrale solaire de Boundiali</t>
        </is>
      </c>
      <c r="O426" t="inlineStr">
        <is>
          <t>https://www.eeas.europa.eu/delegations/c%C3%B4te-divoire/global-gateway-centrale-solaire-de-boundiali-accro%C3%AEtre-la-part-des-%C3%A9nergies-renouvelables-dans-le_fr</t>
        </is>
      </c>
      <c r="P426" t="inlineStr">
        <is>
          <t>2024</t>
        </is>
      </c>
      <c r="Q426" t="inlineStr">
        <is>
          <t>une capacité de stockage par batterie de 10MW/MWh</t>
        </is>
      </c>
      <c r="R426" t="inlineStr">
        <is>
          <t>Notation ambiguë '10MW/MWh'. CONFLIT : Afrik21 (non ouvert) cite 13,8 MWh (Saft).</t>
        </is>
      </c>
    </row>
    <row r="427">
      <c r="A427" t="inlineStr">
        <is>
          <t>retenu</t>
        </is>
      </c>
      <c r="B427" t="inlineStr">
        <is>
          <t>A_ouest</t>
        </is>
      </c>
      <c r="C427" t="inlineStr">
        <is>
          <t>A</t>
        </is>
      </c>
      <c r="D427" t="inlineStr">
        <is>
          <t>CIV</t>
        </is>
      </c>
      <c r="E427" t="inlineStr">
        <is>
          <t>Boundiali (phase 1)</t>
        </is>
      </c>
      <c r="F427" t="inlineStr">
        <is>
          <t>annee_mise_en_service</t>
        </is>
      </c>
      <c r="G427" t="n">
        <v>2024</v>
      </c>
      <c r="H427" t="inlineStr">
        <is>
          <t>année</t>
        </is>
      </c>
      <c r="I427" t="inlineStr">
        <is>
          <t>observée</t>
        </is>
      </c>
      <c r="J427" t="n">
        <v>2024</v>
      </c>
      <c r="K427" t="inlineStr">
        <is>
          <t>A</t>
        </is>
      </c>
      <c r="L427" t="inlineStr">
        <is>
          <t>confirmé</t>
        </is>
      </c>
      <c r="M427" t="inlineStr">
        <is>
          <t>Délégation UE Côte d'Ivoire</t>
        </is>
      </c>
      <c r="N427" t="inlineStr">
        <is>
          <t>Global Gateway – Centrale solaire de Boundiali</t>
        </is>
      </c>
      <c r="O427" t="inlineStr">
        <is>
          <t>https://www.eeas.europa.eu/delegations/c%C3%B4te-divoire/global-gateway-centrale-solaire-de-boundiali-accro%C3%AEtre-la-part-des-%C3%A9nergies-renouvelables-dans-le_fr</t>
        </is>
      </c>
      <c r="P427" t="inlineStr">
        <is>
          <t>2024</t>
        </is>
      </c>
      <c r="Q427" t="inlineStr">
        <is>
          <t>La centrale peut injecter à pleine capacité dans le réseau depuis le début de l'année 2024.</t>
        </is>
      </c>
      <c r="R427" t="inlineStr">
        <is>
          <t>Inauguration officielle le 3 avril 2024 ; travaux achevés printemps 2023.</t>
        </is>
      </c>
    </row>
    <row r="428">
      <c r="A428" t="inlineStr">
        <is>
          <t>qualitatif</t>
        </is>
      </c>
      <c r="B428" t="inlineStr">
        <is>
          <t>A_ouest</t>
        </is>
      </c>
      <c r="C428" t="inlineStr">
        <is>
          <t>A</t>
        </is>
      </c>
      <c r="D428" t="inlineStr">
        <is>
          <t>CIV</t>
        </is>
      </c>
      <c r="E428" t="inlineStr">
        <is>
          <t>Boundiali (phase 1)</t>
        </is>
      </c>
      <c r="F428" t="inlineStr">
        <is>
          <t>procedure</t>
        </is>
      </c>
      <c r="G428" t="inlineStr">
        <is>
          <t>EPC public (maîtrise d'ouvrage publique, exploitant CI-Energies)</t>
        </is>
      </c>
      <c r="H428" t="inlineStr">
        <is>
          <t>texte</t>
        </is>
      </c>
      <c r="I428" t="inlineStr">
        <is>
          <t>observée</t>
        </is>
      </c>
      <c r="J428" t="n">
        <v>2024</v>
      </c>
      <c r="K428" t="inlineStr">
        <is>
          <t>A</t>
        </is>
      </c>
      <c r="L428" t="inlineStr">
        <is>
          <t>qualitatif_citation_ok</t>
        </is>
      </c>
      <c r="M428" t="inlineStr">
        <is>
          <t>Délégation UE Côte d'Ivoire</t>
        </is>
      </c>
      <c r="N428" t="inlineStr">
        <is>
          <t>Global Gateway – Centrale solaire de Boundiali</t>
        </is>
      </c>
      <c r="O428" t="inlineStr">
        <is>
          <t>https://www.eeas.europa.eu/delegations/c%C3%B4te-divoire/global-gateway-centrale-solaire-de-boundiali-accro%C3%AEtre-la-part-des-%C3%A9nergies-renouvelables-dans-le_fr</t>
        </is>
      </c>
      <c r="P428" t="inlineStr">
        <is>
          <t>2024</t>
        </is>
      </c>
      <c r="Q428" t="inlineStr">
        <is>
          <t>CI-Energies, exploitant de la centrale solaire</t>
        </is>
      </c>
      <c r="R428" t="inlineStr">
        <is>
          <t>Projet public financé par UE/KfW ; nom de l'EPC non trouvé.</t>
        </is>
      </c>
    </row>
    <row r="429">
      <c r="A429" t="inlineStr">
        <is>
          <t>retenu</t>
        </is>
      </c>
      <c r="B429" t="inlineStr">
        <is>
          <t>A_ouest</t>
        </is>
      </c>
      <c r="C429" t="inlineStr">
        <is>
          <t>A</t>
        </is>
      </c>
      <c r="D429" t="inlineStr">
        <is>
          <t>CIV</t>
        </is>
      </c>
      <c r="E429" t="inlineStr">
        <is>
          <t>Boundiali (phase 1)</t>
        </is>
      </c>
      <c r="F429" t="inlineStr">
        <is>
          <t>capex_total</t>
        </is>
      </c>
      <c r="G429" t="n">
        <v>75600000</v>
      </c>
      <c r="H429" t="inlineStr">
        <is>
          <t>EUR</t>
        </is>
      </c>
      <c r="I429" t="inlineStr">
        <is>
          <t>déclarée</t>
        </is>
      </c>
      <c r="J429" t="n">
        <v>2024</v>
      </c>
      <c r="K429" t="inlineStr">
        <is>
          <t>C</t>
        </is>
      </c>
      <c r="L429" t="inlineStr">
        <is>
          <t>confirmé</t>
        </is>
      </c>
      <c r="M429" t="inlineStr">
        <is>
          <t>pv magazine</t>
        </is>
      </c>
      <c r="N429" t="inlineStr">
        <is>
          <t>Ivory Coast inaugurates 37.5 MW solar plant</t>
        </is>
      </c>
      <c r="O429" t="inlineStr">
        <is>
          <t>http://www.pv-magazine.com/2024/04/08/ivory-coast-inaugurates-37-5-mw-solar-plant/</t>
        </is>
      </c>
      <c r="P429" t="inlineStr">
        <is>
          <t>2024-04-08</t>
        </is>
      </c>
      <c r="Q429" t="inlineStr">
        <is>
          <t>The project, which has a total cost of €75.6 million ($81.8 million)</t>
        </is>
      </c>
      <c r="R429" t="inlineStr">
        <is>
          <t>CONFLIT : la page UE indique un budget de 'EUR 37 millions' (probablement l'enveloppe UE ou la phase 1 seule). Périmètre (phase 1 / 1+2) incertain.</t>
        </is>
      </c>
    </row>
    <row r="430">
      <c r="A430" t="inlineStr">
        <is>
          <t>retenu</t>
        </is>
      </c>
      <c r="B430" t="inlineStr">
        <is>
          <t>A_ouest</t>
        </is>
      </c>
      <c r="C430" t="inlineStr">
        <is>
          <t>A</t>
        </is>
      </c>
      <c r="D430" t="inlineStr">
        <is>
          <t>CIV</t>
        </is>
      </c>
      <c r="E430" t="inlineStr">
        <is>
          <t>Boundiali (phase 1)</t>
        </is>
      </c>
      <c r="F430" t="inlineStr">
        <is>
          <t>capex_total</t>
        </is>
      </c>
      <c r="G430" t="n">
        <v>37000000</v>
      </c>
      <c r="H430" t="inlineStr">
        <is>
          <t>EUR</t>
        </is>
      </c>
      <c r="I430" t="inlineStr">
        <is>
          <t>déclarée</t>
        </is>
      </c>
      <c r="J430" t="n">
        <v>2024</v>
      </c>
      <c r="K430" t="inlineStr">
        <is>
          <t>A</t>
        </is>
      </c>
      <c r="L430" t="inlineStr">
        <is>
          <t>confirmé</t>
        </is>
      </c>
      <c r="M430" t="inlineStr">
        <is>
          <t>Délégation UE Côte d'Ivoire</t>
        </is>
      </c>
      <c r="N430" t="inlineStr">
        <is>
          <t>Global Gateway – Centrale solaire de Boundiali</t>
        </is>
      </c>
      <c r="O430" t="inlineStr">
        <is>
          <t>https://www.eeas.europa.eu/delegations/c%C3%B4te-divoire/global-gateway-centrale-solaire-de-boundiali-accro%C3%AEtre-la-part-des-%C3%A9nergies-renouvelables-dans-le_fr</t>
        </is>
      </c>
      <c r="P430" t="inlineStr">
        <is>
          <t>2024</t>
        </is>
      </c>
      <c r="Q430" t="inlineStr">
        <is>
          <t>EUR 37 millions</t>
        </is>
      </c>
      <c r="R430" t="inlineStr">
        <is>
          <t>Champ 'budget' de la fiche UE, sans ventilation ; peut correspondre au seul financement UE.</t>
        </is>
      </c>
    </row>
    <row r="431">
      <c r="A431" t="inlineStr">
        <is>
          <t>qualitatif</t>
        </is>
      </c>
      <c r="B431" t="inlineStr">
        <is>
          <t>A_ouest</t>
        </is>
      </c>
      <c r="C431" t="inlineStr">
        <is>
          <t>A</t>
        </is>
      </c>
      <c r="D431" t="inlineStr">
        <is>
          <t>CIV</t>
        </is>
      </c>
      <c r="E431" t="inlineStr">
        <is>
          <t>Boundiali (phase 2 / extension)</t>
        </is>
      </c>
      <c r="F431" t="inlineStr">
        <is>
          <t>financeurs</t>
        </is>
      </c>
      <c r="G431" t="inlineStr">
        <is>
          <t>KfW prêt 30 M EUR (accord juillet 2023)</t>
        </is>
      </c>
      <c r="H431" t="inlineStr">
        <is>
          <t>texte</t>
        </is>
      </c>
      <c r="I431" t="inlineStr">
        <is>
          <t>observée</t>
        </is>
      </c>
      <c r="J431" t="n">
        <v>2023</v>
      </c>
      <c r="K431" t="inlineStr">
        <is>
          <t>A</t>
        </is>
      </c>
      <c r="L431" t="inlineStr">
        <is>
          <t>qualitatif_citation_ok</t>
        </is>
      </c>
      <c r="M431" t="inlineStr">
        <is>
          <t>Délégation UE Côte d'Ivoire</t>
        </is>
      </c>
      <c r="N431" t="inlineStr">
        <is>
          <t>Global Gateway – Centrale solaire de Boundiali</t>
        </is>
      </c>
      <c r="O431" t="inlineStr">
        <is>
          <t>https://www.eeas.europa.eu/delegations/c%C3%B4te-divoire/global-gateway-centrale-solaire-de-boundiali-accro%C3%AEtre-la-part-des-%C3%A9nergies-renouvelables-dans-le_fr</t>
        </is>
      </c>
      <c r="P431" t="inlineStr">
        <is>
          <t>2024</t>
        </is>
      </c>
      <c r="Q431" t="inlineStr">
        <is>
          <t>Le Gouvernement ivoirien et la KfW ont signé en juillet 2023 un accord de prêt de 30M€</t>
        </is>
      </c>
      <c r="R431" t="inlineStr">
        <is>
          <t>Prêt rattaché dans la page à l'extension (+43 MWc). Taux/durée non trouvés.</t>
        </is>
      </c>
    </row>
    <row r="432">
      <c r="A432" t="inlineStr">
        <is>
          <t>retenu</t>
        </is>
      </c>
      <c r="B432" t="inlineStr">
        <is>
          <t>A_ouest</t>
        </is>
      </c>
      <c r="C432" t="inlineStr">
        <is>
          <t>A</t>
        </is>
      </c>
      <c r="D432" t="inlineStr">
        <is>
          <t>CIV</t>
        </is>
      </c>
      <c r="E432" t="inlineStr">
        <is>
          <t>Boundiali (phase 2 / extension)</t>
        </is>
      </c>
      <c r="F432" t="inlineStr">
        <is>
          <t>puissance_mwp</t>
        </is>
      </c>
      <c r="G432" t="n">
        <v>43</v>
      </c>
      <c r="H432" t="inlineStr">
        <is>
          <t>MWc</t>
        </is>
      </c>
      <c r="I432" t="inlineStr">
        <is>
          <t>déclarée</t>
        </is>
      </c>
      <c r="J432" t="n">
        <v>2024</v>
      </c>
      <c r="K432" t="inlineStr">
        <is>
          <t>A</t>
        </is>
      </c>
      <c r="L432" t="inlineStr">
        <is>
          <t>confirmé</t>
        </is>
      </c>
      <c r="M432" t="inlineStr">
        <is>
          <t>Délégation UE Côte d'Ivoire</t>
        </is>
      </c>
      <c r="N432" t="inlineStr">
        <is>
          <t>Global Gateway – Centrale solaire de Boundiali</t>
        </is>
      </c>
      <c r="O432" t="inlineStr">
        <is>
          <t>https://www.eeas.europa.eu/delegations/c%C3%B4te-divoire/global-gateway-centrale-solaire-de-boundiali-accro%C3%AEtre-la-part-des-%C3%A9nergies-renouvelables-dans-le_fr</t>
        </is>
      </c>
      <c r="P432" t="inlineStr">
        <is>
          <t>2024</t>
        </is>
      </c>
      <c r="Q432" t="inlineStr">
        <is>
          <t>avec une capacité additionnelle de 43MWc.</t>
        </is>
      </c>
      <c r="R432" t="inlineStr">
        <is>
          <t>Statut : en construction (travaux démarrés 2024, fin prévue 2025) ; achèvement non confirmé.</t>
        </is>
      </c>
    </row>
    <row r="433">
      <c r="A433" t="inlineStr">
        <is>
          <t>retenu</t>
        </is>
      </c>
      <c r="B433" t="inlineStr">
        <is>
          <t>A_ouest</t>
        </is>
      </c>
      <c r="C433" t="inlineStr">
        <is>
          <t>A</t>
        </is>
      </c>
      <c r="D433" t="inlineStr">
        <is>
          <t>CIV</t>
        </is>
      </c>
      <c r="E433" t="inlineStr">
        <is>
          <t>Kong Solaire</t>
        </is>
      </c>
      <c r="F433" t="inlineStr">
        <is>
          <t>puissance_mwp</t>
        </is>
      </c>
      <c r="G433" t="n">
        <v>50</v>
      </c>
      <c r="H433" t="inlineStr">
        <is>
          <t>MWp</t>
        </is>
      </c>
      <c r="I433" t="inlineStr">
        <is>
          <t>déclarée</t>
        </is>
      </c>
      <c r="J433" t="n">
        <v>2025</v>
      </c>
      <c r="K433" t="inlineStr">
        <is>
          <t>B</t>
        </is>
      </c>
      <c r="L433" t="inlineStr">
        <is>
          <t>confirmé</t>
        </is>
      </c>
      <c r="M433" t="inlineStr">
        <is>
          <t>PIDG</t>
        </is>
      </c>
      <c r="N433" t="inlineStr">
        <is>
          <t>50MWp Kong Solaire project ...</t>
        </is>
      </c>
      <c r="O433" t="inlineStr">
        <is>
          <t>https://pidg.org/50mwp-kong-solaire-project-to-help-attain-cote-divoires-45-renewable-energy-target-by-2030/</t>
        </is>
      </c>
      <c r="P433" t="inlineStr">
        <is>
          <t>2025-10-10</t>
        </is>
      </c>
      <c r="Q433" t="inlineStr">
        <is>
          <t>the 50MWp Kong Solaire project in the Tchologo region of Côte d'Ivoire</t>
        </is>
      </c>
      <c r="R433" t="inlineStr"/>
    </row>
    <row r="434">
      <c r="A434" t="inlineStr">
        <is>
          <t>retenu</t>
        </is>
      </c>
      <c r="B434" t="inlineStr">
        <is>
          <t>A_ouest</t>
        </is>
      </c>
      <c r="C434" t="inlineStr">
        <is>
          <t>A</t>
        </is>
      </c>
      <c r="D434" t="inlineStr">
        <is>
          <t>CIV</t>
        </is>
      </c>
      <c r="E434" t="inlineStr">
        <is>
          <t>Kong Solaire</t>
        </is>
      </c>
      <c r="F434" t="inlineStr">
        <is>
          <t>ppa_duree</t>
        </is>
      </c>
      <c r="G434" t="n">
        <v>25</v>
      </c>
      <c r="H434" t="inlineStr">
        <is>
          <t>ans</t>
        </is>
      </c>
      <c r="I434" t="inlineStr">
        <is>
          <t>observée</t>
        </is>
      </c>
      <c r="J434" t="n">
        <v>2024</v>
      </c>
      <c r="K434" t="inlineStr">
        <is>
          <t>B</t>
        </is>
      </c>
      <c r="L434" t="inlineStr">
        <is>
          <t>confirmé</t>
        </is>
      </c>
      <c r="M434" t="inlineStr">
        <is>
          <t>PIDG</t>
        </is>
      </c>
      <c r="N434" t="inlineStr">
        <is>
          <t>idem</t>
        </is>
      </c>
      <c r="O434" t="inlineStr">
        <is>
          <t>https://pidg.org/50mwp-kong-solaire-project-to-help-attain-cote-divoires-45-renewable-energy-target-by-2030/</t>
        </is>
      </c>
      <c r="P434" t="inlineStr">
        <is>
          <t>2025-10-10</t>
        </is>
      </c>
      <c r="Q434" t="inlineStr">
        <is>
          <t>Delivered under a 25-year Power Purchase Agreement (PPA)</t>
        </is>
      </c>
      <c r="R434" t="inlineStr">
        <is>
          <t>PPA signé (presse : 2 juillet 2024, BOOT, avec CI-Energies).</t>
        </is>
      </c>
    </row>
    <row r="435">
      <c r="A435" t="inlineStr">
        <is>
          <t>qualitatif</t>
        </is>
      </c>
      <c r="B435" t="inlineStr">
        <is>
          <t>A_ouest</t>
        </is>
      </c>
      <c r="C435" t="inlineStr">
        <is>
          <t>A</t>
        </is>
      </c>
      <c r="D435" t="inlineStr">
        <is>
          <t>CIV</t>
        </is>
      </c>
      <c r="E435" t="inlineStr">
        <is>
          <t>Kong Solaire</t>
        </is>
      </c>
      <c r="F435" t="inlineStr">
        <is>
          <t>developpeur</t>
        </is>
      </c>
      <c r="G435" t="inlineStr">
        <is>
          <t>InfraCo (PIDG), Africa Via, Axian Energy</t>
        </is>
      </c>
      <c r="H435" t="inlineStr">
        <is>
          <t>texte</t>
        </is>
      </c>
      <c r="I435" t="inlineStr">
        <is>
          <t>observée</t>
        </is>
      </c>
      <c r="J435" t="n">
        <v>2025</v>
      </c>
      <c r="K435" t="inlineStr">
        <is>
          <t>B</t>
        </is>
      </c>
      <c r="L435" t="inlineStr">
        <is>
          <t>qualitatif_citation_ok</t>
        </is>
      </c>
      <c r="M435" t="inlineStr">
        <is>
          <t>PIDG</t>
        </is>
      </c>
      <c r="N435" t="inlineStr">
        <is>
          <t>idem</t>
        </is>
      </c>
      <c r="O435" t="inlineStr">
        <is>
          <t>https://pidg.org/50mwp-kong-solaire-project-to-help-attain-cote-divoires-45-renewable-energy-target-by-2030/</t>
        </is>
      </c>
      <c r="P435" t="inlineStr">
        <is>
          <t>2025-10-10</t>
        </is>
      </c>
      <c r="Q435" t="inlineStr">
        <is>
          <t>PIDG (through its InfraCo solution), Africa Via, and Axian Energy, which joined the consortium earlier in 2025</t>
        </is>
      </c>
      <c r="R435" t="inlineStr">
        <is>
          <t>Extrait restitué par l'outil (reformulation possible).</t>
        </is>
      </c>
    </row>
    <row r="436">
      <c r="A436" t="inlineStr">
        <is>
          <t>retenu</t>
        </is>
      </c>
      <c r="B436" t="inlineStr">
        <is>
          <t>A_ouest</t>
        </is>
      </c>
      <c r="C436" t="inlineStr">
        <is>
          <t>A</t>
        </is>
      </c>
      <c r="D436" t="inlineStr">
        <is>
          <t>CIV</t>
        </is>
      </c>
      <c r="E436" t="inlineStr">
        <is>
          <t>Kong Solaire</t>
        </is>
      </c>
      <c r="F436" t="inlineStr">
        <is>
          <t>production_gwh_an</t>
        </is>
      </c>
      <c r="G436" t="n">
        <v>98</v>
      </c>
      <c r="H436" t="inlineStr">
        <is>
          <t>GWh/an</t>
        </is>
      </c>
      <c r="I436" t="inlineStr">
        <is>
          <t>déclarée</t>
        </is>
      </c>
      <c r="J436" t="n">
        <v>2025</v>
      </c>
      <c r="K436" t="inlineStr">
        <is>
          <t>C</t>
        </is>
      </c>
      <c r="L436" t="inlineStr">
        <is>
          <t>confirmé</t>
        </is>
      </c>
      <c r="M436" t="inlineStr">
        <is>
          <t>AllAfrica</t>
        </is>
      </c>
      <c r="N436" t="inlineStr">
        <is>
          <t>Kong solaire (Axian Energy)</t>
        </is>
      </c>
      <c r="O436" t="inlineStr">
        <is>
          <t>https://fr.allafrica.com/stories/202512260241.html</t>
        </is>
      </c>
      <c r="P436" t="inlineStr">
        <is>
          <t>2025-12-26</t>
        </is>
      </c>
      <c r="Q436" t="inlineStr">
        <is>
          <t>98 Gwh</t>
        </is>
      </c>
      <c r="R436" t="inlineStr">
        <is>
          <t>Statut : en construction (lancement officiel oct. 2025). Acheteur : CI-Energies.</t>
        </is>
      </c>
    </row>
    <row r="437">
      <c r="A437" t="inlineStr">
        <is>
          <t>retenu</t>
        </is>
      </c>
      <c r="B437" t="inlineStr">
        <is>
          <t>A_ouest</t>
        </is>
      </c>
      <c r="C437" t="inlineStr">
        <is>
          <t>A</t>
        </is>
      </c>
      <c r="D437" t="inlineStr">
        <is>
          <t>CIV</t>
        </is>
      </c>
      <c r="E437" t="inlineStr">
        <is>
          <t>Ferké Solar (Ferkessédougou)</t>
        </is>
      </c>
      <c r="F437" t="inlineStr">
        <is>
          <t>puissance_mwp</t>
        </is>
      </c>
      <c r="G437" t="n">
        <v>52</v>
      </c>
      <c r="H437" t="inlineStr">
        <is>
          <t>MWc</t>
        </is>
      </c>
      <c r="I437" t="inlineStr">
        <is>
          <t>déclarée</t>
        </is>
      </c>
      <c r="J437" t="n">
        <v>2025</v>
      </c>
      <c r="K437" t="inlineStr">
        <is>
          <t>B</t>
        </is>
      </c>
      <c r="L437" t="inlineStr">
        <is>
          <t>confirmé</t>
        </is>
      </c>
      <c r="M437" t="inlineStr">
        <is>
          <t>AIP (agence officielle)</t>
        </is>
      </c>
      <c r="N437" t="inlineStr">
        <is>
          <t>Ferké Solar</t>
        </is>
      </c>
      <c r="O437" t="inlineStr">
        <is>
          <t>https://www.aip.ci/?p=151855</t>
        </is>
      </c>
      <c r="P437" t="inlineStr">
        <is>
          <t>2025-02-04</t>
        </is>
      </c>
      <c r="Q437" t="inlineStr">
        <is>
          <t>D'une capacité de 52 MWc</t>
        </is>
      </c>
      <c r="R437" t="inlineStr">
        <is>
          <t>Presse 2026 : 52,4 MW.</t>
        </is>
      </c>
    </row>
    <row r="438">
      <c r="A438" t="inlineStr">
        <is>
          <t>retenu</t>
        </is>
      </c>
      <c r="B438" t="inlineStr">
        <is>
          <t>A_ouest</t>
        </is>
      </c>
      <c r="C438" t="inlineStr">
        <is>
          <t>A</t>
        </is>
      </c>
      <c r="D438" t="inlineStr">
        <is>
          <t>CIV</t>
        </is>
      </c>
      <c r="E438" t="inlineStr">
        <is>
          <t>Ferké Solar (Ferkessédougou)</t>
        </is>
      </c>
      <c r="F438" t="inlineStr">
        <is>
          <t>capex_total</t>
        </is>
      </c>
      <c r="G438" t="n">
        <v>41000000000</v>
      </c>
      <c r="H438" t="inlineStr">
        <is>
          <t>XOF</t>
        </is>
      </c>
      <c r="I438" t="inlineStr">
        <is>
          <t>déclarée</t>
        </is>
      </c>
      <c r="J438" t="n">
        <v>2025</v>
      </c>
      <c r="K438" t="inlineStr">
        <is>
          <t>B</t>
        </is>
      </c>
      <c r="L438" t="inlineStr">
        <is>
          <t>confirmé</t>
        </is>
      </c>
      <c r="M438" t="inlineStr">
        <is>
          <t>AIP</t>
        </is>
      </c>
      <c r="N438" t="inlineStr">
        <is>
          <t>Ferké Solar</t>
        </is>
      </c>
      <c r="O438" t="inlineStr">
        <is>
          <t>https://www.aip.ci/?p=151855</t>
        </is>
      </c>
      <c r="P438" t="inlineStr">
        <is>
          <t>2025-02-04</t>
        </is>
      </c>
      <c r="Q438" t="inlineStr">
        <is>
          <t>entièrement financée à hauteur de 41 milliards FCFA par PFO Énergies</t>
        </is>
      </c>
      <c r="R438" t="inlineStr">
        <is>
          <t>Soutien BOAD et fonds 'EAAIF' cités sans montant.</t>
        </is>
      </c>
    </row>
    <row r="439">
      <c r="A439" t="inlineStr">
        <is>
          <t>retenu</t>
        </is>
      </c>
      <c r="B439" t="inlineStr">
        <is>
          <t>A_ouest</t>
        </is>
      </c>
      <c r="C439" t="inlineStr">
        <is>
          <t>A</t>
        </is>
      </c>
      <c r="D439" t="inlineStr">
        <is>
          <t>CIV</t>
        </is>
      </c>
      <c r="E439" t="inlineStr">
        <is>
          <t>Ferké Solar (Ferkessédougou)</t>
        </is>
      </c>
      <c r="F439" t="inlineStr">
        <is>
          <t>production_gwh_an</t>
        </is>
      </c>
      <c r="G439" t="n">
        <v>90</v>
      </c>
      <c r="H439" t="inlineStr">
        <is>
          <t>GWh/an</t>
        </is>
      </c>
      <c r="I439" t="inlineStr">
        <is>
          <t>déclarée</t>
        </is>
      </c>
      <c r="J439" t="n">
        <v>2025</v>
      </c>
      <c r="K439" t="inlineStr">
        <is>
          <t>B</t>
        </is>
      </c>
      <c r="L439" t="inlineStr">
        <is>
          <t>confirmé</t>
        </is>
      </c>
      <c r="M439" t="inlineStr">
        <is>
          <t>AIP</t>
        </is>
      </c>
      <c r="N439" t="inlineStr">
        <is>
          <t>Ferké Solar</t>
        </is>
      </c>
      <c r="O439" t="inlineStr">
        <is>
          <t>https://www.aip.ci/?p=151855</t>
        </is>
      </c>
      <c r="P439" t="inlineStr">
        <is>
          <t>2025-02-04</t>
        </is>
      </c>
      <c r="Q439" t="inlineStr">
        <is>
          <t>produira annuellement près de 90 GWh</t>
        </is>
      </c>
      <c r="R439" t="inlineStr"/>
    </row>
    <row r="440">
      <c r="A440" t="inlineStr">
        <is>
          <t>retenu</t>
        </is>
      </c>
      <c r="B440" t="inlineStr">
        <is>
          <t>A_ouest</t>
        </is>
      </c>
      <c r="C440" t="inlineStr">
        <is>
          <t>A</t>
        </is>
      </c>
      <c r="D440" t="inlineStr">
        <is>
          <t>GHA</t>
        </is>
      </c>
      <c r="E440" t="inlineStr">
        <is>
          <t>Bui – solaire au sol (1re tranche 50 MWp)</t>
        </is>
      </c>
      <c r="F440" t="inlineStr">
        <is>
          <t>puissance_mwp</t>
        </is>
      </c>
      <c r="G440" t="n">
        <v>50</v>
      </c>
      <c r="H440" t="inlineStr">
        <is>
          <t>MWp</t>
        </is>
      </c>
      <c r="I440" t="inlineStr">
        <is>
          <t>observée</t>
        </is>
      </c>
      <c r="J440" t="n">
        <v>2021</v>
      </c>
      <c r="K440" t="inlineStr">
        <is>
          <t>C</t>
        </is>
      </c>
      <c r="L440" t="inlineStr">
        <is>
          <t>confirmé</t>
        </is>
      </c>
      <c r="M440" t="inlineStr">
        <is>
          <t>Africa Energy</t>
        </is>
      </c>
      <c r="N440" t="inlineStr">
        <is>
          <t>Ghana delivers Africa's first FPV after other schemes faltered</t>
        </is>
      </c>
      <c r="O440" t="inlineStr">
        <is>
          <t>https://www.africa-energy.com/news-centre/article/ghana-delivers-africas-first-fpv-after-other-schemes-faltered</t>
        </is>
      </c>
      <c r="P440" t="inlineStr">
        <is>
          <t>2021-07-22</t>
        </is>
      </c>
      <c r="Q440" t="inlineStr">
        <is>
          <t>along with the first 50MWp tranche of an eventual 250MWp ground-mounted scheme beside the dam</t>
        </is>
      </c>
      <c r="R440" t="inlineStr"/>
    </row>
    <row r="441">
      <c r="A441" t="inlineStr">
        <is>
          <t>retenu</t>
        </is>
      </c>
      <c r="B441" t="inlineStr">
        <is>
          <t>A_ouest</t>
        </is>
      </c>
      <c r="C441" t="inlineStr">
        <is>
          <t>A</t>
        </is>
      </c>
      <c r="D441" t="inlineStr">
        <is>
          <t>GHA</t>
        </is>
      </c>
      <c r="E441" t="inlineStr">
        <is>
          <t>Bui – solaire au sol (1re tranche 50 MWp)</t>
        </is>
      </c>
      <c r="F441" t="inlineStr">
        <is>
          <t>capex_total</t>
        </is>
      </c>
      <c r="G441" t="n">
        <v>47500000</v>
      </c>
      <c r="H441" t="inlineStr">
        <is>
          <t>USD</t>
        </is>
      </c>
      <c r="I441" t="inlineStr">
        <is>
          <t>déclarée</t>
        </is>
      </c>
      <c r="J441" t="n">
        <v>2021</v>
      </c>
      <c r="K441" t="inlineStr">
        <is>
          <t>C</t>
        </is>
      </c>
      <c r="L441" t="inlineStr">
        <is>
          <t>confirmé</t>
        </is>
      </c>
      <c r="M441" t="inlineStr">
        <is>
          <t>Africa Energy</t>
        </is>
      </c>
      <c r="N441" t="inlineStr">
        <is>
          <t>idem</t>
        </is>
      </c>
      <c r="O441" t="inlineStr">
        <is>
          <t>https://www.africa-energy.com/news-centre/article/ghana-delivers-africas-first-fpv-after-other-schemes-faltered</t>
        </is>
      </c>
      <c r="P441" t="inlineStr">
        <is>
          <t>2021-07-22</t>
        </is>
      </c>
      <c r="Q441" t="inlineStr">
        <is>
          <t>at costs of about $1m and $47.5m respectively</t>
        </is>
      </c>
      <c r="R441" t="inlineStr">
        <is>
          <t>$1m = FPV 1 MW pilote ; $47.5m = 50 MWp au sol. Contrat EPC+F avec Meinergy Technology (Chine).</t>
        </is>
      </c>
    </row>
    <row r="442">
      <c r="A442" t="inlineStr">
        <is>
          <t>qualitatif</t>
        </is>
      </c>
      <c r="B442" t="inlineStr">
        <is>
          <t>A_ouest</t>
        </is>
      </c>
      <c r="C442" t="inlineStr">
        <is>
          <t>A</t>
        </is>
      </c>
      <c r="D442" t="inlineStr">
        <is>
          <t>GHA</t>
        </is>
      </c>
      <c r="E442" t="inlineStr">
        <is>
          <t>Bui – solaire au sol (1re tranche 50 MWp)</t>
        </is>
      </c>
      <c r="F442" t="inlineStr">
        <is>
          <t>procedure</t>
        </is>
      </c>
      <c r="G442" t="inlineStr">
        <is>
          <t>EPC+F (Bui Power Authority, public)</t>
        </is>
      </c>
      <c r="H442" t="inlineStr">
        <is>
          <t>texte</t>
        </is>
      </c>
      <c r="I442" t="inlineStr">
        <is>
          <t>observée</t>
        </is>
      </c>
      <c r="J442" t="n">
        <v>2021</v>
      </c>
      <c r="K442" t="inlineStr">
        <is>
          <t>C</t>
        </is>
      </c>
      <c r="L442" t="inlineStr">
        <is>
          <t>qualitatif_citation_ok</t>
        </is>
      </c>
      <c r="M442" t="inlineStr">
        <is>
          <t>Africa Energy</t>
        </is>
      </c>
      <c r="N442" t="inlineStr">
        <is>
          <t>idem</t>
        </is>
      </c>
      <c r="O442" t="inlineStr">
        <is>
          <t>https://www.africa-energy.com/news-centre/article/ghana-delivers-africas-first-fpv-after-other-schemes-faltered</t>
        </is>
      </c>
      <c r="P442" t="inlineStr">
        <is>
          <t>2021-07-22</t>
        </is>
      </c>
      <c r="Q442" t="inlineStr">
        <is>
          <t>on the basis of an engineering, procurement and construction and financing (EPC+F) contract</t>
        </is>
      </c>
      <c r="R442" t="inlineStr"/>
    </row>
    <row r="443">
      <c r="A443" t="inlineStr">
        <is>
          <t>retenu</t>
        </is>
      </c>
      <c r="B443" t="inlineStr">
        <is>
          <t>A_ouest</t>
        </is>
      </c>
      <c r="C443" t="inlineStr">
        <is>
          <t>A</t>
        </is>
      </c>
      <c r="D443" t="inlineStr">
        <is>
          <t>GHA</t>
        </is>
      </c>
      <c r="E443" t="inlineStr">
        <is>
          <t>Bui – solaire au sol (1re tranche 50 MWp)</t>
        </is>
      </c>
      <c r="F443" t="inlineStr">
        <is>
          <t>annee_mise_en_service</t>
        </is>
      </c>
      <c r="G443" t="n">
        <v>2021</v>
      </c>
      <c r="H443" t="inlineStr">
        <is>
          <t>année</t>
        </is>
      </c>
      <c r="I443" t="inlineStr">
        <is>
          <t>déclarée</t>
        </is>
      </c>
      <c r="J443" t="n">
        <v>2021</v>
      </c>
      <c r="K443" t="inlineStr">
        <is>
          <t>C</t>
        </is>
      </c>
      <c r="L443" t="inlineStr">
        <is>
          <t>citation_partielle</t>
        </is>
      </c>
      <c r="M443" t="inlineStr">
        <is>
          <t>Africa Energy</t>
        </is>
      </c>
      <c r="N443" t="inlineStr">
        <is>
          <t>idem</t>
        </is>
      </c>
      <c r="O443" t="inlineStr">
        <is>
          <t>https://www.africa-energy.com/news-centre/article/ghana-delivers-africas-first-fpv-after-other-schemes-faltered</t>
        </is>
      </c>
      <c r="P443" t="inlineStr">
        <is>
          <t>2021-07-22</t>
        </is>
      </c>
      <c r="Q443" t="inlineStr">
        <is>
          <t>The 1MW pilot and first 50MWp tranche were commissioned in Q1 2021.</t>
        </is>
      </c>
      <c r="R443" t="inlineStr">
        <is>
          <t>Extrait restitué par l'outil (paraphrase possible). CONFLIT apparent : GNA (juin 2023) décrit un 50 MWp 'en construction', fin prévue fin 2023 — sans doute une 2e tranche.</t>
        </is>
      </c>
    </row>
    <row r="444">
      <c r="A444" t="inlineStr">
        <is>
          <t>qualitatif</t>
        </is>
      </c>
      <c r="B444" t="inlineStr">
        <is>
          <t>A_ouest</t>
        </is>
      </c>
      <c r="C444" t="inlineStr">
        <is>
          <t>A</t>
        </is>
      </c>
      <c r="D444" t="inlineStr">
        <is>
          <t>GHA</t>
        </is>
      </c>
      <c r="E444" t="inlineStr">
        <is>
          <t>Bui – solaire au sol (tranche 50 MWp suivante)</t>
        </is>
      </c>
      <c r="F444" t="inlineStr">
        <is>
          <t>statut</t>
        </is>
      </c>
      <c r="G444" t="inlineStr">
        <is>
          <t>en construction (2023)</t>
        </is>
      </c>
      <c r="H444" t="inlineStr">
        <is>
          <t>texte</t>
        </is>
      </c>
      <c r="I444" t="inlineStr">
        <is>
          <t>déclarée</t>
        </is>
      </c>
      <c r="J444" t="n">
        <v>2023</v>
      </c>
      <c r="K444" t="inlineStr">
        <is>
          <t>B</t>
        </is>
      </c>
      <c r="L444" t="inlineStr">
        <is>
          <t>qualitatif_citation_ok</t>
        </is>
      </c>
      <c r="M444" t="inlineStr">
        <is>
          <t>Ghana News Agency</t>
        </is>
      </c>
      <c r="N444" t="inlineStr">
        <is>
          <t>Bui Power Authority's 50MWp Solar PV farm to be completed end of 2023</t>
        </is>
      </c>
      <c r="O444" t="inlineStr">
        <is>
          <t>https://gna.org.gh/2023/06/bui-power-authoritys-50mwp-solar-pv-farm-to-be-completed-end-of-2023/</t>
        </is>
      </c>
      <c r="P444" t="inlineStr">
        <is>
          <t>2023-06-17</t>
        </is>
      </c>
      <c r="Q444" t="inlineStr">
        <is>
          <t>is constructing a 50MWp Solar PV farm, which is scheduled for completion by the end of 2023</t>
        </is>
      </c>
      <c r="R444" t="inlineStr">
        <is>
          <t>Mise en service effective non confirmée.</t>
        </is>
      </c>
    </row>
    <row r="445">
      <c r="A445" t="inlineStr">
        <is>
          <t>retenu</t>
        </is>
      </c>
      <c r="B445" t="inlineStr">
        <is>
          <t>A_ouest</t>
        </is>
      </c>
      <c r="C445" t="inlineStr">
        <is>
          <t>A</t>
        </is>
      </c>
      <c r="D445" t="inlineStr">
        <is>
          <t>GHA</t>
        </is>
      </c>
      <c r="E445" t="inlineStr">
        <is>
          <t>Bui – flottant (FPV)</t>
        </is>
      </c>
      <c r="F445" t="inlineStr">
        <is>
          <t>puissance_mwp</t>
        </is>
      </c>
      <c r="G445" t="n">
        <v>5</v>
      </c>
      <c r="H445" t="inlineStr">
        <is>
          <t>MWp</t>
        </is>
      </c>
      <c r="I445" t="inlineStr">
        <is>
          <t>observée</t>
        </is>
      </c>
      <c r="J445" t="n">
        <v>2023</v>
      </c>
      <c r="K445" t="inlineStr">
        <is>
          <t>B</t>
        </is>
      </c>
      <c r="L445" t="inlineStr">
        <is>
          <t>confirmé</t>
        </is>
      </c>
      <c r="M445" t="inlineStr">
        <is>
          <t>Ghana News Agency</t>
        </is>
      </c>
      <c r="N445" t="inlineStr">
        <is>
          <t>idem</t>
        </is>
      </c>
      <c r="O445" t="inlineStr">
        <is>
          <t>https://gna.org.gh/2023/06/bui-power-authoritys-50mwp-solar-pv-farm-to-be-completed-end-of-2023/</t>
        </is>
      </c>
      <c r="P445" t="inlineStr">
        <is>
          <t>2023-06-17</t>
        </is>
      </c>
      <c r="Q445" t="inlineStr">
        <is>
          <t>finished the installation of a revolutionary 5MWp Floating Solar PV system on the Bui Reservoir</t>
        </is>
      </c>
      <c r="R445" t="inlineStr">
        <is>
          <t>1 MW pilote (2021) + 4 MW. ≥5 MW seuil atteint. BESS 10 MWh mentionné par la presse (non vérifié).</t>
        </is>
      </c>
    </row>
    <row r="446">
      <c r="A446" t="inlineStr">
        <is>
          <t>retenu</t>
        </is>
      </c>
      <c r="B446" t="inlineStr">
        <is>
          <t>A_ouest</t>
        </is>
      </c>
      <c r="C446" t="inlineStr">
        <is>
          <t>A</t>
        </is>
      </c>
      <c r="D446" t="inlineStr">
        <is>
          <t>GHA</t>
        </is>
      </c>
      <c r="E446" t="inlineStr">
        <is>
          <t>Kaleo (phase 1)</t>
        </is>
      </c>
      <c r="F446" t="inlineStr">
        <is>
          <t>capex_total</t>
        </is>
      </c>
      <c r="G446" t="n">
        <v>20510000</v>
      </c>
      <c r="H446" t="inlineStr">
        <is>
          <t>EUR</t>
        </is>
      </c>
      <c r="I446" t="inlineStr">
        <is>
          <t>déclarée</t>
        </is>
      </c>
      <c r="J446" t="n">
        <v>2022</v>
      </c>
      <c r="K446" t="inlineStr">
        <is>
          <t>C</t>
        </is>
      </c>
      <c r="L446" t="inlineStr">
        <is>
          <t>confirmé</t>
        </is>
      </c>
      <c r="M446" t="inlineStr">
        <is>
          <t>Ghanaian Times</t>
        </is>
      </c>
      <c r="N446" t="inlineStr">
        <is>
          <t>President inaugurates phase 1 of Kaleo solar power plant</t>
        </is>
      </c>
      <c r="O446" t="inlineStr">
        <is>
          <t>https://ghanaiantimes.com.gh/president-inaugurates-phase-1-of-kaleo-solar-power-plant/amp/</t>
        </is>
      </c>
      <c r="P446" t="inlineStr">
        <is>
          <t>2022-08</t>
        </is>
      </c>
      <c r="Q446" t="inlineStr">
        <is>
          <t>The €20.51 million project</t>
        </is>
      </c>
      <c r="R446">
        <f> 12,39 M EUR KfW + 8,12 M EUR VRA (cohérent). Autre presse : prêt 22,8 M EUR couvrant Kaleo + Lawra (non vérifié).</f>
        <v/>
      </c>
    </row>
    <row r="447">
      <c r="A447" t="inlineStr">
        <is>
          <t>retenu</t>
        </is>
      </c>
      <c r="B447" t="inlineStr">
        <is>
          <t>A_ouest</t>
        </is>
      </c>
      <c r="C447" t="inlineStr">
        <is>
          <t>A</t>
        </is>
      </c>
      <c r="D447" t="inlineStr">
        <is>
          <t>BFA</t>
        </is>
      </c>
      <c r="E447" t="inlineStr">
        <is>
          <t>Zagtouli 1</t>
        </is>
      </c>
      <c r="F447" t="inlineStr">
        <is>
          <t>puissance_mwp</t>
        </is>
      </c>
      <c r="G447" t="n">
        <v>33</v>
      </c>
      <c r="H447" t="inlineStr">
        <is>
          <t>MWc</t>
        </is>
      </c>
      <c r="I447" t="inlineStr">
        <is>
          <t>observée</t>
        </is>
      </c>
      <c r="J447" t="n">
        <v>2019</v>
      </c>
      <c r="K447" t="inlineStr">
        <is>
          <t>A</t>
        </is>
      </c>
      <c r="L447" t="inlineStr">
        <is>
          <t>confirmé</t>
        </is>
      </c>
      <c r="M447" t="inlineStr">
        <is>
          <t>AFD</t>
        </is>
      </c>
      <c r="N447" t="inlineStr">
        <is>
          <t>Résumé d'évaluation – Centrale solaire de Zagtouli (CBF 1257)</t>
        </is>
      </c>
      <c r="O447" t="inlineStr">
        <is>
          <t>https://afd.fr/sites/default/files/2020-01-04-48-11/resume-evaluation-centrale-solaire-zagtouli-CBF1257.pdf</t>
        </is>
      </c>
      <c r="P447" t="inlineStr">
        <is>
          <t>2019-06</t>
        </is>
      </c>
      <c r="Q447" t="inlineStr">
        <is>
          <t>une centrale photovoltaïque de 33MWc est aujourd'hui en exploitation à Zagtouli</t>
        </is>
      </c>
      <c r="R447" t="inlineStr">
        <is>
          <t>BEI 2015 : 30 MW (AC) / 33 MW crête (non ouvert).</t>
        </is>
      </c>
    </row>
    <row r="448">
      <c r="A448" t="inlineStr">
        <is>
          <t>retenu</t>
        </is>
      </c>
      <c r="B448" t="inlineStr">
        <is>
          <t>A_ouest</t>
        </is>
      </c>
      <c r="C448" t="inlineStr">
        <is>
          <t>A</t>
        </is>
      </c>
      <c r="D448" t="inlineStr">
        <is>
          <t>BFA</t>
        </is>
      </c>
      <c r="E448" t="inlineStr">
        <is>
          <t>Zagtouli 1</t>
        </is>
      </c>
      <c r="F448" t="inlineStr">
        <is>
          <t>annee_mise_en_service</t>
        </is>
      </c>
      <c r="G448" t="n">
        <v>2017</v>
      </c>
      <c r="H448" t="inlineStr">
        <is>
          <t>année</t>
        </is>
      </c>
      <c r="I448" t="inlineStr">
        <is>
          <t>observée</t>
        </is>
      </c>
      <c r="J448" t="n">
        <v>2017</v>
      </c>
      <c r="K448" t="inlineStr">
        <is>
          <t>A</t>
        </is>
      </c>
      <c r="L448" t="inlineStr">
        <is>
          <t>confirmé</t>
        </is>
      </c>
      <c r="M448" t="inlineStr">
        <is>
          <t>AFD</t>
        </is>
      </c>
      <c r="N448" t="inlineStr">
        <is>
          <t>Résumé d'évaluation – Centrale solaire de Zagtouli (CBF 1257)</t>
        </is>
      </c>
      <c r="O448" t="inlineStr">
        <is>
          <t>https://afd.fr/sites/default/files/2020-01-04-48-11/resume-evaluation-centrale-solaire-zagtouli-CBF1257.pdf</t>
        </is>
      </c>
      <c r="P448" t="inlineStr">
        <is>
          <t>2019-06</t>
        </is>
      </c>
      <c r="Q448" t="inlineStr">
        <is>
          <t>Plus d'un an après son inauguration le 29 novembre 2017, sa production est conforme aux attentes.</t>
        </is>
      </c>
      <c r="R448" t="inlineStr">
        <is>
          <t>Première injection fin sept. 2017 (Connaissance des Énergies).</t>
        </is>
      </c>
    </row>
    <row r="449">
      <c r="A449" t="inlineStr">
        <is>
          <t>qualitatif</t>
        </is>
      </c>
      <c r="B449" t="inlineStr">
        <is>
          <t>A_ouest</t>
        </is>
      </c>
      <c r="C449" t="inlineStr">
        <is>
          <t>A</t>
        </is>
      </c>
      <c r="D449" t="inlineStr">
        <is>
          <t>BFA</t>
        </is>
      </c>
      <c r="E449" t="inlineStr">
        <is>
          <t>Zagtouli 1</t>
        </is>
      </c>
      <c r="F449" t="inlineStr">
        <is>
          <t>procedure</t>
        </is>
      </c>
      <c r="G449" t="inlineStr">
        <is>
          <t>EPC public (maîtrise d'ouvrage publique, conception-construction + 2 ans O&amp;M)</t>
        </is>
      </c>
      <c r="H449" t="inlineStr">
        <is>
          <t>texte</t>
        </is>
      </c>
      <c r="I449" t="inlineStr">
        <is>
          <t>observée</t>
        </is>
      </c>
      <c r="J449" t="n">
        <v>2019</v>
      </c>
      <c r="K449" t="inlineStr">
        <is>
          <t>A</t>
        </is>
      </c>
      <c r="L449" t="inlineStr">
        <is>
          <t>qualitatif_citation_ok</t>
        </is>
      </c>
      <c r="M449" t="inlineStr">
        <is>
          <t>AFD</t>
        </is>
      </c>
      <c r="N449" t="inlineStr">
        <is>
          <t>Résumé d'évaluation – Centrale solaire de Zagtouli (CBF 1257)</t>
        </is>
      </c>
      <c r="O449" t="inlineStr">
        <is>
          <t>https://afd.fr/sites/default/files/2020-01-04-48-11/resume-evaluation-centrale-solaire-zagtouli-CBF1257.pdf</t>
        </is>
      </c>
      <c r="P449" t="inlineStr">
        <is>
          <t>2019-06</t>
        </is>
      </c>
      <c r="Q449" t="inlineStr">
        <is>
          <t>Le contrat, de type conception-construction associé à une période d'exploitation et maintenance de deux ans</t>
        </is>
      </c>
      <c r="R449" t="inlineStr">
        <is>
          <t>EPC : Cegelec (Vinci).</t>
        </is>
      </c>
    </row>
    <row r="450">
      <c r="A450" t="inlineStr">
        <is>
          <t>qualitatif</t>
        </is>
      </c>
      <c r="B450" t="inlineStr">
        <is>
          <t>A_ouest</t>
        </is>
      </c>
      <c r="C450" t="inlineStr">
        <is>
          <t>A</t>
        </is>
      </c>
      <c r="D450" t="inlineStr">
        <is>
          <t>BFA</t>
        </is>
      </c>
      <c r="E450" t="inlineStr">
        <is>
          <t>Zagtouli 1</t>
        </is>
      </c>
      <c r="F450" t="inlineStr">
        <is>
          <t>financeurs</t>
        </is>
      </c>
      <c r="G450" t="inlineStr">
        <is>
          <t>AFD prêt souverain 22,5 M EUR + UE (FED) don 25 M EUR</t>
        </is>
      </c>
      <c r="H450" t="inlineStr">
        <is>
          <t>texte</t>
        </is>
      </c>
      <c r="I450" t="inlineStr">
        <is>
          <t>observée</t>
        </is>
      </c>
      <c r="J450" t="n">
        <v>2014</v>
      </c>
      <c r="K450" t="inlineStr">
        <is>
          <t>A</t>
        </is>
      </c>
      <c r="L450" t="inlineStr">
        <is>
          <t>qualitatif_citation_ok</t>
        </is>
      </c>
      <c r="M450" t="inlineStr">
        <is>
          <t>AFD</t>
        </is>
      </c>
      <c r="N450" t="inlineStr">
        <is>
          <t>Résumé d'évaluation – Centrale solaire de Zagtouli (CBF 1257)</t>
        </is>
      </c>
      <c r="O450" t="inlineStr">
        <is>
          <t>https://afd.fr/sites/default/files/2020-01-04-48-11/resume-evaluation-centrale-solaire-zagtouli-CBF1257.pdf</t>
        </is>
      </c>
      <c r="P450" t="inlineStr">
        <is>
          <t>2019-06</t>
        </is>
      </c>
      <c r="Q450" t="inlineStr">
        <is>
          <t>Montant : Prêt souverain de 22,5 M€ ... Ce projet est cofinancé par l'AFD et l'Union Européenne.</t>
        </is>
      </c>
      <c r="R450" t="inlineStr">
        <is>
          <t>Convention AFD signée 22/09/2014. CONFLIT : pv-tech (2014) annonce aussi un prêt BEI de 23 M EUR pour Zagtouli, absent de l'évaluation AFD.</t>
        </is>
      </c>
    </row>
    <row r="451">
      <c r="A451" t="inlineStr">
        <is>
          <t>retenu</t>
        </is>
      </c>
      <c r="B451" t="inlineStr">
        <is>
          <t>A_ouest</t>
        </is>
      </c>
      <c r="C451" t="inlineStr">
        <is>
          <t>A</t>
        </is>
      </c>
      <c r="D451" t="inlineStr">
        <is>
          <t>BFA</t>
        </is>
      </c>
      <c r="E451" t="inlineStr">
        <is>
          <t>Zagtouli 2 (extension)</t>
        </is>
      </c>
      <c r="F451" t="inlineStr">
        <is>
          <t>puissance_mwp</t>
        </is>
      </c>
      <c r="G451" t="n">
        <v>17</v>
      </c>
      <c r="H451" t="inlineStr">
        <is>
          <t>MWc</t>
        </is>
      </c>
      <c r="I451" t="inlineStr">
        <is>
          <t>déclarée</t>
        </is>
      </c>
      <c r="J451" t="n">
        <v>2026</v>
      </c>
      <c r="K451" t="inlineStr">
        <is>
          <t>C</t>
        </is>
      </c>
      <c r="L451" t="inlineStr">
        <is>
          <t>confirmé</t>
        </is>
      </c>
      <c r="M451" t="inlineStr">
        <is>
          <t>Wakat Séra</t>
        </is>
      </c>
      <c r="N451" t="inlineStr">
        <is>
          <t>SONABEL : 28 485 panneaux solaires bifaciaux ... à Zagtouli</t>
        </is>
      </c>
      <c r="O451" t="inlineStr">
        <is>
          <t>https://www.wakatsera.com/?p=133582</t>
        </is>
      </c>
      <c r="P451" t="inlineStr">
        <is>
          <t>2026-02-04</t>
        </is>
      </c>
      <c r="Q451" t="inlineStr">
        <is>
          <t>pour une capacité de production additionnelle de 17 MWc</t>
        </is>
      </c>
      <c r="R451" t="inlineStr">
        <is>
          <t>Total site : 50 MWc.</t>
        </is>
      </c>
    </row>
    <row r="452">
      <c r="A452" t="inlineStr">
        <is>
          <t>qualitatif</t>
        </is>
      </c>
      <c r="B452" t="inlineStr">
        <is>
          <t>A_ouest</t>
        </is>
      </c>
      <c r="C452" t="inlineStr">
        <is>
          <t>A</t>
        </is>
      </c>
      <c r="D452" t="inlineStr">
        <is>
          <t>BFA</t>
        </is>
      </c>
      <c r="E452" t="inlineStr">
        <is>
          <t>Zagtouli 2 (extension)</t>
        </is>
      </c>
      <c r="F452" t="inlineStr">
        <is>
          <t>financeurs</t>
        </is>
      </c>
      <c r="G452" t="inlineStr">
        <is>
          <t>BEI prêt 27 M EUR</t>
        </is>
      </c>
      <c r="H452" t="inlineStr">
        <is>
          <t>texte</t>
        </is>
      </c>
      <c r="I452" t="inlineStr">
        <is>
          <t>déclarée</t>
        </is>
      </c>
      <c r="J452" t="n">
        <v>2021</v>
      </c>
      <c r="K452" t="inlineStr">
        <is>
          <t>C</t>
        </is>
      </c>
      <c r="L452" t="inlineStr">
        <is>
          <t>qualitatif_citation_ok</t>
        </is>
      </c>
      <c r="M452" t="inlineStr">
        <is>
          <t>Sidwaya</t>
        </is>
      </c>
      <c r="N452" t="inlineStr">
        <is>
          <t>Extension de la centrale de Zagtouli : 17 mégawatts attendus en 2022</t>
        </is>
      </c>
      <c r="O452" t="inlineStr">
        <is>
          <t>https://www.sidwaya.info/extension-de-la-centrale-de-zagtouli-17-megawatts-attendus-en-2022/</t>
        </is>
      </c>
      <c r="P452" t="inlineStr">
        <is>
          <t>2021-09-22</t>
        </is>
      </c>
      <c r="Q452" t="inlineStr">
        <is>
          <t>La BEI a octroyé un prêt de 27 millions d'euros</t>
        </is>
      </c>
      <c r="R452" t="inlineStr">
        <is>
          <t>Recoupé par Burkina24 (même date). Fiche BEI non trouvée.</t>
        </is>
      </c>
    </row>
    <row r="453">
      <c r="A453" t="inlineStr">
        <is>
          <t>qualitatif</t>
        </is>
      </c>
      <c r="B453" t="inlineStr">
        <is>
          <t>A_ouest</t>
        </is>
      </c>
      <c r="C453" t="inlineStr">
        <is>
          <t>A</t>
        </is>
      </c>
      <c r="D453" t="inlineStr">
        <is>
          <t>BFA</t>
        </is>
      </c>
      <c r="E453" t="inlineStr">
        <is>
          <t>Zagtouli 2 (extension)</t>
        </is>
      </c>
      <c r="F453" t="inlineStr">
        <is>
          <t>statut</t>
        </is>
      </c>
      <c r="G453" t="inlineStr">
        <is>
          <t>en construction / mise en service imminente (févr. 2026)</t>
        </is>
      </c>
      <c r="H453" t="inlineStr">
        <is>
          <t>texte</t>
        </is>
      </c>
      <c r="I453" t="inlineStr">
        <is>
          <t>observée</t>
        </is>
      </c>
      <c r="J453" t="n">
        <v>2026</v>
      </c>
      <c r="K453" t="inlineStr">
        <is>
          <t>C</t>
        </is>
      </c>
      <c r="L453" t="inlineStr">
        <is>
          <t>qualitatif_citation_ok</t>
        </is>
      </c>
      <c r="M453" t="inlineStr">
        <is>
          <t>Wakat Séra</t>
        </is>
      </c>
      <c r="N453" t="inlineStr">
        <is>
          <t>idem</t>
        </is>
      </c>
      <c r="O453" t="inlineStr">
        <is>
          <t>https://www.wakatsera.com/?p=133582</t>
        </is>
      </c>
      <c r="P453" t="inlineStr">
        <is>
          <t>2026-02-04</t>
        </is>
      </c>
      <c r="Q453" t="inlineStr">
        <is>
          <t>pleinement fonctionnelle avant la fin du mois février</t>
        </is>
      </c>
      <c r="R453" t="inlineStr">
        <is>
          <t>Calendrier initial : travaux janv.–déc. 2022 → retard ~3 ans. Mise en service effective non confirmée.</t>
        </is>
      </c>
    </row>
    <row r="454">
      <c r="A454" t="inlineStr">
        <is>
          <t>retenu</t>
        </is>
      </c>
      <c r="B454" t="inlineStr">
        <is>
          <t>A_ouest</t>
        </is>
      </c>
      <c r="C454" t="inlineStr">
        <is>
          <t>A</t>
        </is>
      </c>
      <c r="D454" t="inlineStr">
        <is>
          <t>BFA</t>
        </is>
      </c>
      <c r="E454" t="inlineStr">
        <is>
          <t>Kodeni Solar</t>
        </is>
      </c>
      <c r="F454" t="inlineStr">
        <is>
          <t>puissance_mwp</t>
        </is>
      </c>
      <c r="G454" t="n">
        <v>38</v>
      </c>
      <c r="H454" t="inlineStr">
        <is>
          <t>MWp</t>
        </is>
      </c>
      <c r="I454" t="inlineStr">
        <is>
          <t>observée</t>
        </is>
      </c>
      <c r="J454" t="n">
        <v>2021</v>
      </c>
      <c r="K454" t="inlineStr">
        <is>
          <t>A</t>
        </is>
      </c>
      <c r="L454" t="inlineStr">
        <is>
          <t>citation_partielle</t>
        </is>
      </c>
      <c r="M454" t="inlineStr">
        <is>
          <t>FMO</t>
        </is>
      </c>
      <c r="N454" t="inlineStr">
        <is>
          <t>FMO and partners support access to energy in Burkina Faso with solar power</t>
        </is>
      </c>
      <c r="O454" t="inlineStr">
        <is>
          <t>https://www.fmo.nl/news-detail/7ef8e066-6adc-4ebd-9037-d1bb0d995f74/fmo-and-partners-support-access-to-energy-in-burkina-faso-with-solar-power</t>
        </is>
      </c>
      <c r="P454" t="inlineStr">
        <is>
          <t>2021-11-17</t>
        </is>
      </c>
      <c r="Q454" t="inlineStr">
        <is>
          <t>Kodeni Solar | 38 MWp</t>
        </is>
      </c>
      <c r="R454" t="inlineStr"/>
    </row>
    <row r="455">
      <c r="A455" t="inlineStr">
        <is>
          <t>retenu</t>
        </is>
      </c>
      <c r="B455" t="inlineStr">
        <is>
          <t>A_ouest</t>
        </is>
      </c>
      <c r="C455" t="inlineStr">
        <is>
          <t>A</t>
        </is>
      </c>
      <c r="D455" t="inlineStr">
        <is>
          <t>BFA</t>
        </is>
      </c>
      <c r="E455" t="inlineStr">
        <is>
          <t>Kodeni Solar</t>
        </is>
      </c>
      <c r="F455" t="inlineStr">
        <is>
          <t>dette_montant</t>
        </is>
      </c>
      <c r="G455" t="n">
        <v>34151640</v>
      </c>
      <c r="H455" t="inlineStr">
        <is>
          <t>EUR</t>
        </is>
      </c>
      <c r="I455" t="inlineStr">
        <is>
          <t>observée</t>
        </is>
      </c>
      <c r="J455" t="n">
        <v>2020</v>
      </c>
      <c r="K455" t="inlineStr">
        <is>
          <t>A</t>
        </is>
      </c>
      <c r="L455" t="inlineStr">
        <is>
          <t>citation_partielle</t>
        </is>
      </c>
      <c r="M455" t="inlineStr">
        <is>
          <t>FMO</t>
        </is>
      </c>
      <c r="N455" t="inlineStr">
        <is>
          <t>FMO and partners support access to energy in Burkina Faso with solar power</t>
        </is>
      </c>
      <c r="O455" t="inlineStr">
        <is>
          <t>https://www.fmo.nl/news-detail/7ef8e066-6adc-4ebd-9037-d1bb0d995f74/fmo-and-partners-support-access-to-energy-in-burkina-faso-with-solar-power</t>
        </is>
      </c>
      <c r="P455" t="inlineStr">
        <is>
          <t>2021-11-17</t>
        </is>
      </c>
      <c r="Q455" t="inlineStr">
        <is>
          <t>Kodeni Solar: EUR 34,151,640 / EUR 21,151,640 / EUR 13,000,000 (ICCF)</t>
        </is>
      </c>
      <c r="R455" t="inlineStr">
        <is>
          <t>Total / FMO / ICCF. Signé 22-12-2020. Capex total non trouvé.</t>
        </is>
      </c>
    </row>
    <row r="456">
      <c r="A456" t="inlineStr">
        <is>
          <t>retenu</t>
        </is>
      </c>
      <c r="B456" t="inlineStr">
        <is>
          <t>A_ouest</t>
        </is>
      </c>
      <c r="C456" t="inlineStr">
        <is>
          <t>A</t>
        </is>
      </c>
      <c r="D456" t="inlineStr">
        <is>
          <t>BFA</t>
        </is>
      </c>
      <c r="E456" t="inlineStr">
        <is>
          <t>Kodeni Solar</t>
        </is>
      </c>
      <c r="F456" t="inlineStr">
        <is>
          <t>ppa_duree</t>
        </is>
      </c>
      <c r="G456" t="n">
        <v>25</v>
      </c>
      <c r="H456" t="inlineStr">
        <is>
          <t>ans</t>
        </is>
      </c>
      <c r="I456" t="inlineStr">
        <is>
          <t>observée</t>
        </is>
      </c>
      <c r="J456" t="n">
        <v>2021</v>
      </c>
      <c r="K456" t="inlineStr">
        <is>
          <t>B</t>
        </is>
      </c>
      <c r="L456" t="inlineStr">
        <is>
          <t>confirmé</t>
        </is>
      </c>
      <c r="M456" t="inlineStr">
        <is>
          <t>Africa REN</t>
        </is>
      </c>
      <c r="N456" t="inlineStr">
        <is>
          <t>Press release – Africa REN launches the construction of the largest solar plant in Burkina Faso</t>
        </is>
      </c>
      <c r="O456" t="inlineStr">
        <is>
          <t>https://globalprivatecapital.org/app/uploads/2021/10/211019_PR_Africa-Ren_Kodeni-Solar.pdf</t>
        </is>
      </c>
      <c r="P456" t="inlineStr">
        <is>
          <t>2021-10-20</t>
        </is>
      </c>
      <c r="Q456" t="inlineStr">
        <is>
          <t>Kodeni Solar has signed a 25-year power purchase agreement (PPA) with SONABEL</t>
        </is>
      </c>
      <c r="R456" t="inlineStr"/>
    </row>
    <row r="457">
      <c r="A457" t="inlineStr">
        <is>
          <t>retenu</t>
        </is>
      </c>
      <c r="B457" t="inlineStr">
        <is>
          <t>A_ouest</t>
        </is>
      </c>
      <c r="C457" t="inlineStr">
        <is>
          <t>A</t>
        </is>
      </c>
      <c r="D457" t="inlineStr">
        <is>
          <t>BFA</t>
        </is>
      </c>
      <c r="E457" t="inlineStr">
        <is>
          <t>Kodeni Solar</t>
        </is>
      </c>
      <c r="F457" t="inlineStr">
        <is>
          <t>production_gwh_an</t>
        </is>
      </c>
      <c r="G457" t="n">
        <v>73</v>
      </c>
      <c r="H457" t="inlineStr">
        <is>
          <t>GWh/an</t>
        </is>
      </c>
      <c r="I457" t="inlineStr">
        <is>
          <t>déclarée</t>
        </is>
      </c>
      <c r="J457" t="n">
        <v>2021</v>
      </c>
      <c r="K457" t="inlineStr">
        <is>
          <t>B</t>
        </is>
      </c>
      <c r="L457" t="inlineStr">
        <is>
          <t>confirmé</t>
        </is>
      </c>
      <c r="M457" t="inlineStr">
        <is>
          <t>Africa REN</t>
        </is>
      </c>
      <c r="N457" t="inlineStr">
        <is>
          <t>idem</t>
        </is>
      </c>
      <c r="O457" t="inlineStr">
        <is>
          <t>https://globalprivatecapital.org/app/uploads/2021/10/211019_PR_Africa-Ren_Kodeni-Solar.pdf</t>
        </is>
      </c>
      <c r="P457" t="inlineStr">
        <is>
          <t>2021-10-20</t>
        </is>
      </c>
      <c r="Q457" t="inlineStr">
        <is>
          <t>With an annual production of 73,000 MWh</t>
        </is>
      </c>
      <c r="R457" t="inlineStr"/>
    </row>
    <row r="458">
      <c r="A458" t="inlineStr">
        <is>
          <t>qualitatif</t>
        </is>
      </c>
      <c r="B458" t="inlineStr">
        <is>
          <t>A_ouest</t>
        </is>
      </c>
      <c r="C458" t="inlineStr">
        <is>
          <t>A</t>
        </is>
      </c>
      <c r="D458" t="inlineStr">
        <is>
          <t>BFA</t>
        </is>
      </c>
      <c r="E458" t="inlineStr">
        <is>
          <t>Kodeni Solar</t>
        </is>
      </c>
      <c r="F458" t="inlineStr">
        <is>
          <t>procedure</t>
        </is>
      </c>
      <c r="G458" t="inlineStr">
        <is>
          <t>PPP / IPP (premier PPP à atteindre le financial close)</t>
        </is>
      </c>
      <c r="H458" t="inlineStr">
        <is>
          <t>texte</t>
        </is>
      </c>
      <c r="I458" t="inlineStr">
        <is>
          <t>observée</t>
        </is>
      </c>
      <c r="J458" t="n">
        <v>2021</v>
      </c>
      <c r="K458" t="inlineStr">
        <is>
          <t>B</t>
        </is>
      </c>
      <c r="L458" t="inlineStr">
        <is>
          <t>qualitatif_citation_ok</t>
        </is>
      </c>
      <c r="M458" t="inlineStr">
        <is>
          <t>Africa REN</t>
        </is>
      </c>
      <c r="N458" t="inlineStr">
        <is>
          <t>idem</t>
        </is>
      </c>
      <c r="O458" t="inlineStr">
        <is>
          <t>https://globalprivatecapital.org/app/uploads/2021/10/211019_PR_Africa-Ren_Kodeni-Solar.pdf</t>
        </is>
      </c>
      <c r="P458" t="inlineStr">
        <is>
          <t>2021-10-20</t>
        </is>
      </c>
      <c r="Q458" t="inlineStr">
        <is>
          <t>the first public-private partnership to reach financial close</t>
        </is>
      </c>
      <c r="R458" t="inlineStr">
        <is>
          <t>Mode d'attribution (AO ou gré à gré) non précisé.</t>
        </is>
      </c>
    </row>
    <row r="459">
      <c r="A459" t="inlineStr">
        <is>
          <t>retenu</t>
        </is>
      </c>
      <c r="B459" t="inlineStr">
        <is>
          <t>A_ouest</t>
        </is>
      </c>
      <c r="C459" t="inlineStr">
        <is>
          <t>A</t>
        </is>
      </c>
      <c r="D459" t="inlineStr">
        <is>
          <t>BFA</t>
        </is>
      </c>
      <c r="E459" t="inlineStr">
        <is>
          <t>Kodeni Solar</t>
        </is>
      </c>
      <c r="F459" t="inlineStr">
        <is>
          <t>annee_mise_en_service</t>
        </is>
      </c>
      <c r="G459" t="n">
        <v>2022</v>
      </c>
      <c r="H459" t="inlineStr">
        <is>
          <t>année</t>
        </is>
      </c>
      <c r="I459" t="inlineStr">
        <is>
          <t>déclarée</t>
        </is>
      </c>
      <c r="J459" t="n">
        <v>2021</v>
      </c>
      <c r="K459" t="inlineStr">
        <is>
          <t>B</t>
        </is>
      </c>
      <c r="L459" t="inlineStr">
        <is>
          <t>confirmé</t>
        </is>
      </c>
      <c r="M459" t="inlineStr">
        <is>
          <t>Africa REN</t>
        </is>
      </c>
      <c r="N459" t="inlineStr">
        <is>
          <t>idem</t>
        </is>
      </c>
      <c r="O459" t="inlineStr">
        <is>
          <t>https://globalprivatecapital.org/app/uploads/2021/10/211019_PR_Africa-Ren_Kodeni-Solar.pdf</t>
        </is>
      </c>
      <c r="P459" t="inlineStr">
        <is>
          <t>2021-10-20</t>
        </is>
      </c>
      <c r="Q459" t="inlineStr">
        <is>
          <t>The plant is scheduled to be commissioned in August 2022.</t>
        </is>
      </c>
      <c r="R459" t="inlineStr">
        <is>
          <t>Prévision ; fiche AERA (non ouverte) indiquerait déc. 2023.</t>
        </is>
      </c>
    </row>
    <row r="460">
      <c r="A460" t="inlineStr">
        <is>
          <t>qualitatif</t>
        </is>
      </c>
      <c r="B460" t="inlineStr">
        <is>
          <t>A_ouest</t>
        </is>
      </c>
      <c r="C460" t="inlineStr">
        <is>
          <t>A</t>
        </is>
      </c>
      <c r="D460" t="inlineStr">
        <is>
          <t>BFA</t>
        </is>
      </c>
      <c r="E460" t="inlineStr">
        <is>
          <t>Kodeni Solar</t>
        </is>
      </c>
      <c r="F460" t="inlineStr">
        <is>
          <t>financeurs</t>
        </is>
      </c>
      <c r="G460" t="inlineStr">
        <is>
          <t>FMO, Access to Energy Fund, ICCF (dette) ; Africa REN Energy (Metier/FMO) equity</t>
        </is>
      </c>
      <c r="H460" t="inlineStr">
        <is>
          <t>texte</t>
        </is>
      </c>
      <c r="I460" t="inlineStr">
        <is>
          <t>observée</t>
        </is>
      </c>
      <c r="J460" t="n">
        <v>2021</v>
      </c>
      <c r="K460" t="inlineStr">
        <is>
          <t>B</t>
        </is>
      </c>
      <c r="L460" t="inlineStr">
        <is>
          <t>qualitatif_citation_ok</t>
        </is>
      </c>
      <c r="M460" t="inlineStr">
        <is>
          <t>Africa REN</t>
        </is>
      </c>
      <c r="N460" t="inlineStr">
        <is>
          <t>idem</t>
        </is>
      </c>
      <c r="O460" t="inlineStr">
        <is>
          <t>https://globalprivatecapital.org/app/uploads/2021/10/211019_PR_Africa-Ren_Kodeni-Solar.pdf</t>
        </is>
      </c>
      <c r="P460" t="inlineStr">
        <is>
          <t>2021-10-20</t>
        </is>
      </c>
      <c r="Q460" t="inlineStr">
        <is>
          <t>FMO, the Dutch entrepreneurial development bank, Access to Energy Fund ... and the Interact Climate Change Facility (ICCF) ... provided the long-term debt.</t>
        </is>
      </c>
      <c r="R460" t="inlineStr"/>
    </row>
    <row r="461">
      <c r="A461" t="inlineStr">
        <is>
          <t>retenu</t>
        </is>
      </c>
      <c r="B461" t="inlineStr">
        <is>
          <t>A_ouest</t>
        </is>
      </c>
      <c r="C461" t="inlineStr">
        <is>
          <t>A</t>
        </is>
      </c>
      <c r="D461" t="inlineStr">
        <is>
          <t>BFA</t>
        </is>
      </c>
      <c r="E461" t="inlineStr">
        <is>
          <t>Nagréongo (SPES Ouagadougou)</t>
        </is>
      </c>
      <c r="F461" t="inlineStr">
        <is>
          <t>puissance_mwp</t>
        </is>
      </c>
      <c r="G461" t="n">
        <v>30</v>
      </c>
      <c r="H461" t="inlineStr">
        <is>
          <t>MWp</t>
        </is>
      </c>
      <c r="I461" t="inlineStr">
        <is>
          <t>observée</t>
        </is>
      </c>
      <c r="J461" t="n">
        <v>2021</v>
      </c>
      <c r="K461" t="inlineStr">
        <is>
          <t>A</t>
        </is>
      </c>
      <c r="L461" t="inlineStr">
        <is>
          <t>citation_partielle</t>
        </is>
      </c>
      <c r="M461" t="inlineStr">
        <is>
          <t>FMO</t>
        </is>
      </c>
      <c r="N461" t="inlineStr">
        <is>
          <t>FMO and partners support access to energy in Burkina Faso with solar power</t>
        </is>
      </c>
      <c r="O461" t="inlineStr">
        <is>
          <t>https://www.fmo.nl/news-detail/7ef8e066-6adc-4ebd-9037-d1bb0d995f74/fmo-and-partners-support-access-to-energy-in-burkina-faso-with-solar-power</t>
        </is>
      </c>
      <c r="P461" t="inlineStr">
        <is>
          <t>2021-11-17</t>
        </is>
      </c>
      <c r="Q461" t="inlineStr">
        <is>
          <t>S.P.E.S. de Ouagadougou | 30 MWp</t>
        </is>
      </c>
      <c r="R461" t="inlineStr"/>
    </row>
    <row r="462">
      <c r="A462" t="inlineStr">
        <is>
          <t>retenu</t>
        </is>
      </c>
      <c r="B462" t="inlineStr">
        <is>
          <t>A_ouest</t>
        </is>
      </c>
      <c r="C462" t="inlineStr">
        <is>
          <t>A</t>
        </is>
      </c>
      <c r="D462" t="inlineStr">
        <is>
          <t>BFA</t>
        </is>
      </c>
      <c r="E462" t="inlineStr">
        <is>
          <t>Nagréongo (SPES Ouagadougou)</t>
        </is>
      </c>
      <c r="F462" t="inlineStr">
        <is>
          <t>dette_montant</t>
        </is>
      </c>
      <c r="G462" t="n">
        <v>21026000</v>
      </c>
      <c r="H462" t="inlineStr">
        <is>
          <t>EUR</t>
        </is>
      </c>
      <c r="I462" t="inlineStr">
        <is>
          <t>observée</t>
        </is>
      </c>
      <c r="J462" t="n">
        <v>2021</v>
      </c>
      <c r="K462" t="inlineStr">
        <is>
          <t>A</t>
        </is>
      </c>
      <c r="L462" t="inlineStr">
        <is>
          <t>citation_partielle</t>
        </is>
      </c>
      <c r="M462" t="inlineStr">
        <is>
          <t>FMO</t>
        </is>
      </c>
      <c r="N462" t="inlineStr">
        <is>
          <t>FMO and partners support access to energy in Burkina Faso with solar power</t>
        </is>
      </c>
      <c r="O462" t="inlineStr">
        <is>
          <t>https://www.fmo.nl/news-detail/7ef8e066-6adc-4ebd-9037-d1bb0d995f74/fmo-and-partners-support-access-to-energy-in-burkina-faso-with-solar-power</t>
        </is>
      </c>
      <c r="P462" t="inlineStr">
        <is>
          <t>2021-11-17</t>
        </is>
      </c>
      <c r="Q462" t="inlineStr">
        <is>
          <t>S.P.E.S. de Ouagadougou: EUR 21,026,000 / EUR 13,124,000 / EUR 7,902,000 (ICCF)</t>
        </is>
      </c>
      <c r="R462" t="inlineStr">
        <is>
          <t>Signé 1-4-2021.</t>
        </is>
      </c>
    </row>
    <row r="463">
      <c r="A463" t="inlineStr">
        <is>
          <t>qualitatif</t>
        </is>
      </c>
      <c r="B463" t="inlineStr">
        <is>
          <t>A_ouest</t>
        </is>
      </c>
      <c r="C463" t="inlineStr">
        <is>
          <t>A</t>
        </is>
      </c>
      <c r="D463" t="inlineStr">
        <is>
          <t>BFA</t>
        </is>
      </c>
      <c r="E463" t="inlineStr">
        <is>
          <t>Nagréongo (SPES Ouagadougou)</t>
        </is>
      </c>
      <c r="F463" t="inlineStr">
        <is>
          <t>garanties</t>
        </is>
      </c>
      <c r="G463" t="inlineStr">
        <is>
          <t>MIGA – garantie 6,0 M USD (equity + prêts d'actionnaire GreenYellow), transférée à Axian en mai 2024 ; PPP agreement de l'État en adossement du PPA</t>
        </is>
      </c>
      <c r="H463" t="inlineStr">
        <is>
          <t>texte</t>
        </is>
      </c>
      <c r="I463" t="inlineStr">
        <is>
          <t>observée</t>
        </is>
      </c>
      <c r="J463" t="n">
        <v>2020</v>
      </c>
      <c r="K463" t="inlineStr">
        <is>
          <t>A</t>
        </is>
      </c>
      <c r="L463" t="inlineStr">
        <is>
          <t>qualitatif_citation_ok</t>
        </is>
      </c>
      <c r="M463" t="inlineStr">
        <is>
          <t>MIGA</t>
        </is>
      </c>
      <c r="N463" t="inlineStr">
        <is>
          <t>Société de Production d'Energie Solaire de Ouagadougou SAS</t>
        </is>
      </c>
      <c r="O463" t="inlineStr">
        <is>
          <t>https://www.miga.org/project/societe-de-production-denergie-solaire-de-ouagadougou-sas-0</t>
        </is>
      </c>
      <c r="P463" t="inlineStr">
        <is>
          <t>2020-05-26</t>
        </is>
      </c>
      <c r="Q463" t="inlineStr">
        <is>
          <t>$6.0 million</t>
        </is>
      </c>
      <c r="R463" t="inlineStr">
        <is>
          <t>CONFLIT : communiqué MIGA (non ouvert, vu en recherche) indique 4,5 M EUR, ≤20 ans.</t>
        </is>
      </c>
    </row>
    <row r="464">
      <c r="A464" t="inlineStr">
        <is>
          <t>qualitatif</t>
        </is>
      </c>
      <c r="B464" t="inlineStr">
        <is>
          <t>A_ouest</t>
        </is>
      </c>
      <c r="C464" t="inlineStr">
        <is>
          <t>A</t>
        </is>
      </c>
      <c r="D464" t="inlineStr">
        <is>
          <t>BFA</t>
        </is>
      </c>
      <c r="E464" t="inlineStr">
        <is>
          <t>Nagréongo (SPES Ouagadougou)</t>
        </is>
      </c>
      <c r="F464" t="inlineStr">
        <is>
          <t>developpeur</t>
        </is>
      </c>
      <c r="G464" t="inlineStr">
        <is>
          <t>GreenYellow (EPC + O&amp;M) ; garantie transférée à Axian Energy Green (2024)</t>
        </is>
      </c>
      <c r="H464" t="inlineStr">
        <is>
          <t>texte</t>
        </is>
      </c>
      <c r="I464" t="inlineStr">
        <is>
          <t>observée</t>
        </is>
      </c>
      <c r="J464" t="n">
        <v>2020</v>
      </c>
      <c r="K464" t="inlineStr">
        <is>
          <t>A</t>
        </is>
      </c>
      <c r="L464" t="inlineStr">
        <is>
          <t>qualitatif_citation_ok</t>
        </is>
      </c>
      <c r="M464" t="inlineStr">
        <is>
          <t>MIGA</t>
        </is>
      </c>
      <c r="N464" t="inlineStr">
        <is>
          <t>idem</t>
        </is>
      </c>
      <c r="O464" t="inlineStr">
        <is>
          <t>https://www.miga.org/project/societe-de-production-denergie-solaire-de-ouagadougou-sas-0</t>
        </is>
      </c>
      <c r="P464" t="inlineStr">
        <is>
          <t>2020-05-26</t>
        </is>
      </c>
      <c r="Q464" t="inlineStr">
        <is>
          <t>GreenYellow will assume the role of EPC Contractor through one of its branches (GreenYellow SAS)</t>
        </is>
      </c>
      <c r="R464" t="inlineStr"/>
    </row>
    <row r="465">
      <c r="A465" t="inlineStr">
        <is>
          <t>retenu</t>
        </is>
      </c>
      <c r="B465" t="inlineStr">
        <is>
          <t>A_ouest</t>
        </is>
      </c>
      <c r="C465" t="inlineStr">
        <is>
          <t>A</t>
        </is>
      </c>
      <c r="D465" t="inlineStr">
        <is>
          <t>BFA</t>
        </is>
      </c>
      <c r="E465" t="inlineStr">
        <is>
          <t>Quadran Burkina Faso (Tenkodogo)</t>
        </is>
      </c>
      <c r="F465" t="inlineStr">
        <is>
          <t>puissance_mwp</t>
        </is>
      </c>
      <c r="G465" t="n">
        <v>24</v>
      </c>
      <c r="H465" t="inlineStr">
        <is>
          <t>MWp</t>
        </is>
      </c>
      <c r="I465" t="inlineStr">
        <is>
          <t>observée</t>
        </is>
      </c>
      <c r="J465" t="n">
        <v>2021</v>
      </c>
      <c r="K465" t="inlineStr">
        <is>
          <t>A</t>
        </is>
      </c>
      <c r="L465" t="inlineStr">
        <is>
          <t>citation_partielle</t>
        </is>
      </c>
      <c r="M465" t="inlineStr">
        <is>
          <t>FMO</t>
        </is>
      </c>
      <c r="N465" t="inlineStr">
        <is>
          <t>FMO and partners support access to energy in Burkina Faso with solar power</t>
        </is>
      </c>
      <c r="O465" t="inlineStr">
        <is>
          <t>https://www.fmo.nl/news-detail/7ef8e066-6adc-4ebd-9037-d1bb0d995f74/fmo-and-partners-support-access-to-energy-in-burkina-faso-with-solar-power</t>
        </is>
      </c>
      <c r="P465" t="inlineStr">
        <is>
          <t>2021-11-17</t>
        </is>
      </c>
      <c r="Q465" t="inlineStr">
        <is>
          <t>Quadran Burkina Faso | 24 MWp</t>
        </is>
      </c>
      <c r="R465" t="inlineStr">
        <is>
          <t>Développeur Qair (MIHIA Holding). Statut postérieur non vérifié.</t>
        </is>
      </c>
    </row>
    <row r="466">
      <c r="A466" t="inlineStr">
        <is>
          <t>retenu</t>
        </is>
      </c>
      <c r="B466" t="inlineStr">
        <is>
          <t>A_ouest</t>
        </is>
      </c>
      <c r="C466" t="inlineStr">
        <is>
          <t>A</t>
        </is>
      </c>
      <c r="D466" t="inlineStr">
        <is>
          <t>BFA</t>
        </is>
      </c>
      <c r="E466" t="inlineStr">
        <is>
          <t>Quadran Burkina Faso (Tenkodogo)</t>
        </is>
      </c>
      <c r="F466" t="inlineStr">
        <is>
          <t>dette_montant</t>
        </is>
      </c>
      <c r="G466" t="n">
        <v>20252000</v>
      </c>
      <c r="H466" t="inlineStr">
        <is>
          <t>EUR</t>
        </is>
      </c>
      <c r="I466" t="inlineStr">
        <is>
          <t>observée</t>
        </is>
      </c>
      <c r="J466" t="n">
        <v>2021</v>
      </c>
      <c r="K466" t="inlineStr">
        <is>
          <t>A</t>
        </is>
      </c>
      <c r="L466" t="inlineStr">
        <is>
          <t>citation_partielle</t>
        </is>
      </c>
      <c r="M466" t="inlineStr">
        <is>
          <t>FMO</t>
        </is>
      </c>
      <c r="N466" t="inlineStr">
        <is>
          <t>FMO and partners support access to energy in Burkina Faso with solar power</t>
        </is>
      </c>
      <c r="O466" t="inlineStr">
        <is>
          <t>https://www.fmo.nl/news-detail/7ef8e066-6adc-4ebd-9037-d1bb0d995f74/fmo-and-partners-support-access-to-energy-in-burkina-faso-with-solar-power</t>
        </is>
      </c>
      <c r="P466" t="inlineStr">
        <is>
          <t>2021-11-17</t>
        </is>
      </c>
      <c r="Q466" t="inlineStr">
        <is>
          <t>Quadran Burkina Faso: EUR 20,252,000 / EUR 11,155,000 / EUR 9,097,000 (Proparco)</t>
        </is>
      </c>
      <c r="R466" t="inlineStr">
        <is>
          <t>Signé 23-8-2021.</t>
        </is>
      </c>
    </row>
    <row r="467">
      <c r="A467" t="inlineStr">
        <is>
          <t>retenu</t>
        </is>
      </c>
      <c r="B467" t="inlineStr">
        <is>
          <t>A_ouest</t>
        </is>
      </c>
      <c r="C467" t="inlineStr">
        <is>
          <t>A</t>
        </is>
      </c>
      <c r="D467" t="inlineStr">
        <is>
          <t>BFA</t>
        </is>
      </c>
      <c r="E467" t="inlineStr">
        <is>
          <t>Dédougou Solaire</t>
        </is>
      </c>
      <c r="F467" t="inlineStr">
        <is>
          <t>puissance_mwp</t>
        </is>
      </c>
      <c r="G467" t="n">
        <v>18</v>
      </c>
      <c r="H467" t="inlineStr">
        <is>
          <t>MWp</t>
        </is>
      </c>
      <c r="I467" t="inlineStr">
        <is>
          <t>déclarée</t>
        </is>
      </c>
      <c r="J467" t="n">
        <v>2021</v>
      </c>
      <c r="K467" t="inlineStr">
        <is>
          <t>A</t>
        </is>
      </c>
      <c r="L467" t="inlineStr">
        <is>
          <t>citation_partielle</t>
        </is>
      </c>
      <c r="M467" t="inlineStr">
        <is>
          <t>FMO</t>
        </is>
      </c>
      <c r="N467" t="inlineStr">
        <is>
          <t>FMO and partners support access to energy in Burkina Faso with solar power</t>
        </is>
      </c>
      <c r="O467" t="inlineStr">
        <is>
          <t>https://www.fmo.nl/news-detail/7ef8e066-6adc-4ebd-9037-d1bb0d995f74/fmo-and-partners-support-access-to-energy-in-burkina-faso-with-solar-power</t>
        </is>
      </c>
      <c r="P467" t="inlineStr">
        <is>
          <t>2021-11-17</t>
        </is>
      </c>
      <c r="Q467" t="inlineStr">
        <is>
          <t>Dedougou Solaire | 18 MWp</t>
        </is>
      </c>
      <c r="R467" t="inlineStr">
        <is>
          <t>Prêt non signé en nov. 2021.</t>
        </is>
      </c>
    </row>
    <row r="468">
      <c r="A468" t="inlineStr">
        <is>
          <t>retenu</t>
        </is>
      </c>
      <c r="B468" t="inlineStr">
        <is>
          <t>A_ouest</t>
        </is>
      </c>
      <c r="C468" t="inlineStr">
        <is>
          <t>A</t>
        </is>
      </c>
      <c r="D468" t="inlineStr">
        <is>
          <t>BFA</t>
        </is>
      </c>
      <c r="E468" t="inlineStr">
        <is>
          <t>Dédougou Solaire</t>
        </is>
      </c>
      <c r="F468" t="inlineStr">
        <is>
          <t>dette_montant</t>
        </is>
      </c>
      <c r="G468" t="n">
        <v>14600000</v>
      </c>
      <c r="H468" t="inlineStr">
        <is>
          <t>EUR</t>
        </is>
      </c>
      <c r="I468" t="inlineStr">
        <is>
          <t>déclarée</t>
        </is>
      </c>
      <c r="J468" t="n">
        <v>2021</v>
      </c>
      <c r="K468" t="inlineStr">
        <is>
          <t>A</t>
        </is>
      </c>
      <c r="L468" t="inlineStr">
        <is>
          <t>citation_partielle</t>
        </is>
      </c>
      <c r="M468" t="inlineStr">
        <is>
          <t>FMO</t>
        </is>
      </c>
      <c r="N468" t="inlineStr">
        <is>
          <t>FMO and partners support access to energy in Burkina Faso with solar power</t>
        </is>
      </c>
      <c r="O468" t="inlineStr">
        <is>
          <t>https://www.fmo.nl/news-detail/7ef8e066-6adc-4ebd-9037-d1bb0d995f74/fmo-and-partners-support-access-to-energy-in-burkina-faso-with-solar-power</t>
        </is>
      </c>
      <c r="P468" t="inlineStr">
        <is>
          <t>2021-11-17</t>
        </is>
      </c>
      <c r="Q468" t="inlineStr">
        <is>
          <t>Dedougou Solaire: c. EUR 14,600,000 / EUR 7,800,000 / EUR 6,800,000 (Proparco)</t>
        </is>
      </c>
      <c r="R468" t="inlineStr"/>
    </row>
    <row r="469">
      <c r="A469" t="inlineStr">
        <is>
          <t>retenu</t>
        </is>
      </c>
      <c r="B469" t="inlineStr">
        <is>
          <t>A_ouest</t>
        </is>
      </c>
      <c r="C469" t="inlineStr">
        <is>
          <t>A</t>
        </is>
      </c>
      <c r="D469" t="inlineStr">
        <is>
          <t>MLI</t>
        </is>
      </c>
      <c r="E469" t="inlineStr">
        <is>
          <t>Kita (Akuo Kita Solar)</t>
        </is>
      </c>
      <c r="F469" t="inlineStr">
        <is>
          <t>capex_total</t>
        </is>
      </c>
      <c r="G469" t="n">
        <v>78000000</v>
      </c>
      <c r="H469" t="inlineStr">
        <is>
          <t>EUR</t>
        </is>
      </c>
      <c r="I469" t="inlineStr">
        <is>
          <t>déclarée</t>
        </is>
      </c>
      <c r="J469" t="n">
        <v>2018</v>
      </c>
      <c r="K469" t="inlineStr">
        <is>
          <t>A</t>
        </is>
      </c>
      <c r="L469" t="inlineStr">
        <is>
          <t>confirmé</t>
        </is>
      </c>
      <c r="M469" t="inlineStr">
        <is>
          <t>EAIF</t>
        </is>
      </c>
      <c r="N469" t="inlineStr">
        <is>
          <t>EAIF leads, closes financing of €78 million 50MW Akuo Energy's solar plant in Mali</t>
        </is>
      </c>
      <c r="O469" t="inlineStr">
        <is>
          <t>https://www.eaif.com/emerging-africa-infrastructure-fund-leads-closes-financing-e78-million-50mw-akuo-energys-solar-plant-mali/</t>
        </is>
      </c>
      <c r="P469" t="inlineStr">
        <is>
          <t>2018</t>
        </is>
      </c>
      <c r="Q469" t="inlineStr">
        <is>
          <t>The €78 million, 50MW project includes transmission infrastructure connecting into the local electricity grid.</t>
        </is>
      </c>
      <c r="R469" t="inlineStr">
        <is>
          <t>Inclut l'infrastructure de raccordement. CONFLIT : 53 Md FCFA (80,7 M EUR) à la mise en service (SolarQuarter 2021).</t>
        </is>
      </c>
    </row>
    <row r="470">
      <c r="A470" t="inlineStr">
        <is>
          <t>retenu</t>
        </is>
      </c>
      <c r="B470" t="inlineStr">
        <is>
          <t>A_ouest</t>
        </is>
      </c>
      <c r="C470" t="inlineStr">
        <is>
          <t>A</t>
        </is>
      </c>
      <c r="D470" t="inlineStr">
        <is>
          <t>MLI</t>
        </is>
      </c>
      <c r="E470" t="inlineStr">
        <is>
          <t>Kita (Akuo Kita Solar)</t>
        </is>
      </c>
      <c r="F470" t="inlineStr">
        <is>
          <t>dette_montant</t>
        </is>
      </c>
      <c r="G470" t="n">
        <v>54000000</v>
      </c>
      <c r="H470" t="inlineStr">
        <is>
          <t>EUR</t>
        </is>
      </c>
      <c r="I470" t="inlineStr">
        <is>
          <t>observée</t>
        </is>
      </c>
      <c r="J470" t="n">
        <v>2018</v>
      </c>
      <c r="K470" t="inlineStr">
        <is>
          <t>A</t>
        </is>
      </c>
      <c r="L470" t="inlineStr">
        <is>
          <t>confirmé</t>
        </is>
      </c>
      <c r="M470" t="inlineStr">
        <is>
          <t>EAIF</t>
        </is>
      </c>
      <c r="N470" t="inlineStr">
        <is>
          <t>EAIF leads, closes financing of €78 million 50MW Akuo Energy's solar plant in Mali</t>
        </is>
      </c>
      <c r="O470" t="inlineStr">
        <is>
          <t>https://www.eaif.com/emerging-africa-infrastructure-fund-leads-closes-financing-e78-million-50mw-akuo-energys-solar-plant-mali/</t>
        </is>
      </c>
      <c r="P470" t="inlineStr">
        <is>
          <t>2018</t>
        </is>
      </c>
      <c r="Q470" t="inlineStr">
        <is>
          <t>has arranged the senior debt facility for a total of €54 million over 15 years</t>
        </is>
      </c>
      <c r="R470" t="inlineStr">
        <is>
          <t>Senior : EAIF 17 M EUR, FMO, BNDA, BOAD (co-arrangeur). + mezzanine GAP 8 M EUR / 20 ans. Dette senior ≈ 69 % ; avec mezz ≈ 79 % (calculé).</t>
        </is>
      </c>
    </row>
    <row r="471">
      <c r="A471" t="inlineStr">
        <is>
          <t>retenu</t>
        </is>
      </c>
      <c r="B471" t="inlineStr">
        <is>
          <t>A_ouest</t>
        </is>
      </c>
      <c r="C471" t="inlineStr">
        <is>
          <t>A</t>
        </is>
      </c>
      <c r="D471" t="inlineStr">
        <is>
          <t>MLI</t>
        </is>
      </c>
      <c r="E471" t="inlineStr">
        <is>
          <t>Kita (Akuo Kita Solar)</t>
        </is>
      </c>
      <c r="F471" t="inlineStr">
        <is>
          <t>dette_duree</t>
        </is>
      </c>
      <c r="G471" t="n">
        <v>15</v>
      </c>
      <c r="H471" t="inlineStr">
        <is>
          <t>ans</t>
        </is>
      </c>
      <c r="I471" t="inlineStr">
        <is>
          <t>observée</t>
        </is>
      </c>
      <c r="J471" t="n">
        <v>2018</v>
      </c>
      <c r="K471" t="inlineStr">
        <is>
          <t>A</t>
        </is>
      </c>
      <c r="L471" t="inlineStr">
        <is>
          <t>confirmé</t>
        </is>
      </c>
      <c r="M471" t="inlineStr">
        <is>
          <t>EAIF</t>
        </is>
      </c>
      <c r="N471" t="inlineStr">
        <is>
          <t>EAIF leads, closes financing of €78 million 50MW Akuo Energy's solar plant in Mali</t>
        </is>
      </c>
      <c r="O471" t="inlineStr">
        <is>
          <t>https://www.eaif.com/emerging-africa-infrastructure-fund-leads-closes-financing-e78-million-50mw-akuo-energys-solar-plant-mali/</t>
        </is>
      </c>
      <c r="P471" t="inlineStr">
        <is>
          <t>2018</t>
        </is>
      </c>
      <c r="Q471" t="inlineStr">
        <is>
          <t>senior debt facility for a total of €54 million over 15 years</t>
        </is>
      </c>
      <c r="R471" t="inlineStr">
        <is>
          <t>Mezzanine GAP : 20 ans.</t>
        </is>
      </c>
    </row>
    <row r="472">
      <c r="A472" t="inlineStr">
        <is>
          <t>qualitatif</t>
        </is>
      </c>
      <c r="B472" t="inlineStr">
        <is>
          <t>A_ouest</t>
        </is>
      </c>
      <c r="C472" t="inlineStr">
        <is>
          <t>A</t>
        </is>
      </c>
      <c r="D472" t="inlineStr">
        <is>
          <t>MLI</t>
        </is>
      </c>
      <c r="E472" t="inlineStr">
        <is>
          <t>Kita (Akuo Kita Solar)</t>
        </is>
      </c>
      <c r="F472" t="inlineStr">
        <is>
          <t>garanties</t>
        </is>
      </c>
      <c r="G472" t="inlineStr">
        <is>
          <t>GuarantCo – garantie DSRA</t>
        </is>
      </c>
      <c r="H472" t="inlineStr">
        <is>
          <t>texte</t>
        </is>
      </c>
      <c r="I472" t="inlineStr">
        <is>
          <t>observée</t>
        </is>
      </c>
      <c r="J472" t="n">
        <v>2018</v>
      </c>
      <c r="K472" t="inlineStr">
        <is>
          <t>A</t>
        </is>
      </c>
      <c r="L472" t="inlineStr">
        <is>
          <t>qualitatif_citation_ok</t>
        </is>
      </c>
      <c r="M472" t="inlineStr">
        <is>
          <t>EAIF</t>
        </is>
      </c>
      <c r="N472" t="inlineStr">
        <is>
          <t>EAIF leads, closes financing of €78 million 50MW Akuo Energy's solar plant in Mali</t>
        </is>
      </c>
      <c r="O472" t="inlineStr">
        <is>
          <t>https://www.eaif.com/emerging-africa-infrastructure-fund-leads-closes-financing-e78-million-50mw-akuo-energys-solar-plant-mali/</t>
        </is>
      </c>
      <c r="P472" t="inlineStr">
        <is>
          <t>2018</t>
        </is>
      </c>
      <c r="Q472" t="inlineStr">
        <is>
          <t>GuarantCo a Debt Service Reserve Account</t>
        </is>
      </c>
      <c r="R472" t="inlineStr"/>
    </row>
    <row r="473">
      <c r="A473" t="inlineStr">
        <is>
          <t>retenu</t>
        </is>
      </c>
      <c r="B473" t="inlineStr">
        <is>
          <t>A_ouest</t>
        </is>
      </c>
      <c r="C473" t="inlineStr">
        <is>
          <t>A</t>
        </is>
      </c>
      <c r="D473" t="inlineStr">
        <is>
          <t>MLI</t>
        </is>
      </c>
      <c r="E473" t="inlineStr">
        <is>
          <t>Kita (Akuo Kita Solar)</t>
        </is>
      </c>
      <c r="F473" t="inlineStr">
        <is>
          <t>ppa_duree</t>
        </is>
      </c>
      <c r="G473" t="n">
        <v>28</v>
      </c>
      <c r="H473" t="inlineStr">
        <is>
          <t>ans</t>
        </is>
      </c>
      <c r="I473" t="inlineStr">
        <is>
          <t>observée</t>
        </is>
      </c>
      <c r="J473" t="n">
        <v>2018</v>
      </c>
      <c r="K473" t="inlineStr">
        <is>
          <t>A</t>
        </is>
      </c>
      <c r="L473" t="inlineStr">
        <is>
          <t>confirmé</t>
        </is>
      </c>
      <c r="M473" t="inlineStr">
        <is>
          <t>EAIF</t>
        </is>
      </c>
      <c r="N473" t="inlineStr">
        <is>
          <t>EAIF leads, closes financing of €78 million 50MW Akuo Energy's solar plant in Mali</t>
        </is>
      </c>
      <c r="O473" t="inlineStr">
        <is>
          <t>https://www.eaif.com/emerging-africa-infrastructure-fund-leads-closes-financing-e78-million-50mw-akuo-energys-solar-plant-mali/</t>
        </is>
      </c>
      <c r="P473" t="inlineStr">
        <is>
          <t>2018</t>
        </is>
      </c>
      <c r="Q473" t="inlineStr">
        <is>
          <t>under a 28-year power-purchase-agreement</t>
        </is>
      </c>
      <c r="R473" t="inlineStr">
        <is>
          <t>CONFLIT : 30 ans selon SolarQuarter 2021.</t>
        </is>
      </c>
    </row>
    <row r="474">
      <c r="A474" t="inlineStr">
        <is>
          <t>retenu</t>
        </is>
      </c>
      <c r="B474" t="inlineStr">
        <is>
          <t>A_ouest</t>
        </is>
      </c>
      <c r="C474" t="inlineStr">
        <is>
          <t>A</t>
        </is>
      </c>
      <c r="D474" t="inlineStr">
        <is>
          <t>MLI</t>
        </is>
      </c>
      <c r="E474" t="inlineStr">
        <is>
          <t>Ségou Solaire (Scatec)</t>
        </is>
      </c>
      <c r="F474" t="inlineStr">
        <is>
          <t>puissance_mwac</t>
        </is>
      </c>
      <c r="G474" t="n">
        <v>33</v>
      </c>
      <c r="H474" t="inlineStr">
        <is>
          <t>MW</t>
        </is>
      </c>
      <c r="I474" t="inlineStr">
        <is>
          <t>déclarée</t>
        </is>
      </c>
      <c r="J474" t="n">
        <v>2016</v>
      </c>
      <c r="K474" t="inlineStr">
        <is>
          <t>A</t>
        </is>
      </c>
      <c r="L474" t="inlineStr">
        <is>
          <t>confirmé</t>
        </is>
      </c>
      <c r="M474" t="inlineStr">
        <is>
          <t>IFC</t>
        </is>
      </c>
      <c r="N474" t="inlineStr">
        <is>
          <t>Ségou Solaire – ESRS (35853)</t>
        </is>
      </c>
      <c r="O474" t="inlineStr">
        <is>
          <t>https://disclosures.ifc.org/project-detail/ESRS/35853/segou-solaire</t>
        </is>
      </c>
      <c r="P474" t="inlineStr">
        <is>
          <t>2016-09-23</t>
        </is>
      </c>
      <c r="Q474" t="inlineStr">
        <is>
          <t>a greenfield 33MW solar photovoltaic plant in Segou</t>
        </is>
      </c>
      <c r="R474" t="inlineStr">
        <is>
          <t>DC/AC non précisé.</t>
        </is>
      </c>
    </row>
    <row r="475">
      <c r="A475" t="inlineStr">
        <is>
          <t>retenu</t>
        </is>
      </c>
      <c r="B475" t="inlineStr">
        <is>
          <t>A_ouest</t>
        </is>
      </c>
      <c r="C475" t="inlineStr">
        <is>
          <t>A</t>
        </is>
      </c>
      <c r="D475" t="inlineStr">
        <is>
          <t>MLI</t>
        </is>
      </c>
      <c r="E475" t="inlineStr">
        <is>
          <t>Ségou Solaire (Scatec)</t>
        </is>
      </c>
      <c r="F475" t="inlineStr">
        <is>
          <t>capex_total</t>
        </is>
      </c>
      <c r="G475" t="n">
        <v>50200000</v>
      </c>
      <c r="H475" t="inlineStr">
        <is>
          <t>EUR</t>
        </is>
      </c>
      <c r="I475" t="inlineStr">
        <is>
          <t>déclarée</t>
        </is>
      </c>
      <c r="J475" t="n">
        <v>2016</v>
      </c>
      <c r="K475" t="inlineStr">
        <is>
          <t>A</t>
        </is>
      </c>
      <c r="L475" t="inlineStr">
        <is>
          <t>confirmé</t>
        </is>
      </c>
      <c r="M475" t="inlineStr">
        <is>
          <t>IFC</t>
        </is>
      </c>
      <c r="N475" t="inlineStr">
        <is>
          <t>Ségou Solaire – ESRS (35853)</t>
        </is>
      </c>
      <c r="O475" t="inlineStr">
        <is>
          <t>https://disclosures.ifc.org/project-detail/ESRS/35853/segou-solaire</t>
        </is>
      </c>
      <c r="P475" t="inlineStr">
        <is>
          <t>2016-09-23</t>
        </is>
      </c>
      <c r="Q475" t="inlineStr">
        <is>
          <t>The estimated total project cost is EUR [50.2] million.</t>
        </is>
      </c>
      <c r="R475" t="inlineStr">
        <is>
          <t>Valeurs entre crochets = provisoires. Presse 2015 : 52 M EUR (non vérifié).</t>
        </is>
      </c>
    </row>
    <row r="476">
      <c r="A476" t="inlineStr">
        <is>
          <t>qualitatif</t>
        </is>
      </c>
      <c r="B476" t="inlineStr">
        <is>
          <t>A_ouest</t>
        </is>
      </c>
      <c r="C476" t="inlineStr">
        <is>
          <t>A</t>
        </is>
      </c>
      <c r="D476" t="inlineStr">
        <is>
          <t>MLI</t>
        </is>
      </c>
      <c r="E476" t="inlineStr">
        <is>
          <t>Ségou Solaire (Scatec)</t>
        </is>
      </c>
      <c r="F476" t="inlineStr">
        <is>
          <t>financeurs</t>
        </is>
      </c>
      <c r="G476" t="inlineStr">
        <is>
          <t>IFC A loan ≤ 8,2 M EUR + equity IFC 2,5-4,1 M EUR + prêts parallèles ≤ 31 M EUR (proposés)</t>
        </is>
      </c>
      <c r="H476" t="inlineStr">
        <is>
          <t>texte</t>
        </is>
      </c>
      <c r="I476" t="inlineStr">
        <is>
          <t>déclarée</t>
        </is>
      </c>
      <c r="J476" t="n">
        <v>2016</v>
      </c>
      <c r="K476" t="inlineStr">
        <is>
          <t>A</t>
        </is>
      </c>
      <c r="L476" t="inlineStr">
        <is>
          <t>qualitatif_citation_ok</t>
        </is>
      </c>
      <c r="M476" t="inlineStr">
        <is>
          <t>IFC</t>
        </is>
      </c>
      <c r="N476" t="inlineStr">
        <is>
          <t>Ségou Solaire – ESRS (35853)</t>
        </is>
      </c>
      <c r="O476" t="inlineStr">
        <is>
          <t>https://disclosures.ifc.org/project-detail/ESRS/35853/segou-solaire</t>
        </is>
      </c>
      <c r="P476" t="inlineStr">
        <is>
          <t>2016-09-23</t>
        </is>
      </c>
      <c r="Q476" t="inlineStr">
        <is>
          <t>an IFC A loan of up to EUR [8.2] million</t>
        </is>
      </c>
      <c r="R476" t="inlineStr">
        <is>
          <t>Sponsors : Scatec Solar, IFC InfraVentures, Africa Power 1.</t>
        </is>
      </c>
    </row>
    <row r="477">
      <c r="A477" t="inlineStr">
        <is>
          <t>qualitatif</t>
        </is>
      </c>
      <c r="B477" t="inlineStr">
        <is>
          <t>A_ouest</t>
        </is>
      </c>
      <c r="C477" t="inlineStr">
        <is>
          <t>A</t>
        </is>
      </c>
      <c r="D477" t="inlineStr">
        <is>
          <t>MLI</t>
        </is>
      </c>
      <c r="E477" t="inlineStr">
        <is>
          <t>Ségou Solaire (Scatec)</t>
        </is>
      </c>
      <c r="F477" t="inlineStr">
        <is>
          <t>statut</t>
        </is>
      </c>
      <c r="G477" t="inlineStr">
        <is>
          <t>bloqué / en attente ('Hold' IFC)</t>
        </is>
      </c>
      <c r="H477" t="inlineStr">
        <is>
          <t>texte</t>
        </is>
      </c>
      <c r="I477" t="inlineStr">
        <is>
          <t>observée</t>
        </is>
      </c>
      <c r="J477" t="n">
        <v>2022</v>
      </c>
      <c r="K477" t="inlineStr">
        <is>
          <t>A</t>
        </is>
      </c>
      <c r="L477" t="inlineStr">
        <is>
          <t>qualitatif_citation_ok</t>
        </is>
      </c>
      <c r="M477" t="inlineStr">
        <is>
          <t>IFC</t>
        </is>
      </c>
      <c r="N477" t="inlineStr">
        <is>
          <t>Ségou Solaire – ESRS (35853)</t>
        </is>
      </c>
      <c r="O477" t="inlineStr">
        <is>
          <t>https://disclosures.ifc.org/project-detail/ESRS/35853/segou-solaire</t>
        </is>
      </c>
      <c r="P477" t="inlineStr">
        <is>
          <t>2022-10-23</t>
        </is>
      </c>
      <c r="Q477" t="inlineStr">
        <is>
          <t>Hold</t>
        </is>
      </c>
      <c r="R477" t="inlineStr">
        <is>
          <t>Statut IFC 'Hold' (maj 23/10/2022) ; approuvé 17/05/2017. Aucune mise en service trouvée → probablement non réalisé.</t>
        </is>
      </c>
    </row>
    <row r="478">
      <c r="A478" t="inlineStr">
        <is>
          <t>retenu</t>
        </is>
      </c>
      <c r="B478" t="inlineStr">
        <is>
          <t>A_ouest</t>
        </is>
      </c>
      <c r="C478" t="inlineStr">
        <is>
          <t>A</t>
        </is>
      </c>
      <c r="D478" t="inlineStr">
        <is>
          <t>NER</t>
        </is>
      </c>
      <c r="E478" t="inlineStr">
        <is>
          <t>Gorou Banda</t>
        </is>
      </c>
      <c r="F478" t="inlineStr">
        <is>
          <t>puissance_mwac</t>
        </is>
      </c>
      <c r="G478" t="n">
        <v>30</v>
      </c>
      <c r="H478" t="inlineStr">
        <is>
          <t>MW</t>
        </is>
      </c>
      <c r="I478" t="inlineStr">
        <is>
          <t>observée</t>
        </is>
      </c>
      <c r="J478" t="n">
        <v>2023</v>
      </c>
      <c r="K478" t="inlineStr">
        <is>
          <t>C</t>
        </is>
      </c>
      <c r="L478" t="inlineStr">
        <is>
          <t>confirmé</t>
        </is>
      </c>
      <c r="M478" t="inlineStr">
        <is>
          <t>pv magazine</t>
        </is>
      </c>
      <c r="N478" t="inlineStr">
        <is>
          <t>Niger commissions 30 MW solar plant</t>
        </is>
      </c>
      <c r="O478" t="inlineStr">
        <is>
          <t>https://www.pv-magazine.com/2023/07/19/niger-commissions-30-mw-solar-plant/</t>
        </is>
      </c>
      <c r="P478" t="inlineStr">
        <is>
          <t>2023-07-19</t>
        </is>
      </c>
      <c r="Q478" t="inlineStr">
        <is>
          <t>has finished building a 30 MW solar power plant in Gorou Banda, Niger</t>
        </is>
      </c>
      <c r="R478" t="inlineStr">
        <is>
          <t>DC/AC non précisé. Projet initialement 20 MW (2018) puis 30-60 MWp (2020).</t>
        </is>
      </c>
    </row>
    <row r="479">
      <c r="A479" t="inlineStr">
        <is>
          <t>retenu</t>
        </is>
      </c>
      <c r="B479" t="inlineStr">
        <is>
          <t>A_ouest</t>
        </is>
      </c>
      <c r="C479" t="inlineStr">
        <is>
          <t>A</t>
        </is>
      </c>
      <c r="D479" t="inlineStr">
        <is>
          <t>NER</t>
        </is>
      </c>
      <c r="E479" t="inlineStr">
        <is>
          <t>Gorou Banda</t>
        </is>
      </c>
      <c r="F479" t="inlineStr">
        <is>
          <t>production_gwh_an</t>
        </is>
      </c>
      <c r="G479" t="n">
        <v>53</v>
      </c>
      <c r="H479" t="inlineStr">
        <is>
          <t>GWh/an</t>
        </is>
      </c>
      <c r="I479" t="inlineStr">
        <is>
          <t>déclarée</t>
        </is>
      </c>
      <c r="J479" t="n">
        <v>2023</v>
      </c>
      <c r="K479" t="inlineStr">
        <is>
          <t>C</t>
        </is>
      </c>
      <c r="L479" t="inlineStr">
        <is>
          <t>confirmé</t>
        </is>
      </c>
      <c r="M479" t="inlineStr">
        <is>
          <t>pv magazine</t>
        </is>
      </c>
      <c r="N479" t="inlineStr">
        <is>
          <t>idem</t>
        </is>
      </c>
      <c r="O479" t="inlineStr">
        <is>
          <t>https://www.pv-magazine.com/2023/07/19/niger-commissions-30-mw-solar-plant/</t>
        </is>
      </c>
      <c r="P479" t="inlineStr">
        <is>
          <t>2023-07-19</t>
        </is>
      </c>
      <c r="Q479" t="inlineStr">
        <is>
          <t>Production will hjit 53 GWh in the first year</t>
        </is>
      </c>
      <c r="R479" t="inlineStr">
        <is>
          <t>Coquille dans la source.</t>
        </is>
      </c>
    </row>
    <row r="480">
      <c r="A480" t="inlineStr">
        <is>
          <t>qualitatif</t>
        </is>
      </c>
      <c r="B480" t="inlineStr">
        <is>
          <t>A_ouest</t>
        </is>
      </c>
      <c r="C480" t="inlineStr">
        <is>
          <t>A</t>
        </is>
      </c>
      <c r="D480" t="inlineStr">
        <is>
          <t>NER</t>
        </is>
      </c>
      <c r="E480" t="inlineStr">
        <is>
          <t>Gorou Banda</t>
        </is>
      </c>
      <c r="F480" t="inlineStr">
        <is>
          <t>financeurs</t>
        </is>
      </c>
      <c r="G480" t="inlineStr">
        <is>
          <t>AFD prêt 23,5 M EUR + UE 5 M EUR (+ État du Niger)</t>
        </is>
      </c>
      <c r="H480" t="inlineStr">
        <is>
          <t>texte</t>
        </is>
      </c>
      <c r="I480" t="inlineStr">
        <is>
          <t>déclarée</t>
        </is>
      </c>
      <c r="J480" t="n">
        <v>2020</v>
      </c>
      <c r="K480" t="inlineStr">
        <is>
          <t>C</t>
        </is>
      </c>
      <c r="L480" t="inlineStr">
        <is>
          <t>qualitatif_citation_ok</t>
        </is>
      </c>
      <c r="M480" t="inlineStr">
        <is>
          <t>IPP Journal</t>
        </is>
      </c>
      <c r="N480" t="inlineStr">
        <is>
          <t>Niger to build solar PV project in Gorou Banda</t>
        </is>
      </c>
      <c r="O480" t="inlineStr">
        <is>
          <t>https://ippjournal.com/update/niger-to-build-solar-pv-project-in-gorou-banda</t>
        </is>
      </c>
      <c r="P480" t="inlineStr">
        <is>
          <t>2020-09-02</t>
        </is>
      </c>
      <c r="Q480" t="inlineStr">
        <is>
          <t>through a EUR23.5 million loan ... the European Union with EUR5 million</t>
        </is>
      </c>
      <c r="R480" t="inlineStr">
        <is>
          <t>pv magazine 2023 : 'The project secured €30 million' (UE, AFD, État). Part État (1,5 M EUR) vue seulement en résumé de recherche.</t>
        </is>
      </c>
    </row>
    <row r="481">
      <c r="A481" t="inlineStr">
        <is>
          <t>retenu</t>
        </is>
      </c>
      <c r="B481" t="inlineStr">
        <is>
          <t>A_ouest</t>
        </is>
      </c>
      <c r="C481" t="inlineStr">
        <is>
          <t>A</t>
        </is>
      </c>
      <c r="D481" t="inlineStr">
        <is>
          <t>NER</t>
        </is>
      </c>
      <c r="E481" t="inlineStr">
        <is>
          <t>Gorou Banda</t>
        </is>
      </c>
      <c r="F481" t="inlineStr">
        <is>
          <t>capex_total</t>
        </is>
      </c>
      <c r="G481" t="n">
        <v>30000000</v>
      </c>
      <c r="H481" t="inlineStr">
        <is>
          <t>EUR</t>
        </is>
      </c>
      <c r="I481" t="inlineStr">
        <is>
          <t>déclarée</t>
        </is>
      </c>
      <c r="J481" t="n">
        <v>2023</v>
      </c>
      <c r="K481" t="inlineStr">
        <is>
          <t>C</t>
        </is>
      </c>
      <c r="L481" t="inlineStr">
        <is>
          <t>confirmé</t>
        </is>
      </c>
      <c r="M481" t="inlineStr">
        <is>
          <t>pv magazine</t>
        </is>
      </c>
      <c r="N481" t="inlineStr">
        <is>
          <t>Niger commissions 30 MW solar plant</t>
        </is>
      </c>
      <c r="O481" t="inlineStr">
        <is>
          <t>https://www.pv-magazine.com/2023/07/19/niger-commissions-30-mw-solar-plant/</t>
        </is>
      </c>
      <c r="P481" t="inlineStr">
        <is>
          <t>2023-07-19</t>
        </is>
      </c>
      <c r="Q481" t="inlineStr">
        <is>
          <t>The project secured €30 million</t>
        </is>
      </c>
      <c r="R481" t="inlineStr">
        <is>
          <t>Financement mobilisé, pas nécessairement le coût final. CONFLIT : IPP Journal 2020 'estimated investment of US$70 million'.</t>
        </is>
      </c>
    </row>
    <row r="482">
      <c r="A482" t="inlineStr">
        <is>
          <t>retenu</t>
        </is>
      </c>
      <c r="B482" t="inlineStr">
        <is>
          <t>A_ouest</t>
        </is>
      </c>
      <c r="C482" t="inlineStr">
        <is>
          <t>A</t>
        </is>
      </c>
      <c r="D482" t="inlineStr">
        <is>
          <t>NER</t>
        </is>
      </c>
      <c r="E482" t="inlineStr">
        <is>
          <t>Gorou Banda</t>
        </is>
      </c>
      <c r="F482" t="inlineStr">
        <is>
          <t>capex_total</t>
        </is>
      </c>
      <c r="G482" t="n">
        <v>70000000</v>
      </c>
      <c r="H482" t="inlineStr">
        <is>
          <t>USD</t>
        </is>
      </c>
      <c r="I482" t="inlineStr">
        <is>
          <t>déclarée</t>
        </is>
      </c>
      <c r="J482" t="n">
        <v>2020</v>
      </c>
      <c r="K482" t="inlineStr">
        <is>
          <t>C</t>
        </is>
      </c>
      <c r="L482" t="inlineStr">
        <is>
          <t>confirmé</t>
        </is>
      </c>
      <c r="M482" t="inlineStr">
        <is>
          <t>IPP Journal</t>
        </is>
      </c>
      <c r="N482" t="inlineStr">
        <is>
          <t>Niger to build solar PV project in Gorou Banda</t>
        </is>
      </c>
      <c r="O482" t="inlineStr">
        <is>
          <t>https://ippjournal.com/update/niger-to-build-solar-pv-project-in-gorou-banda</t>
        </is>
      </c>
      <c r="P482" t="inlineStr">
        <is>
          <t>2020-09-02</t>
        </is>
      </c>
      <c r="Q482" t="inlineStr">
        <is>
          <t>an estimated investment of US$70 million</t>
        </is>
      </c>
      <c r="R482" t="inlineStr">
        <is>
          <t>Pour un projet alors dimensionné 30-60 MWp.</t>
        </is>
      </c>
    </row>
    <row r="483">
      <c r="A483" t="inlineStr">
        <is>
          <t>qualitatif</t>
        </is>
      </c>
      <c r="B483" t="inlineStr">
        <is>
          <t>A_ouest</t>
        </is>
      </c>
      <c r="C483" t="inlineStr">
        <is>
          <t>A</t>
        </is>
      </c>
      <c r="D483" t="inlineStr">
        <is>
          <t>NER</t>
        </is>
      </c>
      <c r="E483" t="inlineStr">
        <is>
          <t>Gorou Banda</t>
        </is>
      </c>
      <c r="F483" t="inlineStr">
        <is>
          <t>procedure</t>
        </is>
      </c>
      <c r="G483" t="inlineStr">
        <is>
          <t>EPC public (NIGELEC ; consortium Akuo–Sagecom)</t>
        </is>
      </c>
      <c r="H483" t="inlineStr">
        <is>
          <t>texte</t>
        </is>
      </c>
      <c r="I483" t="inlineStr">
        <is>
          <t>observée</t>
        </is>
      </c>
      <c r="J483" t="n">
        <v>2023</v>
      </c>
      <c r="K483" t="inlineStr">
        <is>
          <t>C</t>
        </is>
      </c>
      <c r="L483" t="inlineStr">
        <is>
          <t>qualitatif_citation_ok</t>
        </is>
      </c>
      <c r="M483" t="inlineStr">
        <is>
          <t>pv magazine</t>
        </is>
      </c>
      <c r="N483" t="inlineStr">
        <is>
          <t>idem</t>
        </is>
      </c>
      <c r="O483" t="inlineStr">
        <is>
          <t>https://www.pv-magazine.com/2023/07/19/niger-commissions-30-mw-solar-plant/</t>
        </is>
      </c>
      <c r="P483" t="inlineStr">
        <is>
          <t>2023-07-19</t>
        </is>
      </c>
      <c r="Q483" t="inlineStr">
        <is>
          <t>A French consortium made up of Akuo and Sagecom</t>
        </is>
      </c>
      <c r="R483" t="inlineStr">
        <is>
          <t>Mise en service officielle annoncée 26/11/2023 selon Africa Energy Portal (page 403, non vérifiée).</t>
        </is>
      </c>
    </row>
    <row r="484">
      <c r="A484" t="inlineStr">
        <is>
          <t>retenu</t>
        </is>
      </c>
      <c r="B484" t="inlineStr">
        <is>
          <t>A_ouest</t>
        </is>
      </c>
      <c r="C484" t="inlineStr">
        <is>
          <t>A</t>
        </is>
      </c>
      <c r="D484" t="inlineStr">
        <is>
          <t>NER</t>
        </is>
      </c>
      <c r="E484" t="inlineStr">
        <is>
          <t>Agadez (hybride PV-diesel)</t>
        </is>
      </c>
      <c r="F484" t="inlineStr">
        <is>
          <t>puissance_mwac</t>
        </is>
      </c>
      <c r="G484" t="n">
        <v>13</v>
      </c>
      <c r="H484" t="inlineStr">
        <is>
          <t>MW</t>
        </is>
      </c>
      <c r="I484" t="inlineStr">
        <is>
          <t>déclarée</t>
        </is>
      </c>
      <c r="J484" t="n">
        <v>2018</v>
      </c>
      <c r="K484" t="inlineStr">
        <is>
          <t>C</t>
        </is>
      </c>
      <c r="L484" t="inlineStr">
        <is>
          <t>confirmé</t>
        </is>
      </c>
      <c r="M484" t="inlineStr">
        <is>
          <t>pv magazine</t>
        </is>
      </c>
      <c r="N484" t="inlineStr">
        <is>
          <t>Niger streamlines 20 MW solar project at diesel-fueled thermal plant</t>
        </is>
      </c>
      <c r="O484" t="inlineStr">
        <is>
          <t>https://www.pv-magazine.com/?p=20535</t>
        </is>
      </c>
      <c r="P484" t="inlineStr">
        <is>
          <t>2018-10-12</t>
        </is>
      </c>
      <c r="Q484" t="inlineStr">
        <is>
          <t>a 13 MW PV plant, three 2 MW diesel power stations, a 5 MWh storage system</t>
        </is>
      </c>
      <c r="R484" t="inlineStr">
        <is>
          <t>PV + STOCKAGE (hybride). Financement AFD/UE ; montant AFD (32 M EUR) et statut non vérifiés (pages AFD inaccessibles).</t>
        </is>
      </c>
    </row>
    <row r="485">
      <c r="A485" t="inlineStr">
        <is>
          <t>retenu</t>
        </is>
      </c>
      <c r="B485" t="inlineStr">
        <is>
          <t>A_ouest</t>
        </is>
      </c>
      <c r="C485" t="inlineStr">
        <is>
          <t>A</t>
        </is>
      </c>
      <c r="D485" t="inlineStr">
        <is>
          <t>NER</t>
        </is>
      </c>
      <c r="E485" t="inlineStr">
        <is>
          <t>Agadez (hybride PV-diesel)</t>
        </is>
      </c>
      <c r="F485" t="inlineStr">
        <is>
          <t>stockage_mwh</t>
        </is>
      </c>
      <c r="G485" t="n">
        <v>5</v>
      </c>
      <c r="H485" t="inlineStr">
        <is>
          <t>MWh</t>
        </is>
      </c>
      <c r="I485" t="inlineStr">
        <is>
          <t>déclarée</t>
        </is>
      </c>
      <c r="J485" t="n">
        <v>2018</v>
      </c>
      <c r="K485" t="inlineStr">
        <is>
          <t>C</t>
        </is>
      </c>
      <c r="L485" t="inlineStr">
        <is>
          <t>confirmé</t>
        </is>
      </c>
      <c r="M485" t="inlineStr">
        <is>
          <t>pv magazine</t>
        </is>
      </c>
      <c r="N485" t="inlineStr">
        <is>
          <t>idem</t>
        </is>
      </c>
      <c r="O485" t="inlineStr">
        <is>
          <t>https://www.pv-magazine.com/?p=20535</t>
        </is>
      </c>
      <c r="P485" t="inlineStr">
        <is>
          <t>2018-10-12</t>
        </is>
      </c>
      <c r="Q485" t="inlineStr">
        <is>
          <t>a 5 MWh storage system</t>
        </is>
      </c>
      <c r="R485" t="inlineStr"/>
    </row>
    <row r="486">
      <c r="A486" t="inlineStr">
        <is>
          <t>qualitatif</t>
        </is>
      </c>
      <c r="B486" t="inlineStr">
        <is>
          <t>B_captif</t>
        </is>
      </c>
      <c r="C486" t="inlineStr">
        <is>
          <t>B</t>
        </is>
      </c>
      <c r="D486" t="inlineStr">
        <is>
          <t>MLI</t>
        </is>
      </c>
      <c r="E486" t="inlineStr">
        <is>
          <t>Fekola Solar Plant (phase 1) – mine d'or de Fekola</t>
        </is>
      </c>
      <c r="F486" t="inlineStr">
        <is>
          <t>secteur</t>
        </is>
      </c>
      <c r="G486" t="inlineStr">
        <is>
          <t>mine d'or</t>
        </is>
      </c>
      <c r="H486" t="inlineStr">
        <is>
          <t>texte</t>
        </is>
      </c>
      <c r="I486" t="inlineStr">
        <is>
          <t>observée</t>
        </is>
      </c>
      <c r="J486" t="n">
        <v>2019</v>
      </c>
      <c r="K486" t="inlineStr">
        <is>
          <t>A</t>
        </is>
      </c>
      <c r="L486" t="inlineStr">
        <is>
          <t>qualitatif_citation_ok</t>
        </is>
      </c>
      <c r="M486" t="inlineStr">
        <is>
          <t>B2Gold Corp.</t>
        </is>
      </c>
      <c r="N486" t="inlineStr">
        <is>
          <t>B2Gold Corp. Annual Information Form 2019 (Form 40-F, Exhibit 99.1)</t>
        </is>
      </c>
      <c r="O486" t="inlineStr">
        <is>
          <t>https://www.sec.gov/Archives/edgar/data/1429937/000106299320001433/exhibit99-1.htm</t>
        </is>
      </c>
      <c r="P486" t="inlineStr">
        <is>
          <t>2020-03</t>
        </is>
      </c>
      <c r="Q486" t="inlineStr">
        <is>
          <t>The Fekola solar plant will be one of the largest off-grid hybrid-solar/HFO plants in the world</t>
        </is>
      </c>
      <c r="R486" t="inlineStr"/>
    </row>
    <row r="487">
      <c r="A487" t="inlineStr">
        <is>
          <t>qualitatif</t>
        </is>
      </c>
      <c r="B487" t="inlineStr">
        <is>
          <t>B_captif</t>
        </is>
      </c>
      <c r="C487" t="inlineStr">
        <is>
          <t>B</t>
        </is>
      </c>
      <c r="D487" t="inlineStr">
        <is>
          <t>MLI</t>
        </is>
      </c>
      <c r="E487" t="inlineStr">
        <is>
          <t>Fekola Solar Plant (phase 1) – mine d'or de Fekola</t>
        </is>
      </c>
      <c r="F487" t="inlineStr">
        <is>
          <t>technologie</t>
        </is>
      </c>
      <c r="G487" t="inlineStr">
        <is>
          <t>PV + BESS + HFO/diesel (hybride hors réseau)</t>
        </is>
      </c>
      <c r="H487" t="inlineStr">
        <is>
          <t>texte</t>
        </is>
      </c>
      <c r="I487" t="inlineStr">
        <is>
          <t>déclarée</t>
        </is>
      </c>
      <c r="J487" t="n">
        <v>2019</v>
      </c>
      <c r="K487" t="inlineStr">
        <is>
          <t>A</t>
        </is>
      </c>
      <c r="L487" t="inlineStr">
        <is>
          <t>qualitatif_citation_ok</t>
        </is>
      </c>
      <c r="M487" t="inlineStr">
        <is>
          <t>B2Gold Corp.</t>
        </is>
      </c>
      <c r="N487" t="inlineStr">
        <is>
          <t>B2Gold Corp. Annual Information Form 2019 (Form 40-F, Exhibit 99.1)</t>
        </is>
      </c>
      <c r="O487" t="inlineStr">
        <is>
          <t>https://www.sec.gov/Archives/edgar/data/1429937/000106299320001433/exhibit99-1.htm</t>
        </is>
      </c>
      <c r="P487" t="inlineStr">
        <is>
          <t>2020-03</t>
        </is>
      </c>
      <c r="Q487" t="inlineStr">
        <is>
          <t>with a 30 Megawatt (" MW ") solar component combined with 64 MW of HFO and diesel generating capacity</t>
        </is>
      </c>
      <c r="R487" t="inlineStr"/>
    </row>
    <row r="488">
      <c r="A488" t="inlineStr">
        <is>
          <t>retenu</t>
        </is>
      </c>
      <c r="B488" t="inlineStr">
        <is>
          <t>B_captif</t>
        </is>
      </c>
      <c r="C488" t="inlineStr">
        <is>
          <t>B</t>
        </is>
      </c>
      <c r="D488" t="inlineStr">
        <is>
          <t>MLI</t>
        </is>
      </c>
      <c r="E488" t="inlineStr">
        <is>
          <t>Fekola Solar Plant (phase 1) – mine d'or de Fekola</t>
        </is>
      </c>
      <c r="F488" t="inlineStr">
        <is>
          <t>puissance_mwac</t>
        </is>
      </c>
      <c r="G488" t="n">
        <v>30</v>
      </c>
      <c r="H488" t="inlineStr">
        <is>
          <t>MW</t>
        </is>
      </c>
      <c r="I488" t="inlineStr">
        <is>
          <t>déclarée</t>
        </is>
      </c>
      <c r="J488" t="n">
        <v>2019</v>
      </c>
      <c r="K488" t="inlineStr">
        <is>
          <t>A</t>
        </is>
      </c>
      <c r="L488" t="inlineStr">
        <is>
          <t>confirmé</t>
        </is>
      </c>
      <c r="M488" t="inlineStr">
        <is>
          <t>B2Gold Corp.</t>
        </is>
      </c>
      <c r="N488" t="inlineStr">
        <is>
          <t>B2Gold Corp. MD&amp;A Q3 2019 (Form 6-K, Exhibit 99.2)</t>
        </is>
      </c>
      <c r="O488" t="inlineStr">
        <is>
          <t>https://www.sec.gov/Archives/edgar/data/1429937/000142993719000008/exhibit992-93019.htm</t>
        </is>
      </c>
      <c r="P488" t="inlineStr">
        <is>
          <t>2019-11</t>
        </is>
      </c>
      <c r="Q488" t="inlineStr">
        <is>
          <t>36 MW of panels being installed to provide 30 MW of generating capacity</t>
        </is>
      </c>
      <c r="R488" t="inlineStr"/>
    </row>
    <row r="489">
      <c r="A489" t="inlineStr">
        <is>
          <t>retenu</t>
        </is>
      </c>
      <c r="B489" t="inlineStr">
        <is>
          <t>B_captif</t>
        </is>
      </c>
      <c r="C489" t="inlineStr">
        <is>
          <t>B</t>
        </is>
      </c>
      <c r="D489" t="inlineStr">
        <is>
          <t>MLI</t>
        </is>
      </c>
      <c r="E489" t="inlineStr">
        <is>
          <t>Fekola Solar Plant (phase 1) – mine d'or de Fekola</t>
        </is>
      </c>
      <c r="F489" t="inlineStr">
        <is>
          <t>puissance_mwp</t>
        </is>
      </c>
      <c r="G489" t="n">
        <v>36</v>
      </c>
      <c r="H489" t="inlineStr">
        <is>
          <t>MWp</t>
        </is>
      </c>
      <c r="I489" t="inlineStr">
        <is>
          <t>déclarée</t>
        </is>
      </c>
      <c r="J489" t="n">
        <v>2019</v>
      </c>
      <c r="K489" t="inlineStr">
        <is>
          <t>A</t>
        </is>
      </c>
      <c r="L489" t="inlineStr">
        <is>
          <t>confirmé</t>
        </is>
      </c>
      <c r="M489" t="inlineStr">
        <is>
          <t>B2Gold Corp.</t>
        </is>
      </c>
      <c r="N489" t="inlineStr">
        <is>
          <t>B2Gold Corp. MD&amp;A Q3 2019 (Form 6-K, Exhibit 99.2)</t>
        </is>
      </c>
      <c r="O489" t="inlineStr">
        <is>
          <t>https://www.sec.gov/Archives/edgar/data/1429937/000142993719000008/exhibit992-93019.htm</t>
        </is>
      </c>
      <c r="P489" t="inlineStr">
        <is>
          <t>2019-11</t>
        </is>
      </c>
      <c r="Q489" t="inlineStr">
        <is>
          <t>36 MW of panels being installed to provide 30 MW of generating capacity</t>
        </is>
      </c>
      <c r="R489" t="inlineStr"/>
    </row>
    <row r="490">
      <c r="A490" t="inlineStr">
        <is>
          <t>retenu</t>
        </is>
      </c>
      <c r="B490" t="inlineStr">
        <is>
          <t>B_captif</t>
        </is>
      </c>
      <c r="C490" t="inlineStr">
        <is>
          <t>B</t>
        </is>
      </c>
      <c r="D490" t="inlineStr">
        <is>
          <t>MLI</t>
        </is>
      </c>
      <c r="E490" t="inlineStr">
        <is>
          <t>Fekola Solar Plant (phase 1) – mine d'or de Fekola</t>
        </is>
      </c>
      <c r="F490" t="inlineStr">
        <is>
          <t>stockage_mwh</t>
        </is>
      </c>
      <c r="G490" t="n">
        <v>13.5</v>
      </c>
      <c r="H490" t="inlineStr">
        <is>
          <t>MWh</t>
        </is>
      </c>
      <c r="I490" t="inlineStr">
        <is>
          <t>déclarée</t>
        </is>
      </c>
      <c r="J490" t="n">
        <v>2019</v>
      </c>
      <c r="K490" t="inlineStr">
        <is>
          <t>A</t>
        </is>
      </c>
      <c r="L490" t="inlineStr">
        <is>
          <t>confirmé</t>
        </is>
      </c>
      <c r="M490" t="inlineStr">
        <is>
          <t>B2Gold Corp.</t>
        </is>
      </c>
      <c r="N490" t="inlineStr">
        <is>
          <t>B2Gold Corp. MD&amp;A Q3 2019 (Form 6-K, Exhibit 99.2)</t>
        </is>
      </c>
      <c r="O490" t="inlineStr">
        <is>
          <t>https://www.sec.gov/Archives/edgar/data/1429937/000142993719000008/exhibit992-93019.htm</t>
        </is>
      </c>
      <c r="P490" t="inlineStr">
        <is>
          <t>2019-11</t>
        </is>
      </c>
      <c r="Q490" t="inlineStr">
        <is>
          <t>13.5 MWh of battery storage to handle power load spikes, short periods of cloud cover, and allows for higher engine loading and efficiencies</t>
        </is>
      </c>
      <c r="R490" t="inlineStr">
        <is>
          <t>CONFLIT avec 15,4 MWh (AIF 2019, presse 2021).</t>
        </is>
      </c>
    </row>
    <row r="491">
      <c r="A491" t="inlineStr">
        <is>
          <t>retenu</t>
        </is>
      </c>
      <c r="B491" t="inlineStr">
        <is>
          <t>B_captif</t>
        </is>
      </c>
      <c r="C491" t="inlineStr">
        <is>
          <t>B</t>
        </is>
      </c>
      <c r="D491" t="inlineStr">
        <is>
          <t>MLI</t>
        </is>
      </c>
      <c r="E491" t="inlineStr">
        <is>
          <t>Fekola Solar Plant (phase 1) – mine d'or de Fekola</t>
        </is>
      </c>
      <c r="F491" t="inlineStr">
        <is>
          <t>stockage_mwh</t>
        </is>
      </c>
      <c r="G491" t="n">
        <v>15.4</v>
      </c>
      <c r="H491" t="inlineStr">
        <is>
          <t>MWh</t>
        </is>
      </c>
      <c r="I491" t="inlineStr">
        <is>
          <t>déclarée</t>
        </is>
      </c>
      <c r="J491" t="n">
        <v>2019</v>
      </c>
      <c r="K491" t="inlineStr">
        <is>
          <t>A</t>
        </is>
      </c>
      <c r="L491" t="inlineStr">
        <is>
          <t>confirmé</t>
        </is>
      </c>
      <c r="M491" t="inlineStr">
        <is>
          <t>B2Gold Corp.</t>
        </is>
      </c>
      <c r="N491" t="inlineStr">
        <is>
          <t>B2Gold Corp. Annual Information Form 2019 (Form 40-F, Exhibit 99.1)</t>
        </is>
      </c>
      <c r="O491" t="inlineStr">
        <is>
          <t>https://www.sec.gov/Archives/edgar/data/1429937/000106299320001433/exhibit99-1.htm</t>
        </is>
      </c>
      <c r="P491" t="inlineStr">
        <is>
          <t>2020-03</t>
        </is>
      </c>
      <c r="Q491" t="inlineStr">
        <is>
          <t>The solar plant will also have a 15.4 MW hour battery component with up to 17.3 MW of discharge power.</t>
        </is>
      </c>
      <c r="R491" t="inlineStr">
        <is>
          <t>CONFLIT avec 13,5 MWh (MD&amp;A Q3 2019). 15,4 MWh repris lors de la mise en service (SolarQuarter 2021).</t>
        </is>
      </c>
    </row>
    <row r="492">
      <c r="A492" t="inlineStr">
        <is>
          <t>retenu</t>
        </is>
      </c>
      <c r="B492" t="inlineStr">
        <is>
          <t>B_captif</t>
        </is>
      </c>
      <c r="C492" t="inlineStr">
        <is>
          <t>B</t>
        </is>
      </c>
      <c r="D492" t="inlineStr">
        <is>
          <t>MLI</t>
        </is>
      </c>
      <c r="E492" t="inlineStr">
        <is>
          <t>Fekola Solar Plant (phase 1) – mine d'or de Fekola</t>
        </is>
      </c>
      <c r="F492" t="inlineStr">
        <is>
          <t>capex_total</t>
        </is>
      </c>
      <c r="G492" t="n">
        <v>38000000</v>
      </c>
      <c r="H492" t="inlineStr">
        <is>
          <t>USD</t>
        </is>
      </c>
      <c r="I492" t="inlineStr">
        <is>
          <t>déclarée</t>
        </is>
      </c>
      <c r="J492" t="n">
        <v>2019</v>
      </c>
      <c r="K492" t="inlineStr">
        <is>
          <t>A</t>
        </is>
      </c>
      <c r="L492" t="inlineStr">
        <is>
          <t>confirmé</t>
        </is>
      </c>
      <c r="M492" t="inlineStr">
        <is>
          <t>B2Gold Corp.</t>
        </is>
      </c>
      <c r="N492" t="inlineStr">
        <is>
          <t>B2Gold Corp. MD&amp;A Q3 2019 (Form 6-K, Exhibit 99.2)</t>
        </is>
      </c>
      <c r="O492" t="inlineStr">
        <is>
          <t>https://www.sec.gov/Archives/edgar/data/1429937/000142993719000008/exhibit992-93019.htm</t>
        </is>
      </c>
      <c r="P492" t="inlineStr">
        <is>
          <t>2019-11</t>
        </is>
      </c>
      <c r="Q492" t="inlineStr">
        <is>
          <t>Capital cost estimate of $38 million with a 4 year payback of which $17 million is now expected to be incurred in 2019 with the balance in 2020</t>
        </is>
      </c>
      <c r="R492" t="inlineStr">
        <is>
          <t>Budget (estimation), pas coût final. Aucun coût final consolidé publié trouvé.</t>
        </is>
      </c>
    </row>
    <row r="493">
      <c r="A493" t="inlineStr">
        <is>
          <t>retenu</t>
        </is>
      </c>
      <c r="B493" t="inlineStr">
        <is>
          <t>B_captif</t>
        </is>
      </c>
      <c r="C493" t="inlineStr">
        <is>
          <t>B</t>
        </is>
      </c>
      <c r="D493" t="inlineStr">
        <is>
          <t>MLI</t>
        </is>
      </c>
      <c r="E493" t="inlineStr">
        <is>
          <t>Fekola Solar Plant (phase 1) – mine d'or de Fekola</t>
        </is>
      </c>
      <c r="F493" t="inlineStr">
        <is>
          <t>temps_de_retour</t>
        </is>
      </c>
      <c r="G493" t="n">
        <v>4</v>
      </c>
      <c r="H493" t="inlineStr">
        <is>
          <t>ans</t>
        </is>
      </c>
      <c r="I493" t="inlineStr">
        <is>
          <t>déclarée</t>
        </is>
      </c>
      <c r="J493" t="n">
        <v>2019</v>
      </c>
      <c r="K493" t="inlineStr">
        <is>
          <t>A</t>
        </is>
      </c>
      <c r="L493" t="inlineStr">
        <is>
          <t>confirmé</t>
        </is>
      </c>
      <c r="M493" t="inlineStr">
        <is>
          <t>B2Gold Corp.</t>
        </is>
      </c>
      <c r="N493" t="inlineStr">
        <is>
          <t>B2Gold Corp. MD&amp;A Q3 2019 (Form 6-K, Exhibit 99.2)</t>
        </is>
      </c>
      <c r="O493" t="inlineStr">
        <is>
          <t>https://www.sec.gov/Archives/edgar/data/1429937/000142993719000008/exhibit992-93019.htm</t>
        </is>
      </c>
      <c r="P493" t="inlineStr">
        <is>
          <t>2019-11</t>
        </is>
      </c>
      <c r="Q493" t="inlineStr">
        <is>
          <t>Capital cost estimate of $38 million with a 4 year payback</t>
        </is>
      </c>
      <c r="R493" t="inlineStr"/>
    </row>
    <row r="494">
      <c r="A494" t="inlineStr">
        <is>
          <t>retenu</t>
        </is>
      </c>
      <c r="B494" t="inlineStr">
        <is>
          <t>B_captif</t>
        </is>
      </c>
      <c r="C494" t="inlineStr">
        <is>
          <t>B</t>
        </is>
      </c>
      <c r="D494" t="inlineStr">
        <is>
          <t>MLI</t>
        </is>
      </c>
      <c r="E494" t="inlineStr">
        <is>
          <t>Fekola Solar Plant (phase 1) – mine d'or de Fekola</t>
        </is>
      </c>
      <c r="F494" t="inlineStr">
        <is>
          <t>capex_depense_periode</t>
        </is>
      </c>
      <c r="G494" t="n">
        <v>8000000</v>
      </c>
      <c r="H494" t="inlineStr">
        <is>
          <t>USD</t>
        </is>
      </c>
      <c r="I494" t="inlineStr">
        <is>
          <t>observée</t>
        </is>
      </c>
      <c r="J494" t="n">
        <v>2021</v>
      </c>
      <c r="K494" t="inlineStr">
        <is>
          <t>A</t>
        </is>
      </c>
      <c r="L494" t="inlineStr">
        <is>
          <t>confirmé</t>
        </is>
      </c>
      <c r="M494" t="inlineStr">
        <is>
          <t>B2Gold Corp.</t>
        </is>
      </c>
      <c r="N494" t="inlineStr">
        <is>
          <t>B2Gold Corp. MD&amp;A Q2 2021 (Form 6-K, Exhibit 99.2)</t>
        </is>
      </c>
      <c r="O494" t="inlineStr">
        <is>
          <t>https://www.sec.gov/Archives/edgar/data/1429937/000142993721000006/exhibit992-63021.htm</t>
        </is>
      </c>
      <c r="P494" t="inlineStr">
        <is>
          <t>2021-08-05</t>
        </is>
      </c>
      <c r="Q494" t="inlineStr">
        <is>
          <t>Capital expenditures in the first half of 2021 totalled $26 million primarily consisting of $8 million for the solar plant</t>
        </is>
      </c>
      <c r="R494" t="inlineStr">
        <is>
          <t>Dépense S1 2021 seulement (achèvement retardé par COVID-19 et incendie de janvier 2021) ; montre que le coût final &gt; dépenses 2019-2020.</t>
        </is>
      </c>
    </row>
    <row r="495">
      <c r="A495" t="inlineStr">
        <is>
          <t>retenu</t>
        </is>
      </c>
      <c r="B495" t="inlineStr">
        <is>
          <t>B_captif</t>
        </is>
      </c>
      <c r="C495" t="inlineStr">
        <is>
          <t>B</t>
        </is>
      </c>
      <c r="D495" t="inlineStr">
        <is>
          <t>MLI</t>
        </is>
      </c>
      <c r="E495" t="inlineStr">
        <is>
          <t>Fekola Solar Plant (phase 1) – mine d'or de Fekola</t>
        </is>
      </c>
      <c r="F495" t="inlineStr">
        <is>
          <t>surcout_incident</t>
        </is>
      </c>
      <c r="G495" t="n">
        <v>2000000</v>
      </c>
      <c r="H495" t="inlineStr">
        <is>
          <t>USD</t>
        </is>
      </c>
      <c r="I495" t="inlineStr">
        <is>
          <t>observée</t>
        </is>
      </c>
      <c r="J495" t="n">
        <v>2021</v>
      </c>
      <c r="K495" t="inlineStr">
        <is>
          <t>A</t>
        </is>
      </c>
      <c r="L495" t="inlineStr">
        <is>
          <t>confirmé</t>
        </is>
      </c>
      <c r="M495" t="inlineStr">
        <is>
          <t>B2Gold Corp.</t>
        </is>
      </c>
      <c r="N495" t="inlineStr">
        <is>
          <t>B2Gold Corp. MD&amp;A Q2 2021 (Form 6-K, Exhibit 99.2)</t>
        </is>
      </c>
      <c r="O495" t="inlineStr">
        <is>
          <t>https://www.sec.gov/Archives/edgar/data/1429937/000142993721000006/exhibit992-63021.htm</t>
        </is>
      </c>
      <c r="P495" t="inlineStr">
        <is>
          <t>2021-08-05</t>
        </is>
      </c>
      <c r="Q495" t="inlineStr">
        <is>
          <t>$2 million for the write-off of Fekola solar panels damaged by a fire in the storage yard during the first quarter of 2021</t>
        </is>
      </c>
      <c r="R495" t="inlineStr">
        <is>
          <t>Charge d'exploitation (radiation de panneaux) liée à l'incendie.</t>
        </is>
      </c>
    </row>
    <row r="496">
      <c r="A496" t="inlineStr">
        <is>
          <t>retenu</t>
        </is>
      </c>
      <c r="B496" t="inlineStr">
        <is>
          <t>B_captif</t>
        </is>
      </c>
      <c r="C496" t="inlineStr">
        <is>
          <t>B</t>
        </is>
      </c>
      <c r="D496" t="inlineStr">
        <is>
          <t>MLI</t>
        </is>
      </c>
      <c r="E496" t="inlineStr">
        <is>
          <t>Fekola Solar Plant (phase 1) – mine d'or de Fekola</t>
        </is>
      </c>
      <c r="F496" t="inlineStr">
        <is>
          <t>annee_mise_en_service</t>
        </is>
      </c>
      <c r="G496" t="n">
        <v>2021</v>
      </c>
      <c r="H496" t="inlineStr">
        <is>
          <t>année</t>
        </is>
      </c>
      <c r="I496" t="inlineStr">
        <is>
          <t>observée</t>
        </is>
      </c>
      <c r="J496" t="n">
        <v>2021</v>
      </c>
      <c r="K496" t="inlineStr">
        <is>
          <t>A</t>
        </is>
      </c>
      <c r="L496" t="inlineStr">
        <is>
          <t>confirmé</t>
        </is>
      </c>
      <c r="M496" t="inlineStr">
        <is>
          <t>B2Gold Corp.</t>
        </is>
      </c>
      <c r="N496" t="inlineStr">
        <is>
          <t>B2Gold Corp. Annual Information Form 2021 (Form 40-F, Exhibit 99.1)</t>
        </is>
      </c>
      <c r="O496" t="inlineStr">
        <is>
          <t>https://www.sec.gov/Archives/edgar/data/1429937/000106299322008984/exhibit99-1.htm</t>
        </is>
      </c>
      <c r="P496" t="inlineStr">
        <is>
          <t>2022-03-30</t>
        </is>
      </c>
      <c r="Q496" t="inlineStr">
        <is>
          <t>In July 2021, the heavy fuel oil (" HFO ") hybrid-solar plant at the Fekola Mine (the " Fekola Solar Plant ") reached full production capacity.</t>
        </is>
      </c>
      <c r="R496" t="inlineStr">
        <is>
          <t>Calendrier initial : août 2020 (MD&amp;A Q3 2019). Mise en service partielle annoncée avril 2021.</t>
        </is>
      </c>
    </row>
    <row r="497">
      <c r="A497" t="inlineStr">
        <is>
          <t>qualitatif</t>
        </is>
      </c>
      <c r="B497" t="inlineStr">
        <is>
          <t>B_captif</t>
        </is>
      </c>
      <c r="C497" t="inlineStr">
        <is>
          <t>B</t>
        </is>
      </c>
      <c r="D497" t="inlineStr">
        <is>
          <t>MLI</t>
        </is>
      </c>
      <c r="E497" t="inlineStr">
        <is>
          <t>Fekola Solar Plant (phase 1) – mine d'or de Fekola</t>
        </is>
      </c>
      <c r="F497" t="inlineStr">
        <is>
          <t>statut</t>
        </is>
      </c>
      <c r="G497" t="inlineStr">
        <is>
          <t>en exploitation</t>
        </is>
      </c>
      <c r="H497" t="inlineStr">
        <is>
          <t>texte</t>
        </is>
      </c>
      <c r="I497" t="inlineStr">
        <is>
          <t>observée</t>
        </is>
      </c>
      <c r="J497" t="n">
        <v>2021</v>
      </c>
      <c r="K497" t="inlineStr">
        <is>
          <t>A</t>
        </is>
      </c>
      <c r="L497" t="inlineStr">
        <is>
          <t>qualitatif_citation_ok</t>
        </is>
      </c>
      <c r="M497" t="inlineStr">
        <is>
          <t>B2Gold Corp.</t>
        </is>
      </c>
      <c r="N497" t="inlineStr">
        <is>
          <t>B2Gold Corp. MD&amp;A Q2 2021 (Form 6-K, Exhibit 99.2)</t>
        </is>
      </c>
      <c r="O497" t="inlineStr">
        <is>
          <t>https://www.sec.gov/Archives/edgar/data/1429937/000142993721000006/exhibit992-63021.htm</t>
        </is>
      </c>
      <c r="P497" t="inlineStr">
        <is>
          <t>2021-08-05</t>
        </is>
      </c>
      <c r="Q497" t="inlineStr">
        <is>
          <t>construction of the Fekola solar plant is now complete</t>
        </is>
      </c>
      <c r="R497" t="inlineStr"/>
    </row>
    <row r="498">
      <c r="A498" t="inlineStr">
        <is>
          <t>retenu</t>
        </is>
      </c>
      <c r="B498" t="inlineStr">
        <is>
          <t>B_captif</t>
        </is>
      </c>
      <c r="C498" t="inlineStr">
        <is>
          <t>B</t>
        </is>
      </c>
      <c r="D498" t="inlineStr">
        <is>
          <t>MLI</t>
        </is>
      </c>
      <c r="E498" t="inlineStr">
        <is>
          <t>Fekola Solar Plant (phase 1) – mine d'or de Fekola</t>
        </is>
      </c>
      <c r="F498" t="inlineStr">
        <is>
          <t>economies_carburant</t>
        </is>
      </c>
      <c r="G498" t="n">
        <v>13100000</v>
      </c>
      <c r="H498" t="inlineStr">
        <is>
          <t>litres HFO/an</t>
        </is>
      </c>
      <c r="I498" t="inlineStr">
        <is>
          <t>déclarée</t>
        </is>
      </c>
      <c r="J498" t="n">
        <v>2019</v>
      </c>
      <c r="K498" t="inlineStr">
        <is>
          <t>A</t>
        </is>
      </c>
      <c r="L498" t="inlineStr">
        <is>
          <t>confirmé</t>
        </is>
      </c>
      <c r="M498" t="inlineStr">
        <is>
          <t>B2Gold Corp.</t>
        </is>
      </c>
      <c r="N498" t="inlineStr">
        <is>
          <t>B2Gold Corp. Annual Information Form 2019 (Form 40-F, Exhibit 99.1)</t>
        </is>
      </c>
      <c r="O498" t="inlineStr">
        <is>
          <t>https://www.sec.gov/Archives/edgar/data/1429937/000106299320001433/exhibit99-1.htm</t>
        </is>
      </c>
      <c r="P498" t="inlineStr">
        <is>
          <t>2020-03</t>
        </is>
      </c>
      <c r="Q498" t="inlineStr">
        <is>
          <t>HFO consumption is estimated to be reduced by approximately 13.1 million litres per year, eliminating approximately 39,000 tonnes per year of carbon dioxide emissions.</t>
        </is>
      </c>
      <c r="R498" t="inlineStr"/>
    </row>
    <row r="499">
      <c r="A499" t="inlineStr">
        <is>
          <t>retenu</t>
        </is>
      </c>
      <c r="B499" t="inlineStr">
        <is>
          <t>B_captif</t>
        </is>
      </c>
      <c r="C499" t="inlineStr">
        <is>
          <t>B</t>
        </is>
      </c>
      <c r="D499" t="inlineStr">
        <is>
          <t>MLI</t>
        </is>
      </c>
      <c r="E499" t="inlineStr">
        <is>
          <t>Fekola Solar Plant (phase 1) – mine d'or de Fekola</t>
        </is>
      </c>
      <c r="F499" t="inlineStr">
        <is>
          <t>economies_carburant</t>
        </is>
      </c>
      <c r="G499" t="n">
        <v>10000000</v>
      </c>
      <c r="H499" t="inlineStr">
        <is>
          <t>litres/an (2021, année partielle)</t>
        </is>
      </c>
      <c r="I499" t="inlineStr">
        <is>
          <t>observée</t>
        </is>
      </c>
      <c r="J499" t="n">
        <v>2021</v>
      </c>
      <c r="K499" t="inlineStr">
        <is>
          <t>A</t>
        </is>
      </c>
      <c r="L499" t="inlineStr">
        <is>
          <t>confirmé</t>
        </is>
      </c>
      <c r="M499" t="inlineStr">
        <is>
          <t>B2Gold Corp.</t>
        </is>
      </c>
      <c r="N499" t="inlineStr">
        <is>
          <t>B2Gold Corp. Annual Information Form 2021 (Form 40-F, Exhibit 99.1)</t>
        </is>
      </c>
      <c r="O499" t="inlineStr">
        <is>
          <t>https://www.sec.gov/Archives/edgar/data/1429937/000106299322008984/exhibit99-1.htm</t>
        </is>
      </c>
      <c r="P499" t="inlineStr">
        <is>
          <t>2022-03-30</t>
        </is>
      </c>
      <c r="Q499" t="inlineStr">
        <is>
          <t>During 2021, 14.6% of total electricity on site at the Fekola Mine was produced by the Fekola Solar Plant, reducing fuel consumption by over 10 million litres</t>
        </is>
      </c>
      <c r="R499" t="inlineStr">
        <is>
          <t>Valeur 'plus de 10 millions' sur 2021 (pleine capacité seulement à partir de juillet).</t>
        </is>
      </c>
    </row>
    <row r="500">
      <c r="A500" t="inlineStr">
        <is>
          <t>retenu</t>
        </is>
      </c>
      <c r="B500" t="inlineStr">
        <is>
          <t>B_captif</t>
        </is>
      </c>
      <c r="C500" t="inlineStr">
        <is>
          <t>B</t>
        </is>
      </c>
      <c r="D500" t="inlineStr">
        <is>
          <t>MLI</t>
        </is>
      </c>
      <c r="E500" t="inlineStr">
        <is>
          <t>Fekola Solar Plant (phase 1) – mine d'or de Fekola</t>
        </is>
      </c>
      <c r="F500" t="inlineStr">
        <is>
          <t>taux_couverture_solaire</t>
        </is>
      </c>
      <c r="G500" t="n">
        <v>14.6</v>
      </c>
      <c r="H500" t="inlineStr">
        <is>
          <t>% électricité du site (2021)</t>
        </is>
      </c>
      <c r="I500" t="inlineStr">
        <is>
          <t>observée</t>
        </is>
      </c>
      <c r="J500" t="n">
        <v>2021</v>
      </c>
      <c r="K500" t="inlineStr">
        <is>
          <t>A</t>
        </is>
      </c>
      <c r="L500" t="inlineStr">
        <is>
          <t>confirmé</t>
        </is>
      </c>
      <c r="M500" t="inlineStr">
        <is>
          <t>B2Gold Corp.</t>
        </is>
      </c>
      <c r="N500" t="inlineStr">
        <is>
          <t>B2Gold Corp. Annual Information Form 2021 (Form 40-F, Exhibit 99.1)</t>
        </is>
      </c>
      <c r="O500" t="inlineStr">
        <is>
          <t>https://www.sec.gov/Archives/edgar/data/1429937/000106299322008984/exhibit99-1.htm</t>
        </is>
      </c>
      <c r="P500" t="inlineStr">
        <is>
          <t>2022-03-30</t>
        </is>
      </c>
      <c r="Q500" t="inlineStr">
        <is>
          <t>During 2021, 14.6% of total electricity on site at the Fekola Mine was produced by the Fekola Solar Plant</t>
        </is>
      </c>
      <c r="R500" t="inlineStr"/>
    </row>
    <row r="501">
      <c r="A501" t="inlineStr">
        <is>
          <t>retenu</t>
        </is>
      </c>
      <c r="B501" t="inlineStr">
        <is>
          <t>B_captif</t>
        </is>
      </c>
      <c r="C501" t="inlineStr">
        <is>
          <t>B</t>
        </is>
      </c>
      <c r="D501" t="inlineStr">
        <is>
          <t>MLI</t>
        </is>
      </c>
      <c r="E501" t="inlineStr">
        <is>
          <t>Fekola Solar Plant (phase 1) – mine d'or de Fekola</t>
        </is>
      </c>
      <c r="F501" t="inlineStr">
        <is>
          <t>reduction_cout_traitement</t>
        </is>
      </c>
      <c r="G501" t="n">
        <v>7</v>
      </c>
      <c r="H501" t="inlineStr">
        <is>
          <t>% coûts de traitement</t>
        </is>
      </c>
      <c r="I501" t="inlineStr">
        <is>
          <t>déclarée</t>
        </is>
      </c>
      <c r="J501" t="n">
        <v>2021</v>
      </c>
      <c r="K501" t="inlineStr">
        <is>
          <t>A</t>
        </is>
      </c>
      <c r="L501" t="inlineStr">
        <is>
          <t>confirmé</t>
        </is>
      </c>
      <c r="M501" t="inlineStr">
        <is>
          <t>B2Gold Corp.</t>
        </is>
      </c>
      <c r="N501" t="inlineStr">
        <is>
          <t>B2Gold Corp. Annual Information Form 2021 (Form 40-F, Exhibit 99.1)</t>
        </is>
      </c>
      <c r="O501" t="inlineStr">
        <is>
          <t>https://www.sec.gov/Archives/edgar/data/1429937/000106299322008984/exhibit99-1.htm</t>
        </is>
      </c>
      <c r="P501" t="inlineStr">
        <is>
          <t>2022-03-30</t>
        </is>
      </c>
      <c r="Q501" t="inlineStr">
        <is>
          <t>The Fekola Solar Plant is expected to reduce processing costs by approximately 7% over a full calendar year.</t>
        </is>
      </c>
      <c r="R501" t="inlineStr"/>
    </row>
    <row r="502">
      <c r="A502" t="inlineStr">
        <is>
          <t>qualitatif</t>
        </is>
      </c>
      <c r="B502" t="inlineStr">
        <is>
          <t>B_captif</t>
        </is>
      </c>
      <c r="C502" t="inlineStr">
        <is>
          <t>B</t>
        </is>
      </c>
      <c r="D502" t="inlineStr">
        <is>
          <t>MLI</t>
        </is>
      </c>
      <c r="E502" t="inlineStr">
        <is>
          <t>Fekola Solar Plant (phase 1) – mine d'or de Fekola</t>
        </is>
      </c>
      <c r="F502" t="inlineStr">
        <is>
          <t>modele_commercial</t>
        </is>
      </c>
      <c r="G502" t="inlineStr">
        <is>
          <t>autoproduction (actif détenu par le minier)</t>
        </is>
      </c>
      <c r="H502" t="inlineStr">
        <is>
          <t>texte</t>
        </is>
      </c>
      <c r="I502" t="inlineStr">
        <is>
          <t>déclarée</t>
        </is>
      </c>
      <c r="J502" t="n">
        <v>2019</v>
      </c>
      <c r="K502" t="inlineStr">
        <is>
          <t>A</t>
        </is>
      </c>
      <c r="L502" t="inlineStr">
        <is>
          <t>qualitatif_citation_ok</t>
        </is>
      </c>
      <c r="M502" t="inlineStr">
        <is>
          <t>B2Gold Corp.</t>
        </is>
      </c>
      <c r="N502" t="inlineStr">
        <is>
          <t>B2Gold Corp. MD&amp;A Q3 2019 (Form 6-K, Exhibit 99.2)</t>
        </is>
      </c>
      <c r="O502" t="inlineStr">
        <is>
          <t>https://www.sec.gov/Archives/edgar/data/1429937/000142993719000008/exhibit992-93019.htm</t>
        </is>
      </c>
      <c r="P502" t="inlineStr">
        <is>
          <t>2019-11</t>
        </is>
      </c>
      <c r="Q502" t="inlineStr">
        <is>
          <t>the project was approved by the B2Gold Board of Directors in the second quarter of 2019</t>
        </is>
      </c>
      <c r="R502" t="inlineStr">
        <is>
          <t>Capex porté par B2Gold (bilan) – pas de PPA tiers.</t>
        </is>
      </c>
    </row>
    <row r="503">
      <c r="A503" t="inlineStr">
        <is>
          <t>retenu</t>
        </is>
      </c>
      <c r="B503" t="inlineStr">
        <is>
          <t>B_captif</t>
        </is>
      </c>
      <c r="C503" t="inlineStr">
        <is>
          <t>B</t>
        </is>
      </c>
      <c r="D503" t="inlineStr">
        <is>
          <t>MLI</t>
        </is>
      </c>
      <c r="E503" t="inlineStr">
        <is>
          <t>Fekola Solar Plant – extension phase 2</t>
        </is>
      </c>
      <c r="F503" t="inlineStr">
        <is>
          <t>puissance_mwp</t>
        </is>
      </c>
      <c r="G503" t="n">
        <v>22</v>
      </c>
      <c r="H503" t="inlineStr">
        <is>
          <t>MW (ajout ; 52 MW total)</t>
        </is>
      </c>
      <c r="I503" t="inlineStr">
        <is>
          <t>observée</t>
        </is>
      </c>
      <c r="J503" t="n">
        <v>2025</v>
      </c>
      <c r="K503" t="inlineStr">
        <is>
          <t>B</t>
        </is>
      </c>
      <c r="L503" t="inlineStr">
        <is>
          <t>confirmé</t>
        </is>
      </c>
      <c r="M503" t="inlineStr">
        <is>
          <t>B2Gold Corp.</t>
        </is>
      </c>
      <c r="N503" t="inlineStr">
        <is>
          <t>B2Gold Completes Phase 2 Expansion of Fekola Solar Plant in Mali (communiqué)</t>
        </is>
      </c>
      <c r="O503" t="inlineStr">
        <is>
          <t>https://s204.q4cdn.com/324791784/files/doc_news/2025/Mar/18/03-18-2025-Fekola-Solar-Expansion-News-Release-Final.pdf</t>
        </is>
      </c>
      <c r="P503" t="inlineStr">
        <is>
          <t>2025-03-18</t>
        </is>
      </c>
      <c r="Q503" t="inlineStr">
        <is>
          <t>the expansion to the Fekola Solar Plant will provide an additional 22 megawatts ("MW") of solar capacity (52 MW total capacity)</t>
        </is>
      </c>
      <c r="R503" t="inlineStr"/>
    </row>
    <row r="504">
      <c r="A504" t="inlineStr">
        <is>
          <t>retenu</t>
        </is>
      </c>
      <c r="B504" t="inlineStr">
        <is>
          <t>B_captif</t>
        </is>
      </c>
      <c r="C504" t="inlineStr">
        <is>
          <t>B</t>
        </is>
      </c>
      <c r="D504" t="inlineStr">
        <is>
          <t>MLI</t>
        </is>
      </c>
      <c r="E504" t="inlineStr">
        <is>
          <t>Fekola Solar Plant – extension phase 2</t>
        </is>
      </c>
      <c r="F504" t="inlineStr">
        <is>
          <t>puissance_mwac</t>
        </is>
      </c>
      <c r="G504" t="n">
        <v>22</v>
      </c>
      <c r="H504" t="inlineStr">
        <is>
          <t>MWac (ajout)</t>
        </is>
      </c>
      <c r="I504" t="inlineStr">
        <is>
          <t>déclarée</t>
        </is>
      </c>
      <c r="J504" t="n">
        <v>2023</v>
      </c>
      <c r="K504" t="inlineStr">
        <is>
          <t>B</t>
        </is>
      </c>
      <c r="L504" t="inlineStr">
        <is>
          <t>confirmé</t>
        </is>
      </c>
      <c r="M504" t="inlineStr">
        <is>
          <t>B2Gold Corp.</t>
        </is>
      </c>
      <c r="N504" t="inlineStr">
        <is>
          <t>B2Gold Targets 30% Reduction in GHG Emissions by 2030 and Announces Expansion of the Fekola Solar Plant (6-K, Ex. 99.1)</t>
        </is>
      </c>
      <c r="O504" t="inlineStr">
        <is>
          <t>https://www.sec.gov/Archives/edgar/data/1429937/000117184323000514/exh_991.htm</t>
        </is>
      </c>
      <c r="P504" t="inlineStr">
        <is>
          <t>2023-01-26</t>
        </is>
      </c>
      <c r="Q504" t="inlineStr">
        <is>
          <t>The Fekola solar plant expansion is expected to increase solar power capacity by 22 MWac</t>
        </is>
      </c>
      <c r="R504" t="inlineStr"/>
    </row>
    <row r="505">
      <c r="A505" t="inlineStr">
        <is>
          <t>retenu</t>
        </is>
      </c>
      <c r="B505" t="inlineStr">
        <is>
          <t>B_captif</t>
        </is>
      </c>
      <c r="C505" t="inlineStr">
        <is>
          <t>B</t>
        </is>
      </c>
      <c r="D505" t="inlineStr">
        <is>
          <t>MLI</t>
        </is>
      </c>
      <c r="E505" t="inlineStr">
        <is>
          <t>Fekola Solar Plant – extension phase 2</t>
        </is>
      </c>
      <c r="F505" t="inlineStr">
        <is>
          <t>stockage_mwh</t>
        </is>
      </c>
      <c r="G505" t="n">
        <v>12.7</v>
      </c>
      <c r="H505" t="inlineStr">
        <is>
          <t>MWh (ajout ; 27,7 MWh total)</t>
        </is>
      </c>
      <c r="I505" t="inlineStr">
        <is>
          <t>observée</t>
        </is>
      </c>
      <c r="J505" t="n">
        <v>2025</v>
      </c>
      <c r="K505" t="inlineStr">
        <is>
          <t>B</t>
        </is>
      </c>
      <c r="L505" t="inlineStr">
        <is>
          <t>confirmé</t>
        </is>
      </c>
      <c r="M505" t="inlineStr">
        <is>
          <t>B2Gold Corp.</t>
        </is>
      </c>
      <c r="N505" t="inlineStr">
        <is>
          <t>B2Gold Completes Phase 2 Expansion of Fekola Solar Plant in Mali (communiqué)</t>
        </is>
      </c>
      <c r="O505" t="inlineStr">
        <is>
          <t>https://s204.q4cdn.com/324791784/files/doc_news/2025/Mar/18/03-18-2025-Fekola-Solar-Expansion-News-Release-Final.pdf</t>
        </is>
      </c>
      <c r="P505" t="inlineStr">
        <is>
          <t>2025-03-18</t>
        </is>
      </c>
      <c r="Q505" t="inlineStr">
        <is>
          <t>and 12.7 megawatt-hours ("MWh") of battery capacity (27.7 MWh total capacity)</t>
        </is>
      </c>
      <c r="R505" t="inlineStr">
        <is>
          <t>Total 27,7 MWh implique 15,0 MWh existants (vs 15,4 ou 13,5 MWh annoncés pour la phase 1).</t>
        </is>
      </c>
    </row>
    <row r="506">
      <c r="A506" t="inlineStr">
        <is>
          <t>retenu</t>
        </is>
      </c>
      <c r="B506" t="inlineStr">
        <is>
          <t>B_captif</t>
        </is>
      </c>
      <c r="C506" t="inlineStr">
        <is>
          <t>B</t>
        </is>
      </c>
      <c r="D506" t="inlineStr">
        <is>
          <t>MLI</t>
        </is>
      </c>
      <c r="E506" t="inlineStr">
        <is>
          <t>Fekola Solar Plant – extension phase 2</t>
        </is>
      </c>
      <c r="F506" t="inlineStr">
        <is>
          <t>annee_mise_en_service</t>
        </is>
      </c>
      <c r="G506" t="n">
        <v>2025</v>
      </c>
      <c r="H506" t="inlineStr">
        <is>
          <t>année</t>
        </is>
      </c>
      <c r="I506" t="inlineStr">
        <is>
          <t>observée</t>
        </is>
      </c>
      <c r="J506" t="n">
        <v>2025</v>
      </c>
      <c r="K506" t="inlineStr">
        <is>
          <t>B</t>
        </is>
      </c>
      <c r="L506" t="inlineStr">
        <is>
          <t>confirmé</t>
        </is>
      </c>
      <c r="M506" t="inlineStr">
        <is>
          <t>B2Gold Corp.</t>
        </is>
      </c>
      <c r="N506" t="inlineStr">
        <is>
          <t>B2Gold Completes Phase 2 Expansion of Fekola Solar Plant in Mali (communiqué)</t>
        </is>
      </c>
      <c r="O506" t="inlineStr">
        <is>
          <t>https://s204.q4cdn.com/324791784/files/doc_news/2025/Mar/18/03-18-2025-Fekola-Solar-Expansion-News-Release-Final.pdf</t>
        </is>
      </c>
      <c r="P506" t="inlineStr">
        <is>
          <t>2025-03-18</t>
        </is>
      </c>
      <c r="Q506" t="inlineStr">
        <is>
          <t>The expansion of the Fekola Solar Plant was completed in the fourth quarter of 2024 and became operational in January 2025.</t>
        </is>
      </c>
      <c r="R506" t="inlineStr">
        <is>
          <t>Calendrier initial : achèvement T3 2024 (communiqué janv. 2023).</t>
        </is>
      </c>
    </row>
    <row r="507">
      <c r="A507" t="inlineStr">
        <is>
          <t>retenu</t>
        </is>
      </c>
      <c r="B507" t="inlineStr">
        <is>
          <t>B_captif</t>
        </is>
      </c>
      <c r="C507" t="inlineStr">
        <is>
          <t>B</t>
        </is>
      </c>
      <c r="D507" t="inlineStr">
        <is>
          <t>MLI</t>
        </is>
      </c>
      <c r="E507" t="inlineStr">
        <is>
          <t>Fekola Solar Plant – extension phase 2</t>
        </is>
      </c>
      <c r="F507" t="inlineStr">
        <is>
          <t>capex_depense_periode</t>
        </is>
      </c>
      <c r="G507" t="n">
        <v>18000000</v>
      </c>
      <c r="H507" t="inlineStr">
        <is>
          <t>USD (2023)</t>
        </is>
      </c>
      <c r="I507" t="inlineStr">
        <is>
          <t>observée</t>
        </is>
      </c>
      <c r="J507" t="n">
        <v>2023</v>
      </c>
      <c r="K507" t="inlineStr">
        <is>
          <t>A</t>
        </is>
      </c>
      <c r="L507" t="inlineStr">
        <is>
          <t>confirmé</t>
        </is>
      </c>
      <c r="M507" t="inlineStr">
        <is>
          <t>B2Gold Corp.</t>
        </is>
      </c>
      <c r="N507" t="inlineStr">
        <is>
          <t>B2Gold Corp. MD&amp;A 2023 (Form 6-K, Exhibit 99.2)</t>
        </is>
      </c>
      <c r="O507" t="inlineStr">
        <is>
          <t>https://www.sec.gov/Archives/edgar/data/1429937/000142993724000002/btg-123123xexhibit992.htm</t>
        </is>
      </c>
      <c r="P507" t="inlineStr">
        <is>
          <t>2024-02-22</t>
        </is>
      </c>
      <c r="Q507" t="inlineStr">
        <is>
          <t>$18 million for the expansion of the solar power plant</t>
        </is>
      </c>
      <c r="R507" t="inlineStr">
        <is>
          <t>Dépenses 2023 (Fekola). Somme 2023+2024 = 39 M USD (calcul).</t>
        </is>
      </c>
    </row>
    <row r="508">
      <c r="A508" t="inlineStr">
        <is>
          <t>retenu</t>
        </is>
      </c>
      <c r="B508" t="inlineStr">
        <is>
          <t>B_captif</t>
        </is>
      </c>
      <c r="C508" t="inlineStr">
        <is>
          <t>B</t>
        </is>
      </c>
      <c r="D508" t="inlineStr">
        <is>
          <t>MLI</t>
        </is>
      </c>
      <c r="E508" t="inlineStr">
        <is>
          <t>Fekola Solar Plant – extension phase 2</t>
        </is>
      </c>
      <c r="F508" t="inlineStr">
        <is>
          <t>capex_depense_periode</t>
        </is>
      </c>
      <c r="G508" t="n">
        <v>21000000</v>
      </c>
      <c r="H508" t="inlineStr">
        <is>
          <t>USD (2024)</t>
        </is>
      </c>
      <c r="I508" t="inlineStr">
        <is>
          <t>observée</t>
        </is>
      </c>
      <c r="J508" t="n">
        <v>2024</v>
      </c>
      <c r="K508" t="inlineStr">
        <is>
          <t>A</t>
        </is>
      </c>
      <c r="L508" t="inlineStr">
        <is>
          <t>confirmé</t>
        </is>
      </c>
      <c r="M508" t="inlineStr">
        <is>
          <t>B2Gold Corp.</t>
        </is>
      </c>
      <c r="N508" t="inlineStr">
        <is>
          <t>B2Gold Corp. MD&amp;A 2024 (Form 6-K, Exhibit 99.2)</t>
        </is>
      </c>
      <c r="O508" t="inlineStr">
        <is>
          <t>https://www.sec.gov/Archives/edgar/data/1429937/000142993725000002/btg-123124xexhibit992.htm</t>
        </is>
      </c>
      <c r="P508" t="inlineStr">
        <is>
          <t>2025-02-20</t>
        </is>
      </c>
      <c r="Q508" t="inlineStr">
        <is>
          <t>$21 million for the expansion of the solar power plant</t>
        </is>
      </c>
      <c r="R508" t="inlineStr">
        <is>
          <t>Dépenses 2024. Coût cumulé observé 2023-2024 ≈ 39 M USD (calcul de l'auteur, non publié comme tel). Aucun budget initial publié trouvé.</t>
        </is>
      </c>
    </row>
    <row r="509">
      <c r="A509" t="inlineStr">
        <is>
          <t>retenu</t>
        </is>
      </c>
      <c r="B509" t="inlineStr">
        <is>
          <t>B_captif</t>
        </is>
      </c>
      <c r="C509" t="inlineStr">
        <is>
          <t>B</t>
        </is>
      </c>
      <c r="D509" t="inlineStr">
        <is>
          <t>MLI</t>
        </is>
      </c>
      <c r="E509" t="inlineStr">
        <is>
          <t>Fekola Solar Plant – extension phase 2</t>
        </is>
      </c>
      <c r="F509" t="inlineStr">
        <is>
          <t>economies_carburant</t>
        </is>
      </c>
      <c r="G509" t="n">
        <v>7600000</v>
      </c>
      <c r="H509" t="inlineStr">
        <is>
          <t>litres HFO/an (extension seule)</t>
        </is>
      </c>
      <c r="I509" t="inlineStr">
        <is>
          <t>déclarée</t>
        </is>
      </c>
      <c r="J509" t="n">
        <v>2023</v>
      </c>
      <c r="K509" t="inlineStr">
        <is>
          <t>B</t>
        </is>
      </c>
      <c r="L509" t="inlineStr">
        <is>
          <t>confirmé</t>
        </is>
      </c>
      <c r="M509" t="inlineStr">
        <is>
          <t>B2Gold Corp.</t>
        </is>
      </c>
      <c r="N509" t="inlineStr">
        <is>
          <t>B2Gold Targets 30% Reduction in GHG Emissions by 2030 and Announces Expansion of the Fekola Solar Plant (6-K, Ex. 99.1)</t>
        </is>
      </c>
      <c r="O509" t="inlineStr">
        <is>
          <t>https://www.sec.gov/Archives/edgar/data/1429937/000117184323000514/exh_991.htm</t>
        </is>
      </c>
      <c r="P509" t="inlineStr">
        <is>
          <t>2023-01-26</t>
        </is>
      </c>
      <c r="Q509" t="inlineStr">
        <is>
          <t>reduce heavy fuel oil consumption by an average 7.6 million liters per year</t>
        </is>
      </c>
      <c r="R509" t="inlineStr">
        <is>
          <t>Effet de l'extension seule.</t>
        </is>
      </c>
    </row>
    <row r="510">
      <c r="A510" t="inlineStr">
        <is>
          <t>retenu</t>
        </is>
      </c>
      <c r="B510" t="inlineStr">
        <is>
          <t>B_captif</t>
        </is>
      </c>
      <c r="C510" t="inlineStr">
        <is>
          <t>B</t>
        </is>
      </c>
      <c r="D510" t="inlineStr">
        <is>
          <t>MLI</t>
        </is>
      </c>
      <c r="E510" t="inlineStr">
        <is>
          <t>Fekola Solar Plant – extension phase 2</t>
        </is>
      </c>
      <c r="F510" t="inlineStr">
        <is>
          <t>economies_carburant</t>
        </is>
      </c>
      <c r="G510" t="n">
        <v>20000000</v>
      </c>
      <c r="H510" t="inlineStr">
        <is>
          <t>litres HFO/an (centrale étendue totale)</t>
        </is>
      </c>
      <c r="I510" t="inlineStr">
        <is>
          <t>déclarée</t>
        </is>
      </c>
      <c r="J510" t="n">
        <v>2025</v>
      </c>
      <c r="K510" t="inlineStr">
        <is>
          <t>B</t>
        </is>
      </c>
      <c r="L510" t="inlineStr">
        <is>
          <t>confirmé</t>
        </is>
      </c>
      <c r="M510" t="inlineStr">
        <is>
          <t>B2Gold Corp.</t>
        </is>
      </c>
      <c r="N510" t="inlineStr">
        <is>
          <t>B2Gold Completes Phase 2 Expansion of Fekola Solar Plant in Mali (communiqué)</t>
        </is>
      </c>
      <c r="O510" t="inlineStr">
        <is>
          <t>https://s204.q4cdn.com/324791784/files/doc_news/2025/Mar/18/03-18-2025-Fekola-Solar-Expansion-News-Release-Final.pdf</t>
        </is>
      </c>
      <c r="P510" t="inlineStr">
        <is>
          <t>2025-03-18</t>
        </is>
      </c>
      <c r="Q510" t="inlineStr">
        <is>
          <t>reduce the annual consumption of heavy fuel oil ("HFO") by an estimated 20 million liters</t>
        </is>
      </c>
      <c r="R510" t="inlineStr">
        <is>
          <t>Périmètre = centrale totale 52 MW (13,1 + ~7 M L). Cohérent avec 7,6 M L pour l'extension.</t>
        </is>
      </c>
    </row>
    <row r="511">
      <c r="A511" t="inlineStr">
        <is>
          <t>retenu</t>
        </is>
      </c>
      <c r="B511" t="inlineStr">
        <is>
          <t>B_captif</t>
        </is>
      </c>
      <c r="C511" t="inlineStr">
        <is>
          <t>B</t>
        </is>
      </c>
      <c r="D511" t="inlineStr">
        <is>
          <t>MLI</t>
        </is>
      </c>
      <c r="E511" t="inlineStr">
        <is>
          <t>Fekola Solar Plant – extension phase 2</t>
        </is>
      </c>
      <c r="F511" t="inlineStr">
        <is>
          <t>taux_couverture_solaire</t>
        </is>
      </c>
      <c r="G511" t="n">
        <v>30</v>
      </c>
      <c r="H511" t="inlineStr">
        <is>
          <t>% demande électrique du site</t>
        </is>
      </c>
      <c r="I511" t="inlineStr">
        <is>
          <t>déclarée</t>
        </is>
      </c>
      <c r="J511" t="n">
        <v>2025</v>
      </c>
      <c r="K511" t="inlineStr">
        <is>
          <t>B</t>
        </is>
      </c>
      <c r="L511" t="inlineStr">
        <is>
          <t>confirmé</t>
        </is>
      </c>
      <c r="M511" t="inlineStr">
        <is>
          <t>B2Gold Corp.</t>
        </is>
      </c>
      <c r="N511" t="inlineStr">
        <is>
          <t>B2Gold Completes Phase 2 Expansion of Fekola Solar Plant in Mali (communiqué)</t>
        </is>
      </c>
      <c r="O511" t="inlineStr">
        <is>
          <t>https://s204.q4cdn.com/324791784/files/doc_news/2025/Mar/18/03-18-2025-Fekola-Solar-Expansion-News-Release-Final.pdf</t>
        </is>
      </c>
      <c r="P511" t="inlineStr">
        <is>
          <t>2025-03-18</t>
        </is>
      </c>
      <c r="Q511" t="inlineStr">
        <is>
          <t>The expanded Fekola Solar Plant is expected to supply approximately 30% of the site's total electricity demand</t>
        </is>
      </c>
      <c r="R511" t="inlineStr"/>
    </row>
    <row r="512">
      <c r="A512" t="inlineStr">
        <is>
          <t>qualitatif</t>
        </is>
      </c>
      <c r="B512" t="inlineStr">
        <is>
          <t>B_captif</t>
        </is>
      </c>
      <c r="C512" t="inlineStr">
        <is>
          <t>B</t>
        </is>
      </c>
      <c r="D512" t="inlineStr">
        <is>
          <t>NAM</t>
        </is>
      </c>
      <c r="E512" t="inlineStr">
        <is>
          <t>Otjikoto Solar Plant – mine d'or d'Otjikoto</t>
        </is>
      </c>
      <c r="F512" t="inlineStr">
        <is>
          <t>developpeur_proprietaire</t>
        </is>
      </c>
      <c r="G512" t="inlineStr">
        <is>
          <t>B2Gold Corp.</t>
        </is>
      </c>
      <c r="H512" t="inlineStr">
        <is>
          <t>texte</t>
        </is>
      </c>
      <c r="I512" t="inlineStr">
        <is>
          <t>observée</t>
        </is>
      </c>
      <c r="J512" t="n">
        <v>2018</v>
      </c>
      <c r="K512" t="inlineStr">
        <is>
          <t>B</t>
        </is>
      </c>
      <c r="L512" t="inlineStr">
        <is>
          <t>qualitatif_citation_ok</t>
        </is>
      </c>
      <c r="M512" t="inlineStr">
        <is>
          <t>B2Gold Corp.</t>
        </is>
      </c>
      <c r="N512" t="inlineStr">
        <is>
          <t>B2Gold Celebrates the Opening of the Solar Power Plant at its Otjikoto Mine in Namibia (6-K Ex. 99.1)</t>
        </is>
      </c>
      <c r="O512" t="inlineStr">
        <is>
          <t>https://www.sec.gov/Archives/edgar/data/1429937/000106299318002487/exhibit99-1.htm</t>
        </is>
      </c>
      <c r="P512" t="inlineStr">
        <is>
          <t>2018-06-05</t>
        </is>
      </c>
      <c r="Q512" t="inlineStr">
        <is>
          <t>the Company celebrated the official opening of the B2Gold Solar Plant at its Otjikoto Mine in Namibia</t>
        </is>
      </c>
      <c r="R512" t="inlineStr"/>
    </row>
    <row r="513">
      <c r="A513" t="inlineStr">
        <is>
          <t>qualitatif</t>
        </is>
      </c>
      <c r="B513" t="inlineStr">
        <is>
          <t>B_captif</t>
        </is>
      </c>
      <c r="C513" t="inlineStr">
        <is>
          <t>B</t>
        </is>
      </c>
      <c r="D513" t="inlineStr">
        <is>
          <t>NAM</t>
        </is>
      </c>
      <c r="E513" t="inlineStr">
        <is>
          <t>Otjikoto Solar Plant – mine d'or d'Otjikoto</t>
        </is>
      </c>
      <c r="F513" t="inlineStr">
        <is>
          <t>secteur</t>
        </is>
      </c>
      <c r="G513" t="inlineStr">
        <is>
          <t>mine d'or</t>
        </is>
      </c>
      <c r="H513" t="inlineStr">
        <is>
          <t>texte</t>
        </is>
      </c>
      <c r="I513" t="inlineStr">
        <is>
          <t>observée</t>
        </is>
      </c>
      <c r="J513" t="n">
        <v>2018</v>
      </c>
      <c r="K513" t="inlineStr">
        <is>
          <t>B</t>
        </is>
      </c>
      <c r="L513" t="inlineStr">
        <is>
          <t>qualitatif_citation_ok</t>
        </is>
      </c>
      <c r="M513" t="inlineStr">
        <is>
          <t>B2Gold Corp.</t>
        </is>
      </c>
      <c r="N513" t="inlineStr">
        <is>
          <t>B2Gold Celebrates the Opening of the Solar Power Plant at its Otjikoto Mine in Namibia (6-K Ex. 99.1)</t>
        </is>
      </c>
      <c r="O513" t="inlineStr">
        <is>
          <t>https://www.sec.gov/Archives/edgar/data/1429937/000106299318002487/exhibit99-1.htm</t>
        </is>
      </c>
      <c r="P513" t="inlineStr">
        <is>
          <t>2018-06-05</t>
        </is>
      </c>
      <c r="Q513" t="inlineStr">
        <is>
          <t>the site's current 24-megawatt ("MW") heavy fuel oil ("HFO") power plant</t>
        </is>
      </c>
      <c r="R513" t="inlineStr"/>
    </row>
    <row r="514">
      <c r="A514" t="inlineStr">
        <is>
          <t>qualitatif</t>
        </is>
      </c>
      <c r="B514" t="inlineStr">
        <is>
          <t>B_captif</t>
        </is>
      </c>
      <c r="C514" t="inlineStr">
        <is>
          <t>B</t>
        </is>
      </c>
      <c r="D514" t="inlineStr">
        <is>
          <t>NAM</t>
        </is>
      </c>
      <c r="E514" t="inlineStr">
        <is>
          <t>Otjikoto Solar Plant – mine d'or d'Otjikoto</t>
        </is>
      </c>
      <c r="F514" t="inlineStr">
        <is>
          <t>technologie</t>
        </is>
      </c>
      <c r="G514" t="inlineStr">
        <is>
          <t>PV + HFO (hybride autonome)</t>
        </is>
      </c>
      <c r="H514" t="inlineStr">
        <is>
          <t>texte</t>
        </is>
      </c>
      <c r="I514" t="inlineStr">
        <is>
          <t>observée</t>
        </is>
      </c>
      <c r="J514" t="n">
        <v>2018</v>
      </c>
      <c r="K514" t="inlineStr">
        <is>
          <t>B</t>
        </is>
      </c>
      <c r="L514" t="inlineStr">
        <is>
          <t>qualitatif_citation_ok</t>
        </is>
      </c>
      <c r="M514" t="inlineStr">
        <is>
          <t>B2Gold Corp.</t>
        </is>
      </c>
      <c r="N514" t="inlineStr">
        <is>
          <t>B2Gold Celebrates the Opening of the Solar Power Plant at its Otjikoto Mine in Namibia (6-K Ex. 99.1)</t>
        </is>
      </c>
      <c r="O514" t="inlineStr">
        <is>
          <t>https://www.sec.gov/Archives/edgar/data/1429937/000106299318002487/exhibit99-1.htm</t>
        </is>
      </c>
      <c r="P514" t="inlineStr">
        <is>
          <t>2018-06-05</t>
        </is>
      </c>
      <c r="Q514" t="inlineStr">
        <is>
          <t>The Otjikoto Solar Plant is one of the first fully-autonomous hybrid plants in the world</t>
        </is>
      </c>
      <c r="R514" t="inlineStr"/>
    </row>
    <row r="515">
      <c r="A515" t="inlineStr">
        <is>
          <t>retenu</t>
        </is>
      </c>
      <c r="B515" t="inlineStr">
        <is>
          <t>B_captif</t>
        </is>
      </c>
      <c r="C515" t="inlineStr">
        <is>
          <t>B</t>
        </is>
      </c>
      <c r="D515" t="inlineStr">
        <is>
          <t>NAM</t>
        </is>
      </c>
      <c r="E515" t="inlineStr">
        <is>
          <t>Otjikoto Solar Plant – mine d'or d'Otjikoto</t>
        </is>
      </c>
      <c r="F515" t="inlineStr">
        <is>
          <t>capex_total</t>
        </is>
      </c>
      <c r="G515" t="n">
        <v>8500000</v>
      </c>
      <c r="H515" t="inlineStr">
        <is>
          <t>USD</t>
        </is>
      </c>
      <c r="I515" t="inlineStr">
        <is>
          <t>déclarée</t>
        </is>
      </c>
      <c r="J515" t="n">
        <v>2016</v>
      </c>
      <c r="K515" t="inlineStr">
        <is>
          <t>B</t>
        </is>
      </c>
      <c r="L515" t="inlineStr">
        <is>
          <t>confirmé</t>
        </is>
      </c>
      <c r="M515" t="inlineStr">
        <is>
          <t>B2Gold Corp.</t>
        </is>
      </c>
      <c r="N515" t="inlineStr">
        <is>
          <t>B2Gold Celebrates the Opening of the Solar Power Plant at its Otjikoto Mine in Namibia (6-K Ex. 99.1)</t>
        </is>
      </c>
      <c r="O515" t="inlineStr">
        <is>
          <t>https://www.sec.gov/Archives/edgar/data/1429937/000106299318002487/exhibit99-1.htm</t>
        </is>
      </c>
      <c r="P515" t="inlineStr">
        <is>
          <t>2018-06-05</t>
        </is>
      </c>
      <c r="Q515" t="inlineStr">
        <is>
          <t>the project was approved in October 2016 with an estimated project cost of $8.5 million. Otjikoto's solar plant commenced full commissioning in early April 2018, on schedule and on budget.</t>
        </is>
      </c>
      <c r="R515" t="inlineStr">
        <is>
          <t>Budget 2016 ; la société déclare l'achèvement 'on budget' -&gt; coût final ≈ budget (non chiffré séparément).</t>
        </is>
      </c>
    </row>
    <row r="516">
      <c r="A516" t="inlineStr">
        <is>
          <t>retenu</t>
        </is>
      </c>
      <c r="B516" t="inlineStr">
        <is>
          <t>B_captif</t>
        </is>
      </c>
      <c r="C516" t="inlineStr">
        <is>
          <t>B</t>
        </is>
      </c>
      <c r="D516" t="inlineStr">
        <is>
          <t>NAM</t>
        </is>
      </c>
      <c r="E516" t="inlineStr">
        <is>
          <t>Otjikoto Solar Plant – mine d'or d'Otjikoto</t>
        </is>
      </c>
      <c r="F516" t="inlineStr">
        <is>
          <t>puissance_mwp</t>
        </is>
      </c>
      <c r="G516" t="n">
        <v>7</v>
      </c>
      <c r="H516" t="inlineStr">
        <is>
          <t>MW</t>
        </is>
      </c>
      <c r="I516" t="inlineStr">
        <is>
          <t>déclarée</t>
        </is>
      </c>
      <c r="J516" t="n">
        <v>2016</v>
      </c>
      <c r="K516" t="inlineStr">
        <is>
          <t>B</t>
        </is>
      </c>
      <c r="L516" t="inlineStr">
        <is>
          <t>confirmé</t>
        </is>
      </c>
      <c r="M516" t="inlineStr">
        <is>
          <t>B2Gold Corp.</t>
        </is>
      </c>
      <c r="N516" t="inlineStr">
        <is>
          <t>B2Gold Celebrates the Opening of the Solar Power Plant at its Otjikoto Mine in Namibia (6-K Ex. 99.1)</t>
        </is>
      </c>
      <c r="O516" t="inlineStr">
        <is>
          <t>https://www.sec.gov/Archives/edgar/data/1429937/000106299318002487/exhibit99-1.htm</t>
        </is>
      </c>
      <c r="P516" t="inlineStr">
        <is>
          <t>2018-06-05</t>
        </is>
      </c>
      <c r="Q516" t="inlineStr">
        <is>
          <t>to determine the financial viability of adding a 7 MW solar plant to Otjikoto's energy portfolio</t>
        </is>
      </c>
      <c r="R516" t="inlineStr">
        <is>
          <t>CONFLIT d'unités/valeurs : 7 MW (2018), 6 MW (AIF 2021), 5,8 MWac (communiqué 2023).</t>
        </is>
      </c>
    </row>
    <row r="517">
      <c r="A517" t="inlineStr">
        <is>
          <t>retenu</t>
        </is>
      </c>
      <c r="B517" t="inlineStr">
        <is>
          <t>B_captif</t>
        </is>
      </c>
      <c r="C517" t="inlineStr">
        <is>
          <t>B</t>
        </is>
      </c>
      <c r="D517" t="inlineStr">
        <is>
          <t>NAM</t>
        </is>
      </c>
      <c r="E517" t="inlineStr">
        <is>
          <t>Otjikoto Solar Plant – mine d'or d'Otjikoto</t>
        </is>
      </c>
      <c r="F517" t="inlineStr">
        <is>
          <t>puissance_mwac</t>
        </is>
      </c>
      <c r="G517" t="n">
        <v>5.8</v>
      </c>
      <c r="H517" t="inlineStr">
        <is>
          <t>MWac</t>
        </is>
      </c>
      <c r="I517" t="inlineStr">
        <is>
          <t>déclarée</t>
        </is>
      </c>
      <c r="J517" t="n">
        <v>2023</v>
      </c>
      <c r="K517" t="inlineStr">
        <is>
          <t>B</t>
        </is>
      </c>
      <c r="L517" t="inlineStr">
        <is>
          <t>confirmé</t>
        </is>
      </c>
      <c r="M517" t="inlineStr">
        <is>
          <t>B2Gold Corp.</t>
        </is>
      </c>
      <c r="N517" t="inlineStr">
        <is>
          <t>B2Gold Targets 30% Reduction in GHG Emissions by 2030 and Announces Expansion of the Fekola Solar Plant (6-K, Ex. 99.1)</t>
        </is>
      </c>
      <c r="O517" t="inlineStr">
        <is>
          <t>https://www.sec.gov/Archives/edgar/data/1429937/000117184323000514/exh_991.htm</t>
        </is>
      </c>
      <c r="P517" t="inlineStr">
        <is>
          <t>2023-01-26</t>
        </is>
      </c>
      <c r="Q517" t="inlineStr">
        <is>
          <t>B2Gold's Otjikoto and Fekola operations both maintain fully autonomous hybrid power plants consisting of 5.8 megawatt ("MWac") and 30 MWac solar installed capacity, respectively.</t>
        </is>
      </c>
      <c r="R517" t="inlineStr"/>
    </row>
    <row r="518">
      <c r="A518" t="inlineStr">
        <is>
          <t>retenu</t>
        </is>
      </c>
      <c r="B518" t="inlineStr">
        <is>
          <t>B_captif</t>
        </is>
      </c>
      <c r="C518" t="inlineStr">
        <is>
          <t>B</t>
        </is>
      </c>
      <c r="D518" t="inlineStr">
        <is>
          <t>NAM</t>
        </is>
      </c>
      <c r="E518" t="inlineStr">
        <is>
          <t>Otjikoto Solar Plant – mine d'or d'Otjikoto</t>
        </is>
      </c>
      <c r="F518" t="inlineStr">
        <is>
          <t>puissance_mwac</t>
        </is>
      </c>
      <c r="G518" t="n">
        <v>6</v>
      </c>
      <c r="H518" t="inlineStr">
        <is>
          <t>MW</t>
        </is>
      </c>
      <c r="I518" t="inlineStr">
        <is>
          <t>déclarée</t>
        </is>
      </c>
      <c r="J518" t="n">
        <v>2021</v>
      </c>
      <c r="K518" t="inlineStr">
        <is>
          <t>A</t>
        </is>
      </c>
      <c r="L518" t="inlineStr">
        <is>
          <t>confirmé</t>
        </is>
      </c>
      <c r="M518" t="inlineStr">
        <is>
          <t>B2Gold Corp.</t>
        </is>
      </c>
      <c r="N518" t="inlineStr">
        <is>
          <t>B2Gold Corp. Annual Information Form 2021 (Form 40-F, Exhibit 99.1)</t>
        </is>
      </c>
      <c r="O518" t="inlineStr">
        <is>
          <t>https://www.sec.gov/Archives/edgar/data/1429937/000106299322008984/exhibit99-1.htm</t>
        </is>
      </c>
      <c r="P518" t="inlineStr">
        <is>
          <t>2022-03-30</t>
        </is>
      </c>
      <c r="Q518" t="inlineStr">
        <is>
          <t>HFO generators supply 15 MW (plus backup units and load balancing capability) of electricity, complemented by electricity from a 6 MW solar power facility.</t>
        </is>
      </c>
      <c r="R518" t="inlineStr">
        <is>
          <t>Voir conflit 7 / 6 / 5,8 MW.</t>
        </is>
      </c>
    </row>
    <row r="519">
      <c r="A519" t="inlineStr">
        <is>
          <t>retenu</t>
        </is>
      </c>
      <c r="B519" t="inlineStr">
        <is>
          <t>B_captif</t>
        </is>
      </c>
      <c r="C519" t="inlineStr">
        <is>
          <t>B</t>
        </is>
      </c>
      <c r="D519" t="inlineStr">
        <is>
          <t>NAM</t>
        </is>
      </c>
      <c r="E519" t="inlineStr">
        <is>
          <t>Otjikoto Solar Plant – mine d'or d'Otjikoto</t>
        </is>
      </c>
      <c r="F519" t="inlineStr">
        <is>
          <t>annee_mise_en_service</t>
        </is>
      </c>
      <c r="G519" t="n">
        <v>2018</v>
      </c>
      <c r="H519" t="inlineStr">
        <is>
          <t>année</t>
        </is>
      </c>
      <c r="I519" t="inlineStr">
        <is>
          <t>observée</t>
        </is>
      </c>
      <c r="J519" t="n">
        <v>2018</v>
      </c>
      <c r="K519" t="inlineStr">
        <is>
          <t>B</t>
        </is>
      </c>
      <c r="L519" t="inlineStr">
        <is>
          <t>confirmé</t>
        </is>
      </c>
      <c r="M519" t="inlineStr">
        <is>
          <t>B2Gold Corp.</t>
        </is>
      </c>
      <c r="N519" t="inlineStr">
        <is>
          <t>B2Gold Celebrates the Opening of the Solar Power Plant at its Otjikoto Mine in Namibia (6-K Ex. 99.1)</t>
        </is>
      </c>
      <c r="O519" t="inlineStr">
        <is>
          <t>https://www.sec.gov/Archives/edgar/data/1429937/000106299318002487/exhibit99-1.htm</t>
        </is>
      </c>
      <c r="P519" t="inlineStr">
        <is>
          <t>2018-06-05</t>
        </is>
      </c>
      <c r="Q519" t="inlineStr">
        <is>
          <t>Otjikoto's solar plant commenced full commissioning in early April 2018, on schedule and on budget.</t>
        </is>
      </c>
      <c r="R519" t="inlineStr"/>
    </row>
    <row r="520">
      <c r="A520" t="inlineStr">
        <is>
          <t>retenu</t>
        </is>
      </c>
      <c r="B520" t="inlineStr">
        <is>
          <t>B_captif</t>
        </is>
      </c>
      <c r="C520" t="inlineStr">
        <is>
          <t>B</t>
        </is>
      </c>
      <c r="D520" t="inlineStr">
        <is>
          <t>NAM</t>
        </is>
      </c>
      <c r="E520" t="inlineStr">
        <is>
          <t>Otjikoto Solar Plant – mine d'or d'Otjikoto</t>
        </is>
      </c>
      <c r="F520" t="inlineStr">
        <is>
          <t>economies_carburant</t>
        </is>
      </c>
      <c r="G520" t="n">
        <v>2300000</v>
      </c>
      <c r="H520" t="inlineStr">
        <is>
          <t>litres HFO/an</t>
        </is>
      </c>
      <c r="I520" t="inlineStr">
        <is>
          <t>déclarée</t>
        </is>
      </c>
      <c r="J520" t="n">
        <v>2018</v>
      </c>
      <c r="K520" t="inlineStr">
        <is>
          <t>B</t>
        </is>
      </c>
      <c r="L520" t="inlineStr">
        <is>
          <t>confirmé</t>
        </is>
      </c>
      <c r="M520" t="inlineStr">
        <is>
          <t>B2Gold Corp.</t>
        </is>
      </c>
      <c r="N520" t="inlineStr">
        <is>
          <t>B2Gold Celebrates the Opening of the Solar Power Plant at its Otjikoto Mine in Namibia (6-K Ex. 99.1)</t>
        </is>
      </c>
      <c r="O520" t="inlineStr">
        <is>
          <t>https://www.sec.gov/Archives/edgar/data/1429937/000106299318002487/exhibit99-1.htm</t>
        </is>
      </c>
      <c r="P520" t="inlineStr">
        <is>
          <t>2018-06-05</t>
        </is>
      </c>
      <c r="Q520" t="inlineStr">
        <is>
          <t>expected to reduce Otjikoto's HFO consumption by approximately 2.3 million litres and reduce associated power generation fuel costs by approximately 10% in 2018</t>
        </is>
      </c>
      <c r="R520" t="inlineStr"/>
    </row>
    <row r="521">
      <c r="A521" t="inlineStr">
        <is>
          <t>retenu</t>
        </is>
      </c>
      <c r="B521" t="inlineStr">
        <is>
          <t>B_captif</t>
        </is>
      </c>
      <c r="C521" t="inlineStr">
        <is>
          <t>B</t>
        </is>
      </c>
      <c r="D521" t="inlineStr">
        <is>
          <t>NAM</t>
        </is>
      </c>
      <c r="E521" t="inlineStr">
        <is>
          <t>Otjikoto Solar Plant – mine d'or d'Otjikoto</t>
        </is>
      </c>
      <c r="F521" t="inlineStr">
        <is>
          <t>economies_carburant</t>
        </is>
      </c>
      <c r="G521" t="n">
        <v>2400000</v>
      </c>
      <c r="H521" t="inlineStr">
        <is>
          <t>litres HFO (2018)</t>
        </is>
      </c>
      <c r="I521" t="inlineStr">
        <is>
          <t>observée</t>
        </is>
      </c>
      <c r="J521" t="n">
        <v>2018</v>
      </c>
      <c r="K521" t="inlineStr">
        <is>
          <t>A</t>
        </is>
      </c>
      <c r="L521" t="inlineStr">
        <is>
          <t>confirmé</t>
        </is>
      </c>
      <c r="M521" t="inlineStr">
        <is>
          <t>B2Gold Corp.</t>
        </is>
      </c>
      <c r="N521" t="inlineStr">
        <is>
          <t>B2Gold Corp. Annual Information Form 2019 (Form 40-F, Exhibit 99.1)</t>
        </is>
      </c>
      <c r="O521" t="inlineStr">
        <is>
          <t>https://www.sec.gov/Archives/edgar/data/1429937/000106299320001433/exhibit99-1.htm</t>
        </is>
      </c>
      <c r="P521" t="inlineStr">
        <is>
          <t>2020-03</t>
        </is>
      </c>
      <c r="Q521" t="inlineStr">
        <is>
          <t>reduced the Otjikoto Mine's HFO consumption by approximately 2.4 million litres and reduced associated power generation fuel costs by approximately 10% in 2018</t>
        </is>
      </c>
      <c r="R521" t="inlineStr">
        <is>
          <t>Réalisé 2018 (année partielle) vs 2,3 M L attendus.</t>
        </is>
      </c>
    </row>
    <row r="522">
      <c r="A522" t="inlineStr">
        <is>
          <t>retenu</t>
        </is>
      </c>
      <c r="B522" t="inlineStr">
        <is>
          <t>B_captif</t>
        </is>
      </c>
      <c r="C522" t="inlineStr">
        <is>
          <t>B</t>
        </is>
      </c>
      <c r="D522" t="inlineStr">
        <is>
          <t>NAM</t>
        </is>
      </c>
      <c r="E522" t="inlineStr">
        <is>
          <t>Otjikoto Solar Plant – mine d'or d'Otjikoto</t>
        </is>
      </c>
      <c r="F522" t="inlineStr">
        <is>
          <t>taux_couverture_solaire</t>
        </is>
      </c>
      <c r="G522" t="n">
        <v>13</v>
      </c>
      <c r="H522" t="inlineStr">
        <is>
          <t>% électricité consommée sur site</t>
        </is>
      </c>
      <c r="I522" t="inlineStr">
        <is>
          <t>observée</t>
        </is>
      </c>
      <c r="J522" t="n">
        <v>2019</v>
      </c>
      <c r="K522" t="inlineStr">
        <is>
          <t>A</t>
        </is>
      </c>
      <c r="L522" t="inlineStr">
        <is>
          <t>confirmé</t>
        </is>
      </c>
      <c r="M522" t="inlineStr">
        <is>
          <t>B2Gold Corp.</t>
        </is>
      </c>
      <c r="N522" t="inlineStr">
        <is>
          <t>B2Gold Corp. Annual Information Form 2019 (Form 40-F, Exhibit 99.1)</t>
        </is>
      </c>
      <c r="O522" t="inlineStr">
        <is>
          <t>https://www.sec.gov/Archives/edgar/data/1429937/000106299320001433/exhibit99-1.htm</t>
        </is>
      </c>
      <c r="P522" t="inlineStr">
        <is>
          <t>2020-03</t>
        </is>
      </c>
      <c r="Q522" t="inlineStr">
        <is>
          <t>The solar plant is now providing approximately 13% of the electricity consumed on site.</t>
        </is>
      </c>
      <c r="R522" t="inlineStr"/>
    </row>
    <row r="523">
      <c r="A523" t="inlineStr">
        <is>
          <t>qualitatif</t>
        </is>
      </c>
      <c r="B523" t="inlineStr">
        <is>
          <t>B_captif</t>
        </is>
      </c>
      <c r="C523" t="inlineStr">
        <is>
          <t>B</t>
        </is>
      </c>
      <c r="D523" t="inlineStr">
        <is>
          <t>NAM</t>
        </is>
      </c>
      <c r="E523" t="inlineStr">
        <is>
          <t>Otjikoto Solar Plant – mine d'or d'Otjikoto</t>
        </is>
      </c>
      <c r="F523" t="inlineStr">
        <is>
          <t>modele_commercial</t>
        </is>
      </c>
      <c r="G523" t="inlineStr">
        <is>
          <t>autoproduction (actif détenu par le minier)</t>
        </is>
      </c>
      <c r="H523" t="inlineStr">
        <is>
          <t>texte</t>
        </is>
      </c>
      <c r="I523" t="inlineStr">
        <is>
          <t>déclarée</t>
        </is>
      </c>
      <c r="J523" t="n">
        <v>2018</v>
      </c>
      <c r="K523" t="inlineStr">
        <is>
          <t>B</t>
        </is>
      </c>
      <c r="L523" t="inlineStr">
        <is>
          <t>qualitatif_citation_ok</t>
        </is>
      </c>
      <c r="M523" t="inlineStr">
        <is>
          <t>B2Gold Corp.</t>
        </is>
      </c>
      <c r="N523" t="inlineStr">
        <is>
          <t>B2Gold Celebrates the Opening of the Solar Power Plant at its Otjikoto Mine in Namibia (6-K Ex. 99.1)</t>
        </is>
      </c>
      <c r="O523" t="inlineStr">
        <is>
          <t>https://www.sec.gov/Archives/edgar/data/1429937/000106299318002487/exhibit99-1.htm</t>
        </is>
      </c>
      <c r="P523" t="inlineStr">
        <is>
          <t>2018-06-05</t>
        </is>
      </c>
      <c r="Q523" t="inlineStr">
        <is>
          <t>B2Gold is considering whether a further innovative use of the solar plant could be as an income-generating asset after the mine closes.</t>
        </is>
      </c>
      <c r="R523" t="inlineStr"/>
    </row>
    <row r="524">
      <c r="A524" t="inlineStr">
        <is>
          <t>qualitatif</t>
        </is>
      </c>
      <c r="B524" t="inlineStr">
        <is>
          <t>B_captif</t>
        </is>
      </c>
      <c r="C524" t="inlineStr">
        <is>
          <t>B</t>
        </is>
      </c>
      <c r="D524" t="inlineStr">
        <is>
          <t>MRT</t>
        </is>
      </c>
      <c r="E524" t="inlineStr">
        <is>
          <t>Tasiast solar power plant – mine d'or de Tasiast</t>
        </is>
      </c>
      <c r="F524" t="inlineStr">
        <is>
          <t>developpeur_proprietaire</t>
        </is>
      </c>
      <c r="G524" t="inlineStr">
        <is>
          <t>Kinross Gold (Tasiast Mauritanie Ltd)</t>
        </is>
      </c>
      <c r="H524" t="inlineStr">
        <is>
          <t>texte</t>
        </is>
      </c>
      <c r="I524" t="inlineStr">
        <is>
          <t>déclarée</t>
        </is>
      </c>
      <c r="J524" t="n">
        <v>2022</v>
      </c>
      <c r="K524" t="inlineStr">
        <is>
          <t>B</t>
        </is>
      </c>
      <c r="L524" t="inlineStr">
        <is>
          <t>qualitatif_citation_ok</t>
        </is>
      </c>
      <c r="M524" t="inlineStr">
        <is>
          <t>Kinross Gold</t>
        </is>
      </c>
      <c r="N524" t="inlineStr">
        <is>
          <t>Kinross Gold – communiqué 16 fév. 2022 (projets, exploration, réserves 2021)</t>
        </is>
      </c>
      <c r="O524" t="inlineStr">
        <is>
          <t>https://s204.q4cdn.com/896213035/files/doc_news/2022/02/KGC-2021-Projects-Exploration-ReservesResources_clean-Final.pdf</t>
        </is>
      </c>
      <c r="P524" t="inlineStr">
        <is>
          <t>2022-02-16</t>
        </is>
      </c>
      <c r="Q524" t="inlineStr">
        <is>
          <t>the Company is proceeding with the development of a photovoltaic solar power plant at Tasiast with power generation capacity of 34 MW and a battery system of 18 MW.</t>
        </is>
      </c>
      <c r="R524" t="inlineStr"/>
    </row>
    <row r="525">
      <c r="A525" t="inlineStr">
        <is>
          <t>qualitatif</t>
        </is>
      </c>
      <c r="B525" t="inlineStr">
        <is>
          <t>B_captif</t>
        </is>
      </c>
      <c r="C525" t="inlineStr">
        <is>
          <t>B</t>
        </is>
      </c>
      <c r="D525" t="inlineStr">
        <is>
          <t>MRT</t>
        </is>
      </c>
      <c r="E525" t="inlineStr">
        <is>
          <t>Tasiast solar power plant – mine d'or de Tasiast</t>
        </is>
      </c>
      <c r="F525" t="inlineStr">
        <is>
          <t>secteur</t>
        </is>
      </c>
      <c r="G525" t="inlineStr">
        <is>
          <t>mine d'or</t>
        </is>
      </c>
      <c r="H525" t="inlineStr">
        <is>
          <t>texte</t>
        </is>
      </c>
      <c r="I525" t="inlineStr">
        <is>
          <t>observée</t>
        </is>
      </c>
      <c r="J525" t="n">
        <v>2024</v>
      </c>
      <c r="K525" t="inlineStr">
        <is>
          <t>A</t>
        </is>
      </c>
      <c r="L525" t="inlineStr">
        <is>
          <t>qualitatif_citation_ok</t>
        </is>
      </c>
      <c r="M525" t="inlineStr">
        <is>
          <t>Kinross Gold</t>
        </is>
      </c>
      <c r="N525" t="inlineStr">
        <is>
          <t>Tasiast Mine, Mauritania – NI 43-101 Technical Report (eff. 31 déc. 2024), Kinross</t>
        </is>
      </c>
      <c r="O525" t="inlineStr">
        <is>
          <t>https://www.sec.gov/Archives/edgar/data/701818/000110465925028817/tm2510061d1_ex99-1.htm</t>
        </is>
      </c>
      <c r="P525" t="inlineStr">
        <is>
          <t>2025-03-27</t>
        </is>
      </c>
      <c r="Q525" t="inlineStr">
        <is>
          <t>Electric power at the mine site is supplied by a mix of thermal and solar generation.</t>
        </is>
      </c>
      <c r="R525" t="inlineStr"/>
    </row>
    <row r="526">
      <c r="A526" t="inlineStr">
        <is>
          <t>retenu</t>
        </is>
      </c>
      <c r="B526" t="inlineStr">
        <is>
          <t>B_captif</t>
        </is>
      </c>
      <c r="C526" t="inlineStr">
        <is>
          <t>B</t>
        </is>
      </c>
      <c r="D526" t="inlineStr">
        <is>
          <t>MRT</t>
        </is>
      </c>
      <c r="E526" t="inlineStr">
        <is>
          <t>Tasiast solar power plant – mine d'or de Tasiast</t>
        </is>
      </c>
      <c r="F526" t="inlineStr">
        <is>
          <t>puissance_mwac</t>
        </is>
      </c>
      <c r="G526" t="n">
        <v>34</v>
      </c>
      <c r="H526" t="inlineStr">
        <is>
          <t>MWe</t>
        </is>
      </c>
      <c r="I526" t="inlineStr">
        <is>
          <t>observée</t>
        </is>
      </c>
      <c r="J526" t="n">
        <v>2024</v>
      </c>
      <c r="K526" t="inlineStr">
        <is>
          <t>A</t>
        </is>
      </c>
      <c r="L526" t="inlineStr">
        <is>
          <t>confirmé</t>
        </is>
      </c>
      <c r="M526" t="inlineStr">
        <is>
          <t>Kinross Gold</t>
        </is>
      </c>
      <c r="N526" t="inlineStr">
        <is>
          <t>Tasiast Mine, Mauritania – NI 43-101 Technical Report (eff. 31 déc. 2024), Kinross</t>
        </is>
      </c>
      <c r="O526" t="inlineStr">
        <is>
          <t>https://www.sec.gov/Archives/edgar/data/701818/000110465925028817/tm2510061d1_ex99-1.htm</t>
        </is>
      </c>
      <c r="P526" t="inlineStr">
        <is>
          <t>2025-03-27</t>
        </is>
      </c>
      <c r="Q526" t="inlineStr">
        <is>
          <t>The solar plant consisting of 78,000 550W JA Solar Bifacial photovoltaic panels capable of generating up to 34 MWe and a battery system of 18 MWe.</t>
        </is>
      </c>
      <c r="R526" t="inlineStr">
        <is>
          <t>78 000 x 550 W = 42,9 MWc (calcul) -&gt; 34 MWe AC.</t>
        </is>
      </c>
    </row>
    <row r="527">
      <c r="A527" t="inlineStr">
        <is>
          <t>retenu</t>
        </is>
      </c>
      <c r="B527" t="inlineStr">
        <is>
          <t>B_captif</t>
        </is>
      </c>
      <c r="C527" t="inlineStr">
        <is>
          <t>B</t>
        </is>
      </c>
      <c r="D527" t="inlineStr">
        <is>
          <t>MRT</t>
        </is>
      </c>
      <c r="E527" t="inlineStr">
        <is>
          <t>Tasiast solar power plant – mine d'or de Tasiast</t>
        </is>
      </c>
      <c r="F527" t="inlineStr">
        <is>
          <t>stockage_mw</t>
        </is>
      </c>
      <c r="G527" t="n">
        <v>18</v>
      </c>
      <c r="H527" t="inlineStr">
        <is>
          <t>MW (puissance batterie ; MWh non publié)</t>
        </is>
      </c>
      <c r="I527" t="inlineStr">
        <is>
          <t>observée</t>
        </is>
      </c>
      <c r="J527" t="n">
        <v>2024</v>
      </c>
      <c r="K527" t="inlineStr">
        <is>
          <t>A</t>
        </is>
      </c>
      <c r="L527" t="inlineStr">
        <is>
          <t>confirmé</t>
        </is>
      </c>
      <c r="M527" t="inlineStr">
        <is>
          <t>Kinross Gold</t>
        </is>
      </c>
      <c r="N527" t="inlineStr">
        <is>
          <t>Tasiast Mine, Mauritania – NI 43-101 Technical Report (eff. 31 déc. 2024), Kinross</t>
        </is>
      </c>
      <c r="O527" t="inlineStr">
        <is>
          <t>https://www.sec.gov/Archives/edgar/data/701818/000110465925028817/tm2510061d1_ex99-1.htm</t>
        </is>
      </c>
      <c r="P527" t="inlineStr">
        <is>
          <t>2025-03-27</t>
        </is>
      </c>
      <c r="Q527" t="inlineStr">
        <is>
          <t>capable of generating up to 34 MWe and a battery system of 18 MWe</t>
        </is>
      </c>
      <c r="R527" t="inlineStr">
        <is>
          <t>Capacité énergétique (MWh) non trouvée.</t>
        </is>
      </c>
    </row>
    <row r="528">
      <c r="A528" t="inlineStr">
        <is>
          <t>qualitatif</t>
        </is>
      </c>
      <c r="B528" t="inlineStr">
        <is>
          <t>B_captif</t>
        </is>
      </c>
      <c r="C528" t="inlineStr">
        <is>
          <t>B</t>
        </is>
      </c>
      <c r="D528" t="inlineStr">
        <is>
          <t>MRT</t>
        </is>
      </c>
      <c r="E528" t="inlineStr">
        <is>
          <t>Tasiast solar power plant – mine d'or de Tasiast</t>
        </is>
      </c>
      <c r="F528" t="inlineStr">
        <is>
          <t>technologie</t>
        </is>
      </c>
      <c r="G528" t="inlineStr">
        <is>
          <t>PV bifacial + BESS + thermique HFO/LFO</t>
        </is>
      </c>
      <c r="H528" t="inlineStr">
        <is>
          <t>texte</t>
        </is>
      </c>
      <c r="I528" t="inlineStr">
        <is>
          <t>observée</t>
        </is>
      </c>
      <c r="J528" t="n">
        <v>2024</v>
      </c>
      <c r="K528" t="inlineStr">
        <is>
          <t>A</t>
        </is>
      </c>
      <c r="L528" t="inlineStr">
        <is>
          <t>qualitatif_citation_ok</t>
        </is>
      </c>
      <c r="M528" t="inlineStr">
        <is>
          <t>Kinross Gold</t>
        </is>
      </c>
      <c r="N528" t="inlineStr">
        <is>
          <t>Tasiast Mine, Mauritania – NI 43-101 Technical Report (eff. 31 déc. 2024), Kinross</t>
        </is>
      </c>
      <c r="O528" t="inlineStr">
        <is>
          <t>https://www.sec.gov/Archives/edgar/data/701818/000110465925028817/tm2510061d1_ex99-1.htm</t>
        </is>
      </c>
      <c r="P528" t="inlineStr">
        <is>
          <t>2025-03-27</t>
        </is>
      </c>
      <c r="Q528" t="inlineStr">
        <is>
          <t>The Phase 2 plant consisting of four Wärtsilä W20V32TS simple cycle, medium speed, reciprocating engines (heavy fuel oil as primary fuel and light fuel oil as back-up)</t>
        </is>
      </c>
      <c r="R528" t="inlineStr"/>
    </row>
    <row r="529">
      <c r="A529" t="inlineStr">
        <is>
          <t>retenu</t>
        </is>
      </c>
      <c r="B529" t="inlineStr">
        <is>
          <t>B_captif</t>
        </is>
      </c>
      <c r="C529" t="inlineStr">
        <is>
          <t>B</t>
        </is>
      </c>
      <c r="D529" t="inlineStr">
        <is>
          <t>MRT</t>
        </is>
      </c>
      <c r="E529" t="inlineStr">
        <is>
          <t>Tasiast solar power plant – mine d'or de Tasiast</t>
        </is>
      </c>
      <c r="F529" t="inlineStr">
        <is>
          <t>capex_total</t>
        </is>
      </c>
      <c r="G529" t="n">
        <v>55000000</v>
      </c>
      <c r="H529" t="inlineStr">
        <is>
          <t>USD</t>
        </is>
      </c>
      <c r="I529" t="inlineStr">
        <is>
          <t>déclarée</t>
        </is>
      </c>
      <c r="J529" t="n">
        <v>2022</v>
      </c>
      <c r="K529" t="inlineStr">
        <is>
          <t>B</t>
        </is>
      </c>
      <c r="L529" t="inlineStr">
        <is>
          <t>confirmé</t>
        </is>
      </c>
      <c r="M529" t="inlineStr">
        <is>
          <t>Kinross Gold</t>
        </is>
      </c>
      <c r="N529" t="inlineStr">
        <is>
          <t>Kinross Gold – communiqué 16 fév. 2022 (projets, exploration, réserves 2021)</t>
        </is>
      </c>
      <c r="O529" t="inlineStr">
        <is>
          <t>https://s204.q4cdn.com/896213035/files/doc_news/2022/02/KGC-2021-Projects-Exploration-ReservesResources_clean-Final.pdf</t>
        </is>
      </c>
      <c r="P529" t="inlineStr">
        <is>
          <t>2022-02-16</t>
        </is>
      </c>
      <c r="Q529" t="inlineStr">
        <is>
          <t>The project is expected to cost approximately $55 million</t>
        </is>
      </c>
      <c r="R529" t="inlineStr">
        <is>
          <t>Budget. Coût final non chiffré ; la circulaire 2024 indique 'under budget' (donc &lt; 55 M USD).</t>
        </is>
      </c>
    </row>
    <row r="530">
      <c r="A530" t="inlineStr">
        <is>
          <t>qualitatif</t>
        </is>
      </c>
      <c r="B530" t="inlineStr">
        <is>
          <t>B_captif</t>
        </is>
      </c>
      <c r="C530" t="inlineStr">
        <is>
          <t>B</t>
        </is>
      </c>
      <c r="D530" t="inlineStr">
        <is>
          <t>MRT</t>
        </is>
      </c>
      <c r="E530" t="inlineStr">
        <is>
          <t>Tasiast solar power plant – mine d'or de Tasiast</t>
        </is>
      </c>
      <c r="F530" t="inlineStr">
        <is>
          <t>capex_total_statut_final</t>
        </is>
      </c>
      <c r="G530" t="inlineStr">
        <is>
          <t>achevé sous le budget (&lt; 55 M USD), T4 2023</t>
        </is>
      </c>
      <c r="H530" t="inlineStr">
        <is>
          <t>texte</t>
        </is>
      </c>
      <c r="I530" t="inlineStr">
        <is>
          <t>observée</t>
        </is>
      </c>
      <c r="J530" t="n">
        <v>2023</v>
      </c>
      <c r="K530" t="inlineStr">
        <is>
          <t>A</t>
        </is>
      </c>
      <c r="L530" t="inlineStr">
        <is>
          <t>qualitatif_citation_ok</t>
        </is>
      </c>
      <c r="M530" t="inlineStr">
        <is>
          <t>Kinross Gold</t>
        </is>
      </c>
      <c r="N530" t="inlineStr">
        <is>
          <t>Kinross Gold – Management Information Circular 2024 (6-K Ex. 99.3)</t>
        </is>
      </c>
      <c r="O530" t="inlineStr">
        <is>
          <t>https://www.sec.gov/Archives/edgar/data/701818/000110465924042262/tm241268d1_ex99-3.htm</t>
        </is>
      </c>
      <c r="P530" t="inlineStr">
        <is>
          <t>2024-04-02</t>
        </is>
      </c>
      <c r="Q530" t="inlineStr">
        <is>
          <t>Tasiast solar plant completed in Q4, under budget, expected to produce approximately 20% of site's power</t>
        </is>
      </c>
      <c r="R530" t="inlineStr">
        <is>
          <t>Évaluation de la rémunération des dirigeants (résultat réel 2023).</t>
        </is>
      </c>
    </row>
    <row r="531">
      <c r="A531" t="inlineStr">
        <is>
          <t>retenu</t>
        </is>
      </c>
      <c r="B531" t="inlineStr">
        <is>
          <t>B_captif</t>
        </is>
      </c>
      <c r="C531" t="inlineStr">
        <is>
          <t>B</t>
        </is>
      </c>
      <c r="D531" t="inlineStr">
        <is>
          <t>MRT</t>
        </is>
      </c>
      <c r="E531" t="inlineStr">
        <is>
          <t>Tasiast solar power plant – mine d'or de Tasiast</t>
        </is>
      </c>
      <c r="F531" t="inlineStr">
        <is>
          <t>annee_mise_en_service</t>
        </is>
      </c>
      <c r="G531" t="n">
        <v>2023</v>
      </c>
      <c r="H531" t="inlineStr">
        <is>
          <t>année (première injection déc. 2023)</t>
        </is>
      </c>
      <c r="I531" t="inlineStr">
        <is>
          <t>observée</t>
        </is>
      </c>
      <c r="J531" t="n">
        <v>2023</v>
      </c>
      <c r="K531" t="inlineStr">
        <is>
          <t>A</t>
        </is>
      </c>
      <c r="L531" t="inlineStr">
        <is>
          <t>confirmé</t>
        </is>
      </c>
      <c r="M531" t="inlineStr">
        <is>
          <t>Kinross Gold</t>
        </is>
      </c>
      <c r="N531" t="inlineStr">
        <is>
          <t>Kinross Gold Annual Information Form 2023 (40-F Ex. 99.1)</t>
        </is>
      </c>
      <c r="O531" t="inlineStr">
        <is>
          <t>https://www.sec.gov/Archives/edgar/data/701818/000110465924039723/kgc-20231231xex99d1.htm</t>
        </is>
      </c>
      <c r="P531" t="inlineStr">
        <is>
          <t>2024-03</t>
        </is>
      </c>
      <c r="Q531" t="inlineStr">
        <is>
          <t>with the first solar generated power to the site grid delivered in December 2023</t>
        </is>
      </c>
      <c r="R531" t="inlineStr">
        <is>
          <t>Calendrier initial : T3 2023. Mise en service batterie/EMS poursuivie début 2024 (presse).</t>
        </is>
      </c>
    </row>
    <row r="532">
      <c r="A532" t="inlineStr">
        <is>
          <t>retenu</t>
        </is>
      </c>
      <c r="B532" t="inlineStr">
        <is>
          <t>B_captif</t>
        </is>
      </c>
      <c r="C532" t="inlineStr">
        <is>
          <t>B</t>
        </is>
      </c>
      <c r="D532" t="inlineStr">
        <is>
          <t>MRT</t>
        </is>
      </c>
      <c r="E532" t="inlineStr">
        <is>
          <t>Tasiast solar power plant – mine d'or de Tasiast</t>
        </is>
      </c>
      <c r="F532" t="inlineStr">
        <is>
          <t>production_annuelle</t>
        </is>
      </c>
      <c r="G532" t="n">
        <v>50615</v>
      </c>
      <c r="H532" t="inlineStr">
        <is>
          <t>MWh (2024)</t>
        </is>
      </c>
      <c r="I532" t="inlineStr">
        <is>
          <t>observée</t>
        </is>
      </c>
      <c r="J532" t="n">
        <v>2024</v>
      </c>
      <c r="K532" t="inlineStr">
        <is>
          <t>B</t>
        </is>
      </c>
      <c r="L532" t="inlineStr">
        <is>
          <t>confirmé</t>
        </is>
      </c>
      <c r="M532" t="inlineStr">
        <is>
          <t>Kinross Gold</t>
        </is>
      </c>
      <c r="N532" t="inlineStr">
        <is>
          <t>Kinross releases 2024 Sustainability Report (6-K Ex. 99.1)</t>
        </is>
      </c>
      <c r="O532" t="inlineStr">
        <is>
          <t>https://www.sec.gov/Archives/edgar/data/701818/000110465925053056/tm2516267d1_ex99-1.htm</t>
        </is>
      </c>
      <c r="P532" t="inlineStr">
        <is>
          <t>2025-05-27</t>
        </is>
      </c>
      <c r="Q532" t="inlineStr">
        <is>
          <t>In 2024, the Tasiast solar power plant generated 50,615 MWh of clean, renewable energy, representing 17% of total electrical power generated at the site.</t>
        </is>
      </c>
      <c r="R532" t="inlineStr">
        <is>
          <t>Productible spécifique ≈ 1 489 kWh/kWac (calcul sur 34 MW).</t>
        </is>
      </c>
    </row>
    <row r="533">
      <c r="A533" t="inlineStr">
        <is>
          <t>retenu</t>
        </is>
      </c>
      <c r="B533" t="inlineStr">
        <is>
          <t>B_captif</t>
        </is>
      </c>
      <c r="C533" t="inlineStr">
        <is>
          <t>B</t>
        </is>
      </c>
      <c r="D533" t="inlineStr">
        <is>
          <t>MRT</t>
        </is>
      </c>
      <c r="E533" t="inlineStr">
        <is>
          <t>Tasiast solar power plant – mine d'or de Tasiast</t>
        </is>
      </c>
      <c r="F533" t="inlineStr">
        <is>
          <t>taux_couverture_solaire</t>
        </is>
      </c>
      <c r="G533" t="n">
        <v>17</v>
      </c>
      <c r="H533" t="inlineStr">
        <is>
          <t>% électricité générée sur site (2024)</t>
        </is>
      </c>
      <c r="I533" t="inlineStr">
        <is>
          <t>observée</t>
        </is>
      </c>
      <c r="J533" t="n">
        <v>2024</v>
      </c>
      <c r="K533" t="inlineStr">
        <is>
          <t>B</t>
        </is>
      </c>
      <c r="L533" t="inlineStr">
        <is>
          <t>confirmé</t>
        </is>
      </c>
      <c r="M533" t="inlineStr">
        <is>
          <t>Kinross Gold</t>
        </is>
      </c>
      <c r="N533" t="inlineStr">
        <is>
          <t>Kinross releases 2024 Sustainability Report (6-K Ex. 99.1)</t>
        </is>
      </c>
      <c r="O533" t="inlineStr">
        <is>
          <t>https://www.sec.gov/Archives/edgar/data/701818/000110465925053056/tm2516267d1_ex99-1.htm</t>
        </is>
      </c>
      <c r="P533" t="inlineStr">
        <is>
          <t>2025-05-27</t>
        </is>
      </c>
      <c r="Q533" t="inlineStr">
        <is>
          <t>representing 17% of total electrical power generated at the site</t>
        </is>
      </c>
      <c r="R533" t="inlineStr">
        <is>
          <t>Inférieur aux 20 % déclarés.</t>
        </is>
      </c>
    </row>
    <row r="534">
      <c r="A534" t="inlineStr">
        <is>
          <t>retenu</t>
        </is>
      </c>
      <c r="B534" t="inlineStr">
        <is>
          <t>B_captif</t>
        </is>
      </c>
      <c r="C534" t="inlineStr">
        <is>
          <t>B</t>
        </is>
      </c>
      <c r="D534" t="inlineStr">
        <is>
          <t>MRT</t>
        </is>
      </c>
      <c r="E534" t="inlineStr">
        <is>
          <t>Tasiast solar power plant – mine d'or de Tasiast</t>
        </is>
      </c>
      <c r="F534" t="inlineStr">
        <is>
          <t>taux_couverture_solaire</t>
        </is>
      </c>
      <c r="G534" t="n">
        <v>20</v>
      </c>
      <c r="H534" t="inlineStr">
        <is>
          <t>%</t>
        </is>
      </c>
      <c r="I534" t="inlineStr">
        <is>
          <t>déclarée</t>
        </is>
      </c>
      <c r="J534" t="n">
        <v>2022</v>
      </c>
      <c r="K534" t="inlineStr">
        <is>
          <t>B</t>
        </is>
      </c>
      <c r="L534" t="inlineStr">
        <is>
          <t>confirmé</t>
        </is>
      </c>
      <c r="M534" t="inlineStr">
        <is>
          <t>Kinross Gold</t>
        </is>
      </c>
      <c r="N534" t="inlineStr">
        <is>
          <t>Kinross Gold – communiqué 16 fév. 2022 (projets, exploration, réserves 2021)</t>
        </is>
      </c>
      <c r="O534" t="inlineStr">
        <is>
          <t>https://s204.q4cdn.com/896213035/files/doc_news/2022/02/KGC-2021-Projects-Exploration-ReservesResources_clean-Final.pdf</t>
        </is>
      </c>
      <c r="P534" t="inlineStr">
        <is>
          <t>2022-02-16</t>
        </is>
      </c>
      <c r="Q534" t="inlineStr">
        <is>
          <t>provide approximately 20% of the site's power</t>
        </is>
      </c>
      <c r="R534" t="inlineStr"/>
    </row>
    <row r="535">
      <c r="A535" t="inlineStr">
        <is>
          <t>retenu</t>
        </is>
      </c>
      <c r="B535" t="inlineStr">
        <is>
          <t>B_captif</t>
        </is>
      </c>
      <c r="C535" t="inlineStr">
        <is>
          <t>B</t>
        </is>
      </c>
      <c r="D535" t="inlineStr">
        <is>
          <t>MRT</t>
        </is>
      </c>
      <c r="E535" t="inlineStr">
        <is>
          <t>Tasiast solar power plant – mine d'or de Tasiast</t>
        </is>
      </c>
      <c r="F535" t="inlineStr">
        <is>
          <t>economies_carburant</t>
        </is>
      </c>
      <c r="G535" t="n">
        <v>180000000</v>
      </c>
      <c r="H535" t="inlineStr">
        <is>
          <t>litres sur la durée de vie de la mine</t>
        </is>
      </c>
      <c r="I535" t="inlineStr">
        <is>
          <t>déclarée</t>
        </is>
      </c>
      <c r="J535" t="n">
        <v>2022</v>
      </c>
      <c r="K535" t="inlineStr">
        <is>
          <t>B</t>
        </is>
      </c>
      <c r="L535" t="inlineStr">
        <is>
          <t>confirmé</t>
        </is>
      </c>
      <c r="M535" t="inlineStr">
        <is>
          <t>Kinross Gold</t>
        </is>
      </c>
      <c r="N535" t="inlineStr">
        <is>
          <t>Kinross Gold – communiqué 16 fév. 2022 (projets, exploration, réserves 2021)</t>
        </is>
      </c>
      <c r="O535" t="inlineStr">
        <is>
          <t>https://s204.q4cdn.com/896213035/files/doc_news/2022/02/KGC-2021-Projects-Exploration-ReservesResources_clean-Final.pdf</t>
        </is>
      </c>
      <c r="P535" t="inlineStr">
        <is>
          <t>2022-02-16</t>
        </is>
      </c>
      <c r="Q535" t="inlineStr">
        <is>
          <t>reduce GHG emissions by up to 50 Kt per year, or approximately 530 Kt over the life of mine, which could save approximately 180 million litres of fuel over the same period</t>
        </is>
      </c>
      <c r="R535" t="inlineStr">
        <is>
          <t>Repris à l'identique dans le NI 43-101 (2025).</t>
        </is>
      </c>
    </row>
    <row r="536">
      <c r="A536" t="inlineStr">
        <is>
          <t>qualitatif</t>
        </is>
      </c>
      <c r="B536" t="inlineStr">
        <is>
          <t>B_captif</t>
        </is>
      </c>
      <c r="C536" t="inlineStr">
        <is>
          <t>B</t>
        </is>
      </c>
      <c r="D536" t="inlineStr">
        <is>
          <t>MRT</t>
        </is>
      </c>
      <c r="E536" t="inlineStr">
        <is>
          <t>Tasiast solar power plant – mine d'or de Tasiast</t>
        </is>
      </c>
      <c r="F536" t="inlineStr">
        <is>
          <t>rentabilite</t>
        </is>
      </c>
      <c r="G536" t="inlineStr">
        <is>
          <t>'positive returns' (TRI non chiffré)</t>
        </is>
      </c>
      <c r="H536" t="inlineStr">
        <is>
          <t>texte</t>
        </is>
      </c>
      <c r="I536" t="inlineStr">
        <is>
          <t>déclarée</t>
        </is>
      </c>
      <c r="J536" t="n">
        <v>2024</v>
      </c>
      <c r="K536" t="inlineStr">
        <is>
          <t>A</t>
        </is>
      </c>
      <c r="L536" t="inlineStr">
        <is>
          <t>qualitatif_citation_ok</t>
        </is>
      </c>
      <c r="M536" t="inlineStr">
        <is>
          <t>Kinross Gold</t>
        </is>
      </c>
      <c r="N536" t="inlineStr">
        <is>
          <t>Tasiast Mine, Mauritania – NI 43-101 Technical Report (eff. 31 déc. 2024), Kinross</t>
        </is>
      </c>
      <c r="O536" t="inlineStr">
        <is>
          <t>https://www.sec.gov/Archives/edgar/data/701818/000110465925028817/tm2510061d1_ex99-1.htm</t>
        </is>
      </c>
      <c r="P536" t="inlineStr">
        <is>
          <t>2025-03-27</t>
        </is>
      </c>
      <c r="Q536" t="inlineStr">
        <is>
          <t>The Tasiast solar project is expected to generate positive returns</t>
        </is>
      </c>
      <c r="R536" t="inlineStr">
        <is>
          <t>TRI chiffré non publié.</t>
        </is>
      </c>
    </row>
    <row r="537">
      <c r="A537" t="inlineStr">
        <is>
          <t>qualitatif</t>
        </is>
      </c>
      <c r="B537" t="inlineStr">
        <is>
          <t>B_captif</t>
        </is>
      </c>
      <c r="C537" t="inlineStr">
        <is>
          <t>B</t>
        </is>
      </c>
      <c r="D537" t="inlineStr">
        <is>
          <t>MRT</t>
        </is>
      </c>
      <c r="E537" t="inlineStr">
        <is>
          <t>Tasiast solar power plant – mine d'or de Tasiast</t>
        </is>
      </c>
      <c r="F537" t="inlineStr">
        <is>
          <t>modele_commercial</t>
        </is>
      </c>
      <c r="G537" t="inlineStr">
        <is>
          <t>autoproduction (actif détenu par le minier)</t>
        </is>
      </c>
      <c r="H537" t="inlineStr">
        <is>
          <t>texte</t>
        </is>
      </c>
      <c r="I537" t="inlineStr">
        <is>
          <t>déclarée</t>
        </is>
      </c>
      <c r="J537" t="n">
        <v>2022</v>
      </c>
      <c r="K537" t="inlineStr">
        <is>
          <t>B</t>
        </is>
      </c>
      <c r="L537" t="inlineStr">
        <is>
          <t>qualitatif_citation_ok</t>
        </is>
      </c>
      <c r="M537" t="inlineStr">
        <is>
          <t>Kinross Gold</t>
        </is>
      </c>
      <c r="N537" t="inlineStr">
        <is>
          <t>Kinross Gold – communiqué 16 fév. 2022 (projets, exploration, réserves 2021)</t>
        </is>
      </c>
      <c r="O537" t="inlineStr">
        <is>
          <t>https://s204.q4cdn.com/896213035/files/doc_news/2022/02/KGC-2021-Projects-Exploration-ReservesResources_clean-Final.pdf</t>
        </is>
      </c>
      <c r="P537" t="inlineStr">
        <is>
          <t>2022-02-16</t>
        </is>
      </c>
      <c r="Q537" t="inlineStr">
        <is>
          <t>the Company is proceeding with the development of a photovoltaic solar power plant at Tasiast</t>
        </is>
      </c>
      <c r="R537" t="inlineStr"/>
    </row>
    <row r="538">
      <c r="A538" t="inlineStr">
        <is>
          <t>qualitatif</t>
        </is>
      </c>
      <c r="B538" t="inlineStr">
        <is>
          <t>B_captif</t>
        </is>
      </c>
      <c r="C538" t="inlineStr">
        <is>
          <t>B</t>
        </is>
      </c>
      <c r="D538" t="inlineStr">
        <is>
          <t>EGY</t>
        </is>
      </c>
      <c r="E538" t="inlineStr">
        <is>
          <t>Sukari solar plant – mine d'or de Sukari</t>
        </is>
      </c>
      <c r="F538" t="inlineStr">
        <is>
          <t>developpeur_proprietaire</t>
        </is>
      </c>
      <c r="G538" t="inlineStr">
        <is>
          <t>Centamin plc (Sukari Gold Mines ; AngloGold Ashanti depuis 2024) ; EPC juwi AG + Giza Systems</t>
        </is>
      </c>
      <c r="H538" t="inlineStr">
        <is>
          <t>texte</t>
        </is>
      </c>
      <c r="I538" t="inlineStr">
        <is>
          <t>déclarée</t>
        </is>
      </c>
      <c r="J538" t="n">
        <v>2021</v>
      </c>
      <c r="K538" t="inlineStr">
        <is>
          <t>C</t>
        </is>
      </c>
      <c r="L538" t="inlineStr">
        <is>
          <t>qualitatif_citation_ok</t>
        </is>
      </c>
      <c r="M538" t="inlineStr">
        <is>
          <t>Global Mining Review</t>
        </is>
      </c>
      <c r="N538" t="inlineStr">
        <is>
          <t>Centamin awards contract for Sukari solar plant</t>
        </is>
      </c>
      <c r="O538" t="inlineStr">
        <is>
          <t>https://www.globalminingreview.com/environment-sustainability/04052021/centamin-awards-contract-for-sukari-solar-plant/</t>
        </is>
      </c>
      <c r="P538" t="inlineStr">
        <is>
          <t>2021-05-04</t>
        </is>
      </c>
      <c r="Q538" t="inlineStr">
        <is>
          <t>Centamin has announced that it has awarded the engineering, procurement and construction contracts for the 36 MW solar farm and 7.5 MW battery-energy storage system at the Sukari Gold Mine to: juwi AG</t>
        </is>
      </c>
      <c r="R538" t="inlineStr">
        <is>
          <t>Propriété AngloGold Ashanti non vérifiée par page ouverte.</t>
        </is>
      </c>
    </row>
    <row r="539">
      <c r="A539" t="inlineStr">
        <is>
          <t>retenu</t>
        </is>
      </c>
      <c r="B539" t="inlineStr">
        <is>
          <t>B_captif</t>
        </is>
      </c>
      <c r="C539" t="inlineStr">
        <is>
          <t>B</t>
        </is>
      </c>
      <c r="D539" t="inlineStr">
        <is>
          <t>EGY</t>
        </is>
      </c>
      <c r="E539" t="inlineStr">
        <is>
          <t>Sukari solar plant – mine d'or de Sukari</t>
        </is>
      </c>
      <c r="F539" t="inlineStr">
        <is>
          <t>puissance_mwp</t>
        </is>
      </c>
      <c r="G539" t="n">
        <v>36</v>
      </c>
      <c r="H539" t="inlineStr">
        <is>
          <t>MWc</t>
        </is>
      </c>
      <c r="I539" t="inlineStr">
        <is>
          <t>observée</t>
        </is>
      </c>
      <c r="J539" t="n">
        <v>2022</v>
      </c>
      <c r="K539" t="inlineStr">
        <is>
          <t>B</t>
        </is>
      </c>
      <c r="L539" t="inlineStr">
        <is>
          <t>confirmé</t>
        </is>
      </c>
      <c r="M539" t="inlineStr">
        <is>
          <t>Centamin plc</t>
        </is>
      </c>
      <c r="N539" t="inlineStr">
        <is>
          <t>Centamin plc – Full Year 2022 Results (RNS, 16 mars 2023)</t>
        </is>
      </c>
      <c r="O539" t="inlineStr">
        <is>
          <t>https://www.investegate.co.uk/announcement/rns/centamin-di---cey/full-year-2022-results/7440830</t>
        </is>
      </c>
      <c r="P539" t="inlineStr">
        <is>
          <t>2023-03-16</t>
        </is>
      </c>
      <c r="Q539" t="inlineStr">
        <is>
          <t>In 2022, we executed various carbon abatement projects, most notably our 36MWDC (30MWAC) solar plant and battery storage system.</t>
        </is>
      </c>
      <c r="R539" t="inlineStr"/>
    </row>
    <row r="540">
      <c r="A540" t="inlineStr">
        <is>
          <t>retenu</t>
        </is>
      </c>
      <c r="B540" t="inlineStr">
        <is>
          <t>B_captif</t>
        </is>
      </c>
      <c r="C540" t="inlineStr">
        <is>
          <t>B</t>
        </is>
      </c>
      <c r="D540" t="inlineStr">
        <is>
          <t>EGY</t>
        </is>
      </c>
      <c r="E540" t="inlineStr">
        <is>
          <t>Sukari solar plant – mine d'or de Sukari</t>
        </is>
      </c>
      <c r="F540" t="inlineStr">
        <is>
          <t>puissance_mwac</t>
        </is>
      </c>
      <c r="G540" t="n">
        <v>30</v>
      </c>
      <c r="H540" t="inlineStr">
        <is>
          <t>MWac</t>
        </is>
      </c>
      <c r="I540" t="inlineStr">
        <is>
          <t>observée</t>
        </is>
      </c>
      <c r="J540" t="n">
        <v>2022</v>
      </c>
      <c r="K540" t="inlineStr">
        <is>
          <t>B</t>
        </is>
      </c>
      <c r="L540" t="inlineStr">
        <is>
          <t>confirmé</t>
        </is>
      </c>
      <c r="M540" t="inlineStr">
        <is>
          <t>Centamin plc</t>
        </is>
      </c>
      <c r="N540" t="inlineStr">
        <is>
          <t>Centamin plc – Full Year 2022 Results (RNS, 16 mars 2023)</t>
        </is>
      </c>
      <c r="O540" t="inlineStr">
        <is>
          <t>https://www.investegate.co.uk/announcement/rns/centamin-di---cey/full-year-2022-results/7440830</t>
        </is>
      </c>
      <c r="P540" t="inlineStr">
        <is>
          <t>2023-03-16</t>
        </is>
      </c>
      <c r="Q540" t="inlineStr">
        <is>
          <t>most notably our 36MWDC (30MWAC) solar plant and battery storage system</t>
        </is>
      </c>
      <c r="R540" t="inlineStr"/>
    </row>
    <row r="541">
      <c r="A541" t="inlineStr">
        <is>
          <t>retenu</t>
        </is>
      </c>
      <c r="B541" t="inlineStr">
        <is>
          <t>B_captif</t>
        </is>
      </c>
      <c r="C541" t="inlineStr">
        <is>
          <t>B</t>
        </is>
      </c>
      <c r="D541" t="inlineStr">
        <is>
          <t>EGY</t>
        </is>
      </c>
      <c r="E541" t="inlineStr">
        <is>
          <t>Sukari solar plant – mine d'or de Sukari</t>
        </is>
      </c>
      <c r="F541" t="inlineStr">
        <is>
          <t>stockage_mw</t>
        </is>
      </c>
      <c r="G541" t="n">
        <v>7.5</v>
      </c>
      <c r="H541" t="inlineStr">
        <is>
          <t>MW (MWh non publié)</t>
        </is>
      </c>
      <c r="I541" t="inlineStr">
        <is>
          <t>déclarée</t>
        </is>
      </c>
      <c r="J541" t="n">
        <v>2021</v>
      </c>
      <c r="K541" t="inlineStr">
        <is>
          <t>C</t>
        </is>
      </c>
      <c r="L541" t="inlineStr">
        <is>
          <t>confirmé</t>
        </is>
      </c>
      <c r="M541" t="inlineStr">
        <is>
          <t>Global Mining Review</t>
        </is>
      </c>
      <c r="N541" t="inlineStr">
        <is>
          <t>Centamin awards contract for Sukari solar plant</t>
        </is>
      </c>
      <c r="O541" t="inlineStr">
        <is>
          <t>https://www.globalminingreview.com/environment-sustainability/04052021/centamin-awards-contract-for-sukari-solar-plant/</t>
        </is>
      </c>
      <c r="P541" t="inlineStr">
        <is>
          <t>2021-05-04</t>
        </is>
      </c>
      <c r="Q541" t="inlineStr">
        <is>
          <t>the 36 MW solar farm and 7.5 MW battery-energy storage system at the Sukari Gold Mine</t>
        </is>
      </c>
      <c r="R541" t="inlineStr"/>
    </row>
    <row r="542">
      <c r="A542" t="inlineStr">
        <is>
          <t>qualitatif</t>
        </is>
      </c>
      <c r="B542" t="inlineStr">
        <is>
          <t>B_captif</t>
        </is>
      </c>
      <c r="C542" t="inlineStr">
        <is>
          <t>B</t>
        </is>
      </c>
      <c r="D542" t="inlineStr">
        <is>
          <t>EGY</t>
        </is>
      </c>
      <c r="E542" t="inlineStr">
        <is>
          <t>Sukari solar plant – mine d'or de Sukari</t>
        </is>
      </c>
      <c r="F542" t="inlineStr">
        <is>
          <t>technologie</t>
        </is>
      </c>
      <c r="G542" t="inlineStr">
        <is>
          <t>PV + BESS + diesel</t>
        </is>
      </c>
      <c r="H542" t="inlineStr">
        <is>
          <t>texte</t>
        </is>
      </c>
      <c r="I542" t="inlineStr">
        <is>
          <t>déclarée</t>
        </is>
      </c>
      <c r="J542" t="n">
        <v>2021</v>
      </c>
      <c r="K542" t="inlineStr">
        <is>
          <t>C</t>
        </is>
      </c>
      <c r="L542" t="inlineStr">
        <is>
          <t>qualitatif_citation_ok</t>
        </is>
      </c>
      <c r="M542" t="inlineStr">
        <is>
          <t>Global Mining Review</t>
        </is>
      </c>
      <c r="N542" t="inlineStr">
        <is>
          <t>Centamin awards contract for Sukari solar plant</t>
        </is>
      </c>
      <c r="O542" t="inlineStr">
        <is>
          <t>https://www.globalminingreview.com/environment-sustainability/04052021/centamin-awards-contract-for-sukari-solar-plant/</t>
        </is>
      </c>
      <c r="P542" t="inlineStr">
        <is>
          <t>2021-05-04</t>
        </is>
      </c>
      <c r="Q542" t="inlineStr">
        <is>
          <t>juwi has been contracted to design, supply and integrate the Sukari solar and battery plant into the current diesel power plant.</t>
        </is>
      </c>
      <c r="R542" t="inlineStr"/>
    </row>
    <row r="543">
      <c r="A543" t="inlineStr">
        <is>
          <t>retenu</t>
        </is>
      </c>
      <c r="B543" t="inlineStr">
        <is>
          <t>B_captif</t>
        </is>
      </c>
      <c r="C543" t="inlineStr">
        <is>
          <t>B</t>
        </is>
      </c>
      <c r="D543" t="inlineStr">
        <is>
          <t>EGY</t>
        </is>
      </c>
      <c r="E543" t="inlineStr">
        <is>
          <t>Sukari solar plant – mine d'or de Sukari</t>
        </is>
      </c>
      <c r="F543" t="inlineStr">
        <is>
          <t>capex_total</t>
        </is>
      </c>
      <c r="G543" t="n">
        <v>37000000</v>
      </c>
      <c r="H543" t="inlineStr">
        <is>
          <t>USD</t>
        </is>
      </c>
      <c r="I543" t="inlineStr">
        <is>
          <t>déclarée</t>
        </is>
      </c>
      <c r="J543" t="n">
        <v>2021</v>
      </c>
      <c r="K543" t="inlineStr">
        <is>
          <t>C</t>
        </is>
      </c>
      <c r="L543" t="inlineStr">
        <is>
          <t>confirmé</t>
        </is>
      </c>
      <c r="M543" t="inlineStr">
        <is>
          <t>Global Mining Review</t>
        </is>
      </c>
      <c r="N543" t="inlineStr">
        <is>
          <t>Centamin awards contract for Sukari solar plant</t>
        </is>
      </c>
      <c r="O543" t="inlineStr">
        <is>
          <t>https://www.globalminingreview.com/environment-sustainability/04052021/centamin-awards-contract-for-sukari-solar-plant/</t>
        </is>
      </c>
      <c r="P543" t="inlineStr">
        <is>
          <t>2021-05-04</t>
        </is>
      </c>
      <c r="Q543" t="inlineStr">
        <is>
          <t>The total project capital expenditure is estimated at US$37 million.</t>
        </is>
      </c>
      <c r="R543" t="inlineStr">
        <is>
          <t>Budget. Coût final non isolé dans les comptes 2022 (capex total Sukari 224 M USD incluant usine de remblai).</t>
        </is>
      </c>
    </row>
    <row r="544">
      <c r="A544" t="inlineStr">
        <is>
          <t>retenu</t>
        </is>
      </c>
      <c r="B544" t="inlineStr">
        <is>
          <t>B_captif</t>
        </is>
      </c>
      <c r="C544" t="inlineStr">
        <is>
          <t>B</t>
        </is>
      </c>
      <c r="D544" t="inlineStr">
        <is>
          <t>EGY</t>
        </is>
      </c>
      <c r="E544" t="inlineStr">
        <is>
          <t>Sukari solar plant – mine d'or de Sukari</t>
        </is>
      </c>
      <c r="F544" t="inlineStr">
        <is>
          <t>annee_mise_en_service</t>
        </is>
      </c>
      <c r="G544" t="n">
        <v>2022</v>
      </c>
      <c r="H544" t="inlineStr">
        <is>
          <t>année (T4 2022)</t>
        </is>
      </c>
      <c r="I544" t="inlineStr">
        <is>
          <t>observée</t>
        </is>
      </c>
      <c r="J544" t="n">
        <v>2022</v>
      </c>
      <c r="K544" t="inlineStr">
        <is>
          <t>B</t>
        </is>
      </c>
      <c r="L544" t="inlineStr">
        <is>
          <t>confirmé</t>
        </is>
      </c>
      <c r="M544" t="inlineStr">
        <is>
          <t>Centamin plc</t>
        </is>
      </c>
      <c r="N544" t="inlineStr">
        <is>
          <t>Centamin plc – Full Year 2022 Results (RNS, 16 mars 2023)</t>
        </is>
      </c>
      <c r="O544" t="inlineStr">
        <is>
          <t>https://www.investegate.co.uk/announcement/rns/centamin-di---cey/full-year-2022-results/7440830</t>
        </is>
      </c>
      <c r="P544" t="inlineStr">
        <is>
          <t>2023-03-16</t>
        </is>
      </c>
      <c r="Q544" t="inlineStr">
        <is>
          <t>the commissioning of the solar plant in Q4 2022</t>
        </is>
      </c>
      <c r="R544" t="inlineStr">
        <is>
          <t>Calendrier initial fin S1 2022.</t>
        </is>
      </c>
    </row>
    <row r="545">
      <c r="A545" t="inlineStr">
        <is>
          <t>retenu</t>
        </is>
      </c>
      <c r="B545" t="inlineStr">
        <is>
          <t>B_captif</t>
        </is>
      </c>
      <c r="C545" t="inlineStr">
        <is>
          <t>B</t>
        </is>
      </c>
      <c r="D545" t="inlineStr">
        <is>
          <t>EGY</t>
        </is>
      </c>
      <c r="E545" t="inlineStr">
        <is>
          <t>Sukari solar plant – mine d'or de Sukari</t>
        </is>
      </c>
      <c r="F545" t="inlineStr">
        <is>
          <t>economies_carburant</t>
        </is>
      </c>
      <c r="G545" t="n">
        <v>22000000</v>
      </c>
      <c r="H545" t="inlineStr">
        <is>
          <t>litres diesel/an</t>
        </is>
      </c>
      <c r="I545" t="inlineStr">
        <is>
          <t>déclarée</t>
        </is>
      </c>
      <c r="J545" t="n">
        <v>2021</v>
      </c>
      <c r="K545" t="inlineStr">
        <is>
          <t>C</t>
        </is>
      </c>
      <c r="L545" t="inlineStr">
        <is>
          <t>confirmé</t>
        </is>
      </c>
      <c r="M545" t="inlineStr">
        <is>
          <t>Global Mining Review</t>
        </is>
      </c>
      <c r="N545" t="inlineStr">
        <is>
          <t>Centamin awards contract for Sukari solar plant</t>
        </is>
      </c>
      <c r="O545" t="inlineStr">
        <is>
          <t>https://www.globalminingreview.com/environment-sustainability/04052021/centamin-awards-contract-for-sukari-solar-plant/</t>
        </is>
      </c>
      <c r="P545" t="inlineStr">
        <is>
          <t>2021-05-04</t>
        </is>
      </c>
      <c r="Q545" t="inlineStr">
        <is>
          <t>expected to reduce diesel fuel consumption at Sukari by an estimated 22 million l/yr</t>
        </is>
      </c>
      <c r="R545" t="inlineStr"/>
    </row>
    <row r="546">
      <c r="A546" t="inlineStr">
        <is>
          <t>retenu</t>
        </is>
      </c>
      <c r="B546" t="inlineStr">
        <is>
          <t>B_captif</t>
        </is>
      </c>
      <c r="C546" t="inlineStr">
        <is>
          <t>B</t>
        </is>
      </c>
      <c r="D546" t="inlineStr">
        <is>
          <t>EGY</t>
        </is>
      </c>
      <c r="E546" t="inlineStr">
        <is>
          <t>Sukari solar plant – mine d'or de Sukari</t>
        </is>
      </c>
      <c r="F546" t="inlineStr">
        <is>
          <t>economies_carburant</t>
        </is>
      </c>
      <c r="G546" t="n">
        <v>70000</v>
      </c>
      <c r="H546" t="inlineStr">
        <is>
          <t>litres diesel/jour (max)</t>
        </is>
      </c>
      <c r="I546" t="inlineStr">
        <is>
          <t>observée</t>
        </is>
      </c>
      <c r="J546" t="n">
        <v>2022</v>
      </c>
      <c r="K546" t="inlineStr">
        <is>
          <t>C</t>
        </is>
      </c>
      <c r="L546" t="inlineStr">
        <is>
          <t>confirmé</t>
        </is>
      </c>
      <c r="M546" t="inlineStr">
        <is>
          <t>International Mining</t>
        </is>
      </c>
      <c r="N546" t="inlineStr">
        <is>
          <t>Centamin's Sukari solar power plant performing ahead of expectations</t>
        </is>
      </c>
      <c r="O546" t="inlineStr">
        <is>
          <t>https://im-mining.com/2022/10/13/centamins-sukari-solar-power-plant-performing-ahead-of-expectations/</t>
        </is>
      </c>
      <c r="P546" t="inlineStr">
        <is>
          <t>2022-10-13</t>
        </is>
      </c>
      <c r="Q546" t="inlineStr">
        <is>
          <t>saving the company up to 70,000 litres per day of diese l and averaging a reduction in diesel consumption of 22 million litres per year</t>
        </is>
      </c>
      <c r="R546" t="inlineStr">
        <is>
          <t>Coquille 'diese l' reproduite telle quelle dans la source.</t>
        </is>
      </c>
    </row>
    <row r="547">
      <c r="A547" t="inlineStr">
        <is>
          <t>retenu</t>
        </is>
      </c>
      <c r="B547" t="inlineStr">
        <is>
          <t>B_captif</t>
        </is>
      </c>
      <c r="C547" t="inlineStr">
        <is>
          <t>B</t>
        </is>
      </c>
      <c r="D547" t="inlineStr">
        <is>
          <t>EGY</t>
        </is>
      </c>
      <c r="E547" t="inlineStr">
        <is>
          <t>Sukari solar plant – mine d'or de Sukari</t>
        </is>
      </c>
      <c r="F547" t="inlineStr">
        <is>
          <t>taux_couverture_solaire</t>
        </is>
      </c>
      <c r="G547" t="n">
        <v>22</v>
      </c>
      <c r="H547" t="inlineStr">
        <is>
          <t>% de réduction du diesel pour la production électrique</t>
        </is>
      </c>
      <c r="I547" t="inlineStr">
        <is>
          <t>observée</t>
        </is>
      </c>
      <c r="J547" t="n">
        <v>2022</v>
      </c>
      <c r="K547" t="inlineStr">
        <is>
          <t>B</t>
        </is>
      </c>
      <c r="L547" t="inlineStr">
        <is>
          <t>confirmé</t>
        </is>
      </c>
      <c r="M547" t="inlineStr">
        <is>
          <t>Centamin plc</t>
        </is>
      </c>
      <c r="N547" t="inlineStr">
        <is>
          <t>Centamin plc – Full Year 2022 Results (RNS, 16 mars 2023)</t>
        </is>
      </c>
      <c r="O547" t="inlineStr">
        <is>
          <t>https://www.investegate.co.uk/announcement/rns/centamin-di---cey/full-year-2022-results/7440830</t>
        </is>
      </c>
      <c r="P547" t="inlineStr">
        <is>
          <t>2023-03-16</t>
        </is>
      </c>
      <c r="Q547" t="inlineStr">
        <is>
          <t>The 36MW DC solar plant reduces our annual consumption of diesel fuel for power generation by 22% (up to 70,000 litres of diesel displacement per day)</t>
        </is>
      </c>
      <c r="R547" t="inlineStr">
        <is>
          <t>Proxy de couverture : % de diesel de production électrique évité.</t>
        </is>
      </c>
    </row>
    <row r="548">
      <c r="A548" t="inlineStr">
        <is>
          <t>qualitatif</t>
        </is>
      </c>
      <c r="B548" t="inlineStr">
        <is>
          <t>B_captif</t>
        </is>
      </c>
      <c r="C548" t="inlineStr">
        <is>
          <t>B</t>
        </is>
      </c>
      <c r="D548" t="inlineStr">
        <is>
          <t>EGY</t>
        </is>
      </c>
      <c r="E548" t="inlineStr">
        <is>
          <t>Sukari solar plant – mine d'or de Sukari</t>
        </is>
      </c>
      <c r="F548" t="inlineStr">
        <is>
          <t>economies_usd</t>
        </is>
      </c>
      <c r="G548" t="inlineStr">
        <is>
          <t>9000000 – 13000000</t>
        </is>
      </c>
      <c r="H548" t="inlineStr">
        <is>
          <t>USD/an</t>
        </is>
      </c>
      <c r="I548" t="inlineStr">
        <is>
          <t>déclarée</t>
        </is>
      </c>
      <c r="J548" t="n">
        <v>2021</v>
      </c>
      <c r="K548" t="inlineStr">
        <is>
          <t>C</t>
        </is>
      </c>
      <c r="L548" t="inlineStr">
        <is>
          <t>qualitatif_citation_ok</t>
        </is>
      </c>
      <c r="M548" t="inlineStr">
        <is>
          <t>Global Mining Review</t>
        </is>
      </c>
      <c r="N548" t="inlineStr">
        <is>
          <t>Centamin awards contract for Sukari solar plant</t>
        </is>
      </c>
      <c r="O548" t="inlineStr">
        <is>
          <t>https://www.globalminingreview.com/environment-sustainability/04052021/centamin-awards-contract-for-sukari-solar-plant/</t>
        </is>
      </c>
      <c r="P548" t="inlineStr">
        <is>
          <t>2021-05-04</t>
        </is>
      </c>
      <c r="Q548" t="inlineStr">
        <is>
          <t>an estimated US$9 – US$13 million savings in annual fuel costs</t>
        </is>
      </c>
      <c r="R548" t="inlineStr">
        <is>
          <t>CONFLIT/évolution : 20 M USD/an annoncés en oct. 2022 avec la hausse du diesel.</t>
        </is>
      </c>
    </row>
    <row r="549">
      <c r="A549" t="inlineStr">
        <is>
          <t>retenu</t>
        </is>
      </c>
      <c r="B549" t="inlineStr">
        <is>
          <t>B_captif</t>
        </is>
      </c>
      <c r="C549" t="inlineStr">
        <is>
          <t>B</t>
        </is>
      </c>
      <c r="D549" t="inlineStr">
        <is>
          <t>EGY</t>
        </is>
      </c>
      <c r="E549" t="inlineStr">
        <is>
          <t>Sukari solar plant – mine d'or de Sukari</t>
        </is>
      </c>
      <c r="F549" t="inlineStr">
        <is>
          <t>economies_usd</t>
        </is>
      </c>
      <c r="G549" t="n">
        <v>20000000</v>
      </c>
      <c r="H549" t="inlineStr">
        <is>
          <t>USD/an</t>
        </is>
      </c>
      <c r="I549" t="inlineStr">
        <is>
          <t>déclarée</t>
        </is>
      </c>
      <c r="J549" t="n">
        <v>2022</v>
      </c>
      <c r="K549" t="inlineStr">
        <is>
          <t>C</t>
        </is>
      </c>
      <c r="L549" t="inlineStr">
        <is>
          <t>confirmé</t>
        </is>
      </c>
      <c r="M549" t="inlineStr">
        <is>
          <t>International Mining</t>
        </is>
      </c>
      <c r="N549" t="inlineStr">
        <is>
          <t>Centamin's Sukari solar power plant performing ahead of expectations</t>
        </is>
      </c>
      <c r="O549" t="inlineStr">
        <is>
          <t>https://im-mining.com/2022/10/13/centamins-sukari-solar-power-plant-performing-ahead-of-expectations/</t>
        </is>
      </c>
      <c r="P549" t="inlineStr">
        <is>
          <t>2022-10-13</t>
        </is>
      </c>
      <c r="Q549" t="inlineStr">
        <is>
          <t>Based on current diesel prices, this means the plant has the potential to provide annual cost savings of $20 million</t>
        </is>
      </c>
      <c r="R549" t="inlineStr">
        <is>
          <t>Voir conflit avec 9-13 M USD (2021).</t>
        </is>
      </c>
    </row>
    <row r="550">
      <c r="A550" t="inlineStr">
        <is>
          <t>retenu</t>
        </is>
      </c>
      <c r="B550" t="inlineStr">
        <is>
          <t>B_captif</t>
        </is>
      </c>
      <c r="C550" t="inlineStr">
        <is>
          <t>B</t>
        </is>
      </c>
      <c r="D550" t="inlineStr">
        <is>
          <t>EGY</t>
        </is>
      </c>
      <c r="E550" t="inlineStr">
        <is>
          <t>Sukari solar plant – mine d'or de Sukari</t>
        </is>
      </c>
      <c r="F550" t="inlineStr">
        <is>
          <t>prix_carburant_site</t>
        </is>
      </c>
      <c r="G550" t="n">
        <v>0.88</v>
      </c>
      <c r="H550" t="inlineStr">
        <is>
          <t>USD/litre (moyenne 2022)</t>
        </is>
      </c>
      <c r="I550" t="inlineStr">
        <is>
          <t>observée</t>
        </is>
      </c>
      <c r="J550" t="n">
        <v>2022</v>
      </c>
      <c r="K550" t="inlineStr">
        <is>
          <t>B</t>
        </is>
      </c>
      <c r="L550" t="inlineStr">
        <is>
          <t>confirmé</t>
        </is>
      </c>
      <c r="M550" t="inlineStr">
        <is>
          <t>Centamin plc</t>
        </is>
      </c>
      <c r="N550" t="inlineStr">
        <is>
          <t>Centamin plc – Full Year 2022 Results (RNS, 16 mars 2023)</t>
        </is>
      </c>
      <c r="O550" t="inlineStr">
        <is>
          <t>https://www.investegate.co.uk/announcement/rns/centamin-di---cey/full-year-2022-results/7440830</t>
        </is>
      </c>
      <c r="P550" t="inlineStr">
        <is>
          <t>2023-03-16</t>
        </is>
      </c>
      <c r="Q550" t="inlineStr">
        <is>
          <t>Impact on fuel price 31 December 2022 US$/litre 31 December 2021 US$/litre F uel price 0.88 0.52</t>
        </is>
      </c>
      <c r="R550" t="inlineStr">
        <is>
          <t>Note d'analyse de sensibilité des états financiers.</t>
        </is>
      </c>
    </row>
    <row r="551">
      <c r="A551" t="inlineStr">
        <is>
          <t>retenu</t>
        </is>
      </c>
      <c r="B551" t="inlineStr">
        <is>
          <t>B_captif</t>
        </is>
      </c>
      <c r="C551" t="inlineStr">
        <is>
          <t>B</t>
        </is>
      </c>
      <c r="D551" t="inlineStr">
        <is>
          <t>EGY</t>
        </is>
      </c>
      <c r="E551" t="inlineStr">
        <is>
          <t>Sukari solar plant – mine d'or de Sukari</t>
        </is>
      </c>
      <c r="F551" t="inlineStr">
        <is>
          <t>prix_carburant_site</t>
        </is>
      </c>
      <c r="G551" t="n">
        <v>0.52</v>
      </c>
      <c r="H551" t="inlineStr">
        <is>
          <t>USD/litre (moyenne 2021)</t>
        </is>
      </c>
      <c r="I551" t="inlineStr">
        <is>
          <t>observée</t>
        </is>
      </c>
      <c r="J551" t="n">
        <v>2021</v>
      </c>
      <c r="K551" t="inlineStr">
        <is>
          <t>B</t>
        </is>
      </c>
      <c r="L551" t="inlineStr">
        <is>
          <t>confirmé</t>
        </is>
      </c>
      <c r="M551" t="inlineStr">
        <is>
          <t>Centamin plc</t>
        </is>
      </c>
      <c r="N551" t="inlineStr">
        <is>
          <t>Centamin plc – Full Year 2022 Results (RNS, 16 mars 2023)</t>
        </is>
      </c>
      <c r="O551" t="inlineStr">
        <is>
          <t>https://www.investegate.co.uk/announcement/rns/centamin-di---cey/full-year-2022-results/7440830</t>
        </is>
      </c>
      <c r="P551" t="inlineStr">
        <is>
          <t>2023-03-16</t>
        </is>
      </c>
      <c r="Q551" t="inlineStr">
        <is>
          <t>Impact on fuel price 31 December 2022 US$/litre 31 December 2021 US$/litre F uel price 0.88 0.52</t>
        </is>
      </c>
      <c r="R551" t="inlineStr"/>
    </row>
    <row r="552">
      <c r="A552" t="inlineStr">
        <is>
          <t>retenu</t>
        </is>
      </c>
      <c r="B552" t="inlineStr">
        <is>
          <t>B_captif</t>
        </is>
      </c>
      <c r="C552" t="inlineStr">
        <is>
          <t>B</t>
        </is>
      </c>
      <c r="D552" t="inlineStr">
        <is>
          <t>EGY</t>
        </is>
      </c>
      <c r="E552" t="inlineStr">
        <is>
          <t>Sukari solar plant – mine d'or de Sukari</t>
        </is>
      </c>
      <c r="F552" t="inlineStr">
        <is>
          <t>prix_carburant_site</t>
        </is>
      </c>
      <c r="G552" t="n">
        <v>0.9</v>
      </c>
      <c r="H552" t="inlineStr">
        <is>
          <t>USD/litre (hypothèse 2023)</t>
        </is>
      </c>
      <c r="I552" t="inlineStr">
        <is>
          <t>modélisée</t>
        </is>
      </c>
      <c r="J552" t="n">
        <v>2023</v>
      </c>
      <c r="K552" t="inlineStr">
        <is>
          <t>B</t>
        </is>
      </c>
      <c r="L552" t="inlineStr">
        <is>
          <t>confirmé</t>
        </is>
      </c>
      <c r="M552" t="inlineStr">
        <is>
          <t>Centamin plc</t>
        </is>
      </c>
      <c r="N552" t="inlineStr">
        <is>
          <t>Centamin plc – Full Year 2022 Results (RNS, 16 mars 2023)</t>
        </is>
      </c>
      <c r="O552" t="inlineStr">
        <is>
          <t>https://www.investegate.co.uk/announcement/rns/centamin-di---cey/full-year-2022-results/7440830</t>
        </is>
      </c>
      <c r="P552" t="inlineStr">
        <is>
          <t>2023-03-16</t>
        </is>
      </c>
      <c r="Q552" t="inlineStr">
        <is>
          <t>Key assumptions underpinning this forecast include: · Available cash balances; · Favourable litigation outcomes, for current litigation refer to note 5.1 to the financial statements; · A fuel price of US$0.90/litre</t>
        </is>
      </c>
      <c r="R552" t="inlineStr">
        <is>
          <t>Hypothèse du test de continuité d'exploitation.</t>
        </is>
      </c>
    </row>
    <row r="553">
      <c r="A553" t="inlineStr">
        <is>
          <t>qualitatif</t>
        </is>
      </c>
      <c r="B553" t="inlineStr">
        <is>
          <t>B_captif</t>
        </is>
      </c>
      <c r="C553" t="inlineStr">
        <is>
          <t>B</t>
        </is>
      </c>
      <c r="D553" t="inlineStr">
        <is>
          <t>EGY</t>
        </is>
      </c>
      <c r="E553" t="inlineStr">
        <is>
          <t>Sukari solar plant – mine d'or de Sukari</t>
        </is>
      </c>
      <c r="F553" t="inlineStr">
        <is>
          <t>modele_commercial</t>
        </is>
      </c>
      <c r="G553" t="inlineStr">
        <is>
          <t>autoproduction (EPC, actif détenu par la mine)</t>
        </is>
      </c>
      <c r="H553" t="inlineStr">
        <is>
          <t>texte</t>
        </is>
      </c>
      <c r="I553" t="inlineStr">
        <is>
          <t>déclarée</t>
        </is>
      </c>
      <c r="J553" t="n">
        <v>2021</v>
      </c>
      <c r="K553" t="inlineStr">
        <is>
          <t>C</t>
        </is>
      </c>
      <c r="L553" t="inlineStr">
        <is>
          <t>qualitatif_citation_ok</t>
        </is>
      </c>
      <c r="M553" t="inlineStr">
        <is>
          <t>Global Mining Review</t>
        </is>
      </c>
      <c r="N553" t="inlineStr">
        <is>
          <t>Centamin awards contract for Sukari solar plant</t>
        </is>
      </c>
      <c r="O553" t="inlineStr">
        <is>
          <t>https://www.globalminingreview.com/environment-sustainability/04052021/centamin-awards-contract-for-sukari-solar-plant/</t>
        </is>
      </c>
      <c r="P553" t="inlineStr">
        <is>
          <t>2021-05-04</t>
        </is>
      </c>
      <c r="Q553" t="inlineStr">
        <is>
          <t>The total project capital expenditure is estimated at US$37 million.</t>
        </is>
      </c>
      <c r="R553" t="inlineStr"/>
    </row>
    <row r="554">
      <c r="A554" t="inlineStr">
        <is>
          <t>qualitatif</t>
        </is>
      </c>
      <c r="B554" t="inlineStr">
        <is>
          <t>B_captif</t>
        </is>
      </c>
      <c r="C554" t="inlineStr">
        <is>
          <t>B</t>
        </is>
      </c>
      <c r="D554" t="inlineStr">
        <is>
          <t>BFA</t>
        </is>
      </c>
      <c r="E554" t="inlineStr">
        <is>
          <t>Essakane Solar – mine d'or d'Essakane</t>
        </is>
      </c>
      <c r="F554" t="inlineStr">
        <is>
          <t>developpeur_proprietaire</t>
        </is>
      </c>
      <c r="G554" t="inlineStr">
        <is>
          <t>Essakane Solar SAS (EREN Renewable Energy / Total Eren + AEMP) ; acheteur IAMGOLD Essakane SA</t>
        </is>
      </c>
      <c r="H554" t="inlineStr">
        <is>
          <t>texte</t>
        </is>
      </c>
      <c r="I554" t="inlineStr">
        <is>
          <t>déclarée</t>
        </is>
      </c>
      <c r="J554" t="n">
        <v>2017</v>
      </c>
      <c r="K554" t="inlineStr">
        <is>
          <t>B</t>
        </is>
      </c>
      <c r="L554" t="inlineStr">
        <is>
          <t>qualitatif_citation_ok</t>
        </is>
      </c>
      <c r="M554" t="inlineStr">
        <is>
          <t>IAMGOLD</t>
        </is>
      </c>
      <c r="N554" t="inlineStr">
        <is>
          <t>IAMGOLD partners with EREN Renewable Energy and AEMP to develop solar power capacity for Essakane mine (6-K Ex. 99.1)</t>
        </is>
      </c>
      <c r="O554" t="inlineStr">
        <is>
          <t>https://www.sec.gov/Archives/edgar/data/1203464/000127956917000400/ex991.htm</t>
        </is>
      </c>
      <c r="P554" t="inlineStr">
        <is>
          <t>2017-03-06</t>
        </is>
      </c>
      <c r="Q554" t="inlineStr">
        <is>
          <t>Essakane Solar SAS, a local entity created by the project developers, will operate the solar power plant that sells the energy to the Essakane mine.</t>
        </is>
      </c>
      <c r="R554" t="inlineStr"/>
    </row>
    <row r="555">
      <c r="A555" t="inlineStr">
        <is>
          <t>qualitatif</t>
        </is>
      </c>
      <c r="B555" t="inlineStr">
        <is>
          <t>B_captif</t>
        </is>
      </c>
      <c r="C555" t="inlineStr">
        <is>
          <t>B</t>
        </is>
      </c>
      <c r="D555" t="inlineStr">
        <is>
          <t>BFA</t>
        </is>
      </c>
      <c r="E555" t="inlineStr">
        <is>
          <t>Essakane Solar – mine d'or d'Essakane</t>
        </is>
      </c>
      <c r="F555" t="inlineStr">
        <is>
          <t>modele_commercial</t>
        </is>
      </c>
      <c r="G555" t="inlineStr">
        <is>
          <t>PPA privé (IPP sur site), 15 ans</t>
        </is>
      </c>
      <c r="H555" t="inlineStr">
        <is>
          <t>texte</t>
        </is>
      </c>
      <c r="I555" t="inlineStr">
        <is>
          <t>observée</t>
        </is>
      </c>
      <c r="J555" t="n">
        <v>2018</v>
      </c>
      <c r="K555" t="inlineStr">
        <is>
          <t>A</t>
        </is>
      </c>
      <c r="L555" t="inlineStr">
        <is>
          <t>qualitatif_citation_ok</t>
        </is>
      </c>
      <c r="M555" t="inlineStr">
        <is>
          <t>IAMGOLD</t>
        </is>
      </c>
      <c r="N555" t="inlineStr">
        <is>
          <t>IAMGOLD Annual Information Form 2018 (40-F Ex. 99.1)</t>
        </is>
      </c>
      <c r="O555" t="inlineStr">
        <is>
          <t>https://www.sec.gov/Archives/edgar/data/1203464/000106299319001011/exhibit99-1.htm</t>
        </is>
      </c>
      <c r="P555" t="inlineStr">
        <is>
          <t>2019-02-20</t>
        </is>
      </c>
      <c r="Q555" t="inlineStr">
        <is>
          <t>The agreement is for an initial period of 15 years and stipulates that Essakane Solar SAS, a local entity created by the solar power plant developers, will operate the solar power plant that sells energy to the Essakane mine.</t>
        </is>
      </c>
      <c r="R555" t="inlineStr"/>
    </row>
    <row r="556">
      <c r="A556" t="inlineStr">
        <is>
          <t>retenu</t>
        </is>
      </c>
      <c r="B556" t="inlineStr">
        <is>
          <t>B_captif</t>
        </is>
      </c>
      <c r="C556" t="inlineStr">
        <is>
          <t>B</t>
        </is>
      </c>
      <c r="D556" t="inlineStr">
        <is>
          <t>BFA</t>
        </is>
      </c>
      <c r="E556" t="inlineStr">
        <is>
          <t>Essakane Solar – mine d'or d'Essakane</t>
        </is>
      </c>
      <c r="F556" t="inlineStr">
        <is>
          <t>puissance_mwp</t>
        </is>
      </c>
      <c r="G556" t="n">
        <v>15</v>
      </c>
      <c r="H556" t="inlineStr">
        <is>
          <t>MWc</t>
        </is>
      </c>
      <c r="I556" t="inlineStr">
        <is>
          <t>observée</t>
        </is>
      </c>
      <c r="J556" t="n">
        <v>2018</v>
      </c>
      <c r="K556" t="inlineStr">
        <is>
          <t>B</t>
        </is>
      </c>
      <c r="L556" t="inlineStr">
        <is>
          <t>confirmé</t>
        </is>
      </c>
      <c r="M556" t="inlineStr">
        <is>
          <t>IAMGOLD</t>
        </is>
      </c>
      <c r="N556" t="inlineStr">
        <is>
          <t>IAMGOLD Q1 2018 results news release (6-K Ex. 99.1)</t>
        </is>
      </c>
      <c r="O556" t="inlineStr">
        <is>
          <t>https://www.sec.gov/Archives/edgar/data/1203464/000127956918000959/ex991.htm</t>
        </is>
      </c>
      <c r="P556" t="inlineStr">
        <is>
          <t>2018-05-07</t>
        </is>
      </c>
      <c r="Q556" t="inlineStr">
        <is>
          <t>On March 19, 2018, we announced the completion of the 15 megawatt-peak solar power plant at our Essakane mine in Burkina Faso</t>
        </is>
      </c>
      <c r="R556" t="inlineStr"/>
    </row>
    <row r="557">
      <c r="A557" t="inlineStr">
        <is>
          <t>qualitatif</t>
        </is>
      </c>
      <c r="B557" t="inlineStr">
        <is>
          <t>B_captif</t>
        </is>
      </c>
      <c r="C557" t="inlineStr">
        <is>
          <t>B</t>
        </is>
      </c>
      <c r="D557" t="inlineStr">
        <is>
          <t>BFA</t>
        </is>
      </c>
      <c r="E557" t="inlineStr">
        <is>
          <t>Essakane Solar – mine d'or d'Essakane</t>
        </is>
      </c>
      <c r="F557" t="inlineStr">
        <is>
          <t>technologie</t>
        </is>
      </c>
      <c r="G557" t="inlineStr">
        <is>
          <t>PV + HFO (centrale thermique 57 MW)</t>
        </is>
      </c>
      <c r="H557" t="inlineStr">
        <is>
          <t>texte</t>
        </is>
      </c>
      <c r="I557" t="inlineStr">
        <is>
          <t>déclarée</t>
        </is>
      </c>
      <c r="J557" t="n">
        <v>2018</v>
      </c>
      <c r="K557" t="inlineStr">
        <is>
          <t>B</t>
        </is>
      </c>
      <c r="L557" t="inlineStr">
        <is>
          <t>qualitatif_citation_ok</t>
        </is>
      </c>
      <c r="M557" t="inlineStr">
        <is>
          <t>IAMGOLD</t>
        </is>
      </c>
      <c r="N557" t="inlineStr">
        <is>
          <t>IAMGOLD Q1 2018 results news release (6-K Ex. 99.1)</t>
        </is>
      </c>
      <c r="O557" t="inlineStr">
        <is>
          <t>https://www.sec.gov/Archives/edgar/data/1203464/000127956918000959/ex991.htm</t>
        </is>
      </c>
      <c r="P557" t="inlineStr">
        <is>
          <t>2018-05-07</t>
        </is>
      </c>
      <c r="Q557" t="inlineStr">
        <is>
          <t>The solar power plant will complement the existing 57 megawatt thermal power plant, making it the largest solar/thermal hybrid power plant in the world.</t>
        </is>
      </c>
      <c r="R557" t="inlineStr"/>
    </row>
    <row r="558">
      <c r="A558" t="inlineStr">
        <is>
          <t>retenu</t>
        </is>
      </c>
      <c r="B558" t="inlineStr">
        <is>
          <t>B_captif</t>
        </is>
      </c>
      <c r="C558" t="inlineStr">
        <is>
          <t>B</t>
        </is>
      </c>
      <c r="D558" t="inlineStr">
        <is>
          <t>BFA</t>
        </is>
      </c>
      <c r="E558" t="inlineStr">
        <is>
          <t>Essakane Solar – mine d'or d'Essakane</t>
        </is>
      </c>
      <c r="F558" t="inlineStr">
        <is>
          <t>annee_mise_en_service</t>
        </is>
      </c>
      <c r="G558" t="n">
        <v>2018</v>
      </c>
      <c r="H558" t="inlineStr">
        <is>
          <t>année (T1 2018)</t>
        </is>
      </c>
      <c r="I558" t="inlineStr">
        <is>
          <t>observée</t>
        </is>
      </c>
      <c r="J558" t="n">
        <v>2018</v>
      </c>
      <c r="K558" t="inlineStr">
        <is>
          <t>B</t>
        </is>
      </c>
      <c r="L558" t="inlineStr">
        <is>
          <t>confirmé</t>
        </is>
      </c>
      <c r="M558" t="inlineStr">
        <is>
          <t>IAMGOLD</t>
        </is>
      </c>
      <c r="N558" t="inlineStr">
        <is>
          <t>IAMGOLD Q1 2018 results news release (6-K Ex. 99.1)</t>
        </is>
      </c>
      <c r="O558" t="inlineStr">
        <is>
          <t>https://www.sec.gov/Archives/edgar/data/1203464/000127956918000959/ex991.htm</t>
        </is>
      </c>
      <c r="P558" t="inlineStr">
        <is>
          <t>2018-05-07</t>
        </is>
      </c>
      <c r="Q558" t="inlineStr">
        <is>
          <t>The construction of the solar power plant was completed during the first quarter 2018.</t>
        </is>
      </c>
      <c r="R558" t="inlineStr"/>
    </row>
    <row r="559">
      <c r="A559" t="inlineStr">
        <is>
          <t>retenu</t>
        </is>
      </c>
      <c r="B559" t="inlineStr">
        <is>
          <t>B_captif</t>
        </is>
      </c>
      <c r="C559" t="inlineStr">
        <is>
          <t>B</t>
        </is>
      </c>
      <c r="D559" t="inlineStr">
        <is>
          <t>BFA</t>
        </is>
      </c>
      <c r="E559" t="inlineStr">
        <is>
          <t>Essakane Solar – mine d'or d'Essakane</t>
        </is>
      </c>
      <c r="F559" t="inlineStr">
        <is>
          <t>economies_carburant</t>
        </is>
      </c>
      <c r="G559" t="n">
        <v>6000000</v>
      </c>
      <c r="H559" t="inlineStr">
        <is>
          <t>litres/an</t>
        </is>
      </c>
      <c r="I559" t="inlineStr">
        <is>
          <t>déclarée</t>
        </is>
      </c>
      <c r="J559" t="n">
        <v>2018</v>
      </c>
      <c r="K559" t="inlineStr">
        <is>
          <t>B</t>
        </is>
      </c>
      <c r="L559" t="inlineStr">
        <is>
          <t>confirmé</t>
        </is>
      </c>
      <c r="M559" t="inlineStr">
        <is>
          <t>IAMGOLD</t>
        </is>
      </c>
      <c r="N559" t="inlineStr">
        <is>
          <t>IAMGOLD Q1 2018 results news release (6-K Ex. 99.1)</t>
        </is>
      </c>
      <c r="O559" t="inlineStr">
        <is>
          <t>https://www.sec.gov/Archives/edgar/data/1203464/000127956918000959/ex991.htm</t>
        </is>
      </c>
      <c r="P559" t="inlineStr">
        <is>
          <t>2018-05-07</t>
        </is>
      </c>
      <c r="Q559" t="inlineStr">
        <is>
          <t>The 15 megawatt-peak solar power plant is expected to decrease Essakane's fuel consumption by approximately 6 million litres per year and CO 2 emissions by 18,500 tonnes annually.</t>
        </is>
      </c>
      <c r="R559" t="inlineStr"/>
    </row>
    <row r="560">
      <c r="A560" t="inlineStr">
        <is>
          <t>qualitatif</t>
        </is>
      </c>
      <c r="B560" t="inlineStr">
        <is>
          <t>B_captif</t>
        </is>
      </c>
      <c r="C560" t="inlineStr">
        <is>
          <t>B</t>
        </is>
      </c>
      <c r="D560" t="inlineStr">
        <is>
          <t>BFA</t>
        </is>
      </c>
      <c r="E560" t="inlineStr">
        <is>
          <t>Essakane Solar – mine d'or d'Essakane</t>
        </is>
      </c>
      <c r="F560" t="inlineStr">
        <is>
          <t>secteur</t>
        </is>
      </c>
      <c r="G560" t="inlineStr">
        <is>
          <t>mine d'or</t>
        </is>
      </c>
      <c r="H560" t="inlineStr">
        <is>
          <t>texte</t>
        </is>
      </c>
      <c r="I560" t="inlineStr">
        <is>
          <t>observée</t>
        </is>
      </c>
      <c r="J560" t="n">
        <v>2018</v>
      </c>
      <c r="K560" t="inlineStr">
        <is>
          <t>A</t>
        </is>
      </c>
      <c r="L560" t="inlineStr">
        <is>
          <t>qualitatif_citation_ok</t>
        </is>
      </c>
      <c r="M560" t="inlineStr">
        <is>
          <t>IAMGOLD</t>
        </is>
      </c>
      <c r="N560" t="inlineStr">
        <is>
          <t>IAMGOLD Annual Information Form 2018 (40-F Ex. 99.1)</t>
        </is>
      </c>
      <c r="O560" t="inlineStr">
        <is>
          <t>https://www.sec.gov/Archives/edgar/data/1203464/000106299319001011/exhibit99-1.htm</t>
        </is>
      </c>
      <c r="P560" t="inlineStr">
        <is>
          <t>2019-02-20</t>
        </is>
      </c>
      <c r="Q560" t="inlineStr">
        <is>
          <t>Electricity to the EMZ deposit is provided by on-site heavy fuel oil generators and solar power</t>
        </is>
      </c>
      <c r="R560" t="inlineStr"/>
    </row>
    <row r="561">
      <c r="A561" t="inlineStr">
        <is>
          <t>qualitatif</t>
        </is>
      </c>
      <c r="B561" t="inlineStr">
        <is>
          <t>B_captif</t>
        </is>
      </c>
      <c r="C561" t="inlineStr">
        <is>
          <t>B</t>
        </is>
      </c>
      <c r="D561" t="inlineStr">
        <is>
          <t>ZWE</t>
        </is>
      </c>
      <c r="E561" t="inlineStr">
        <is>
          <t>Blanket Mine solar plant (Caledonia Mining Services)</t>
        </is>
      </c>
      <c r="F561" t="inlineStr">
        <is>
          <t>developpeur_proprietaire</t>
        </is>
      </c>
      <c r="G561" t="inlineStr">
        <is>
          <t>Caledonia Mining (CMS) ; EPC Voltalia Portugal ; vendu à CrossBoundary Energy Holdings (2024-2025)</t>
        </is>
      </c>
      <c r="H561" t="inlineStr">
        <is>
          <t>texte</t>
        </is>
      </c>
      <c r="I561" t="inlineStr">
        <is>
          <t>observée</t>
        </is>
      </c>
      <c r="J561" t="n">
        <v>2024</v>
      </c>
      <c r="K561" t="inlineStr">
        <is>
          <t>A</t>
        </is>
      </c>
      <c r="L561" t="inlineStr">
        <is>
          <t>qualitatif_citation_ok</t>
        </is>
      </c>
      <c r="M561" t="inlineStr">
        <is>
          <t>Caledonia Mining</t>
        </is>
      </c>
      <c r="N561" t="inlineStr">
        <is>
          <t>Caledonia Mining – MD&amp;A 2024 (6-K Ex. 99.2)</t>
        </is>
      </c>
      <c r="O561" t="inlineStr">
        <is>
          <t>https://www.sec.gov/Archives/edgar/data/766011/000117184325001833/ex_794864.htm</t>
        </is>
      </c>
      <c r="P561" t="inlineStr">
        <is>
          <t>2025-03-31</t>
        </is>
      </c>
      <c r="Q561" t="inlineStr">
        <is>
          <t>CMS is to be sold to CrossBoundary Energy Holdings ("CBE") for $22.35 million, payable in cash, and the power generation of the solar plant will continue to be sold to Blanket Mine by way of a power purchase agreement.</t>
        </is>
      </c>
      <c r="R561" t="inlineStr">
        <is>
          <t>EPC Voltalia : 'amount payable to Voltalia Portugal S.A. in relation to construction of the solar plant' (MD&amp;A 2022).</t>
        </is>
      </c>
    </row>
    <row r="562">
      <c r="A562" t="inlineStr">
        <is>
          <t>qualitatif</t>
        </is>
      </c>
      <c r="B562" t="inlineStr">
        <is>
          <t>B_captif</t>
        </is>
      </c>
      <c r="C562" t="inlineStr">
        <is>
          <t>B</t>
        </is>
      </c>
      <c r="D562" t="inlineStr">
        <is>
          <t>ZWE</t>
        </is>
      </c>
      <c r="E562" t="inlineStr">
        <is>
          <t>Blanket Mine solar plant (Caledonia Mining Services)</t>
        </is>
      </c>
      <c r="F562" t="inlineStr">
        <is>
          <t>secteur</t>
        </is>
      </c>
      <c r="G562" t="inlineStr">
        <is>
          <t>mine d'or</t>
        </is>
      </c>
      <c r="H562" t="inlineStr">
        <is>
          <t>texte</t>
        </is>
      </c>
      <c r="I562" t="inlineStr">
        <is>
          <t>observée</t>
        </is>
      </c>
      <c r="J562" t="n">
        <v>2022</v>
      </c>
      <c r="K562" t="inlineStr">
        <is>
          <t>B</t>
        </is>
      </c>
      <c r="L562" t="inlineStr">
        <is>
          <t>qualitatif_citation_ok</t>
        </is>
      </c>
      <c r="M562" t="inlineStr">
        <is>
          <t>Caledonia Mining</t>
        </is>
      </c>
      <c r="N562" t="inlineStr">
        <is>
          <t>Caledonia Mining Corporation Plc: Solar Plant Provides Power to Blanket Mine (6-K Ex. 99.1)</t>
        </is>
      </c>
      <c r="O562" t="inlineStr">
        <is>
          <t>https://www.sec.gov/Archives/edgar/data/766011/000117184322007427/exh_991.htm</t>
        </is>
      </c>
      <c r="P562" t="inlineStr">
        <is>
          <t>2022-11-14</t>
        </is>
      </c>
      <c r="Q562" t="inlineStr">
        <is>
          <t>the new solar plant at Blanket Mine ("Blanket") will today start to generate power</t>
        </is>
      </c>
      <c r="R562" t="inlineStr"/>
    </row>
    <row r="563">
      <c r="A563" t="inlineStr">
        <is>
          <t>retenu</t>
        </is>
      </c>
      <c r="B563" t="inlineStr">
        <is>
          <t>B_captif</t>
        </is>
      </c>
      <c r="C563" t="inlineStr">
        <is>
          <t>B</t>
        </is>
      </c>
      <c r="D563" t="inlineStr">
        <is>
          <t>ZWE</t>
        </is>
      </c>
      <c r="E563" t="inlineStr">
        <is>
          <t>Blanket Mine solar plant (Caledonia Mining Services)</t>
        </is>
      </c>
      <c r="F563" t="inlineStr">
        <is>
          <t>puissance_mwac</t>
        </is>
      </c>
      <c r="G563" t="n">
        <v>12.2</v>
      </c>
      <c r="H563" t="inlineStr">
        <is>
          <t>MWac</t>
        </is>
      </c>
      <c r="I563" t="inlineStr">
        <is>
          <t>observée</t>
        </is>
      </c>
      <c r="J563" t="n">
        <v>2022</v>
      </c>
      <c r="K563" t="inlineStr">
        <is>
          <t>A</t>
        </is>
      </c>
      <c r="L563" t="inlineStr">
        <is>
          <t>confirmé</t>
        </is>
      </c>
      <c r="M563" t="inlineStr">
        <is>
          <t>Caledonia Mining</t>
        </is>
      </c>
      <c r="N563" t="inlineStr">
        <is>
          <t>Caledonia Mining – MD&amp;A 2022 (6-K Ex. 99.2)</t>
        </is>
      </c>
      <c r="O563" t="inlineStr">
        <is>
          <t>https://www.sec.gov/Archives/edgar/data/766011/000117184323001872/ex_492474.htm</t>
        </is>
      </c>
      <c r="P563" t="inlineStr">
        <is>
          <t>2023-03</t>
        </is>
      </c>
      <c r="Q563" t="inlineStr">
        <is>
          <t>Caledonia's wholly owned 12.2 MWac solar plant was connected to the Blanket grid in November, 2022.</t>
        </is>
      </c>
      <c r="R563" t="inlineStr"/>
    </row>
    <row r="564">
      <c r="A564" t="inlineStr">
        <is>
          <t>qualitatif</t>
        </is>
      </c>
      <c r="B564" t="inlineStr">
        <is>
          <t>B_captif</t>
        </is>
      </c>
      <c r="C564" t="inlineStr">
        <is>
          <t>B</t>
        </is>
      </c>
      <c r="D564" t="inlineStr">
        <is>
          <t>ZWE</t>
        </is>
      </c>
      <c r="E564" t="inlineStr">
        <is>
          <t>Blanket Mine solar plant (Caledonia Mining Services)</t>
        </is>
      </c>
      <c r="F564" t="inlineStr">
        <is>
          <t>technologie</t>
        </is>
      </c>
      <c r="G564" t="inlineStr">
        <is>
          <t>PV + réseau ZESA + groupes diesel de secours</t>
        </is>
      </c>
      <c r="H564" t="inlineStr">
        <is>
          <t>texte</t>
        </is>
      </c>
      <c r="I564" t="inlineStr">
        <is>
          <t>déclarée</t>
        </is>
      </c>
      <c r="J564" t="n">
        <v>2022</v>
      </c>
      <c r="K564" t="inlineStr">
        <is>
          <t>B</t>
        </is>
      </c>
      <c r="L564" t="inlineStr">
        <is>
          <t>qualitatif_citation_ok</t>
        </is>
      </c>
      <c r="M564" t="inlineStr">
        <is>
          <t>Caledonia Mining</t>
        </is>
      </c>
      <c r="N564" t="inlineStr">
        <is>
          <t>Caledonia Mining Corporation Plc: Solar Plant Provides Power to Blanket Mine (6-K Ex. 99.1)</t>
        </is>
      </c>
      <c r="O564" t="inlineStr">
        <is>
          <t>https://www.sec.gov/Archives/edgar/data/766011/000117184322007427/exh_991.htm</t>
        </is>
      </c>
      <c r="P564" t="inlineStr">
        <is>
          <t>2022-11-14</t>
        </is>
      </c>
      <c r="Q564" t="inlineStr">
        <is>
          <t>The solar power will displace more expensive power from the grid and from the diesel generators</t>
        </is>
      </c>
      <c r="R564" t="inlineStr"/>
    </row>
    <row r="565">
      <c r="A565" t="inlineStr">
        <is>
          <t>retenu</t>
        </is>
      </c>
      <c r="B565" t="inlineStr">
        <is>
          <t>B_captif</t>
        </is>
      </c>
      <c r="C565" t="inlineStr">
        <is>
          <t>B</t>
        </is>
      </c>
      <c r="D565" t="inlineStr">
        <is>
          <t>ZWE</t>
        </is>
      </c>
      <c r="E565" t="inlineStr">
        <is>
          <t>Blanket Mine solar plant (Caledonia Mining Services)</t>
        </is>
      </c>
      <c r="F565" t="inlineStr">
        <is>
          <t>capex_total</t>
        </is>
      </c>
      <c r="G565" t="n">
        <v>14300000</v>
      </c>
      <c r="H565" t="inlineStr">
        <is>
          <t>USD</t>
        </is>
      </c>
      <c r="I565" t="inlineStr">
        <is>
          <t>observée</t>
        </is>
      </c>
      <c r="J565" t="n">
        <v>2023</v>
      </c>
      <c r="K565" t="inlineStr">
        <is>
          <t>A</t>
        </is>
      </c>
      <c r="L565" t="inlineStr">
        <is>
          <t>confirmé</t>
        </is>
      </c>
      <c r="M565" t="inlineStr">
        <is>
          <t>Caledonia Mining</t>
        </is>
      </c>
      <c r="N565" t="inlineStr">
        <is>
          <t>Caledonia Mining – MD&amp;A 2022 (6-K Ex. 99.2)</t>
        </is>
      </c>
      <c r="O565" t="inlineStr">
        <is>
          <t>https://www.sec.gov/Archives/edgar/data/766011/000117184323001872/ex_492474.htm</t>
        </is>
      </c>
      <c r="P565" t="inlineStr">
        <is>
          <t>2023-03</t>
        </is>
      </c>
      <c r="Q565" t="inlineStr">
        <is>
          <t>2 MWac solar plant was connected to the Blanket grid in November, 2022 and was fully commissioned in early February 2023 at a construction cost of approximately $14.3 million.</t>
        </is>
      </c>
      <c r="R565" t="inlineStr">
        <is>
          <t>Coût de construction réalisé. ≈ 1,17 USD/Wac (calcul).</t>
        </is>
      </c>
    </row>
    <row r="566">
      <c r="A566" t="inlineStr">
        <is>
          <t>retenu</t>
        </is>
      </c>
      <c r="B566" t="inlineStr">
        <is>
          <t>B_captif</t>
        </is>
      </c>
      <c r="C566" t="inlineStr">
        <is>
          <t>B</t>
        </is>
      </c>
      <c r="D566" t="inlineStr">
        <is>
          <t>ZWE</t>
        </is>
      </c>
      <c r="E566" t="inlineStr">
        <is>
          <t>Blanket Mine solar plant (Caledonia Mining Services)</t>
        </is>
      </c>
      <c r="F566" t="inlineStr">
        <is>
          <t>taux_couverture_solaire</t>
        </is>
      </c>
      <c r="G566" t="n">
        <v>27</v>
      </c>
      <c r="H566" t="inlineStr">
        <is>
          <t>% demande électrique moyenne</t>
        </is>
      </c>
      <c r="I566" t="inlineStr">
        <is>
          <t>déclarée</t>
        </is>
      </c>
      <c r="J566" t="n">
        <v>2023</v>
      </c>
      <c r="K566" t="inlineStr">
        <is>
          <t>A</t>
        </is>
      </c>
      <c r="L566" t="inlineStr">
        <is>
          <t>confirmé</t>
        </is>
      </c>
      <c r="M566" t="inlineStr">
        <is>
          <t>Caledonia Mining</t>
        </is>
      </c>
      <c r="N566" t="inlineStr">
        <is>
          <t>Caledonia Mining – MD&amp;A 2022 (6-K Ex. 99.2)</t>
        </is>
      </c>
      <c r="O566" t="inlineStr">
        <is>
          <t>https://www.sec.gov/Archives/edgar/data/766011/000117184323001872/ex_492474.htm</t>
        </is>
      </c>
      <c r="P566" t="inlineStr">
        <is>
          <t>2023-03</t>
        </is>
      </c>
      <c r="Q566" t="inlineStr">
        <is>
          <t>The solar plant currently provides approximately 27%of Blanket's average electricity demand</t>
        </is>
      </c>
      <c r="R566" t="inlineStr">
        <is>
          <t>CONFLIT/évolution : ~20 % des besoins en 2024.</t>
        </is>
      </c>
    </row>
    <row r="567">
      <c r="A567" t="inlineStr">
        <is>
          <t>retenu</t>
        </is>
      </c>
      <c r="B567" t="inlineStr">
        <is>
          <t>B_captif</t>
        </is>
      </c>
      <c r="C567" t="inlineStr">
        <is>
          <t>B</t>
        </is>
      </c>
      <c r="D567" t="inlineStr">
        <is>
          <t>ZWE</t>
        </is>
      </c>
      <c r="E567" t="inlineStr">
        <is>
          <t>Blanket Mine solar plant (Caledonia Mining Services)</t>
        </is>
      </c>
      <c r="F567" t="inlineStr">
        <is>
          <t>taux_couverture_solaire</t>
        </is>
      </c>
      <c r="G567" t="n">
        <v>20</v>
      </c>
      <c r="H567" t="inlineStr">
        <is>
          <t>% besoins énergétiques</t>
        </is>
      </c>
      <c r="I567" t="inlineStr">
        <is>
          <t>observée</t>
        </is>
      </c>
      <c r="J567" t="n">
        <v>2024</v>
      </c>
      <c r="K567" t="inlineStr">
        <is>
          <t>A</t>
        </is>
      </c>
      <c r="L567" t="inlineStr">
        <is>
          <t>confirmé</t>
        </is>
      </c>
      <c r="M567" t="inlineStr">
        <is>
          <t>Caledonia Mining</t>
        </is>
      </c>
      <c r="N567" t="inlineStr">
        <is>
          <t>Caledonia Mining – MD&amp;A 2024 (6-K Ex. 99.2)</t>
        </is>
      </c>
      <c r="O567" t="inlineStr">
        <is>
          <t>https://www.sec.gov/Archives/edgar/data/766011/000117184325001833/ex_794864.htm</t>
        </is>
      </c>
      <c r="P567" t="inlineStr">
        <is>
          <t>2025-03-31</t>
        </is>
      </c>
      <c r="Q567" t="inlineStr">
        <is>
          <t>The solar plant provides approximately 20% of Blanket's energy requirements and it has significantly reduced the use of expensive diesel-generated power.</t>
        </is>
      </c>
      <c r="R567" t="inlineStr"/>
    </row>
    <row r="568">
      <c r="A568" t="inlineStr">
        <is>
          <t>retenu</t>
        </is>
      </c>
      <c r="B568" t="inlineStr">
        <is>
          <t>B_captif</t>
        </is>
      </c>
      <c r="C568" t="inlineStr">
        <is>
          <t>B</t>
        </is>
      </c>
      <c r="D568" t="inlineStr">
        <is>
          <t>ZWE</t>
        </is>
      </c>
      <c r="E568" t="inlineStr">
        <is>
          <t>Blanket Mine solar plant (Caledonia Mining Services)</t>
        </is>
      </c>
      <c r="F568" t="inlineStr">
        <is>
          <t>economie_par_once</t>
        </is>
      </c>
      <c r="G568" t="n">
        <v>37</v>
      </c>
      <c r="H568" t="inlineStr">
        <is>
          <t>USD/once d'or</t>
        </is>
      </c>
      <c r="I568" t="inlineStr">
        <is>
          <t>déclarée</t>
        </is>
      </c>
      <c r="J568" t="n">
        <v>2022</v>
      </c>
      <c r="K568" t="inlineStr">
        <is>
          <t>B</t>
        </is>
      </c>
      <c r="L568" t="inlineStr">
        <is>
          <t>confirmé</t>
        </is>
      </c>
      <c r="M568" t="inlineStr">
        <is>
          <t>Caledonia Mining</t>
        </is>
      </c>
      <c r="N568" t="inlineStr">
        <is>
          <t>Caledonia Mining Corporation Plc: Solar Plant Provides Power to Blanket Mine (6-K Ex. 99.1)</t>
        </is>
      </c>
      <c r="O568" t="inlineStr">
        <is>
          <t>https://www.sec.gov/Archives/edgar/data/766011/000117184322007427/exh_991.htm</t>
        </is>
      </c>
      <c r="P568" t="inlineStr">
        <is>
          <t>2022-11-14</t>
        </is>
      </c>
      <c r="Q568" t="inlineStr">
        <is>
          <t>is expected to reduce Caledonia's consolidated cost per ounce of gold produced by approximately $37</t>
        </is>
      </c>
      <c r="R568" t="inlineStr"/>
    </row>
    <row r="569">
      <c r="A569" t="inlineStr">
        <is>
          <t>retenu</t>
        </is>
      </c>
      <c r="B569" t="inlineStr">
        <is>
          <t>B_captif</t>
        </is>
      </c>
      <c r="C569" t="inlineStr">
        <is>
          <t>B</t>
        </is>
      </c>
      <c r="D569" t="inlineStr">
        <is>
          <t>ZWE</t>
        </is>
      </c>
      <c r="E569" t="inlineStr">
        <is>
          <t>Blanket Mine solar plant (Caledonia Mining Services)</t>
        </is>
      </c>
      <c r="F569" t="inlineStr">
        <is>
          <t>economie_par_once</t>
        </is>
      </c>
      <c r="G569" t="n">
        <v>47</v>
      </c>
      <c r="H569" t="inlineStr">
        <is>
          <t>USD/once vendue (2024)</t>
        </is>
      </c>
      <c r="I569" t="inlineStr">
        <is>
          <t>observée</t>
        </is>
      </c>
      <c r="J569" t="n">
        <v>2024</v>
      </c>
      <c r="K569" t="inlineStr">
        <is>
          <t>A</t>
        </is>
      </c>
      <c r="L569" t="inlineStr">
        <is>
          <t>confirmé</t>
        </is>
      </c>
      <c r="M569" t="inlineStr">
        <is>
          <t>Caledonia Mining</t>
        </is>
      </c>
      <c r="N569" t="inlineStr">
        <is>
          <t>Caledonia Mining – MD&amp;A 2024 (6-K Ex. 99.2)</t>
        </is>
      </c>
      <c r="O569" t="inlineStr">
        <is>
          <t>https://www.sec.gov/Archives/edgar/data/766011/000117184325001833/ex_794864.htm</t>
        </is>
      </c>
      <c r="P569" t="inlineStr">
        <is>
          <t>2025-03-31</t>
        </is>
      </c>
      <c r="Q569" t="inlineStr">
        <is>
          <t>AISC includes the benefit of the solar plant electricity saving ($49 and $47 per ounce for the Quarter and Year respectively).</t>
        </is>
      </c>
      <c r="R569" t="inlineStr"/>
    </row>
    <row r="570">
      <c r="A570" t="inlineStr">
        <is>
          <t>qualitatif</t>
        </is>
      </c>
      <c r="B570" t="inlineStr">
        <is>
          <t>B_captif</t>
        </is>
      </c>
      <c r="C570" t="inlineStr">
        <is>
          <t>B</t>
        </is>
      </c>
      <c r="D570" t="inlineStr">
        <is>
          <t>ZWE</t>
        </is>
      </c>
      <c r="E570" t="inlineStr">
        <is>
          <t>Blanket Mine solar plant (Caledonia Mining Services)</t>
        </is>
      </c>
      <c r="F570" t="inlineStr">
        <is>
          <t>tarif_ppa</t>
        </is>
      </c>
      <c r="G570" t="inlineStr">
        <is>
          <t>prix/kWh = coût historique moyen pondéré de l'électricité de Blanket (non chiffré)</t>
        </is>
      </c>
      <c r="H570" t="inlineStr">
        <is>
          <t>texte</t>
        </is>
      </c>
      <c r="I570" t="inlineStr">
        <is>
          <t>observée</t>
        </is>
      </c>
      <c r="J570" t="n">
        <v>2024</v>
      </c>
      <c r="K570" t="inlineStr">
        <is>
          <t>A</t>
        </is>
      </c>
      <c r="L570" t="inlineStr">
        <is>
          <t>qualitatif_citation_ok</t>
        </is>
      </c>
      <c r="M570" t="inlineStr">
        <is>
          <t>Caledonia Mining</t>
        </is>
      </c>
      <c r="N570" t="inlineStr">
        <is>
          <t>Caledonia Mining – MD&amp;A 2024 (6-K Ex. 99.2)</t>
        </is>
      </c>
      <c r="O570" t="inlineStr">
        <is>
          <t>https://www.sec.gov/Archives/edgar/data/766011/000117184325001833/ex_794864.htm</t>
        </is>
      </c>
      <c r="P570" t="inlineStr">
        <is>
          <t>2025-03-31</t>
        </is>
      </c>
      <c r="Q570" t="inlineStr">
        <is>
          <t>the solar plant sells power to Blanket at a price per kilowatt/hour which reflects Blanket's historic blended cost per unit of power</t>
        </is>
      </c>
      <c r="R570" t="inlineStr">
        <is>
          <t>Tarif chiffré non publié.</t>
        </is>
      </c>
    </row>
    <row r="571">
      <c r="A571" t="inlineStr">
        <is>
          <t>retenu</t>
        </is>
      </c>
      <c r="B571" t="inlineStr">
        <is>
          <t>B_captif</t>
        </is>
      </c>
      <c r="C571" t="inlineStr">
        <is>
          <t>B</t>
        </is>
      </c>
      <c r="D571" t="inlineStr">
        <is>
          <t>ZWE</t>
        </is>
      </c>
      <c r="E571" t="inlineStr">
        <is>
          <t>Blanket Mine solar plant (Caledonia Mining Services)</t>
        </is>
      </c>
      <c r="F571" t="inlineStr">
        <is>
          <t>valeur_cession</t>
        </is>
      </c>
      <c r="G571" t="n">
        <v>22350000</v>
      </c>
      <c r="H571" t="inlineStr">
        <is>
          <t>USD</t>
        </is>
      </c>
      <c r="I571" t="inlineStr">
        <is>
          <t>observée</t>
        </is>
      </c>
      <c r="J571" t="n">
        <v>2024</v>
      </c>
      <c r="K571" t="inlineStr">
        <is>
          <t>A</t>
        </is>
      </c>
      <c r="L571" t="inlineStr">
        <is>
          <t>confirmé</t>
        </is>
      </c>
      <c r="M571" t="inlineStr">
        <is>
          <t>Caledonia Mining</t>
        </is>
      </c>
      <c r="N571" t="inlineStr">
        <is>
          <t>Caledonia Mining – MD&amp;A 2024 (6-K Ex. 99.2)</t>
        </is>
      </c>
      <c r="O571" t="inlineStr">
        <is>
          <t>https://www.sec.gov/Archives/edgar/data/766011/000117184325001833/ex_794864.htm</t>
        </is>
      </c>
      <c r="P571" t="inlineStr">
        <is>
          <t>2025-03-31</t>
        </is>
      </c>
      <c r="Q571" t="inlineStr">
        <is>
          <t>CMS is to be sold to CrossBoundary Energy Holdings ("CBE") for $22.35 million, payable in cash</t>
        </is>
      </c>
      <c r="R571" t="inlineStr">
        <is>
          <t>Prix de cession (accord conditionnel 30/09/2024) &gt; coût de construction 14,3 M USD.</t>
        </is>
      </c>
    </row>
    <row r="572">
      <c r="A572" t="inlineStr">
        <is>
          <t>qualitatif</t>
        </is>
      </c>
      <c r="B572" t="inlineStr">
        <is>
          <t>B_captif</t>
        </is>
      </c>
      <c r="C572" t="inlineStr">
        <is>
          <t>B</t>
        </is>
      </c>
      <c r="D572" t="inlineStr">
        <is>
          <t>ZWE</t>
        </is>
      </c>
      <c r="E572" t="inlineStr">
        <is>
          <t>Blanket Mine solar plant (Caledonia Mining Services)</t>
        </is>
      </c>
      <c r="F572" t="inlineStr">
        <is>
          <t>modele_commercial</t>
        </is>
      </c>
      <c r="G572" t="inlineStr">
        <is>
          <t>autoproduction (filiale) puis PPA privé avec CrossBoundary Energy</t>
        </is>
      </c>
      <c r="H572" t="inlineStr">
        <is>
          <t>texte</t>
        </is>
      </c>
      <c r="I572" t="inlineStr">
        <is>
          <t>observée</t>
        </is>
      </c>
      <c r="J572" t="n">
        <v>2024</v>
      </c>
      <c r="K572" t="inlineStr">
        <is>
          <t>A</t>
        </is>
      </c>
      <c r="L572" t="inlineStr">
        <is>
          <t>qualitatif_citation_ok</t>
        </is>
      </c>
      <c r="M572" t="inlineStr">
        <is>
          <t>Caledonia Mining</t>
        </is>
      </c>
      <c r="N572" t="inlineStr">
        <is>
          <t>Caledonia Mining – MD&amp;A 2024 (6-K Ex. 99.2)</t>
        </is>
      </c>
      <c r="O572" t="inlineStr">
        <is>
          <t>https://www.sec.gov/Archives/edgar/data/766011/000117184325001833/ex_794864.htm</t>
        </is>
      </c>
      <c r="P572" t="inlineStr">
        <is>
          <t>2025-03-31</t>
        </is>
      </c>
      <c r="Q572" t="inlineStr">
        <is>
          <t>the power generation of the solar plant will continue to be sold to Blanket Mine by way of a power purchase agreement</t>
        </is>
      </c>
      <c r="R572" t="inlineStr"/>
    </row>
    <row r="573">
      <c r="A573" t="inlineStr">
        <is>
          <t>qualitatif</t>
        </is>
      </c>
      <c r="B573" t="inlineStr">
        <is>
          <t>B_captif</t>
        </is>
      </c>
      <c r="C573" t="inlineStr">
        <is>
          <t>B</t>
        </is>
      </c>
      <c r="D573" t="inlineStr">
        <is>
          <t>ZAF</t>
        </is>
      </c>
      <c r="E573" t="inlineStr">
        <is>
          <t>Khanyisa solar plant – mine d'or South Deep</t>
        </is>
      </c>
      <c r="F573" t="inlineStr">
        <is>
          <t>developpeur_proprietaire</t>
        </is>
      </c>
      <c r="G573" t="inlineStr">
        <is>
          <t>Gold Fields (South Deep)</t>
        </is>
      </c>
      <c r="H573" t="inlineStr">
        <is>
          <t>texte</t>
        </is>
      </c>
      <c r="I573" t="inlineStr">
        <is>
          <t>observée</t>
        </is>
      </c>
      <c r="J573" t="n">
        <v>2023</v>
      </c>
      <c r="K573" t="inlineStr">
        <is>
          <t>A</t>
        </is>
      </c>
      <c r="L573" t="inlineStr">
        <is>
          <t>qualitatif_citation_ok</t>
        </is>
      </c>
      <c r="M573" t="inlineStr">
        <is>
          <t>Gold Fields</t>
        </is>
      </c>
      <c r="N573" t="inlineStr">
        <is>
          <t>Gold Fields Ltd – Form 20-F 2023</t>
        </is>
      </c>
      <c r="O573" t="inlineStr">
        <is>
          <t>https://www.sec.gov/Archives/edgar/data/1172724/000117272424000017/gfi-20231231.htm</t>
        </is>
      </c>
      <c r="P573" t="inlineStr">
        <is>
          <t>2024-03-28</t>
        </is>
      </c>
      <c r="Q573" t="inlineStr">
        <is>
          <t>South Deep constructed the 50MW Khanyisa solar plant, which completed its first year of production in 2023.</t>
        </is>
      </c>
      <c r="R573" t="inlineStr"/>
    </row>
    <row r="574">
      <c r="A574" t="inlineStr">
        <is>
          <t>qualitatif</t>
        </is>
      </c>
      <c r="B574" t="inlineStr">
        <is>
          <t>B_captif</t>
        </is>
      </c>
      <c r="C574" t="inlineStr">
        <is>
          <t>B</t>
        </is>
      </c>
      <c r="D574" t="inlineStr">
        <is>
          <t>ZAF</t>
        </is>
      </c>
      <c r="E574" t="inlineStr">
        <is>
          <t>Khanyisa solar plant – mine d'or South Deep</t>
        </is>
      </c>
      <c r="F574" t="inlineStr">
        <is>
          <t>secteur</t>
        </is>
      </c>
      <c r="G574" t="inlineStr">
        <is>
          <t>mine d'or souterraine (raccordée Eskom)</t>
        </is>
      </c>
      <c r="H574" t="inlineStr">
        <is>
          <t>texte</t>
        </is>
      </c>
      <c r="I574" t="inlineStr">
        <is>
          <t>observée</t>
        </is>
      </c>
      <c r="J574" t="n">
        <v>2023</v>
      </c>
      <c r="K574" t="inlineStr">
        <is>
          <t>A</t>
        </is>
      </c>
      <c r="L574" t="inlineStr">
        <is>
          <t>qualitatif_citation_ok</t>
        </is>
      </c>
      <c r="M574" t="inlineStr">
        <is>
          <t>Gold Fields</t>
        </is>
      </c>
      <c r="N574" t="inlineStr">
        <is>
          <t>Gold Fields Ltd – Form 20-F 2023</t>
        </is>
      </c>
      <c r="O574" t="inlineStr">
        <is>
          <t>https://www.sec.gov/Archives/edgar/data/1172724/000117272424000017/gfi-20231231.htm</t>
        </is>
      </c>
      <c r="P574" t="inlineStr">
        <is>
          <t>2024-03-28</t>
        </is>
      </c>
      <c r="Q574" t="inlineStr">
        <is>
          <t>To reduce our reliance on Eskom and achieve cost benefits, South Deep constructed the 50MW Khanyisa solar plant</t>
        </is>
      </c>
      <c r="R574" t="inlineStr"/>
    </row>
    <row r="575">
      <c r="A575" t="inlineStr">
        <is>
          <t>retenu</t>
        </is>
      </c>
      <c r="B575" t="inlineStr">
        <is>
          <t>B_captif</t>
        </is>
      </c>
      <c r="C575" t="inlineStr">
        <is>
          <t>B</t>
        </is>
      </c>
      <c r="D575" t="inlineStr">
        <is>
          <t>ZAF</t>
        </is>
      </c>
      <c r="E575" t="inlineStr">
        <is>
          <t>Khanyisa solar plant – mine d'or South Deep</t>
        </is>
      </c>
      <c r="F575" t="inlineStr">
        <is>
          <t>puissance_mwp</t>
        </is>
      </c>
      <c r="G575" t="n">
        <v>50</v>
      </c>
      <c r="H575" t="inlineStr">
        <is>
          <t>MW</t>
        </is>
      </c>
      <c r="I575" t="inlineStr">
        <is>
          <t>observée</t>
        </is>
      </c>
      <c r="J575" t="n">
        <v>2023</v>
      </c>
      <c r="K575" t="inlineStr">
        <is>
          <t>A</t>
        </is>
      </c>
      <c r="L575" t="inlineStr">
        <is>
          <t>confirmé</t>
        </is>
      </c>
      <c r="M575" t="inlineStr">
        <is>
          <t>Gold Fields</t>
        </is>
      </c>
      <c r="N575" t="inlineStr">
        <is>
          <t>Gold Fields Ltd – Form 20-F 2023</t>
        </is>
      </c>
      <c r="O575" t="inlineStr">
        <is>
          <t>https://www.sec.gov/Archives/edgar/data/1172724/000117272424000017/gfi-20231231.htm</t>
        </is>
      </c>
      <c r="P575" t="inlineStr">
        <is>
          <t>2024-03-28</t>
        </is>
      </c>
      <c r="Q575" t="inlineStr">
        <is>
          <t>South Deep constructed the 50MW Khanyisa solar plant</t>
        </is>
      </c>
      <c r="R575" t="inlineStr">
        <is>
          <t>Unité (MWc/MWac) non précisée.</t>
        </is>
      </c>
    </row>
    <row r="576">
      <c r="A576" t="inlineStr">
        <is>
          <t>qualitatif</t>
        </is>
      </c>
      <c r="B576" t="inlineStr">
        <is>
          <t>B_captif</t>
        </is>
      </c>
      <c r="C576" t="inlineStr">
        <is>
          <t>B</t>
        </is>
      </c>
      <c r="D576" t="inlineStr">
        <is>
          <t>ZAF</t>
        </is>
      </c>
      <c r="E576" t="inlineStr">
        <is>
          <t>Khanyisa solar plant – mine d'or South Deep</t>
        </is>
      </c>
      <c r="F576" t="inlineStr">
        <is>
          <t>technologie</t>
        </is>
      </c>
      <c r="G576" t="inlineStr">
        <is>
          <t>PV raccordé au réseau interne (autoconsommation, sans stockage mentionné)</t>
        </is>
      </c>
      <c r="H576" t="inlineStr">
        <is>
          <t>texte</t>
        </is>
      </c>
      <c r="I576" t="inlineStr">
        <is>
          <t>déclarée</t>
        </is>
      </c>
      <c r="J576" t="n">
        <v>2022</v>
      </c>
      <c r="K576" t="inlineStr">
        <is>
          <t>A</t>
        </is>
      </c>
      <c r="L576" t="inlineStr">
        <is>
          <t>qualitatif_citation_ok</t>
        </is>
      </c>
      <c r="M576" t="inlineStr">
        <is>
          <t>Gold Fields</t>
        </is>
      </c>
      <c r="N576" t="inlineStr">
        <is>
          <t>Gold Fields Ltd – Form 20-F 2022</t>
        </is>
      </c>
      <c r="O576" t="inlineStr">
        <is>
          <t>https://www.sec.gov/Archives/edgar/data/1172724/000117272423000018/gfi-20221231.htm</t>
        </is>
      </c>
      <c r="P576" t="inlineStr">
        <is>
          <t>2023-03-30</t>
        </is>
      </c>
      <c r="Q576" t="inlineStr">
        <is>
          <t>The new 50MW solar plant was successfully commissioned in H2 2022 and will provide 24% of the mine's total electricity demand.</t>
        </is>
      </c>
      <c r="R576" t="inlineStr"/>
    </row>
    <row r="577">
      <c r="A577" t="inlineStr">
        <is>
          <t>retenu</t>
        </is>
      </c>
      <c r="B577" t="inlineStr">
        <is>
          <t>B_captif</t>
        </is>
      </c>
      <c r="C577" t="inlineStr">
        <is>
          <t>B</t>
        </is>
      </c>
      <c r="D577" t="inlineStr">
        <is>
          <t>ZAF</t>
        </is>
      </c>
      <c r="E577" t="inlineStr">
        <is>
          <t>Khanyisa solar plant – mine d'or South Deep</t>
        </is>
      </c>
      <c r="F577" t="inlineStr">
        <is>
          <t>capex_total</t>
        </is>
      </c>
      <c r="G577" t="n">
        <v>715000000</v>
      </c>
      <c r="H577" t="inlineStr">
        <is>
          <t>ZAR (≈ 46 M USD)</t>
        </is>
      </c>
      <c r="I577" t="inlineStr">
        <is>
          <t>observée</t>
        </is>
      </c>
      <c r="J577" t="n">
        <v>2023</v>
      </c>
      <c r="K577" t="inlineStr">
        <is>
          <t>A</t>
        </is>
      </c>
      <c r="L577" t="inlineStr">
        <is>
          <t>citation_partielle</t>
        </is>
      </c>
      <c r="M577" t="inlineStr">
        <is>
          <t>Gold Fields</t>
        </is>
      </c>
      <c r="N577" t="inlineStr">
        <is>
          <t>Gold Fields Ltd – Form 20-F 2023</t>
        </is>
      </c>
      <c r="O577" t="inlineStr">
        <is>
          <t>https://www.sec.gov/Archives/edgar/data/1172724/000117272424000017/gfi-20231231.htm</t>
        </is>
      </c>
      <c r="P577" t="inlineStr">
        <is>
          <t>2024-03-28</t>
        </is>
      </c>
      <c r="Q577" t="inlineStr">
        <is>
          <t>We invested R715m (US$46m) in the plant's construction.</t>
        </is>
      </c>
      <c r="R577" t="inlineStr">
        <is>
          <t>Coût réalisé, financé sur fonds propres (cash-flow d'exploitation).</t>
        </is>
      </c>
    </row>
    <row r="578">
      <c r="A578" t="inlineStr">
        <is>
          <t>retenu</t>
        </is>
      </c>
      <c r="B578" t="inlineStr">
        <is>
          <t>B_captif</t>
        </is>
      </c>
      <c r="C578" t="inlineStr">
        <is>
          <t>B</t>
        </is>
      </c>
      <c r="D578" t="inlineStr">
        <is>
          <t>ZAF</t>
        </is>
      </c>
      <c r="E578" t="inlineStr">
        <is>
          <t>Khanyisa solar plant – mine d'or South Deep</t>
        </is>
      </c>
      <c r="F578" t="inlineStr">
        <is>
          <t>capex_depense_periode</t>
        </is>
      </c>
      <c r="G578" t="n">
        <v>547000000</v>
      </c>
      <c r="H578" t="inlineStr">
        <is>
          <t>ZAR (≈ 35 M USD, 2022)</t>
        </is>
      </c>
      <c r="I578" t="inlineStr">
        <is>
          <t>observée</t>
        </is>
      </c>
      <c r="J578" t="n">
        <v>2022</v>
      </c>
      <c r="K578" t="inlineStr">
        <is>
          <t>A</t>
        </is>
      </c>
      <c r="L578" t="inlineStr">
        <is>
          <t>confirmé</t>
        </is>
      </c>
      <c r="M578" t="inlineStr">
        <is>
          <t>Gold Fields</t>
        </is>
      </c>
      <c r="N578" t="inlineStr">
        <is>
          <t>Gold Fields Ltd – Form 20-F 2022</t>
        </is>
      </c>
      <c r="O578" t="inlineStr">
        <is>
          <t>https://www.sec.gov/Archives/edgar/data/1172724/000117272423000018/gfi-20221231.htm</t>
        </is>
      </c>
      <c r="P578" t="inlineStr">
        <is>
          <t>2023-03-30</t>
        </is>
      </c>
      <c r="Q578" t="inlineStr">
        <is>
          <t>the increased spend on the solar plant (R547m (US$35m))</t>
        </is>
      </c>
      <c r="R578" t="inlineStr"/>
    </row>
    <row r="579">
      <c r="A579" t="inlineStr">
        <is>
          <t>retenu</t>
        </is>
      </c>
      <c r="B579" t="inlineStr">
        <is>
          <t>B_captif</t>
        </is>
      </c>
      <c r="C579" t="inlineStr">
        <is>
          <t>B</t>
        </is>
      </c>
      <c r="D579" t="inlineStr">
        <is>
          <t>ZAF</t>
        </is>
      </c>
      <c r="E579" t="inlineStr">
        <is>
          <t>Khanyisa solar plant – mine d'or South Deep</t>
        </is>
      </c>
      <c r="F579" t="inlineStr">
        <is>
          <t>annee_mise_en_service</t>
        </is>
      </c>
      <c r="G579" t="n">
        <v>2022</v>
      </c>
      <c r="H579" t="inlineStr">
        <is>
          <t>année (S2 2022)</t>
        </is>
      </c>
      <c r="I579" t="inlineStr">
        <is>
          <t>observée</t>
        </is>
      </c>
      <c r="J579" t="n">
        <v>2022</v>
      </c>
      <c r="K579" t="inlineStr">
        <is>
          <t>A</t>
        </is>
      </c>
      <c r="L579" t="inlineStr">
        <is>
          <t>confirmé</t>
        </is>
      </c>
      <c r="M579" t="inlineStr">
        <is>
          <t>Gold Fields</t>
        </is>
      </c>
      <c r="N579" t="inlineStr">
        <is>
          <t>Gold Fields Ltd – Form 20-F 2022</t>
        </is>
      </c>
      <c r="O579" t="inlineStr">
        <is>
          <t>https://www.sec.gov/Archives/edgar/data/1172724/000117272423000018/gfi-20221231.htm</t>
        </is>
      </c>
      <c r="P579" t="inlineStr">
        <is>
          <t>2023-03-30</t>
        </is>
      </c>
      <c r="Q579" t="inlineStr">
        <is>
          <t>The new 50MW solar plant was successfully commissioned in H2 2022</t>
        </is>
      </c>
      <c r="R579" t="inlineStr">
        <is>
          <t>Le 20-F 2023 parle de 'first year of production in 2023' ; retard de mise en service évoqué dans le 20-F 2022.</t>
        </is>
      </c>
    </row>
    <row r="580">
      <c r="A580" t="inlineStr">
        <is>
          <t>retenu</t>
        </is>
      </c>
      <c r="B580" t="inlineStr">
        <is>
          <t>B_captif</t>
        </is>
      </c>
      <c r="C580" t="inlineStr">
        <is>
          <t>B</t>
        </is>
      </c>
      <c r="D580" t="inlineStr">
        <is>
          <t>ZAF</t>
        </is>
      </c>
      <c r="E580" t="inlineStr">
        <is>
          <t>Khanyisa solar plant – mine d'or South Deep</t>
        </is>
      </c>
      <c r="F580" t="inlineStr">
        <is>
          <t>taux_couverture_solaire</t>
        </is>
      </c>
      <c r="G580" t="n">
        <v>15</v>
      </c>
      <c r="H580" t="inlineStr">
        <is>
          <t>% besoins électriques (2023)</t>
        </is>
      </c>
      <c r="I580" t="inlineStr">
        <is>
          <t>observée</t>
        </is>
      </c>
      <c r="J580" t="n">
        <v>2023</v>
      </c>
      <c r="K580" t="inlineStr">
        <is>
          <t>A</t>
        </is>
      </c>
      <c r="L580" t="inlineStr">
        <is>
          <t>citation_partielle</t>
        </is>
      </c>
      <c r="M580" t="inlineStr">
        <is>
          <t>Gold Fields</t>
        </is>
      </c>
      <c r="N580" t="inlineStr">
        <is>
          <t>Gold Fields Ltd – Form 20-F 2023</t>
        </is>
      </c>
      <c r="O580" t="inlineStr">
        <is>
          <t>https://www.sec.gov/Archives/edgar/data/1172724/000117272424000017/gfi-20231231.htm</t>
        </is>
      </c>
      <c r="P580" t="inlineStr">
        <is>
          <t>2024-03-28</t>
        </is>
      </c>
      <c r="Q580" t="inlineStr">
        <is>
          <t>The solar plant provided approximately 15% of South Deep's electricity needs during the year and led to R150m (US$7.1m) in savings.</t>
        </is>
      </c>
      <c r="R580" t="inlineStr">
        <is>
          <t>CONFLIT déclaré/observé : 24 % annoncés (2022), 23 % à pleine capacité (2023).</t>
        </is>
      </c>
    </row>
    <row r="581">
      <c r="A581" t="inlineStr">
        <is>
          <t>retenu</t>
        </is>
      </c>
      <c r="B581" t="inlineStr">
        <is>
          <t>B_captif</t>
        </is>
      </c>
      <c r="C581" t="inlineStr">
        <is>
          <t>B</t>
        </is>
      </c>
      <c r="D581" t="inlineStr">
        <is>
          <t>ZAF</t>
        </is>
      </c>
      <c r="E581" t="inlineStr">
        <is>
          <t>Khanyisa solar plant – mine d'or South Deep</t>
        </is>
      </c>
      <c r="F581" t="inlineStr">
        <is>
          <t>taux_couverture_solaire</t>
        </is>
      </c>
      <c r="G581" t="n">
        <v>24</v>
      </c>
      <c r="H581" t="inlineStr">
        <is>
          <t>% demande électrique totale</t>
        </is>
      </c>
      <c r="I581" t="inlineStr">
        <is>
          <t>déclarée</t>
        </is>
      </c>
      <c r="J581" t="n">
        <v>2022</v>
      </c>
      <c r="K581" t="inlineStr">
        <is>
          <t>A</t>
        </is>
      </c>
      <c r="L581" t="inlineStr">
        <is>
          <t>citation_partielle</t>
        </is>
      </c>
      <c r="M581" t="inlineStr">
        <is>
          <t>Gold Fields</t>
        </is>
      </c>
      <c r="N581" t="inlineStr">
        <is>
          <t>Gold Fields Ltd – Form 20-F 2022</t>
        </is>
      </c>
      <c r="O581" t="inlineStr">
        <is>
          <t>https://www.sec.gov/Archives/edgar/data/1172724/000117272423000018/gfi-20221231.htm</t>
        </is>
      </c>
      <c r="P581" t="inlineStr">
        <is>
          <t>2023-03-30</t>
        </is>
      </c>
      <c r="Q581" t="inlineStr">
        <is>
          <t>will provide 24% of the mine's total electricity demand</t>
        </is>
      </c>
      <c r="R581" t="inlineStr"/>
    </row>
    <row r="582">
      <c r="A582" t="inlineStr">
        <is>
          <t>retenu</t>
        </is>
      </c>
      <c r="B582" t="inlineStr">
        <is>
          <t>B_captif</t>
        </is>
      </c>
      <c r="C582" t="inlineStr">
        <is>
          <t>B</t>
        </is>
      </c>
      <c r="D582" t="inlineStr">
        <is>
          <t>ZAF</t>
        </is>
      </c>
      <c r="E582" t="inlineStr">
        <is>
          <t>Khanyisa solar plant – mine d'or South Deep</t>
        </is>
      </c>
      <c r="F582" t="inlineStr">
        <is>
          <t>economies_usd</t>
        </is>
      </c>
      <c r="G582" t="n">
        <v>150000000</v>
      </c>
      <c r="H582" t="inlineStr">
        <is>
          <t>ZAR/an (≈ 7,1 M USD, 2023)</t>
        </is>
      </c>
      <c r="I582" t="inlineStr">
        <is>
          <t>observée</t>
        </is>
      </c>
      <c r="J582" t="n">
        <v>2023</v>
      </c>
      <c r="K582" t="inlineStr">
        <is>
          <t>A</t>
        </is>
      </c>
      <c r="L582" t="inlineStr">
        <is>
          <t>confirmé</t>
        </is>
      </c>
      <c r="M582" t="inlineStr">
        <is>
          <t>Gold Fields</t>
        </is>
      </c>
      <c r="N582" t="inlineStr">
        <is>
          <t>Gold Fields Ltd – Form 20-F 2023</t>
        </is>
      </c>
      <c r="O582" t="inlineStr">
        <is>
          <t>https://www.sec.gov/Archives/edgar/data/1172724/000117272424000017/gfi-20231231.htm</t>
        </is>
      </c>
      <c r="P582" t="inlineStr">
        <is>
          <t>2024-03-28</t>
        </is>
      </c>
      <c r="Q582" t="inlineStr">
        <is>
          <t>led to R150m (US$7.1m) in savings</t>
        </is>
      </c>
      <c r="R582" t="inlineStr">
        <is>
          <t>Temps de retour implicite ≈ 4,8 ans à ce niveau (calcul 715/150).</t>
        </is>
      </c>
    </row>
    <row r="583">
      <c r="A583" t="inlineStr">
        <is>
          <t>qualitatif</t>
        </is>
      </c>
      <c r="B583" t="inlineStr">
        <is>
          <t>B_captif</t>
        </is>
      </c>
      <c r="C583" t="inlineStr">
        <is>
          <t>B</t>
        </is>
      </c>
      <c r="D583" t="inlineStr">
        <is>
          <t>ZAF</t>
        </is>
      </c>
      <c r="E583" t="inlineStr">
        <is>
          <t>Khanyisa solar plant – mine d'or South Deep</t>
        </is>
      </c>
      <c r="F583" t="inlineStr">
        <is>
          <t>modele_commercial</t>
        </is>
      </c>
      <c r="G583" t="inlineStr">
        <is>
          <t>autoproduction (financement propre)</t>
        </is>
      </c>
      <c r="H583" t="inlineStr">
        <is>
          <t>texte</t>
        </is>
      </c>
      <c r="I583" t="inlineStr">
        <is>
          <t>observée</t>
        </is>
      </c>
      <c r="J583" t="n">
        <v>2022</v>
      </c>
      <c r="K583" t="inlineStr">
        <is>
          <t>A</t>
        </is>
      </c>
      <c r="L583" t="inlineStr">
        <is>
          <t>qualitatif_citation_ok</t>
        </is>
      </c>
      <c r="M583" t="inlineStr">
        <is>
          <t>Gold Fields</t>
        </is>
      </c>
      <c r="N583" t="inlineStr">
        <is>
          <t>Gold Fields Ltd – Form 20-F 2022</t>
        </is>
      </c>
      <c r="O583" t="inlineStr">
        <is>
          <t>https://www.sec.gov/Archives/edgar/data/1172724/000117272423000018/gfi-20221231.htm</t>
        </is>
      </c>
      <c r="P583" t="inlineStr">
        <is>
          <t>2023-03-30</t>
        </is>
      </c>
      <c r="Q583" t="inlineStr">
        <is>
          <t>Where funding from Gold Fields is required, this is largely from operational cash-flows. This was the case with the R715m (US$46m) solar plant at South Deep.</t>
        </is>
      </c>
      <c r="R583" t="inlineStr"/>
    </row>
    <row r="584">
      <c r="A584" t="inlineStr">
        <is>
          <t>retenu</t>
        </is>
      </c>
      <c r="B584" t="inlineStr">
        <is>
          <t>B_captif</t>
        </is>
      </c>
      <c r="C584" t="inlineStr">
        <is>
          <t>B</t>
        </is>
      </c>
      <c r="D584" t="inlineStr">
        <is>
          <t>ZAF</t>
        </is>
      </c>
      <c r="E584" t="inlineStr">
        <is>
          <t>Harmony – phase 1 solaire Free State (Tshepong, Nyala, Eland ; 3 x 10 MW)</t>
        </is>
      </c>
      <c r="F584" t="inlineStr">
        <is>
          <t>puissance_mwp</t>
        </is>
      </c>
      <c r="G584" t="n">
        <v>30</v>
      </c>
      <c r="H584" t="inlineStr">
        <is>
          <t>MW (3 x 10 MW)</t>
        </is>
      </c>
      <c r="I584" t="inlineStr">
        <is>
          <t>observée</t>
        </is>
      </c>
      <c r="J584" t="n">
        <v>2023</v>
      </c>
      <c r="K584" t="inlineStr">
        <is>
          <t>A</t>
        </is>
      </c>
      <c r="L584" t="inlineStr">
        <is>
          <t>confirmé</t>
        </is>
      </c>
      <c r="M584" t="inlineStr">
        <is>
          <t>Harmony Gold</t>
        </is>
      </c>
      <c r="N584" t="inlineStr">
        <is>
          <t>Harmony Gold – Form 20-F FY2023</t>
        </is>
      </c>
      <c r="O584" t="inlineStr">
        <is>
          <t>https://www.sec.gov/Archives/edgar/data/1023514/000162828023035632/hmy-20230630.htm</t>
        </is>
      </c>
      <c r="P584" t="inlineStr">
        <is>
          <t>2023-10-31</t>
        </is>
      </c>
      <c r="Q584" t="inlineStr">
        <is>
          <t>Phase 1 - 30MW solar power, which is complete and has been commissioned in May 2023. It is expected to generate 70 gigawatt hours (Gwh) per annum</t>
        </is>
      </c>
      <c r="R584" t="inlineStr"/>
    </row>
    <row r="585">
      <c r="A585" t="inlineStr">
        <is>
          <t>retenu</t>
        </is>
      </c>
      <c r="B585" t="inlineStr">
        <is>
          <t>B_captif</t>
        </is>
      </c>
      <c r="C585" t="inlineStr">
        <is>
          <t>B</t>
        </is>
      </c>
      <c r="D585" t="inlineStr">
        <is>
          <t>ZAF</t>
        </is>
      </c>
      <c r="E585" t="inlineStr">
        <is>
          <t>Harmony – phase 1 solaire Free State (Tshepong, Nyala, Eland ; 3 x 10 MW)</t>
        </is>
      </c>
      <c r="F585" t="inlineStr">
        <is>
          <t>annee_mise_en_service</t>
        </is>
      </c>
      <c r="G585" t="n">
        <v>2023</v>
      </c>
      <c r="H585" t="inlineStr">
        <is>
          <t>année (mai 2023)</t>
        </is>
      </c>
      <c r="I585" t="inlineStr">
        <is>
          <t>observée</t>
        </is>
      </c>
      <c r="J585" t="n">
        <v>2023</v>
      </c>
      <c r="K585" t="inlineStr">
        <is>
          <t>A</t>
        </is>
      </c>
      <c r="L585" t="inlineStr">
        <is>
          <t>confirmé</t>
        </is>
      </c>
      <c r="M585" t="inlineStr">
        <is>
          <t>Harmony Gold</t>
        </is>
      </c>
      <c r="N585" t="inlineStr">
        <is>
          <t>Harmony Gold – Form 20-F FY2023</t>
        </is>
      </c>
      <c r="O585" t="inlineStr">
        <is>
          <t>https://www.sec.gov/Archives/edgar/data/1023514/000162828023035632/hmy-20230630.htm</t>
        </is>
      </c>
      <c r="P585" t="inlineStr">
        <is>
          <t>2023-10-31</t>
        </is>
      </c>
      <c r="Q585" t="inlineStr">
        <is>
          <t>Phase 1 - 30MW solar power, which is complete and has been commissioned in May 2023.</t>
        </is>
      </c>
      <c r="R585" t="inlineStr"/>
    </row>
    <row r="586">
      <c r="A586" t="inlineStr">
        <is>
          <t>qualitatif</t>
        </is>
      </c>
      <c r="B586" t="inlineStr">
        <is>
          <t>B_captif</t>
        </is>
      </c>
      <c r="C586" t="inlineStr">
        <is>
          <t>B</t>
        </is>
      </c>
      <c r="D586" t="inlineStr">
        <is>
          <t>ZAF</t>
        </is>
      </c>
      <c r="E586" t="inlineStr">
        <is>
          <t>Harmony – phase 1 solaire Free State (Tshepong, Nyala, Eland ; 3 x 10 MW)</t>
        </is>
      </c>
      <c r="F586" t="inlineStr">
        <is>
          <t>modele_commercial</t>
        </is>
      </c>
      <c r="G586" t="inlineStr">
        <is>
          <t>PPA privé 15 ans avec IPP</t>
        </is>
      </c>
      <c r="H586" t="inlineStr">
        <is>
          <t>texte</t>
        </is>
      </c>
      <c r="I586" t="inlineStr">
        <is>
          <t>observée</t>
        </is>
      </c>
      <c r="J586" t="n">
        <v>2023</v>
      </c>
      <c r="K586" t="inlineStr">
        <is>
          <t>A</t>
        </is>
      </c>
      <c r="L586" t="inlineStr">
        <is>
          <t>qualitatif_citation_ok</t>
        </is>
      </c>
      <c r="M586" t="inlineStr">
        <is>
          <t>Harmony Gold</t>
        </is>
      </c>
      <c r="N586" t="inlineStr">
        <is>
          <t>Harmony Gold – Form 20-F FY2023</t>
        </is>
      </c>
      <c r="O586" t="inlineStr">
        <is>
          <t>https://www.sec.gov/Archives/edgar/data/1023514/000162828023035632/hmy-20230630.htm</t>
        </is>
      </c>
      <c r="P586" t="inlineStr">
        <is>
          <t>2023-10-31</t>
        </is>
      </c>
      <c r="Q586" t="inlineStr">
        <is>
          <t>Phase 1 was constructed by our independent power producer partners and consists of three 10MW solar plants in the Free State; we have a 15-year power purchase agreement in place for this project</t>
        </is>
      </c>
      <c r="R586" t="inlineStr">
        <is>
          <t>Tarif du PPA non publié.</t>
        </is>
      </c>
    </row>
    <row r="587">
      <c r="A587" t="inlineStr">
        <is>
          <t>retenu</t>
        </is>
      </c>
      <c r="B587" t="inlineStr">
        <is>
          <t>B_captif</t>
        </is>
      </c>
      <c r="C587" t="inlineStr">
        <is>
          <t>B</t>
        </is>
      </c>
      <c r="D587" t="inlineStr">
        <is>
          <t>ZAF</t>
        </is>
      </c>
      <c r="E587" t="inlineStr">
        <is>
          <t>Harmony – phase 1 solaire Free State (Tshepong, Nyala, Eland ; 3 x 10 MW)</t>
        </is>
      </c>
      <c r="F587" t="inlineStr">
        <is>
          <t>production_annuelle</t>
        </is>
      </c>
      <c r="G587" t="n">
        <v>64</v>
      </c>
      <c r="H587" t="inlineStr">
        <is>
          <t>GWh (FY2024)</t>
        </is>
      </c>
      <c r="I587" t="inlineStr">
        <is>
          <t>observée</t>
        </is>
      </c>
      <c r="J587" t="n">
        <v>2024</v>
      </c>
      <c r="K587" t="inlineStr">
        <is>
          <t>A</t>
        </is>
      </c>
      <c r="L587" t="inlineStr">
        <is>
          <t>confirmé</t>
        </is>
      </c>
      <c r="M587" t="inlineStr">
        <is>
          <t>Harmony Gold</t>
        </is>
      </c>
      <c r="N587" t="inlineStr">
        <is>
          <t>Harmony Gold – Integrated Annual Report FY2024 (20-F Ex. 15.1)</t>
        </is>
      </c>
      <c r="O587" t="inlineStr">
        <is>
          <t>https://www.sec.gov/Archives/edgar/data/1023514/000162828024044479/fy24_exhibit151iar2024.htm</t>
        </is>
      </c>
      <c r="P587" t="inlineStr">
        <is>
          <t>2024-10-31</t>
        </is>
      </c>
      <c r="Q587" t="inlineStr">
        <is>
          <t>three 10MW solar photovoltaic plants generated 64GWh of energy for the Free State's Tshepong North and Tshepong South operations</t>
        </is>
      </c>
      <c r="R587" t="inlineStr">
        <is>
          <t>vs 70 GWh/an attendus.</t>
        </is>
      </c>
    </row>
    <row r="588">
      <c r="A588" t="inlineStr">
        <is>
          <t>qualitatif</t>
        </is>
      </c>
      <c r="B588" t="inlineStr">
        <is>
          <t>B_captif</t>
        </is>
      </c>
      <c r="C588" t="inlineStr">
        <is>
          <t>B</t>
        </is>
      </c>
      <c r="D588" t="inlineStr">
        <is>
          <t>ZAF</t>
        </is>
      </c>
      <c r="E588" t="inlineStr">
        <is>
          <t>Harmony – phase 1 solaire Free State (Tshepong, Nyala, Eland ; 3 x 10 MW)</t>
        </is>
      </c>
      <c r="F588" t="inlineStr">
        <is>
          <t>secteur</t>
        </is>
      </c>
      <c r="G588" t="inlineStr">
        <is>
          <t>mines d'or souterraines</t>
        </is>
      </c>
      <c r="H588" t="inlineStr">
        <is>
          <t>texte</t>
        </is>
      </c>
      <c r="I588" t="inlineStr">
        <is>
          <t>observée</t>
        </is>
      </c>
      <c r="J588" t="n">
        <v>2024</v>
      </c>
      <c r="K588" t="inlineStr">
        <is>
          <t>A</t>
        </is>
      </c>
      <c r="L588" t="inlineStr">
        <is>
          <t>qualitatif_citation_ok</t>
        </is>
      </c>
      <c r="M588" t="inlineStr">
        <is>
          <t>Harmony Gold</t>
        </is>
      </c>
      <c r="N588" t="inlineStr">
        <is>
          <t>Harmony Gold – Integrated Annual Report FY2024 (20-F Ex. 15.1)</t>
        </is>
      </c>
      <c r="O588" t="inlineStr">
        <is>
          <t>https://www.sec.gov/Archives/edgar/data/1023514/000162828024044479/fy24_exhibit151iar2024.htm</t>
        </is>
      </c>
      <c r="P588" t="inlineStr">
        <is>
          <t>2024-10-31</t>
        </is>
      </c>
      <c r="Q588" t="inlineStr">
        <is>
          <t>We further installed three 10MW solar PV facilities at our Eland, Nyala and Tshepong operations in 2023, delivering renewable energy for use at the mines.</t>
        </is>
      </c>
      <c r="R588" t="inlineStr"/>
    </row>
    <row r="589">
      <c r="A589" t="inlineStr">
        <is>
          <t>qualitatif</t>
        </is>
      </c>
      <c r="B589" t="inlineStr">
        <is>
          <t>B_captif</t>
        </is>
      </c>
      <c r="C589" t="inlineStr">
        <is>
          <t>B</t>
        </is>
      </c>
      <c r="D589" t="inlineStr">
        <is>
          <t>SEN</t>
        </is>
      </c>
      <c r="E589" t="inlineStr">
        <is>
          <t>Sabodala-Massawa Solar Power Plant</t>
        </is>
      </c>
      <c r="F589" t="inlineStr">
        <is>
          <t>developpeur_proprietaire</t>
        </is>
      </c>
      <c r="G589" t="inlineStr">
        <is>
          <t>Endeavour Mining (Sabodala Gold Operations) ; ingénierie Dornier Suntrace (presse)</t>
        </is>
      </c>
      <c r="H589" t="inlineStr">
        <is>
          <t>texte</t>
        </is>
      </c>
      <c r="I589" t="inlineStr">
        <is>
          <t>observée</t>
        </is>
      </c>
      <c r="J589" t="n">
        <v>2023</v>
      </c>
      <c r="K589" t="inlineStr">
        <is>
          <t>B</t>
        </is>
      </c>
      <c r="L589" t="inlineStr">
        <is>
          <t>qualitatif_citation_ok</t>
        </is>
      </c>
      <c r="M589" t="inlineStr">
        <is>
          <t>Endeavour Mining</t>
        </is>
      </c>
      <c r="N589" t="inlineStr">
        <is>
          <t>Endeavour Mining – Q3-2023 results</t>
        </is>
      </c>
      <c r="O589" t="inlineStr">
        <is>
          <t>https://www.investegate.co.uk/announcement/gnw/endeavour-mining--edv/endeavour-reports-q3-2023-results/7869672</t>
        </is>
      </c>
      <c r="P589" t="inlineStr">
        <is>
          <t>2023-11</t>
        </is>
      </c>
      <c r="Q589" t="inlineStr">
        <is>
          <t>Endeavour launched the construction of a 37MWp photovoltaic ("PV") solar facility and a 16MW battery system at the Sabodala-Massawa mine</t>
        </is>
      </c>
      <c r="R589" t="inlineStr">
        <is>
          <t>Rôle Dornier Suntrace cité par la presse, non vérifié sur page ouverte.</t>
        </is>
      </c>
    </row>
    <row r="590">
      <c r="A590" t="inlineStr">
        <is>
          <t>retenu</t>
        </is>
      </c>
      <c r="B590" t="inlineStr">
        <is>
          <t>B_captif</t>
        </is>
      </c>
      <c r="C590" t="inlineStr">
        <is>
          <t>B</t>
        </is>
      </c>
      <c r="D590" t="inlineStr">
        <is>
          <t>SEN</t>
        </is>
      </c>
      <c r="E590" t="inlineStr">
        <is>
          <t>Sabodala-Massawa Solar Power Plant</t>
        </is>
      </c>
      <c r="F590" t="inlineStr">
        <is>
          <t>puissance_mwp</t>
        </is>
      </c>
      <c r="G590" t="n">
        <v>37</v>
      </c>
      <c r="H590" t="inlineStr">
        <is>
          <t>MWc</t>
        </is>
      </c>
      <c r="I590" t="inlineStr">
        <is>
          <t>observée</t>
        </is>
      </c>
      <c r="J590" t="n">
        <v>2025</v>
      </c>
      <c r="K590" t="inlineStr">
        <is>
          <t>B</t>
        </is>
      </c>
      <c r="L590" t="inlineStr">
        <is>
          <t>confirmé</t>
        </is>
      </c>
      <c r="M590" t="inlineStr">
        <is>
          <t>Endeavour Mining</t>
        </is>
      </c>
      <c r="N590" t="inlineStr">
        <is>
          <t>Endeavour Mining – Q1-2025 results</t>
        </is>
      </c>
      <c r="O590" t="inlineStr">
        <is>
          <t>https://www.investegate.co.uk/announcement/gnw/endeavour-mining--edv/endeavour-reports-strong-q1-2025-results/8855501</t>
        </is>
      </c>
      <c r="P590" t="inlineStr">
        <is>
          <t>2025-05</t>
        </is>
      </c>
      <c r="Q590" t="inlineStr">
        <is>
          <t>construction of a 37MWp photovoltaic ("PV") solar facility and a 16MW battery system at the Sabodala-Massawa mine</t>
        </is>
      </c>
      <c r="R590" t="inlineStr"/>
    </row>
    <row r="591">
      <c r="A591" t="inlineStr">
        <is>
          <t>retenu</t>
        </is>
      </c>
      <c r="B591" t="inlineStr">
        <is>
          <t>B_captif</t>
        </is>
      </c>
      <c r="C591" t="inlineStr">
        <is>
          <t>B</t>
        </is>
      </c>
      <c r="D591" t="inlineStr">
        <is>
          <t>SEN</t>
        </is>
      </c>
      <c r="E591" t="inlineStr">
        <is>
          <t>Sabodala-Massawa Solar Power Plant</t>
        </is>
      </c>
      <c r="F591" t="inlineStr">
        <is>
          <t>stockage_mw</t>
        </is>
      </c>
      <c r="G591" t="n">
        <v>16</v>
      </c>
      <c r="H591" t="inlineStr">
        <is>
          <t>MW (MWh non publié)</t>
        </is>
      </c>
      <c r="I591" t="inlineStr">
        <is>
          <t>observée</t>
        </is>
      </c>
      <c r="J591" t="n">
        <v>2025</v>
      </c>
      <c r="K591" t="inlineStr">
        <is>
          <t>B</t>
        </is>
      </c>
      <c r="L591" t="inlineStr">
        <is>
          <t>confirmé</t>
        </is>
      </c>
      <c r="M591" t="inlineStr">
        <is>
          <t>Endeavour Mining</t>
        </is>
      </c>
      <c r="N591" t="inlineStr">
        <is>
          <t>Endeavour Mining – Q1-2025 results</t>
        </is>
      </c>
      <c r="O591" t="inlineStr">
        <is>
          <t>https://www.investegate.co.uk/announcement/gnw/endeavour-mining--edv/endeavour-reports-strong-q1-2025-results/8855501</t>
        </is>
      </c>
      <c r="P591" t="inlineStr">
        <is>
          <t>2025-05</t>
        </is>
      </c>
      <c r="Q591" t="inlineStr">
        <is>
          <t>a 37MWp photovoltaic ("PV") solar facility and a 16MW battery system</t>
        </is>
      </c>
      <c r="R591" t="inlineStr"/>
    </row>
    <row r="592">
      <c r="A592" t="inlineStr">
        <is>
          <t>qualitatif</t>
        </is>
      </c>
      <c r="B592" t="inlineStr">
        <is>
          <t>B_captif</t>
        </is>
      </c>
      <c r="C592" t="inlineStr">
        <is>
          <t>B</t>
        </is>
      </c>
      <c r="D592" t="inlineStr">
        <is>
          <t>SEN</t>
        </is>
      </c>
      <c r="E592" t="inlineStr">
        <is>
          <t>Sabodala-Massawa Solar Power Plant</t>
        </is>
      </c>
      <c r="F592" t="inlineStr">
        <is>
          <t>technologie</t>
        </is>
      </c>
      <c r="G592" t="inlineStr">
        <is>
          <t>PV + BESS + HFO (36 MW)</t>
        </is>
      </c>
      <c r="H592" t="inlineStr">
        <is>
          <t>texte</t>
        </is>
      </c>
      <c r="I592" t="inlineStr">
        <is>
          <t>déclarée</t>
        </is>
      </c>
      <c r="J592" t="n">
        <v>2023</v>
      </c>
      <c r="K592" t="inlineStr">
        <is>
          <t>C</t>
        </is>
      </c>
      <c r="L592" t="inlineStr">
        <is>
          <t>qualitatif_citation_ok</t>
        </is>
      </c>
      <c r="M592" t="inlineStr">
        <is>
          <t>Forbes Afrique</t>
        </is>
      </c>
      <c r="N592" t="inlineStr">
        <is>
          <t>Endeavour parie sur le solaire pour son complexe minier de Sabodala-Massawa</t>
        </is>
      </c>
      <c r="O592" t="inlineStr">
        <is>
          <t>https://forbesafrique.com/?p=24487</t>
        </is>
      </c>
      <c r="P592" t="inlineStr">
        <is>
          <t>2023-08-05</t>
        </is>
      </c>
      <c r="Q592" t="inlineStr">
        <is>
          <t>l'installation fournira une production annuelle de 73 GWh et complètera la centrale électrique au fioul lourd de 36 MW, présente sur le site</t>
        </is>
      </c>
      <c r="R592" t="inlineStr"/>
    </row>
    <row r="593">
      <c r="A593" t="inlineStr">
        <is>
          <t>retenu</t>
        </is>
      </c>
      <c r="B593" t="inlineStr">
        <is>
          <t>B_captif</t>
        </is>
      </c>
      <c r="C593" t="inlineStr">
        <is>
          <t>B</t>
        </is>
      </c>
      <c r="D593" t="inlineStr">
        <is>
          <t>SEN</t>
        </is>
      </c>
      <c r="E593" t="inlineStr">
        <is>
          <t>Sabodala-Massawa Solar Power Plant</t>
        </is>
      </c>
      <c r="F593" t="inlineStr">
        <is>
          <t>capex_total</t>
        </is>
      </c>
      <c r="G593" t="n">
        <v>55000000</v>
      </c>
      <c r="H593" t="inlineStr">
        <is>
          <t>USD</t>
        </is>
      </c>
      <c r="I593" t="inlineStr">
        <is>
          <t>déclarée</t>
        </is>
      </c>
      <c r="J593" t="n">
        <v>2023</v>
      </c>
      <c r="K593" t="inlineStr">
        <is>
          <t>B</t>
        </is>
      </c>
      <c r="L593" t="inlineStr">
        <is>
          <t>confirmé</t>
        </is>
      </c>
      <c r="M593" t="inlineStr">
        <is>
          <t>Endeavour Mining</t>
        </is>
      </c>
      <c r="N593" t="inlineStr">
        <is>
          <t>Endeavour Mining – Q3-2023 results</t>
        </is>
      </c>
      <c r="O593" t="inlineStr">
        <is>
          <t>https://www.investegate.co.uk/announcement/gnw/endeavour-mining--edv/endeavour-reports-q3-2023-results/7869672</t>
        </is>
      </c>
      <c r="P593" t="inlineStr">
        <is>
          <t>2023-11</t>
        </is>
      </c>
      <c r="Q593" t="inlineStr">
        <is>
          <t>The initial capital cost for the solar project and is expected to amount to $55 million, with approximately $10 million to be incurred in 2023, and the remainder in 2024.</t>
        </is>
      </c>
      <c r="R593" t="inlineStr">
        <is>
          <t>Budget ; achèvement déclaré 'on budget' (FY-2024).</t>
        </is>
      </c>
    </row>
    <row r="594">
      <c r="A594" t="inlineStr">
        <is>
          <t>qualitatif</t>
        </is>
      </c>
      <c r="B594" t="inlineStr">
        <is>
          <t>B_captif</t>
        </is>
      </c>
      <c r="C594" t="inlineStr">
        <is>
          <t>B</t>
        </is>
      </c>
      <c r="D594" t="inlineStr">
        <is>
          <t>SEN</t>
        </is>
      </c>
      <c r="E594" t="inlineStr">
        <is>
          <t>Sabodala-Massawa Solar Power Plant</t>
        </is>
      </c>
      <c r="F594" t="inlineStr">
        <is>
          <t>capex_statut_final</t>
        </is>
      </c>
      <c r="G594" t="inlineStr">
        <is>
          <t>construction achevée dans les délais et le budget</t>
        </is>
      </c>
      <c r="H594" t="inlineStr">
        <is>
          <t>texte</t>
        </is>
      </c>
      <c r="I594" t="inlineStr">
        <is>
          <t>déclarée</t>
        </is>
      </c>
      <c r="J594" t="n">
        <v>2024</v>
      </c>
      <c r="K594" t="inlineStr">
        <is>
          <t>B</t>
        </is>
      </c>
      <c r="L594" t="inlineStr">
        <is>
          <t>qualitatif_citation_ok</t>
        </is>
      </c>
      <c r="M594" t="inlineStr">
        <is>
          <t>Endeavour Mining</t>
        </is>
      </c>
      <c r="N594" t="inlineStr">
        <is>
          <t>Endeavour Mining – FY-2024 results</t>
        </is>
      </c>
      <c r="O594" t="inlineStr">
        <is>
          <t>https://www.investegate.co.uk/announcement/gnw/endeavour-mining--edv/endeavour-reports-strong-fy-2024-results/8765530</t>
        </is>
      </c>
      <c r="P594" t="inlineStr">
        <is>
          <t>2025-02</t>
        </is>
      </c>
      <c r="Q594" t="inlineStr">
        <is>
          <t>Construction of the transmission line and battery storage system were also successfully completed marking the completion of construction, on schedule and on budget.</t>
        </is>
      </c>
      <c r="R594" t="inlineStr"/>
    </row>
    <row r="595">
      <c r="A595" t="inlineStr">
        <is>
          <t>qualitatif</t>
        </is>
      </c>
      <c r="B595" t="inlineStr">
        <is>
          <t>B_captif</t>
        </is>
      </c>
      <c r="C595" t="inlineStr">
        <is>
          <t>B</t>
        </is>
      </c>
      <c r="D595" t="inlineStr">
        <is>
          <t>SEN</t>
        </is>
      </c>
      <c r="E595" t="inlineStr">
        <is>
          <t>Sabodala-Massawa Solar Power Plant</t>
        </is>
      </c>
      <c r="F595" t="inlineStr">
        <is>
          <t>capex_depense_periode</t>
        </is>
      </c>
      <c r="G595" t="inlineStr">
        <is>
          <t>9500000 – 8500000 – 1600000</t>
        </is>
      </c>
      <c r="H595" t="inlineStr">
        <is>
          <t>USD (T3-2024, T4-2024, T1-2025)</t>
        </is>
      </c>
      <c r="I595" t="inlineStr">
        <is>
          <t>observée</t>
        </is>
      </c>
      <c r="J595" t="n">
        <v>2025</v>
      </c>
      <c r="K595" t="inlineStr">
        <is>
          <t>B</t>
        </is>
      </c>
      <c r="L595" t="inlineStr">
        <is>
          <t>qualitatif_citation_ok</t>
        </is>
      </c>
      <c r="M595" t="inlineStr">
        <is>
          <t>Endeavour Mining</t>
        </is>
      </c>
      <c r="N595" t="inlineStr">
        <is>
          <t>Endeavour Mining – Q1-2025 results</t>
        </is>
      </c>
      <c r="O595" t="inlineStr">
        <is>
          <t>https://www.investegate.co.uk/announcement/gnw/endeavour-mining--edv/endeavour-reports-strong-q1-2025-results/8855501</t>
        </is>
      </c>
      <c r="P595" t="inlineStr">
        <is>
          <t>2025-05</t>
        </is>
      </c>
      <c r="Q595" t="inlineStr">
        <is>
          <t>Non-sustaining capital expenditure for the solar power plant decreased from $8.5 million in Q4-2024 to $1.6 million in Q1-2025 and was related to final payments for the construction</t>
        </is>
      </c>
      <c r="R595" t="inlineStr">
        <is>
          <t>T3-2024 = 9,5 M USD (FY-2024 results).</t>
        </is>
      </c>
    </row>
    <row r="596">
      <c r="A596" t="inlineStr">
        <is>
          <t>retenu</t>
        </is>
      </c>
      <c r="B596" t="inlineStr">
        <is>
          <t>B_captif</t>
        </is>
      </c>
      <c r="C596" t="inlineStr">
        <is>
          <t>B</t>
        </is>
      </c>
      <c r="D596" t="inlineStr">
        <is>
          <t>SEN</t>
        </is>
      </c>
      <c r="E596" t="inlineStr">
        <is>
          <t>Sabodala-Massawa Solar Power Plant</t>
        </is>
      </c>
      <c r="F596" t="inlineStr">
        <is>
          <t>production_annuelle</t>
        </is>
      </c>
      <c r="G596" t="n">
        <v>73</v>
      </c>
      <c r="H596" t="inlineStr">
        <is>
          <t>GWh/an</t>
        </is>
      </c>
      <c r="I596" t="inlineStr">
        <is>
          <t>déclarée</t>
        </is>
      </c>
      <c r="J596" t="n">
        <v>2023</v>
      </c>
      <c r="K596" t="inlineStr">
        <is>
          <t>C</t>
        </is>
      </c>
      <c r="L596" t="inlineStr">
        <is>
          <t>confirmé</t>
        </is>
      </c>
      <c r="M596" t="inlineStr">
        <is>
          <t>Forbes Afrique</t>
        </is>
      </c>
      <c r="N596" t="inlineStr">
        <is>
          <t>Endeavour parie sur le solaire pour son complexe minier de Sabodala-Massawa</t>
        </is>
      </c>
      <c r="O596" t="inlineStr">
        <is>
          <t>https://forbesafrique.com/?p=24487</t>
        </is>
      </c>
      <c r="P596" t="inlineStr">
        <is>
          <t>2023-08-05</t>
        </is>
      </c>
      <c r="Q596" t="inlineStr">
        <is>
          <t>Estimée à 55 millions de dollars, l'installation fournira une production annuelle de 73 GWh</t>
        </is>
      </c>
      <c r="R596" t="inlineStr"/>
    </row>
    <row r="597">
      <c r="A597" t="inlineStr">
        <is>
          <t>retenu</t>
        </is>
      </c>
      <c r="B597" t="inlineStr">
        <is>
          <t>B_captif</t>
        </is>
      </c>
      <c r="C597" t="inlineStr">
        <is>
          <t>B</t>
        </is>
      </c>
      <c r="D597" t="inlineStr">
        <is>
          <t>SEN</t>
        </is>
      </c>
      <c r="E597" t="inlineStr">
        <is>
          <t>Sabodala-Massawa Solar Power Plant</t>
        </is>
      </c>
      <c r="F597" t="inlineStr">
        <is>
          <t>economies_carburant</t>
        </is>
      </c>
      <c r="G597" t="n">
        <v>13000000</v>
      </c>
      <c r="H597" t="inlineStr">
        <is>
          <t>litres/an</t>
        </is>
      </c>
      <c r="I597" t="inlineStr">
        <is>
          <t>déclarée</t>
        </is>
      </c>
      <c r="J597" t="n">
        <v>2023</v>
      </c>
      <c r="K597" t="inlineStr">
        <is>
          <t>C</t>
        </is>
      </c>
      <c r="L597" t="inlineStr">
        <is>
          <t>confirmé</t>
        </is>
      </c>
      <c r="M597" t="inlineStr">
        <is>
          <t>Forbes Afrique</t>
        </is>
      </c>
      <c r="N597" t="inlineStr">
        <is>
          <t>Endeavour parie sur le solaire pour son complexe minier de Sabodala-Massawa</t>
        </is>
      </c>
      <c r="O597" t="inlineStr">
        <is>
          <t>https://forbesafrique.com/?p=24487</t>
        </is>
      </c>
      <c r="P597" t="inlineStr">
        <is>
          <t>2023-08-05</t>
        </is>
      </c>
      <c r="Q597" t="inlineStr">
        <is>
          <t>Celle-ci disposera par ailleurs d'un système de batteries de 16 MW, qui devrait permettre d'économiser, à terme, jusqu'à 13 millions de litres de carburant par an.</t>
        </is>
      </c>
      <c r="R597" t="inlineStr"/>
    </row>
    <row r="598">
      <c r="A598" t="inlineStr">
        <is>
          <t>qualitatif</t>
        </is>
      </c>
      <c r="B598" t="inlineStr">
        <is>
          <t>B_captif</t>
        </is>
      </c>
      <c r="C598" t="inlineStr">
        <is>
          <t>B</t>
        </is>
      </c>
      <c r="D598" t="inlineStr">
        <is>
          <t>SEN</t>
        </is>
      </c>
      <c r="E598" t="inlineStr">
        <is>
          <t>Sabodala-Massawa Solar Power Plant</t>
        </is>
      </c>
      <c r="F598" t="inlineStr">
        <is>
          <t>modele_commercial</t>
        </is>
      </c>
      <c r="G598" t="inlineStr">
        <is>
          <t>autoproduction (capex porté par le minier)</t>
        </is>
      </c>
      <c r="H598" t="inlineStr">
        <is>
          <t>texte</t>
        </is>
      </c>
      <c r="I598" t="inlineStr">
        <is>
          <t>déclarée</t>
        </is>
      </c>
      <c r="J598" t="n">
        <v>2023</v>
      </c>
      <c r="K598" t="inlineStr">
        <is>
          <t>B</t>
        </is>
      </c>
      <c r="L598" t="inlineStr">
        <is>
          <t>qualitatif_citation_ok</t>
        </is>
      </c>
      <c r="M598" t="inlineStr">
        <is>
          <t>Endeavour Mining</t>
        </is>
      </c>
      <c r="N598" t="inlineStr">
        <is>
          <t>Endeavour Mining – Q3-2023 results</t>
        </is>
      </c>
      <c r="O598" t="inlineStr">
        <is>
          <t>https://www.investegate.co.uk/announcement/gnw/endeavour-mining--edv/endeavour-reports-q3-2023-results/7869672</t>
        </is>
      </c>
      <c r="P598" t="inlineStr">
        <is>
          <t>2023-11</t>
        </is>
      </c>
      <c r="Q598" t="inlineStr">
        <is>
          <t>The initial capital cost for the solar project and is expected to amount to $55 million</t>
        </is>
      </c>
      <c r="R598" t="inlineStr"/>
    </row>
    <row r="599">
      <c r="A599" t="inlineStr">
        <is>
          <t>qualitatif</t>
        </is>
      </c>
      <c r="B599" t="inlineStr">
        <is>
          <t>B_captif</t>
        </is>
      </c>
      <c r="C599" t="inlineStr">
        <is>
          <t>B</t>
        </is>
      </c>
      <c r="D599" t="inlineStr">
        <is>
          <t>MRT</t>
        </is>
      </c>
      <c r="E599" t="inlineStr">
        <is>
          <t>SNIM – centrale solaire de Zouérate (12 MW)</t>
        </is>
      </c>
      <c r="F599" t="inlineStr">
        <is>
          <t>developpeur_proprietaire</t>
        </is>
      </c>
      <c r="G599" t="inlineStr">
        <is>
          <t>SNIM (Société Nationale Industrielle et Minière)</t>
        </is>
      </c>
      <c r="H599" t="inlineStr">
        <is>
          <t>texte</t>
        </is>
      </c>
      <c r="I599" t="inlineStr">
        <is>
          <t>observée</t>
        </is>
      </c>
      <c r="J599" t="n">
        <v>2025</v>
      </c>
      <c r="K599" t="inlineStr">
        <is>
          <t>B</t>
        </is>
      </c>
      <c r="L599" t="inlineStr">
        <is>
          <t>qualitatif_citation_ok</t>
        </is>
      </c>
      <c r="M599" t="inlineStr">
        <is>
          <t>SNIM</t>
        </is>
      </c>
      <c r="N599" t="inlineStr">
        <is>
          <t>SNIM inaugurates two power plants in Zouérate and lays the foundation stone for a new water desalination unit</t>
        </is>
      </c>
      <c r="O599" t="inlineStr">
        <is>
          <t>https://snim.com/en/node/432</t>
        </is>
      </c>
      <c r="P599" t="inlineStr">
        <is>
          <t>2025-12-02</t>
        </is>
      </c>
      <c r="Q599" t="inlineStr">
        <is>
          <t>presided today over the inauguration of two new power plants in the city of Zouérate</t>
        </is>
      </c>
      <c r="R599" t="inlineStr"/>
    </row>
    <row r="600">
      <c r="A600" t="inlineStr">
        <is>
          <t>qualitatif</t>
        </is>
      </c>
      <c r="B600" t="inlineStr">
        <is>
          <t>B_captif</t>
        </is>
      </c>
      <c r="C600" t="inlineStr">
        <is>
          <t>B</t>
        </is>
      </c>
      <c r="D600" t="inlineStr">
        <is>
          <t>MRT</t>
        </is>
      </c>
      <c r="E600" t="inlineStr">
        <is>
          <t>SNIM – centrale solaire de Zouérate (12 MW)</t>
        </is>
      </c>
      <c r="F600" t="inlineStr">
        <is>
          <t>secteur</t>
        </is>
      </c>
      <c r="G600" t="inlineStr">
        <is>
          <t>mine de fer</t>
        </is>
      </c>
      <c r="H600" t="inlineStr">
        <is>
          <t>texte</t>
        </is>
      </c>
      <c r="I600" t="inlineStr">
        <is>
          <t>observée</t>
        </is>
      </c>
      <c r="J600" t="n">
        <v>2025</v>
      </c>
      <c r="K600" t="inlineStr">
        <is>
          <t>C</t>
        </is>
      </c>
      <c r="L600" t="inlineStr">
        <is>
          <t>qualitatif_citation_ok</t>
        </is>
      </c>
      <c r="M600" t="inlineStr">
        <is>
          <t>Ecofin Agency</t>
        </is>
      </c>
      <c r="N600" t="inlineStr">
        <is>
          <t>Mauritania's SNIM Adds 42 MW of New Power Capacity to Support Mining Hub</t>
        </is>
      </c>
      <c r="O600" t="inlineStr">
        <is>
          <t>https://www.ecofinagency.com/news-industry/0312-51085-mauritania-s-snim-adds-42-mw-of-new-power-capacity-to-support-mining-hub</t>
        </is>
      </c>
      <c r="P600" t="inlineStr">
        <is>
          <t>2025-12-03</t>
        </is>
      </c>
      <c r="Q600" t="inlineStr">
        <is>
          <t>It produced more than 14 million tons in 2024 and manages the energy supply for its sites while also providing electricity to local communities.</t>
        </is>
      </c>
      <c r="R600" t="inlineStr"/>
    </row>
    <row r="601">
      <c r="A601" t="inlineStr">
        <is>
          <t>retenu</t>
        </is>
      </c>
      <c r="B601" t="inlineStr">
        <is>
          <t>B_captif</t>
        </is>
      </c>
      <c r="C601" t="inlineStr">
        <is>
          <t>B</t>
        </is>
      </c>
      <c r="D601" t="inlineStr">
        <is>
          <t>MRT</t>
        </is>
      </c>
      <c r="E601" t="inlineStr">
        <is>
          <t>SNIM – centrale solaire de Zouérate (12 MW)</t>
        </is>
      </c>
      <c r="F601" t="inlineStr">
        <is>
          <t>puissance_mwp</t>
        </is>
      </c>
      <c r="G601" t="n">
        <v>12</v>
      </c>
      <c r="H601" t="inlineStr">
        <is>
          <t>MW (21 840 x 550 W = 12,0 MWc)</t>
        </is>
      </c>
      <c r="I601" t="inlineStr">
        <is>
          <t>observée</t>
        </is>
      </c>
      <c r="J601" t="n">
        <v>2025</v>
      </c>
      <c r="K601" t="inlineStr">
        <is>
          <t>B</t>
        </is>
      </c>
      <c r="L601" t="inlineStr">
        <is>
          <t>confirmé</t>
        </is>
      </c>
      <c r="M601" t="inlineStr">
        <is>
          <t>SNIM</t>
        </is>
      </c>
      <c r="N601" t="inlineStr">
        <is>
          <t>SNIM inaugurates two power plants in Zouérate and lays the foundation stone for a new water desalination unit</t>
        </is>
      </c>
      <c r="O601" t="inlineStr">
        <is>
          <t>https://snim.com/en/node/432</t>
        </is>
      </c>
      <c r="P601" t="inlineStr">
        <is>
          <t>2025-12-02</t>
        </is>
      </c>
      <c r="Q601" t="inlineStr">
        <is>
          <t>The solar power plant with a capacity of 12 megawatts includes 21,840 photovoltaic panels, each with a power of 550 watts.</t>
        </is>
      </c>
      <c r="R601" t="inlineStr"/>
    </row>
    <row r="602">
      <c r="A602" t="inlineStr">
        <is>
          <t>retenu</t>
        </is>
      </c>
      <c r="B602" t="inlineStr">
        <is>
          <t>B_captif</t>
        </is>
      </c>
      <c r="C602" t="inlineStr">
        <is>
          <t>B</t>
        </is>
      </c>
      <c r="D602" t="inlineStr">
        <is>
          <t>MRT</t>
        </is>
      </c>
      <c r="E602" t="inlineStr">
        <is>
          <t>SNIM – centrale solaire de Zouérate (12 MW)</t>
        </is>
      </c>
      <c r="F602" t="inlineStr">
        <is>
          <t>annee_mise_en_service</t>
        </is>
      </c>
      <c r="G602" t="n">
        <v>2025</v>
      </c>
      <c r="H602" t="inlineStr">
        <is>
          <t>année (inauguration 2 déc. 2025)</t>
        </is>
      </c>
      <c r="I602" t="inlineStr">
        <is>
          <t>observée</t>
        </is>
      </c>
      <c r="J602" t="n">
        <v>2025</v>
      </c>
      <c r="K602" t="inlineStr">
        <is>
          <t>B</t>
        </is>
      </c>
      <c r="L602" t="inlineStr">
        <is>
          <t>confirmé</t>
        </is>
      </c>
      <c r="M602" t="inlineStr">
        <is>
          <t>SNIM</t>
        </is>
      </c>
      <c r="N602" t="inlineStr">
        <is>
          <t>SNIM inaugurates two power plants in Zouérate and lays the foundation stone for a new water desalination unit</t>
        </is>
      </c>
      <c r="O602" t="inlineStr">
        <is>
          <t>https://snim.com/en/node/432</t>
        </is>
      </c>
      <c r="P602" t="inlineStr">
        <is>
          <t>2025-12-02</t>
        </is>
      </c>
      <c r="Q602" t="inlineStr">
        <is>
          <t>Zouérate - December 2, 2025 - His Excellency the President of the Republic, Mr. Mohamed Ould Cheikh El Ghazouani, presided today over the inauguration of two new power plants</t>
        </is>
      </c>
      <c r="R602" t="inlineStr"/>
    </row>
    <row r="603">
      <c r="A603" t="inlineStr">
        <is>
          <t>retenu</t>
        </is>
      </c>
      <c r="B603" t="inlineStr">
        <is>
          <t>B_captif</t>
        </is>
      </c>
      <c r="C603" t="inlineStr">
        <is>
          <t>B</t>
        </is>
      </c>
      <c r="D603" t="inlineStr">
        <is>
          <t>MRT</t>
        </is>
      </c>
      <c r="E603" t="inlineStr">
        <is>
          <t>SNIM – centrale solaire de Zouérate (12 MW)</t>
        </is>
      </c>
      <c r="F603" t="inlineStr">
        <is>
          <t>capex_total</t>
        </is>
      </c>
      <c r="G603" t="n">
        <v>10700000</v>
      </c>
      <c r="H603" t="inlineStr">
        <is>
          <t>USD</t>
        </is>
      </c>
      <c r="I603" t="inlineStr">
        <is>
          <t>déclarée</t>
        </is>
      </c>
      <c r="J603" t="n">
        <v>2025</v>
      </c>
      <c r="K603" t="inlineStr">
        <is>
          <t>C</t>
        </is>
      </c>
      <c r="L603" t="inlineStr">
        <is>
          <t>confirmé</t>
        </is>
      </c>
      <c r="M603" t="inlineStr">
        <is>
          <t>Ecofin Agency</t>
        </is>
      </c>
      <c r="N603" t="inlineStr">
        <is>
          <t>Mauritania's SNIM Adds 42 MW of New Power Capacity to Support Mining Hub</t>
        </is>
      </c>
      <c r="O603" t="inlineStr">
        <is>
          <t>https://www.ecofinagency.com/news-industry/0312-51085-mauritania-s-snim-adds-42-mw-of-new-power-capacity-to-support-mining-hub</t>
        </is>
      </c>
      <c r="P603" t="inlineStr">
        <is>
          <t>2025-12-03</t>
        </is>
      </c>
      <c r="Q603" t="inlineStr">
        <is>
          <t>The solar plant, financed by SNIM for 10.7 million dollars, includes 21,840 photovoltaic panels rated at 550 W and 34 inverters.</t>
        </is>
      </c>
      <c r="R603" t="inlineStr">
        <is>
          <t>≈ 0,89 USD/Wc (calcul). Non recoupé par document SNIM.</t>
        </is>
      </c>
    </row>
    <row r="604">
      <c r="A604" t="inlineStr">
        <is>
          <t>qualitatif</t>
        </is>
      </c>
      <c r="B604" t="inlineStr">
        <is>
          <t>B_captif</t>
        </is>
      </c>
      <c r="C604" t="inlineStr">
        <is>
          <t>B</t>
        </is>
      </c>
      <c r="D604" t="inlineStr">
        <is>
          <t>MRT</t>
        </is>
      </c>
      <c r="E604" t="inlineStr">
        <is>
          <t>SNIM – centrale solaire de Zouérate (12 MW)</t>
        </is>
      </c>
      <c r="F604" t="inlineStr">
        <is>
          <t>technologie</t>
        </is>
      </c>
      <c r="G604" t="inlineStr">
        <is>
          <t>PV + thermique HFO/diesel (réseau minier isolé)</t>
        </is>
      </c>
      <c r="H604" t="inlineStr">
        <is>
          <t>texte</t>
        </is>
      </c>
      <c r="I604" t="inlineStr">
        <is>
          <t>observée</t>
        </is>
      </c>
      <c r="J604" t="n">
        <v>2025</v>
      </c>
      <c r="K604" t="inlineStr">
        <is>
          <t>B</t>
        </is>
      </c>
      <c r="L604" t="inlineStr">
        <is>
          <t>qualitatif_citation_ok</t>
        </is>
      </c>
      <c r="M604" t="inlineStr">
        <is>
          <t>SNIM</t>
        </is>
      </c>
      <c r="N604" t="inlineStr">
        <is>
          <t>SNIM inaugurates two power plants in Zouérate and lays the foundation stone for a new water desalination unit</t>
        </is>
      </c>
      <c r="O604" t="inlineStr">
        <is>
          <t>https://snim.com/en/node/432</t>
        </is>
      </c>
      <c r="P604" t="inlineStr">
        <is>
          <t>2025-12-02</t>
        </is>
      </c>
      <c r="Q604" t="inlineStr">
        <is>
          <t>The thermal power plant has a capacity of 30 megawatts and operates with three 10-megawatt electric generators each, capable of running on heavy fuel oil and diesel</t>
        </is>
      </c>
      <c r="R604" t="inlineStr"/>
    </row>
    <row r="605">
      <c r="A605" t="inlineStr">
        <is>
          <t>qualitatif</t>
        </is>
      </c>
      <c r="B605" t="inlineStr">
        <is>
          <t>B_captif</t>
        </is>
      </c>
      <c r="C605" t="inlineStr">
        <is>
          <t>B</t>
        </is>
      </c>
      <c r="D605" t="inlineStr">
        <is>
          <t>MRT</t>
        </is>
      </c>
      <c r="E605" t="inlineStr">
        <is>
          <t>SNIM – centrale solaire de Zouérate (12 MW)</t>
        </is>
      </c>
      <c r="F605" t="inlineStr">
        <is>
          <t>modele_commercial</t>
        </is>
      </c>
      <c r="G605" t="inlineStr">
        <is>
          <t>autoproduction (financement propre SNIM)</t>
        </is>
      </c>
      <c r="H605" t="inlineStr">
        <is>
          <t>texte</t>
        </is>
      </c>
      <c r="I605" t="inlineStr">
        <is>
          <t>déclarée</t>
        </is>
      </c>
      <c r="J605" t="n">
        <v>2025</v>
      </c>
      <c r="K605" t="inlineStr">
        <is>
          <t>C</t>
        </is>
      </c>
      <c r="L605" t="inlineStr">
        <is>
          <t>qualitatif_citation_ok</t>
        </is>
      </c>
      <c r="M605" t="inlineStr">
        <is>
          <t>Ecofin Agency</t>
        </is>
      </c>
      <c r="N605" t="inlineStr">
        <is>
          <t>Mauritania's SNIM Adds 42 MW of New Power Capacity to Support Mining Hub</t>
        </is>
      </c>
      <c r="O605" t="inlineStr">
        <is>
          <t>https://www.ecofinagency.com/news-industry/0312-51085-mauritania-s-snim-adds-42-mw-of-new-power-capacity-to-support-mining-hub</t>
        </is>
      </c>
      <c r="P605" t="inlineStr">
        <is>
          <t>2025-12-03</t>
        </is>
      </c>
      <c r="Q605" t="inlineStr">
        <is>
          <t>The solar plant, financed by SNIM for 10.7 million dollars</t>
        </is>
      </c>
      <c r="R605" t="inlineStr"/>
    </row>
    <row r="606">
      <c r="A606" t="inlineStr">
        <is>
          <t>qualitatif</t>
        </is>
      </c>
      <c r="B606" t="inlineStr">
        <is>
          <t>B_captif</t>
        </is>
      </c>
      <c r="C606" t="inlineStr">
        <is>
          <t>B</t>
        </is>
      </c>
      <c r="D606" t="inlineStr">
        <is>
          <t>KEN</t>
        </is>
      </c>
      <c r="E606" t="inlineStr">
        <is>
          <t>Bamburi Cement – centrales PV Mombasa (14,5 MW) et Athi River (5 MW)</t>
        </is>
      </c>
      <c r="F606" t="inlineStr">
        <is>
          <t>developpeur_proprietaire</t>
        </is>
      </c>
      <c r="G606" t="inlineStr">
        <is>
          <t>MOMNAI Energy Ltd (IPP créé par Frontier Energy) ; acheteur Bamburi Cement</t>
        </is>
      </c>
      <c r="H606" t="inlineStr">
        <is>
          <t>texte</t>
        </is>
      </c>
      <c r="I606" t="inlineStr">
        <is>
          <t>déclarée</t>
        </is>
      </c>
      <c r="J606" t="n">
        <v>2023</v>
      </c>
      <c r="K606" t="inlineStr">
        <is>
          <t>C</t>
        </is>
      </c>
      <c r="L606" t="inlineStr">
        <is>
          <t>qualitatif_citation_ok</t>
        </is>
      </c>
      <c r="M606" t="inlineStr">
        <is>
          <t>Capital FM</t>
        </is>
      </c>
      <c r="N606" t="inlineStr">
        <is>
          <t>Bamburi Cement Commences Construction of Two Solar PV Plants</t>
        </is>
      </c>
      <c r="O606" t="inlineStr">
        <is>
          <t>https://capitalfm.africa/bamburi-cement-commences-construction-of-two-solar-pv-plants/</t>
        </is>
      </c>
      <c r="P606" t="inlineStr">
        <is>
          <t>2023-11-30</t>
        </is>
      </c>
      <c r="Q606" t="inlineStr">
        <is>
          <t>with MOMNAI Energy Limited, an independent power producer formed for the project by Frontier Energy, a prominent African renewable energy developer and investor</t>
        </is>
      </c>
      <c r="R606" t="inlineStr"/>
    </row>
    <row r="607">
      <c r="A607" t="inlineStr">
        <is>
          <t>qualitatif</t>
        </is>
      </c>
      <c r="B607" t="inlineStr">
        <is>
          <t>B_captif</t>
        </is>
      </c>
      <c r="C607" t="inlineStr">
        <is>
          <t>B</t>
        </is>
      </c>
      <c r="D607" t="inlineStr">
        <is>
          <t>KEN</t>
        </is>
      </c>
      <c r="E607" t="inlineStr">
        <is>
          <t>Bamburi Cement – centrales PV Mombasa (14,5 MW) et Athi River (5 MW)</t>
        </is>
      </c>
      <c r="F607" t="inlineStr">
        <is>
          <t>secteur</t>
        </is>
      </c>
      <c r="G607" t="inlineStr">
        <is>
          <t>cimenterie</t>
        </is>
      </c>
      <c r="H607" t="inlineStr">
        <is>
          <t>texte</t>
        </is>
      </c>
      <c r="I607" t="inlineStr">
        <is>
          <t>déclarée</t>
        </is>
      </c>
      <c r="J607" t="n">
        <v>2023</v>
      </c>
      <c r="K607" t="inlineStr">
        <is>
          <t>C</t>
        </is>
      </c>
      <c r="L607" t="inlineStr">
        <is>
          <t>qualitatif_citation_ok</t>
        </is>
      </c>
      <c r="M607" t="inlineStr">
        <is>
          <t>Capital FM</t>
        </is>
      </c>
      <c r="N607" t="inlineStr">
        <is>
          <t>Bamburi Cement Commences Construction of Two Solar PV Plants</t>
        </is>
      </c>
      <c r="O607" t="inlineStr">
        <is>
          <t>https://capitalfm.africa/bamburi-cement-commences-construction-of-two-solar-pv-plants/</t>
        </is>
      </c>
      <c r="P607" t="inlineStr">
        <is>
          <t>2023-11-30</t>
        </is>
      </c>
      <c r="Q607" t="inlineStr">
        <is>
          <t>making it Kenya's largest commercial solar project initiated by a cement company</t>
        </is>
      </c>
      <c r="R607" t="inlineStr"/>
    </row>
    <row r="608">
      <c r="A608" t="inlineStr">
        <is>
          <t>qualitatif</t>
        </is>
      </c>
      <c r="B608" t="inlineStr">
        <is>
          <t>B_captif</t>
        </is>
      </c>
      <c r="C608" t="inlineStr">
        <is>
          <t>B</t>
        </is>
      </c>
      <c r="D608" t="inlineStr">
        <is>
          <t>KEN</t>
        </is>
      </c>
      <c r="E608" t="inlineStr">
        <is>
          <t>Bamburi Cement – centrales PV Mombasa (14,5 MW) et Athi River (5 MW)</t>
        </is>
      </c>
      <c r="F608" t="inlineStr">
        <is>
          <t>modele_commercial</t>
        </is>
      </c>
      <c r="G608" t="inlineStr">
        <is>
          <t>PPA privé (IPP finance, construit, exploite)</t>
        </is>
      </c>
      <c r="H608" t="inlineStr">
        <is>
          <t>texte</t>
        </is>
      </c>
      <c r="I608" t="inlineStr">
        <is>
          <t>déclarée</t>
        </is>
      </c>
      <c r="J608" t="n">
        <v>2023</v>
      </c>
      <c r="K608" t="inlineStr">
        <is>
          <t>C</t>
        </is>
      </c>
      <c r="L608" t="inlineStr">
        <is>
          <t>qualitatif_citation_ok</t>
        </is>
      </c>
      <c r="M608" t="inlineStr">
        <is>
          <t>Capital FM</t>
        </is>
      </c>
      <c r="N608" t="inlineStr">
        <is>
          <t>Bamburi Cement Commences Construction of Two Solar PV Plants</t>
        </is>
      </c>
      <c r="O608" t="inlineStr">
        <is>
          <t>https://capitalfm.africa/bamburi-cement-commences-construction-of-two-solar-pv-plants/</t>
        </is>
      </c>
      <c r="P608" t="inlineStr">
        <is>
          <t>2023-11-30</t>
        </is>
      </c>
      <c r="Q608" t="inlineStr">
        <is>
          <t>MOMNAI Energy will shoulder the responsibility of financing the construction, management, and maintenance costs of the entire project.</t>
        </is>
      </c>
      <c r="R608" t="inlineStr">
        <is>
          <t>PPA signé ~2021 ; tarif non publié.</t>
        </is>
      </c>
    </row>
    <row r="609">
      <c r="A609" t="inlineStr">
        <is>
          <t>retenu</t>
        </is>
      </c>
      <c r="B609" t="inlineStr">
        <is>
          <t>B_captif</t>
        </is>
      </c>
      <c r="C609" t="inlineStr">
        <is>
          <t>B</t>
        </is>
      </c>
      <c r="D609" t="inlineStr">
        <is>
          <t>KEN</t>
        </is>
      </c>
      <c r="E609" t="inlineStr">
        <is>
          <t>Bamburi Cement – centrales PV Mombasa (14,5 MW) et Athi River (5 MW)</t>
        </is>
      </c>
      <c r="F609" t="inlineStr">
        <is>
          <t>taux_couverture_solaire</t>
        </is>
      </c>
      <c r="G609" t="n">
        <v>30</v>
      </c>
      <c r="H609" t="inlineStr">
        <is>
          <t>% de l'approvisionnement électrique</t>
        </is>
      </c>
      <c r="I609" t="inlineStr">
        <is>
          <t>déclarée</t>
        </is>
      </c>
      <c r="J609" t="n">
        <v>2023</v>
      </c>
      <c r="K609" t="inlineStr">
        <is>
          <t>C</t>
        </is>
      </c>
      <c r="L609" t="inlineStr">
        <is>
          <t>confirmé</t>
        </is>
      </c>
      <c r="M609" t="inlineStr">
        <is>
          <t>Capital FM</t>
        </is>
      </c>
      <c r="N609" t="inlineStr">
        <is>
          <t>Bamburi Cement Commences Construction of Two Solar PV Plants</t>
        </is>
      </c>
      <c r="O609" t="inlineStr">
        <is>
          <t>https://capitalfm.africa/bamburi-cement-commences-construction-of-two-solar-pv-plants/</t>
        </is>
      </c>
      <c r="P609" t="inlineStr">
        <is>
          <t>2023-11-30</t>
        </is>
      </c>
      <c r="Q609" t="inlineStr">
        <is>
          <t>this initiative is poised to contribute up to 30% of Bamburi Cement's total power supply</t>
        </is>
      </c>
      <c r="R609" t="inlineStr"/>
    </row>
    <row r="610">
      <c r="A610" t="inlineStr">
        <is>
          <t>qualitatif</t>
        </is>
      </c>
      <c r="B610" t="inlineStr">
        <is>
          <t>B_captif</t>
        </is>
      </c>
      <c r="C610" t="inlineStr">
        <is>
          <t>B</t>
        </is>
      </c>
      <c r="D610" t="inlineStr">
        <is>
          <t>KEN</t>
        </is>
      </c>
      <c r="E610" t="inlineStr">
        <is>
          <t>Bamburi Cement – centrales PV Mombasa (14,5 MW) et Athi River (5 MW)</t>
        </is>
      </c>
      <c r="F610" t="inlineStr">
        <is>
          <t>statut</t>
        </is>
      </c>
      <c r="G610" t="inlineStr">
        <is>
          <t>en construction (début nov. 2023) – mise en service non confirmée</t>
        </is>
      </c>
      <c r="H610" t="inlineStr">
        <is>
          <t>texte</t>
        </is>
      </c>
      <c r="I610" t="inlineStr">
        <is>
          <t>déclarée</t>
        </is>
      </c>
      <c r="J610" t="n">
        <v>2023</v>
      </c>
      <c r="K610" t="inlineStr">
        <is>
          <t>C</t>
        </is>
      </c>
      <c r="L610" t="inlineStr">
        <is>
          <t>qualitatif_citation_ok</t>
        </is>
      </c>
      <c r="M610" t="inlineStr">
        <is>
          <t>Capital FM</t>
        </is>
      </c>
      <c r="N610" t="inlineStr">
        <is>
          <t>Bamburi Cement Commences Construction of Two Solar PV Plants</t>
        </is>
      </c>
      <c r="O610" t="inlineStr">
        <is>
          <t>https://capitalfm.africa/bamburi-cement-commences-construction-of-two-solar-pv-plants/</t>
        </is>
      </c>
      <c r="P610" t="inlineStr">
        <is>
          <t>2023-11-30</t>
        </is>
      </c>
      <c r="Q610" t="inlineStr">
        <is>
          <t>This milestone paves the way for the commencement of construction activities on the Solar PV Plants</t>
        </is>
      </c>
      <c r="R610" t="inlineStr"/>
    </row>
    <row r="611">
      <c r="A611" t="inlineStr">
        <is>
          <t>qualitatif</t>
        </is>
      </c>
      <c r="B611" t="inlineStr">
        <is>
          <t>B_captif</t>
        </is>
      </c>
      <c r="C611" t="inlineStr">
        <is>
          <t>B</t>
        </is>
      </c>
      <c r="D611" t="inlineStr">
        <is>
          <t>KEN</t>
        </is>
      </c>
      <c r="E611" t="inlineStr">
        <is>
          <t>Mombasa Cement – Vipingo (10 MW)</t>
        </is>
      </c>
      <c r="F611" t="inlineStr">
        <is>
          <t>developpeur_proprietaire</t>
        </is>
      </c>
      <c r="G611" t="inlineStr">
        <is>
          <t>Equator Energy (IBL Energy, STOA, Inspired Evolution)</t>
        </is>
      </c>
      <c r="H611" t="inlineStr">
        <is>
          <t>texte</t>
        </is>
      </c>
      <c r="I611" t="inlineStr">
        <is>
          <t>observée</t>
        </is>
      </c>
      <c r="J611" t="n">
        <v>2025</v>
      </c>
      <c r="K611" t="inlineStr">
        <is>
          <t>C</t>
        </is>
      </c>
      <c r="L611" t="inlineStr">
        <is>
          <t>qualitatif_citation_ok</t>
        </is>
      </c>
      <c r="M611" t="inlineStr">
        <is>
          <t>Green Building Africa</t>
        </is>
      </c>
      <c r="N611" t="inlineStr">
        <is>
          <t>Equator Energy commissions 10MW solar plant at Mombasa Cement Vipingo in Kenya</t>
        </is>
      </c>
      <c r="O611" t="inlineStr">
        <is>
          <t>https://www.greenbuildingafrica.co.za/equator-energy-commissions-10mw-solar-plant-at-mombasa-cement-vipingo-in-kenya/</t>
        </is>
      </c>
      <c r="P611" t="inlineStr">
        <is>
          <t>2025-10-04</t>
        </is>
      </c>
      <c r="Q611" t="inlineStr">
        <is>
          <t>Equator Energy is backed by IBL Energy, French impact fund STOA and Inspired Evolution.</t>
        </is>
      </c>
      <c r="R611" t="inlineStr"/>
    </row>
    <row r="612">
      <c r="A612" t="inlineStr">
        <is>
          <t>retenu</t>
        </is>
      </c>
      <c r="B612" t="inlineStr">
        <is>
          <t>B_captif</t>
        </is>
      </c>
      <c r="C612" t="inlineStr">
        <is>
          <t>B</t>
        </is>
      </c>
      <c r="D612" t="inlineStr">
        <is>
          <t>KEN</t>
        </is>
      </c>
      <c r="E612" t="inlineStr">
        <is>
          <t>Mombasa Cement – Vipingo (10 MW)</t>
        </is>
      </c>
      <c r="F612" t="inlineStr">
        <is>
          <t>puissance_mwp</t>
        </is>
      </c>
      <c r="G612" t="n">
        <v>10</v>
      </c>
      <c r="H612" t="inlineStr">
        <is>
          <t>MW</t>
        </is>
      </c>
      <c r="I612" t="inlineStr">
        <is>
          <t>observée</t>
        </is>
      </c>
      <c r="J612" t="n">
        <v>2025</v>
      </c>
      <c r="K612" t="inlineStr">
        <is>
          <t>C</t>
        </is>
      </c>
      <c r="L612" t="inlineStr">
        <is>
          <t>confirmé</t>
        </is>
      </c>
      <c r="M612" t="inlineStr">
        <is>
          <t>Green Building Africa</t>
        </is>
      </c>
      <c r="N612" t="inlineStr">
        <is>
          <t>Equator Energy commissions 10MW solar plant at Mombasa Cement Vipingo in Kenya</t>
        </is>
      </c>
      <c r="O612" t="inlineStr">
        <is>
          <t>https://www.greenbuildingafrica.co.za/equator-energy-commissions-10mw-solar-plant-at-mombasa-cement-vipingo-in-kenya/</t>
        </is>
      </c>
      <c r="P612" t="inlineStr">
        <is>
          <t>2025-10-04</t>
        </is>
      </c>
      <c r="Q612" t="inlineStr">
        <is>
          <t>Equator Energy has successfully commissioned a 10MW solar plant at Mombasa Cement's Vipingo facility under a long-term power purchase agreement.</t>
        </is>
      </c>
      <c r="R612" t="inlineStr"/>
    </row>
    <row r="613">
      <c r="A613" t="inlineStr">
        <is>
          <t>qualitatif</t>
        </is>
      </c>
      <c r="B613" t="inlineStr">
        <is>
          <t>B_captif</t>
        </is>
      </c>
      <c r="C613" t="inlineStr">
        <is>
          <t>B</t>
        </is>
      </c>
      <c r="D613" t="inlineStr">
        <is>
          <t>KEN</t>
        </is>
      </c>
      <c r="E613" t="inlineStr">
        <is>
          <t>Mombasa Cement – Vipingo (10 MW)</t>
        </is>
      </c>
      <c r="F613" t="inlineStr">
        <is>
          <t>modele_commercial</t>
        </is>
      </c>
      <c r="G613" t="inlineStr">
        <is>
          <t>PPA privé long terme</t>
        </is>
      </c>
      <c r="H613" t="inlineStr">
        <is>
          <t>texte</t>
        </is>
      </c>
      <c r="I613" t="inlineStr">
        <is>
          <t>observée</t>
        </is>
      </c>
      <c r="J613" t="n">
        <v>2025</v>
      </c>
      <c r="K613" t="inlineStr">
        <is>
          <t>C</t>
        </is>
      </c>
      <c r="L613" t="inlineStr">
        <is>
          <t>qualitatif_citation_ok</t>
        </is>
      </c>
      <c r="M613" t="inlineStr">
        <is>
          <t>Green Building Africa</t>
        </is>
      </c>
      <c r="N613" t="inlineStr">
        <is>
          <t>Equator Energy commissions 10MW solar plant at Mombasa Cement Vipingo in Kenya</t>
        </is>
      </c>
      <c r="O613" t="inlineStr">
        <is>
          <t>https://www.greenbuildingafrica.co.za/equator-energy-commissions-10mw-solar-plant-at-mombasa-cement-vipingo-in-kenya/</t>
        </is>
      </c>
      <c r="P613" t="inlineStr">
        <is>
          <t>2025-10-04</t>
        </is>
      </c>
      <c r="Q613" t="inlineStr">
        <is>
          <t>under a long-term power purchase agreement</t>
        </is>
      </c>
      <c r="R613" t="inlineStr">
        <is>
          <t>Tarif non publié.</t>
        </is>
      </c>
    </row>
    <row r="614">
      <c r="A614" t="inlineStr">
        <is>
          <t>retenu</t>
        </is>
      </c>
      <c r="B614" t="inlineStr">
        <is>
          <t>B_captif</t>
        </is>
      </c>
      <c r="C614" t="inlineStr">
        <is>
          <t>B</t>
        </is>
      </c>
      <c r="D614" t="inlineStr">
        <is>
          <t>NAM</t>
        </is>
      </c>
      <c r="E614" t="inlineStr">
        <is>
          <t>Ohorongo Cement – centrale solaire captive (5 MWac)</t>
        </is>
      </c>
      <c r="F614" t="inlineStr">
        <is>
          <t>puissance_mwp</t>
        </is>
      </c>
      <c r="G614" t="n">
        <v>6.5</v>
      </c>
      <c r="H614" t="inlineStr">
        <is>
          <t>MWc</t>
        </is>
      </c>
      <c r="I614" t="inlineStr">
        <is>
          <t>déclarée</t>
        </is>
      </c>
      <c r="J614" t="n">
        <v>2018</v>
      </c>
      <c r="K614" t="inlineStr">
        <is>
          <t>C</t>
        </is>
      </c>
      <c r="L614" t="inlineStr">
        <is>
          <t>confirmé</t>
        </is>
      </c>
      <c r="M614" t="inlineStr">
        <is>
          <t>Global Cement</t>
        </is>
      </c>
      <c r="N614" t="inlineStr">
        <is>
          <t>Solar plant at Ohorongo Cement scheduled to start in June 2018</t>
        </is>
      </c>
      <c r="O614" t="inlineStr">
        <is>
          <t>https://globalcement.com/news/8402-solar-plant-at-ohorongo-cement-scheduled-to-start-in-june-2018</t>
        </is>
      </c>
      <c r="P614" t="inlineStr">
        <is>
          <t>2018-06-20</t>
        </is>
      </c>
      <c r="Q614" t="inlineStr">
        <is>
          <t>an installed capacity of 6.5MWDC for an output of 5MWAC, according to the Daily Observer newspaper</t>
        </is>
      </c>
      <c r="R614" t="inlineStr">
        <is>
          <t>Trackers ; ~20 000 modules.</t>
        </is>
      </c>
    </row>
    <row r="615">
      <c r="A615" t="inlineStr">
        <is>
          <t>retenu</t>
        </is>
      </c>
      <c r="B615" t="inlineStr">
        <is>
          <t>B_captif</t>
        </is>
      </c>
      <c r="C615" t="inlineStr">
        <is>
          <t>B</t>
        </is>
      </c>
      <c r="D615" t="inlineStr">
        <is>
          <t>NAM</t>
        </is>
      </c>
      <c r="E615" t="inlineStr">
        <is>
          <t>Ohorongo Cement – centrale solaire captive (5 MWac)</t>
        </is>
      </c>
      <c r="F615" t="inlineStr">
        <is>
          <t>puissance_mwac</t>
        </is>
      </c>
      <c r="G615" t="n">
        <v>5</v>
      </c>
      <c r="H615" t="inlineStr">
        <is>
          <t>MWac</t>
        </is>
      </c>
      <c r="I615" t="inlineStr">
        <is>
          <t>déclarée</t>
        </is>
      </c>
      <c r="J615" t="n">
        <v>2018</v>
      </c>
      <c r="K615" t="inlineStr">
        <is>
          <t>C</t>
        </is>
      </c>
      <c r="L615" t="inlineStr">
        <is>
          <t>confirmé</t>
        </is>
      </c>
      <c r="M615" t="inlineStr">
        <is>
          <t>Global Cement</t>
        </is>
      </c>
      <c r="N615" t="inlineStr">
        <is>
          <t>Solar plant at Ohorongo Cement scheduled to start in June 2018</t>
        </is>
      </c>
      <c r="O615" t="inlineStr">
        <is>
          <t>https://globalcement.com/news/8402-solar-plant-at-ohorongo-cement-scheduled-to-start-in-june-2018</t>
        </is>
      </c>
      <c r="P615" t="inlineStr">
        <is>
          <t>2018-06-20</t>
        </is>
      </c>
      <c r="Q615" t="inlineStr">
        <is>
          <t>Ohorongo Cement's captive 5MWAC solar plant is preparing to start commercial operation by the end of June 2018.</t>
        </is>
      </c>
      <c r="R615" t="inlineStr"/>
    </row>
    <row r="616">
      <c r="A616" t="inlineStr">
        <is>
          <t>retenu</t>
        </is>
      </c>
      <c r="B616" t="inlineStr">
        <is>
          <t>B_captif</t>
        </is>
      </c>
      <c r="C616" t="inlineStr">
        <is>
          <t>B</t>
        </is>
      </c>
      <c r="D616" t="inlineStr">
        <is>
          <t>NAM</t>
        </is>
      </c>
      <c r="E616" t="inlineStr">
        <is>
          <t>Ohorongo Cement – centrale solaire captive (5 MWac)</t>
        </is>
      </c>
      <c r="F616" t="inlineStr">
        <is>
          <t>annee_mise_en_service</t>
        </is>
      </c>
      <c r="G616" t="n">
        <v>2018</v>
      </c>
      <c r="H616" t="inlineStr">
        <is>
          <t>année (prévue fin juin 2018)</t>
        </is>
      </c>
      <c r="I616" t="inlineStr">
        <is>
          <t>déclarée</t>
        </is>
      </c>
      <c r="J616" t="n">
        <v>2018</v>
      </c>
      <c r="K616" t="inlineStr">
        <is>
          <t>C</t>
        </is>
      </c>
      <c r="L616" t="inlineStr">
        <is>
          <t>confirmé</t>
        </is>
      </c>
      <c r="M616" t="inlineStr">
        <is>
          <t>Global Cement</t>
        </is>
      </c>
      <c r="N616" t="inlineStr">
        <is>
          <t>Solar plant at Ohorongo Cement scheduled to start in June 2018</t>
        </is>
      </c>
      <c r="O616" t="inlineStr">
        <is>
          <t>https://globalcement.com/news/8402-solar-plant-at-ohorongo-cement-scheduled-to-start-in-june-2018</t>
        </is>
      </c>
      <c r="P616" t="inlineStr">
        <is>
          <t>2018-06-20</t>
        </is>
      </c>
      <c r="Q616" t="inlineStr">
        <is>
          <t>is preparing to start commercial operation by the end of June 2018</t>
        </is>
      </c>
      <c r="R616" t="inlineStr">
        <is>
          <t>Mise en service effective non confirmée.</t>
        </is>
      </c>
    </row>
    <row r="617">
      <c r="A617" t="inlineStr">
        <is>
          <t>retenu</t>
        </is>
      </c>
      <c r="B617" t="inlineStr">
        <is>
          <t>B_captif</t>
        </is>
      </c>
      <c r="C617" t="inlineStr">
        <is>
          <t>B</t>
        </is>
      </c>
      <c r="D617" t="inlineStr">
        <is>
          <t>NAM</t>
        </is>
      </c>
      <c r="E617" t="inlineStr">
        <is>
          <t>Ohorongo Cement – centrale solaire captive (5 MWac)</t>
        </is>
      </c>
      <c r="F617" t="inlineStr">
        <is>
          <t>production_annuelle</t>
        </is>
      </c>
      <c r="G617" t="n">
        <v>14</v>
      </c>
      <c r="H617" t="inlineStr">
        <is>
          <t>GWh/an</t>
        </is>
      </c>
      <c r="I617" t="inlineStr">
        <is>
          <t>déclarée</t>
        </is>
      </c>
      <c r="J617" t="n">
        <v>2018</v>
      </c>
      <c r="K617" t="inlineStr">
        <is>
          <t>C</t>
        </is>
      </c>
      <c r="L617" t="inlineStr">
        <is>
          <t>confirmé</t>
        </is>
      </c>
      <c r="M617" t="inlineStr">
        <is>
          <t>Global Cement</t>
        </is>
      </c>
      <c r="N617" t="inlineStr">
        <is>
          <t>Solar plant at Ohorongo Cement scheduled to start in June 2018</t>
        </is>
      </c>
      <c r="O617" t="inlineStr">
        <is>
          <t>https://globalcement.com/news/8402-solar-plant-at-ohorongo-cement-scheduled-to-start-in-june-2018</t>
        </is>
      </c>
      <c r="P617" t="inlineStr">
        <is>
          <t>2018-06-20</t>
        </is>
      </c>
      <c r="Q617" t="inlineStr">
        <is>
          <t>Once it starts commercial operation it will provide an estimated 14GWhr/yr to the cement plant.</t>
        </is>
      </c>
      <c r="R617" t="inlineStr"/>
    </row>
    <row r="618">
      <c r="A618" t="inlineStr">
        <is>
          <t>qualitatif</t>
        </is>
      </c>
      <c r="B618" t="inlineStr">
        <is>
          <t>B_captif</t>
        </is>
      </c>
      <c r="C618" t="inlineStr">
        <is>
          <t>B</t>
        </is>
      </c>
      <c r="D618" t="inlineStr">
        <is>
          <t>NAM</t>
        </is>
      </c>
      <c r="E618" t="inlineStr">
        <is>
          <t>Ohorongo Cement – centrale solaire captive (5 MWac)</t>
        </is>
      </c>
      <c r="F618" t="inlineStr">
        <is>
          <t>developpeur_proprietaire</t>
        </is>
      </c>
      <c r="G618" t="inlineStr">
        <is>
          <t>SunEQ + Hungileni (financement local Namibia Infrastructure Finance)</t>
        </is>
      </c>
      <c r="H618" t="inlineStr">
        <is>
          <t>texte</t>
        </is>
      </c>
      <c r="I618" t="inlineStr">
        <is>
          <t>déclarée</t>
        </is>
      </c>
      <c r="J618" t="n">
        <v>2018</v>
      </c>
      <c r="K618" t="inlineStr">
        <is>
          <t>C</t>
        </is>
      </c>
      <c r="L618" t="inlineStr">
        <is>
          <t>qualitatif_citation_ok</t>
        </is>
      </c>
      <c r="M618" t="inlineStr">
        <is>
          <t>Global Cement</t>
        </is>
      </c>
      <c r="N618" t="inlineStr">
        <is>
          <t>Solar plant at Ohorongo Cement scheduled to start in June 2018</t>
        </is>
      </c>
      <c r="O618" t="inlineStr">
        <is>
          <t>https://globalcement.com/news/8402-solar-plant-at-ohorongo-cement-scheduled-to-start-in-june-2018</t>
        </is>
      </c>
      <c r="P618" t="inlineStr">
        <is>
          <t>2018-06-20</t>
        </is>
      </c>
      <c r="Q618" t="inlineStr">
        <is>
          <t>The site has been developed and built by Germany's SunEQ and its local partner Hungileni. Local financial partners also include Namibia Infrastructure Finance.</t>
        </is>
      </c>
      <c r="R618" t="inlineStr">
        <is>
          <t>Modèle IPP/PPA probable mais non explicitement indiqué.</t>
        </is>
      </c>
    </row>
    <row r="619">
      <c r="A619" t="inlineStr">
        <is>
          <t>retenu</t>
        </is>
      </c>
      <c r="B619" t="inlineStr">
        <is>
          <t>B_captif</t>
        </is>
      </c>
      <c r="C619" t="inlineStr">
        <is>
          <t>B</t>
        </is>
      </c>
      <c r="D619" t="inlineStr">
        <is>
          <t>KEN</t>
        </is>
      </c>
      <c r="E619" t="inlineStr">
        <is>
          <t>Williamson Tea – système PV hybride 1,5 MWc + 4 MWh (OFGEN)</t>
        </is>
      </c>
      <c r="F619" t="inlineStr">
        <is>
          <t>puissance_mwp</t>
        </is>
      </c>
      <c r="G619" t="n">
        <v>1.5</v>
      </c>
      <c r="H619" t="inlineStr">
        <is>
          <t>MWc</t>
        </is>
      </c>
      <c r="I619" t="inlineStr">
        <is>
          <t>observée</t>
        </is>
      </c>
      <c r="J619" t="n">
        <v>2022</v>
      </c>
      <c r="K619" t="inlineStr">
        <is>
          <t>C</t>
        </is>
      </c>
      <c r="L619" t="inlineStr">
        <is>
          <t>confirmé</t>
        </is>
      </c>
      <c r="M619" t="inlineStr">
        <is>
          <t>AFSIA (communiqué OFGEN)</t>
        </is>
      </c>
      <c r="N619" t="inlineStr">
        <is>
          <t>OFGEN commissions a 1.5MWp/4000 kWh BESS at Williamson Tea PLC, Kenya</t>
        </is>
      </c>
      <c r="O619" t="inlineStr">
        <is>
          <t>https://www.afsiasolar.com/ofgen-commissions-a-1-5mwp-4000-kwh-bess-at-williamson-tea-plc-kenya/</t>
        </is>
      </c>
      <c r="P619" t="inlineStr">
        <is>
          <t>2022-01-05</t>
        </is>
      </c>
      <c r="Q619" t="inlineStr">
        <is>
          <t>We successfully commissioned a 1,500kWp hybrid ground-mounted solar PV system with 4,000kWh, Tesla Battery storage.</t>
        </is>
      </c>
      <c r="R619" t="inlineStr"/>
    </row>
    <row r="620">
      <c r="A620" t="inlineStr">
        <is>
          <t>retenu</t>
        </is>
      </c>
      <c r="B620" t="inlineStr">
        <is>
          <t>B_captif</t>
        </is>
      </c>
      <c r="C620" t="inlineStr">
        <is>
          <t>B</t>
        </is>
      </c>
      <c r="D620" t="inlineStr">
        <is>
          <t>KEN</t>
        </is>
      </c>
      <c r="E620" t="inlineStr">
        <is>
          <t>Williamson Tea – système PV hybride 1,5 MWc + 4 MWh (OFGEN)</t>
        </is>
      </c>
      <c r="F620" t="inlineStr">
        <is>
          <t>stockage_mwh</t>
        </is>
      </c>
      <c r="G620" t="n">
        <v>4</v>
      </c>
      <c r="H620" t="inlineStr">
        <is>
          <t>MWh</t>
        </is>
      </c>
      <c r="I620" t="inlineStr">
        <is>
          <t>observée</t>
        </is>
      </c>
      <c r="J620" t="n">
        <v>2022</v>
      </c>
      <c r="K620" t="inlineStr">
        <is>
          <t>C</t>
        </is>
      </c>
      <c r="L620" t="inlineStr">
        <is>
          <t>confirmé</t>
        </is>
      </c>
      <c r="M620" t="inlineStr">
        <is>
          <t>AFSIA (communiqué OFGEN)</t>
        </is>
      </c>
      <c r="N620" t="inlineStr">
        <is>
          <t>OFGEN commissions a 1.5MWp/4000 kWh BESS at Williamson Tea PLC, Kenya</t>
        </is>
      </c>
      <c r="O620" t="inlineStr">
        <is>
          <t>https://www.afsiasolar.com/ofgen-commissions-a-1-5mwp-4000-kwh-bess-at-williamson-tea-plc-kenya/</t>
        </is>
      </c>
      <c r="P620" t="inlineStr">
        <is>
          <t>2022-01-05</t>
        </is>
      </c>
      <c r="Q620" t="inlineStr">
        <is>
          <t>a 1,500kWp hybrid ground-mounted solar PV system with 4,000kWh, Tesla Battery storage</t>
        </is>
      </c>
      <c r="R620" t="inlineStr"/>
    </row>
    <row r="621">
      <c r="A621" t="inlineStr">
        <is>
          <t>qualitatif</t>
        </is>
      </c>
      <c r="B621" t="inlineStr">
        <is>
          <t>B_captif</t>
        </is>
      </c>
      <c r="C621" t="inlineStr">
        <is>
          <t>B</t>
        </is>
      </c>
      <c r="D621" t="inlineStr">
        <is>
          <t>KEN</t>
        </is>
      </c>
      <c r="E621" t="inlineStr">
        <is>
          <t>Williamson Tea – système PV hybride 1,5 MWc + 4 MWh (OFGEN)</t>
        </is>
      </c>
      <c r="F621" t="inlineStr">
        <is>
          <t>secteur</t>
        </is>
      </c>
      <c r="G621" t="inlineStr">
        <is>
          <t>agro-industrie (usine de thé)</t>
        </is>
      </c>
      <c r="H621" t="inlineStr">
        <is>
          <t>texte</t>
        </is>
      </c>
      <c r="I621" t="inlineStr">
        <is>
          <t>observée</t>
        </is>
      </c>
      <c r="J621" t="n">
        <v>2022</v>
      </c>
      <c r="K621" t="inlineStr">
        <is>
          <t>C</t>
        </is>
      </c>
      <c r="L621" t="inlineStr">
        <is>
          <t>qualitatif_citation_ok</t>
        </is>
      </c>
      <c r="M621" t="inlineStr">
        <is>
          <t>AFSIA (communiqué OFGEN)</t>
        </is>
      </c>
      <c r="N621" t="inlineStr">
        <is>
          <t>OFGEN commissions a 1.5MWp/4000 kWh BESS at Williamson Tea PLC, Kenya</t>
        </is>
      </c>
      <c r="O621" t="inlineStr">
        <is>
          <t>https://www.afsiasolar.com/ofgen-commissions-a-1-5mwp-4000-kwh-bess-at-williamson-tea-plc-kenya/</t>
        </is>
      </c>
      <c r="P621" t="inlineStr">
        <is>
          <t>2022-01-05</t>
        </is>
      </c>
      <c r="Q621" t="inlineStr">
        <is>
          <t>the tea processing facility running on diesel generators for 6 hours every day</t>
        </is>
      </c>
      <c r="R621" t="inlineStr"/>
    </row>
    <row r="622">
      <c r="A622" t="inlineStr">
        <is>
          <t>retenu</t>
        </is>
      </c>
      <c r="B622" t="inlineStr">
        <is>
          <t>B_captif</t>
        </is>
      </c>
      <c r="C622" t="inlineStr">
        <is>
          <t>B</t>
        </is>
      </c>
      <c r="D622" t="inlineStr">
        <is>
          <t>KEN</t>
        </is>
      </c>
      <c r="E622" t="inlineStr">
        <is>
          <t>Williamson Tea – système PV hybride 1,5 MWc + 4 MWh (OFGEN)</t>
        </is>
      </c>
      <c r="F622" t="inlineStr">
        <is>
          <t>economies_carburant</t>
        </is>
      </c>
      <c r="G622" t="n">
        <v>85</v>
      </c>
      <c r="H622" t="inlineStr">
        <is>
          <t>% de réduction de la consommation diesel</t>
        </is>
      </c>
      <c r="I622" t="inlineStr">
        <is>
          <t>observée</t>
        </is>
      </c>
      <c r="J622" t="n">
        <v>2022</v>
      </c>
      <c r="K622" t="inlineStr">
        <is>
          <t>C</t>
        </is>
      </c>
      <c r="L622" t="inlineStr">
        <is>
          <t>confirmé</t>
        </is>
      </c>
      <c r="M622" t="inlineStr">
        <is>
          <t>AFSIA (communiqué OFGEN)</t>
        </is>
      </c>
      <c r="N622" t="inlineStr">
        <is>
          <t>OFGEN commissions a 1.5MWp/4000 kWh BESS at Williamson Tea PLC, Kenya</t>
        </is>
      </c>
      <c r="O622" t="inlineStr">
        <is>
          <t>https://www.afsiasolar.com/ofgen-commissions-a-1-5mwp-4000-kwh-bess-at-williamson-tea-plc-kenya/</t>
        </is>
      </c>
      <c r="P622" t="inlineStr">
        <is>
          <t>2022-01-05</t>
        </is>
      </c>
      <c r="Q622" t="inlineStr">
        <is>
          <t>Since switching to solar, diesel consumption have decreased by 85%, also resulting in a CO2 reduction of 1,474 tons.</t>
        </is>
      </c>
      <c r="R622" t="inlineStr"/>
    </row>
    <row r="623">
      <c r="A623" t="inlineStr">
        <is>
          <t>retenu</t>
        </is>
      </c>
      <c r="B623" t="inlineStr">
        <is>
          <t>B_captif</t>
        </is>
      </c>
      <c r="C623" t="inlineStr">
        <is>
          <t>B</t>
        </is>
      </c>
      <c r="D623" t="inlineStr">
        <is>
          <t>KEN</t>
        </is>
      </c>
      <c r="E623" t="inlineStr">
        <is>
          <t>CrossBoundary Energy – portefeuille C&amp;I (6 projets, Kenya/Rwanda/Ghana)</t>
        </is>
      </c>
      <c r="F623" t="inlineStr">
        <is>
          <t>puissance_mwp</t>
        </is>
      </c>
      <c r="G623" t="n">
        <v>5.75</v>
      </c>
      <c r="H623" t="inlineStr">
        <is>
          <t>MW (total des 6 projets, &gt;)</t>
        </is>
      </c>
      <c r="I623" t="inlineStr">
        <is>
          <t>déclarée</t>
        </is>
      </c>
      <c r="J623" t="n">
        <v>2018</v>
      </c>
      <c r="K623" t="inlineStr">
        <is>
          <t>C</t>
        </is>
      </c>
      <c r="L623" t="inlineStr">
        <is>
          <t>confirmé</t>
        </is>
      </c>
      <c r="M623" t="inlineStr">
        <is>
          <t>Private Equity Wire</t>
        </is>
      </c>
      <c r="N623" t="inlineStr">
        <is>
          <t>OPIC commits USD6 million financing to CrossBoundary Energy's commercial and industrial solar portfolio</t>
        </is>
      </c>
      <c r="O623" t="inlineStr">
        <is>
          <t>https://www.privateequitywire.co.uk/opic-commits-usd6-million-financing-crossboundary-energys-commercial-and/</t>
        </is>
      </c>
      <c r="P623" t="inlineStr">
        <is>
          <t>2018-11-27</t>
        </is>
      </c>
      <c r="Q623" t="inlineStr">
        <is>
          <t>OPIC's commitment will contribute to the funding of six captive solar PV projects currently under construction or development by CrossBoundary Energy. The projects total over 5.75 megawatts of capacity, and are located in Kenya, Rwanda, and Ghana.</t>
        </is>
      </c>
      <c r="R623" t="inlineStr">
        <is>
          <t>Valeur de portefeuille multi-pays (répétée pour chaque pays) ; ne pas additionner.</t>
        </is>
      </c>
    </row>
    <row r="624">
      <c r="A624" t="inlineStr">
        <is>
          <t>retenu</t>
        </is>
      </c>
      <c r="B624" t="inlineStr">
        <is>
          <t>B_captif</t>
        </is>
      </c>
      <c r="C624" t="inlineStr">
        <is>
          <t>B</t>
        </is>
      </c>
      <c r="D624" t="inlineStr">
        <is>
          <t>RWA</t>
        </is>
      </c>
      <c r="E624" t="inlineStr">
        <is>
          <t>CrossBoundary Energy – portefeuille C&amp;I (6 projets, Kenya/Rwanda/Ghana)</t>
        </is>
      </c>
      <c r="F624" t="inlineStr">
        <is>
          <t>puissance_mwp</t>
        </is>
      </c>
      <c r="G624" t="n">
        <v>5.75</v>
      </c>
      <c r="H624" t="inlineStr">
        <is>
          <t>MW (total des 6 projets, &gt;)</t>
        </is>
      </c>
      <c r="I624" t="inlineStr">
        <is>
          <t>déclarée</t>
        </is>
      </c>
      <c r="J624" t="n">
        <v>2018</v>
      </c>
      <c r="K624" t="inlineStr">
        <is>
          <t>C</t>
        </is>
      </c>
      <c r="L624" t="inlineStr">
        <is>
          <t>confirmé</t>
        </is>
      </c>
      <c r="M624" t="inlineStr">
        <is>
          <t>Private Equity Wire</t>
        </is>
      </c>
      <c r="N624" t="inlineStr">
        <is>
          <t>OPIC commits USD6 million financing to CrossBoundary Energy's commercial and industrial solar portfolio</t>
        </is>
      </c>
      <c r="O624" t="inlineStr">
        <is>
          <t>https://www.privateequitywire.co.uk/opic-commits-usd6-million-financing-crossboundary-energys-commercial-and/</t>
        </is>
      </c>
      <c r="P624" t="inlineStr">
        <is>
          <t>2018-11-27</t>
        </is>
      </c>
      <c r="Q624" t="inlineStr">
        <is>
          <t>OPIC's commitment will contribute to the funding of six captive solar PV projects currently under construction or development by CrossBoundary Energy. The projects total over 5.75 megawatts of capacity, and are located in Kenya, Rwanda, and Ghana.</t>
        </is>
      </c>
      <c r="R624" t="inlineStr">
        <is>
          <t>Valeur de portefeuille multi-pays (répétée pour chaque pays) ; ne pas additionner.</t>
        </is>
      </c>
    </row>
    <row r="625">
      <c r="A625" t="inlineStr">
        <is>
          <t>retenu</t>
        </is>
      </c>
      <c r="B625" t="inlineStr">
        <is>
          <t>B_captif</t>
        </is>
      </c>
      <c r="C625" t="inlineStr">
        <is>
          <t>B</t>
        </is>
      </c>
      <c r="D625" t="inlineStr">
        <is>
          <t>GHA</t>
        </is>
      </c>
      <c r="E625" t="inlineStr">
        <is>
          <t>CrossBoundary Energy – portefeuille C&amp;I (6 projets, Kenya/Rwanda/Ghana)</t>
        </is>
      </c>
      <c r="F625" t="inlineStr">
        <is>
          <t>puissance_mwp</t>
        </is>
      </c>
      <c r="G625" t="n">
        <v>5.75</v>
      </c>
      <c r="H625" t="inlineStr">
        <is>
          <t>MW (total des 6 projets, &gt;)</t>
        </is>
      </c>
      <c r="I625" t="inlineStr">
        <is>
          <t>déclarée</t>
        </is>
      </c>
      <c r="J625" t="n">
        <v>2018</v>
      </c>
      <c r="K625" t="inlineStr">
        <is>
          <t>C</t>
        </is>
      </c>
      <c r="L625" t="inlineStr">
        <is>
          <t>confirmé</t>
        </is>
      </c>
      <c r="M625" t="inlineStr">
        <is>
          <t>Private Equity Wire</t>
        </is>
      </c>
      <c r="N625" t="inlineStr">
        <is>
          <t>OPIC commits USD6 million financing to CrossBoundary Energy's commercial and industrial solar portfolio</t>
        </is>
      </c>
      <c r="O625" t="inlineStr">
        <is>
          <t>https://www.privateequitywire.co.uk/opic-commits-usd6-million-financing-crossboundary-energys-commercial-and/</t>
        </is>
      </c>
      <c r="P625" t="inlineStr">
        <is>
          <t>2018-11-27</t>
        </is>
      </c>
      <c r="Q625" t="inlineStr">
        <is>
          <t>OPIC's commitment will contribute to the funding of six captive solar PV projects currently under construction or development by CrossBoundary Energy. The projects total over 5.75 megawatts of capacity, and are located in Kenya, Rwanda, and Ghana.</t>
        </is>
      </c>
      <c r="R625" t="inlineStr">
        <is>
          <t>Valeur de portefeuille multi-pays (répétée pour chaque pays) ; ne pas additionner.</t>
        </is>
      </c>
    </row>
    <row r="626">
      <c r="A626" t="inlineStr">
        <is>
          <t>retenu</t>
        </is>
      </c>
      <c r="B626" t="inlineStr">
        <is>
          <t>B_captif</t>
        </is>
      </c>
      <c r="C626" t="inlineStr">
        <is>
          <t>B</t>
        </is>
      </c>
      <c r="D626" t="inlineStr">
        <is>
          <t>KEN</t>
        </is>
      </c>
      <c r="E626" t="inlineStr">
        <is>
          <t>CrossBoundary Energy – portefeuille C&amp;I (6 projets, Kenya/Rwanda/Ghana)</t>
        </is>
      </c>
      <c r="F626" t="inlineStr">
        <is>
          <t>capex_total</t>
        </is>
      </c>
      <c r="G626" t="n">
        <v>9250000</v>
      </c>
      <c r="H626" t="inlineStr">
        <is>
          <t>USD (coût du portefeuille, 3 pays)</t>
        </is>
      </c>
      <c r="I626" t="inlineStr">
        <is>
          <t>déclarée</t>
        </is>
      </c>
      <c r="J626" t="n">
        <v>2018</v>
      </c>
      <c r="K626" t="inlineStr">
        <is>
          <t>C</t>
        </is>
      </c>
      <c r="L626" t="inlineStr">
        <is>
          <t>confirmé</t>
        </is>
      </c>
      <c r="M626" t="inlineStr">
        <is>
          <t>Early Warning System (reprise document OPIC/DFC)</t>
        </is>
      </c>
      <c r="N626" t="inlineStr">
        <is>
          <t>CrossBoundary Energy Holdings (Kenya, Ghana, Rwanda) (DFC-CROSSBOUNDARYENERGY) – Early Warning System</t>
        </is>
      </c>
      <c r="O626" t="inlineStr">
        <is>
          <t>https://ewsdata.rightsindevelopment.org/projects/12345-crossboundary-energy-holdings-kenya-ghana-rwand/</t>
        </is>
      </c>
      <c r="P626" t="inlineStr">
        <is>
          <t>2018</t>
        </is>
      </c>
      <c r="Q626" t="inlineStr">
        <is>
          <t>Project Cost (USD) $ 9.25 million Value listed on project documents at time of disclosure.</t>
        </is>
      </c>
      <c r="R626" t="inlineStr">
        <is>
          <t>≈ 1,6 USD/W (calcul 9,25 M / 5,75 MW). Document DFC original non ouvert ; prêt OPIC 6 M USD.</t>
        </is>
      </c>
    </row>
    <row r="627">
      <c r="A627" t="inlineStr">
        <is>
          <t>qualitatif</t>
        </is>
      </c>
      <c r="B627" t="inlineStr">
        <is>
          <t>B_captif</t>
        </is>
      </c>
      <c r="C627" t="inlineStr">
        <is>
          <t>B</t>
        </is>
      </c>
      <c r="D627" t="inlineStr">
        <is>
          <t>KEN</t>
        </is>
      </c>
      <c r="E627" t="inlineStr">
        <is>
          <t>CrossBoundary Energy – portefeuille C&amp;I (6 projets, Kenya/Rwanda/Ghana)</t>
        </is>
      </c>
      <c r="F627" t="inlineStr">
        <is>
          <t>modele_commercial</t>
        </is>
      </c>
      <c r="G627" t="inlineStr">
        <is>
          <t>PPA privé sans apport initial du client</t>
        </is>
      </c>
      <c r="H627" t="inlineStr">
        <is>
          <t>texte</t>
        </is>
      </c>
      <c r="I627" t="inlineStr">
        <is>
          <t>déclarée</t>
        </is>
      </c>
      <c r="J627" t="n">
        <v>2018</v>
      </c>
      <c r="K627" t="inlineStr">
        <is>
          <t>C</t>
        </is>
      </c>
      <c r="L627" t="inlineStr">
        <is>
          <t>qualitatif_citation_ok</t>
        </is>
      </c>
      <c r="M627" t="inlineStr">
        <is>
          <t>Private Equity Wire</t>
        </is>
      </c>
      <c r="N627" t="inlineStr">
        <is>
          <t>OPIC commits USD6 million financing to CrossBoundary Energy's commercial and industrial solar portfolio</t>
        </is>
      </c>
      <c r="O627" t="inlineStr">
        <is>
          <t>https://www.privateequitywire.co.uk/opic-commits-usd6-million-financing-crossboundary-energys-commercial-and/</t>
        </is>
      </c>
      <c r="P627" t="inlineStr">
        <is>
          <t>2018-11-27</t>
        </is>
      </c>
      <c r="Q627" t="inlineStr">
        <is>
          <t>Clients sign long term power purchase agreements to purchase solar electricity without contributing upfront investment or taking technical risk on construction and maintenance.</t>
        </is>
      </c>
      <c r="R627" t="inlineStr"/>
    </row>
    <row r="628">
      <c r="A628" t="inlineStr">
        <is>
          <t>qualitatif</t>
        </is>
      </c>
      <c r="B628" t="inlineStr">
        <is>
          <t>B_captif</t>
        </is>
      </c>
      <c r="C628" t="inlineStr">
        <is>
          <t>B</t>
        </is>
      </c>
      <c r="D628" t="inlineStr">
        <is>
          <t>KEN</t>
        </is>
      </c>
      <c r="E628" t="inlineStr">
        <is>
          <t>Starsight Energy – solaire C&amp;I en leasing (Kenya)</t>
        </is>
      </c>
      <c r="F628" t="inlineStr">
        <is>
          <t>tarif_ppa</t>
        </is>
      </c>
      <c r="G628" t="inlineStr">
        <is>
          <t>0.06 – 0.08</t>
        </is>
      </c>
      <c r="H628" t="inlineStr">
        <is>
          <t>USD/kWh (coût équivalent en leasing)</t>
        </is>
      </c>
      <c r="I628" t="inlineStr">
        <is>
          <t>déclarée</t>
        </is>
      </c>
      <c r="J628" t="n">
        <v>2023</v>
      </c>
      <c r="K628" t="inlineStr">
        <is>
          <t>A</t>
        </is>
      </c>
      <c r="L628" t="inlineStr">
        <is>
          <t>qualitatif_citation_ok</t>
        </is>
      </c>
      <c r="M628" t="inlineStr">
        <is>
          <t>FMO</t>
        </is>
      </c>
      <c r="N628" t="inlineStr">
        <is>
          <t>FMO and GCPF invest USD 20 mln in Starsight Premier Energy Finance for East Africa solar projects</t>
        </is>
      </c>
      <c r="O628" t="inlineStr">
        <is>
          <t>https://www.fmo.nl/news-detail/f0ca8106-c395-4e94-ad3b-e71d8907b3b3/fmo-and-gcpf-invest-usd-20-mln-in-starsight-premier-energy-finance-for-east-africa-solar-projects</t>
        </is>
      </c>
      <c r="P628" t="inlineStr">
        <is>
          <t>2023-07-17</t>
        </is>
      </c>
      <c r="Q628" t="inlineStr">
        <is>
          <t>This allows the client to generate their own electricity for about USD 6-8 cents per kilowatt hour.</t>
        </is>
      </c>
      <c r="R628" t="inlineStr">
        <is>
          <t>Modèle leasing (lease-to-own), pas PPA strict. Comparaison réseau : 13-20 USc/kWh.</t>
        </is>
      </c>
    </row>
    <row r="629">
      <c r="A629" t="inlineStr">
        <is>
          <t>qualitatif</t>
        </is>
      </c>
      <c r="B629" t="inlineStr">
        <is>
          <t>B_captif</t>
        </is>
      </c>
      <c r="C629" t="inlineStr">
        <is>
          <t>B</t>
        </is>
      </c>
      <c r="D629" t="inlineStr">
        <is>
          <t>KEN</t>
        </is>
      </c>
      <c r="E629" t="inlineStr">
        <is>
          <t>Starsight Energy – solaire C&amp;I en leasing (Kenya)</t>
        </is>
      </c>
      <c r="F629" t="inlineStr">
        <is>
          <t>tarif_reseau_reference</t>
        </is>
      </c>
      <c r="G629" t="inlineStr">
        <is>
          <t>0.13 – 0.2</t>
        </is>
      </c>
      <c r="H629" t="inlineStr">
        <is>
          <t>USD/kWh (tarif réseau C&amp;I)</t>
        </is>
      </c>
      <c r="I629" t="inlineStr">
        <is>
          <t>déclarée</t>
        </is>
      </c>
      <c r="J629" t="n">
        <v>2023</v>
      </c>
      <c r="K629" t="inlineStr">
        <is>
          <t>A</t>
        </is>
      </c>
      <c r="L629" t="inlineStr">
        <is>
          <t>qualitatif_citation_ok</t>
        </is>
      </c>
      <c r="M629" t="inlineStr">
        <is>
          <t>FMO</t>
        </is>
      </c>
      <c r="N629" t="inlineStr">
        <is>
          <t>FMO and GCPF invest USD 20 mln in Starsight Premier Energy Finance for East Africa solar projects</t>
        </is>
      </c>
      <c r="O629" t="inlineStr">
        <is>
          <t>https://www.fmo.nl/news-detail/f0ca8106-c395-4e94-ad3b-e71d8907b3b3/fmo-and-gcpf-invest-usd-20-mln-in-starsight-premier-energy-finance-for-east-africa-solar-projects</t>
        </is>
      </c>
      <c r="P629" t="inlineStr">
        <is>
          <t>2023-07-17</t>
        </is>
      </c>
      <c r="Q629" t="inlineStr">
        <is>
          <t>In Kenya, industrial and commercial enterprises pay high grid tariffs ranging from USD 13-20 cents per kilowatt hour of electricity.</t>
        </is>
      </c>
      <c r="R629" t="inlineStr"/>
    </row>
    <row r="630">
      <c r="A630" t="inlineStr">
        <is>
          <t>qualitatif</t>
        </is>
      </c>
      <c r="B630" t="inlineStr">
        <is>
          <t>B_captif</t>
        </is>
      </c>
      <c r="C630" t="inlineStr">
        <is>
          <t>B</t>
        </is>
      </c>
      <c r="D630" t="inlineStr">
        <is>
          <t>KEN</t>
        </is>
      </c>
      <c r="E630" t="inlineStr">
        <is>
          <t>Starsight Energy – solaire C&amp;I en leasing (Kenya)</t>
        </is>
      </c>
      <c r="F630" t="inlineStr">
        <is>
          <t>modele_commercial</t>
        </is>
      </c>
      <c r="G630" t="inlineStr">
        <is>
          <t>leasing (lease-to-own)</t>
        </is>
      </c>
      <c r="H630" t="inlineStr">
        <is>
          <t>texte</t>
        </is>
      </c>
      <c r="I630" t="inlineStr">
        <is>
          <t>déclarée</t>
        </is>
      </c>
      <c r="J630" t="n">
        <v>2023</v>
      </c>
      <c r="K630" t="inlineStr">
        <is>
          <t>A</t>
        </is>
      </c>
      <c r="L630" t="inlineStr">
        <is>
          <t>qualitatif_citation_ok</t>
        </is>
      </c>
      <c r="M630" t="inlineStr">
        <is>
          <t>FMO</t>
        </is>
      </c>
      <c r="N630" t="inlineStr">
        <is>
          <t>FMO and GCPF invest USD 20 mln in Starsight Premier Energy Finance for East Africa solar projects</t>
        </is>
      </c>
      <c r="O630" t="inlineStr">
        <is>
          <t>https://www.fmo.nl/news-detail/f0ca8106-c395-4e94-ad3b-e71d8907b3b3/fmo-and-gcpf-invest-usd-20-mln-in-starsight-premier-energy-finance-for-east-africa-solar-projects</t>
        </is>
      </c>
      <c r="P630" t="inlineStr">
        <is>
          <t>2023-07-17</t>
        </is>
      </c>
      <c r="Q630" t="inlineStr">
        <is>
          <t>This allows the client to generate their own electricity for about USD 6-8 cents per kilowatt hour.</t>
        </is>
      </c>
      <c r="R630" t="inlineStr">
        <is>
          <t>FMO et GCPF : 10 M USD chacun.</t>
        </is>
      </c>
    </row>
    <row r="631">
      <c r="A631" t="inlineStr">
        <is>
          <t>retenu</t>
        </is>
      </c>
      <c r="B631" t="inlineStr">
        <is>
          <t>B_captif</t>
        </is>
      </c>
      <c r="C631" t="inlineStr">
        <is>
          <t>B</t>
        </is>
      </c>
      <c r="D631" t="inlineStr">
        <is>
          <t>CIV</t>
        </is>
      </c>
      <c r="E631" t="inlineStr">
        <is>
          <t>Société de Ciment de Côte d'Ivoire – centrale PV 5,2 MWc (Daystar Power)</t>
        </is>
      </c>
      <c r="F631" t="inlineStr">
        <is>
          <t>puissance_mwp</t>
        </is>
      </c>
      <c r="G631" t="n">
        <v>5.2</v>
      </c>
      <c r="H631" t="inlineStr">
        <is>
          <t>MWc</t>
        </is>
      </c>
      <c r="I631" t="inlineStr">
        <is>
          <t>déclarée</t>
        </is>
      </c>
      <c r="J631" t="n">
        <v>2026</v>
      </c>
      <c r="K631" t="inlineStr">
        <is>
          <t>C</t>
        </is>
      </c>
      <c r="L631" t="inlineStr">
        <is>
          <t>confirmé</t>
        </is>
      </c>
      <c r="M631" t="inlineStr">
        <is>
          <t>Ecofin Agency</t>
        </is>
      </c>
      <c r="N631" t="inlineStr">
        <is>
          <t>Daystar Power to Install 5.2 MWp Solar Plant for Ivorian Cement Firm</t>
        </is>
      </c>
      <c r="O631" t="inlineStr">
        <is>
          <t>https://www.ecofinagency.com/news-industry/2403-54052-daystar-power-to-install-5-2-mwp-solar-plant-for-ivorian-cement-firm</t>
        </is>
      </c>
      <c r="P631" t="inlineStr">
        <is>
          <t>2026-03-24</t>
        </is>
      </c>
      <c r="Q631" t="inlineStr">
        <is>
          <t>The agreement covers the installation of a 5.2 MWp solar power plant at the company's industrial site.</t>
        </is>
      </c>
      <c r="R631" t="inlineStr"/>
    </row>
    <row r="632">
      <c r="A632" t="inlineStr">
        <is>
          <t>qualitatif</t>
        </is>
      </c>
      <c r="B632" t="inlineStr">
        <is>
          <t>B_captif</t>
        </is>
      </c>
      <c r="C632" t="inlineStr">
        <is>
          <t>B</t>
        </is>
      </c>
      <c r="D632" t="inlineStr">
        <is>
          <t>CIV</t>
        </is>
      </c>
      <c r="E632" t="inlineStr">
        <is>
          <t>Société de Ciment de Côte d'Ivoire – centrale PV 5,2 MWc (Daystar Power)</t>
        </is>
      </c>
      <c r="F632" t="inlineStr">
        <is>
          <t>statut</t>
        </is>
      </c>
      <c r="G632" t="inlineStr">
        <is>
          <t>contrat signé (mars 2026)</t>
        </is>
      </c>
      <c r="H632" t="inlineStr">
        <is>
          <t>texte</t>
        </is>
      </c>
      <c r="I632" t="inlineStr">
        <is>
          <t>déclarée</t>
        </is>
      </c>
      <c r="J632" t="n">
        <v>2026</v>
      </c>
      <c r="K632" t="inlineStr">
        <is>
          <t>C</t>
        </is>
      </c>
      <c r="L632" t="inlineStr">
        <is>
          <t>qualitatif_citation_ok</t>
        </is>
      </c>
      <c r="M632" t="inlineStr">
        <is>
          <t>Ecofin Agency</t>
        </is>
      </c>
      <c r="N632" t="inlineStr">
        <is>
          <t>Daystar Power to Install 5.2 MWp Solar Plant for Ivorian Cement Firm</t>
        </is>
      </c>
      <c r="O632" t="inlineStr">
        <is>
          <t>https://www.ecofinagency.com/news-industry/2403-54052-daystar-power-to-install-5-2-mwp-solar-plant-for-ivorian-cement-firm</t>
        </is>
      </c>
      <c r="P632" t="inlineStr">
        <is>
          <t>2026-03-24</t>
        </is>
      </c>
      <c r="Q632" t="inlineStr">
        <is>
          <t>announced on Monday, March 23 that it signed a contract with Société de Ciment de Côte d'Ivoire (SC CI)</t>
        </is>
      </c>
      <c r="R632" t="inlineStr"/>
    </row>
    <row r="633">
      <c r="A633" t="inlineStr">
        <is>
          <t>qualitatif</t>
        </is>
      </c>
      <c r="B633" t="inlineStr">
        <is>
          <t>B_captif</t>
        </is>
      </c>
      <c r="C633" t="inlineStr">
        <is>
          <t>B</t>
        </is>
      </c>
      <c r="D633" t="inlineStr">
        <is>
          <t>CIV</t>
        </is>
      </c>
      <c r="E633" t="inlineStr">
        <is>
          <t>Société de Ciment de Côte d'Ivoire – centrale PV 5,2 MWc (Daystar Power)</t>
        </is>
      </c>
      <c r="F633" t="inlineStr">
        <is>
          <t>modele_commercial</t>
        </is>
      </c>
      <c r="G633" t="inlineStr">
        <is>
          <t>solution intégrée développeur (conception, construction, exploitation long terme)</t>
        </is>
      </c>
      <c r="H633" t="inlineStr">
        <is>
          <t>texte</t>
        </is>
      </c>
      <c r="I633" t="inlineStr">
        <is>
          <t>déclarée</t>
        </is>
      </c>
      <c r="J633" t="n">
        <v>2026</v>
      </c>
      <c r="K633" t="inlineStr">
        <is>
          <t>C</t>
        </is>
      </c>
      <c r="L633" t="inlineStr">
        <is>
          <t>qualitatif_citation_ok</t>
        </is>
      </c>
      <c r="M633" t="inlineStr">
        <is>
          <t>Ecofin Agency</t>
        </is>
      </c>
      <c r="N633" t="inlineStr">
        <is>
          <t>Daystar Power to Install 5.2 MWp Solar Plant for Ivorian Cement Firm</t>
        </is>
      </c>
      <c r="O633" t="inlineStr">
        <is>
          <t>https://www.ecofinagency.com/news-industry/2403-54052-daystar-power-to-install-5-2-mwp-solar-plant-for-ivorian-cement-firm</t>
        </is>
      </c>
      <c r="P633" t="inlineStr">
        <is>
          <t>2026-03-24</t>
        </is>
      </c>
      <c r="Q633" t="inlineStr">
        <is>
          <t>It will handle technical design, regulatory approvals, construction, and long-term operation.</t>
        </is>
      </c>
      <c r="R633" t="inlineStr">
        <is>
          <t>Montant d'investissement non publié.</t>
        </is>
      </c>
    </row>
    <row r="634">
      <c r="A634" t="inlineStr">
        <is>
          <t>qualitatif</t>
        </is>
      </c>
      <c r="B634" t="inlineStr">
        <is>
          <t>B_captif</t>
        </is>
      </c>
      <c r="C634" t="inlineStr">
        <is>
          <t>B</t>
        </is>
      </c>
      <c r="D634" t="inlineStr">
        <is>
          <t>EGY</t>
        </is>
      </c>
      <c r="E634" t="inlineStr">
        <is>
          <t>AlexFert – PPA solaire 1 MW (SolarizEgypt)</t>
        </is>
      </c>
      <c r="F634" t="inlineStr">
        <is>
          <t>modele_commercial</t>
        </is>
      </c>
      <c r="G634" t="inlineStr">
        <is>
          <t>PPA privé 30 ans</t>
        </is>
      </c>
      <c r="H634" t="inlineStr">
        <is>
          <t>texte</t>
        </is>
      </c>
      <c r="I634" t="inlineStr">
        <is>
          <t>déclarée</t>
        </is>
      </c>
      <c r="J634" t="n">
        <v>2026</v>
      </c>
      <c r="K634" t="inlineStr">
        <is>
          <t>C</t>
        </is>
      </c>
      <c r="L634" t="inlineStr">
        <is>
          <t>qualitatif_citation_ok</t>
        </is>
      </c>
      <c r="M634" t="inlineStr">
        <is>
          <t>ChemAnalyst</t>
        </is>
      </c>
      <c r="N634" t="inlineStr">
        <is>
          <t>AlexFert Signs 30-Year Solar PPA for 1 MW Plant in Egypt</t>
        </is>
      </c>
      <c r="O634" t="inlineStr">
        <is>
          <t>https://www.chemanalyst.com/NewsAndDeals/NewsDetails/alexfert-signs-30-year-solar-ppa-for-1-mw-plant-43826</t>
        </is>
      </c>
      <c r="P634" t="inlineStr">
        <is>
          <t>2026-08-10</t>
        </is>
      </c>
      <c r="Q634" t="inlineStr">
        <is>
          <t>Alexandria Fertilizers Company (AlexFert), a subsidiary of Valmore Holding, has entered into a 30-year Power Purchase Agreement (PPA) with Egyptian renewable energy developer SolarizEgypt</t>
        </is>
      </c>
      <c r="R634" t="inlineStr">
        <is>
          <t>Statut : PPA signé, non mis en service. Tarif non publié.</t>
        </is>
      </c>
    </row>
    <row r="635">
      <c r="A635" t="inlineStr">
        <is>
          <t>retenu</t>
        </is>
      </c>
      <c r="B635" t="inlineStr">
        <is>
          <t>B_captif</t>
        </is>
      </c>
      <c r="C635" t="inlineStr">
        <is>
          <t>B</t>
        </is>
      </c>
      <c r="D635" t="inlineStr">
        <is>
          <t>EGY</t>
        </is>
      </c>
      <c r="E635" t="inlineStr">
        <is>
          <t>AlexFert – PPA solaire 1 MW (SolarizEgypt)</t>
        </is>
      </c>
      <c r="F635" t="inlineStr">
        <is>
          <t>puissance_mwp</t>
        </is>
      </c>
      <c r="G635" t="n">
        <v>1</v>
      </c>
      <c r="H635" t="inlineStr">
        <is>
          <t>MW</t>
        </is>
      </c>
      <c r="I635" t="inlineStr">
        <is>
          <t>déclarée</t>
        </is>
      </c>
      <c r="J635" t="n">
        <v>2026</v>
      </c>
      <c r="K635" t="inlineStr">
        <is>
          <t>C</t>
        </is>
      </c>
      <c r="L635" t="inlineStr">
        <is>
          <t>confirmé</t>
        </is>
      </c>
      <c r="M635" t="inlineStr">
        <is>
          <t>ChemAnalyst</t>
        </is>
      </c>
      <c r="N635" t="inlineStr">
        <is>
          <t>AlexFert Signs 30-Year Solar PPA for 1 MW Plant in Egypt</t>
        </is>
      </c>
      <c r="O635" t="inlineStr">
        <is>
          <t>https://www.chemanalyst.com/NewsAndDeals/NewsDetails/alexfert-signs-30-year-solar-ppa-for-1-mw-plant-43826</t>
        </is>
      </c>
      <c r="P635" t="inlineStr">
        <is>
          <t>2026-08-10</t>
        </is>
      </c>
      <c r="Q635" t="inlineStr">
        <is>
          <t>to supply its Alexandria manufacturing facility with 1 megawatt (MW) of solar power</t>
        </is>
      </c>
      <c r="R635" t="inlineStr"/>
    </row>
    <row r="636">
      <c r="A636" t="inlineStr">
        <is>
          <t>retenu</t>
        </is>
      </c>
      <c r="B636" t="inlineStr">
        <is>
          <t>B_captif</t>
        </is>
      </c>
      <c r="C636" t="inlineStr">
        <is>
          <t>B</t>
        </is>
      </c>
      <c r="D636" t="inlineStr">
        <is>
          <t>MLI</t>
        </is>
      </c>
      <c r="E636" t="inlineStr">
        <is>
          <t>Sadiola – programme hybride solaire/stockage/thermique (Allied Gold / APS)</t>
        </is>
      </c>
      <c r="F636" t="inlineStr">
        <is>
          <t>puissance_mwp</t>
        </is>
      </c>
      <c r="G636" t="n">
        <v>35</v>
      </c>
      <c r="H636" t="inlineStr">
        <is>
          <t>MW (+30 MWh) en 2027 ; 60 MW / 45 MWh à terme</t>
        </is>
      </c>
      <c r="I636" t="inlineStr">
        <is>
          <t>déclarée</t>
        </is>
      </c>
      <c r="J636" t="n">
        <v>2025</v>
      </c>
      <c r="K636" t="inlineStr">
        <is>
          <t>C</t>
        </is>
      </c>
      <c r="L636" t="inlineStr">
        <is>
          <t>confirmé</t>
        </is>
      </c>
      <c r="M636" t="inlineStr">
        <is>
          <t>Ecofin Agency</t>
        </is>
      </c>
      <c r="N636" t="inlineStr">
        <is>
          <t>Allied Gold Bets on Solar Power to Support Sadiola Gold Mine Operations in Mali</t>
        </is>
      </c>
      <c r="O636" t="inlineStr">
        <is>
          <t>https://www.ecofinagency.com/news-industry/1410-49555-allied-gold-bets-on-solar-power-to-support-sadiola-gold-mine-operations-in-mali</t>
        </is>
      </c>
      <c r="P636" t="inlineStr">
        <is>
          <t>2025-10-14</t>
        </is>
      </c>
      <c r="Q636" t="inlineStr">
        <is>
          <t>In 2027, the company will add a 35 MW solar plant coupled with a 30 MWh battery storage system.</t>
        </is>
      </c>
      <c r="R636" t="inlineStr">
        <is>
          <t>HORS PÉRIODE (mise en service prévue 2027) – conservé pour contexte.</t>
        </is>
      </c>
    </row>
    <row r="637">
      <c r="A637" t="inlineStr">
        <is>
          <t>qualitatif</t>
        </is>
      </c>
      <c r="B637" t="inlineStr">
        <is>
          <t>B_captif</t>
        </is>
      </c>
      <c r="C637" t="inlineStr">
        <is>
          <t>B</t>
        </is>
      </c>
      <c r="D637" t="inlineStr">
        <is>
          <t>MLI</t>
        </is>
      </c>
      <c r="E637" t="inlineStr">
        <is>
          <t>Sadiola – programme hybride solaire/stockage/thermique (Allied Gold / APS)</t>
        </is>
      </c>
      <c r="F637" t="inlineStr">
        <is>
          <t>economies_usd</t>
        </is>
      </c>
      <c r="G637" t="inlineStr">
        <is>
          <t>-20 % puis -45 % du coût de l'énergie ; -150 à -200 USD/once d'AISC</t>
        </is>
      </c>
      <c r="H637" t="inlineStr">
        <is>
          <t>texte</t>
        </is>
      </c>
      <c r="I637" t="inlineStr">
        <is>
          <t>modélisée</t>
        </is>
      </c>
      <c r="J637" t="n">
        <v>2025</v>
      </c>
      <c r="K637" t="inlineStr">
        <is>
          <t>C</t>
        </is>
      </c>
      <c r="L637" t="inlineStr">
        <is>
          <t>qualitatif_citation_ok</t>
        </is>
      </c>
      <c r="M637" t="inlineStr">
        <is>
          <t>Ecofin Agency</t>
        </is>
      </c>
      <c r="N637" t="inlineStr">
        <is>
          <t>Allied Gold Bets on Solar Power to Support Sadiola Gold Mine Operations in Mali</t>
        </is>
      </c>
      <c r="O637" t="inlineStr">
        <is>
          <t>https://www.ecofinagency.com/news-industry/1410-49555-allied-gold-bets-on-solar-power-to-support-sadiola-gold-mine-operations-in-mali</t>
        </is>
      </c>
      <c r="P637" t="inlineStr">
        <is>
          <t>2025-10-14</t>
        </is>
      </c>
      <c r="Q637" t="inlineStr">
        <is>
          <t>cutting energy costs by 20% initially and by 45% once the full program is deployed</t>
        </is>
      </c>
      <c r="R637" t="inlineStr">
        <is>
          <t>Projections société.</t>
        </is>
      </c>
    </row>
    <row r="638">
      <c r="A638" t="inlineStr">
        <is>
          <t>retenu</t>
        </is>
      </c>
      <c r="B638" t="inlineStr">
        <is>
          <t>C_minireseaux</t>
        </is>
      </c>
      <c r="C638" t="inlineStr">
        <is>
          <t>C</t>
        </is>
      </c>
      <c r="D638" t="inlineStr">
        <is>
          <t>AFR</t>
        </is>
      </c>
      <c r="E638" t="inlineStr">
        <is>
          <t>Banque mondiale – communiqué 2022</t>
        </is>
      </c>
      <c r="F638" t="inlineStr">
        <is>
          <t>lcoe</t>
        </is>
      </c>
      <c r="G638" t="n">
        <v>0.38</v>
      </c>
      <c r="H638" t="inlineStr">
        <is>
          <t>USD/kWh</t>
        </is>
      </c>
      <c r="I638" t="inlineStr">
        <is>
          <t>modélisée</t>
        </is>
      </c>
      <c r="J638" t="n">
        <v>2022</v>
      </c>
      <c r="K638" t="inlineStr">
        <is>
          <t>B</t>
        </is>
      </c>
      <c r="L638" t="inlineStr">
        <is>
          <t>confirmé</t>
        </is>
      </c>
      <c r="M638" t="inlineStr">
        <is>
          <t>Banque mondiale</t>
        </is>
      </c>
      <c r="N638" t="inlineStr">
        <is>
          <t>Solar Mini Grids Could Power Half a Billion People by 2030 – if Action is Taken Now (communiqué)</t>
        </is>
      </c>
      <c r="O638" t="inlineStr">
        <is>
          <t>https://www.worldbank.org/en/news/press-release/2022/09/27/solar-mini-grids-could-power-half-a-billion-people-by-2030-if-action-is-taken-now</t>
        </is>
      </c>
      <c r="P638" t="inlineStr">
        <is>
          <t>2022-09-27</t>
        </is>
      </c>
      <c r="Q638" t="inlineStr">
        <is>
          <t>The cost of electricity generated by solar mini grids has gone down from $0.55/kWh in 2018 to $0.38/kWh today.</t>
        </is>
      </c>
      <c r="R638" t="inlineStr">
        <is>
          <t>Le communiqué date la valeur à 'today' (2022) ; le rapport la date 2020 ou 2021.</t>
        </is>
      </c>
    </row>
    <row r="639">
      <c r="A639" t="inlineStr">
        <is>
          <t>retenu</t>
        </is>
      </c>
      <c r="B639" t="inlineStr">
        <is>
          <t>C_minireseaux</t>
        </is>
      </c>
      <c r="C639" t="inlineStr">
        <is>
          <t>C</t>
        </is>
      </c>
      <c r="D639" t="inlineStr">
        <is>
          <t>AFR</t>
        </is>
      </c>
      <c r="E639" t="inlineStr">
        <is>
          <t>Banque mondiale – communiqué 2022</t>
        </is>
      </c>
      <c r="F639" t="inlineStr">
        <is>
          <t>investissement_requis_2030</t>
        </is>
      </c>
      <c r="G639" t="n">
        <v>127</v>
      </c>
      <c r="H639" t="inlineStr">
        <is>
          <t>milliards USD</t>
        </is>
      </c>
      <c r="I639" t="inlineStr">
        <is>
          <t>déclarée</t>
        </is>
      </c>
      <c r="J639" t="n">
        <v>2030</v>
      </c>
      <c r="K639" t="inlineStr">
        <is>
          <t>B</t>
        </is>
      </c>
      <c r="L639" t="inlineStr">
        <is>
          <t>confirmé</t>
        </is>
      </c>
      <c r="M639" t="inlineStr">
        <is>
          <t>Banque mondiale</t>
        </is>
      </c>
      <c r="N639" t="inlineStr">
        <is>
          <t>Solar Mini Grids Could Power Half a Billion People by 2030 – if Action is Taken Now (communiqué)</t>
        </is>
      </c>
      <c r="O639" t="inlineStr">
        <is>
          <t>https://www.worldbank.org/en/news/press-release/2022/09/27/solar-mini-grids-could-power-half-a-billion-people-by-2030-if-action-is-taken-now</t>
        </is>
      </c>
      <c r="P639" t="inlineStr">
        <is>
          <t>2022-09-27</t>
        </is>
      </c>
      <c r="Q639" t="inlineStr">
        <is>
          <t>Powering 490 million people by 2030 will require ... more than 217,000 mini grids at a cumulative cost of $127 billion.</t>
        </is>
      </c>
      <c r="R639" t="inlineStr">
        <is>
          <t>Monde ; extrait abrégé par l'outil de lecture (ellipse).</t>
        </is>
      </c>
    </row>
    <row r="640">
      <c r="A640" t="inlineStr">
        <is>
          <t>retenu</t>
        </is>
      </c>
      <c r="B640" t="inlineStr">
        <is>
          <t>C_minireseaux</t>
        </is>
      </c>
      <c r="C640" t="inlineStr">
        <is>
          <t>C</t>
        </is>
      </c>
      <c r="D640" t="inlineStr">
        <is>
          <t>AFR</t>
        </is>
      </c>
      <c r="E640" t="inlineStr">
        <is>
          <t>Banque mondiale – communiqué Afrique 2023</t>
        </is>
      </c>
      <c r="F640" t="inlineStr">
        <is>
          <t>nb_mini_reseaux_installes_ASS</t>
        </is>
      </c>
      <c r="G640" t="n">
        <v>3000</v>
      </c>
      <c r="H640" t="inlineStr">
        <is>
          <t>mini-réseaux</t>
        </is>
      </c>
      <c r="I640" t="inlineStr">
        <is>
          <t>observée</t>
        </is>
      </c>
      <c r="J640" t="n">
        <v>2023</v>
      </c>
      <c r="K640" t="inlineStr">
        <is>
          <t>B</t>
        </is>
      </c>
      <c r="L640" t="inlineStr">
        <is>
          <t>confirmé</t>
        </is>
      </c>
      <c r="M640" t="inlineStr">
        <is>
          <t>Banque mondiale</t>
        </is>
      </c>
      <c r="N640" t="inlineStr">
        <is>
          <t>Solar Mini Grids Could Sustainably Power 380 million People in Africa by 2030 – if Action is Taken Now (communiqué)</t>
        </is>
      </c>
      <c r="O640" t="inlineStr">
        <is>
          <t>https://www.worldbank.org/en/news/press-release/2023/02/26/solar-mini-grids-could-sustainably-power-380-million-people-in-afe-africa-by-2030-if-action-is-taken-now</t>
        </is>
      </c>
      <c r="P640" t="inlineStr">
        <is>
          <t>2023-02-26</t>
        </is>
      </c>
      <c r="Q640" t="inlineStr">
        <is>
          <t>from around 500 installed in 2010 … to more than 3,000 installed today, and a further 9,000 planned for development over the next few years.</t>
        </is>
      </c>
      <c r="R640" t="inlineStr">
        <is>
          <t>Afrique subsaharienne, mini-réseaux solaires.</t>
        </is>
      </c>
    </row>
    <row r="641">
      <c r="A641" t="inlineStr">
        <is>
          <t>retenu</t>
        </is>
      </c>
      <c r="B641" t="inlineStr">
        <is>
          <t>C_minireseaux</t>
        </is>
      </c>
      <c r="C641" t="inlineStr">
        <is>
          <t>C</t>
        </is>
      </c>
      <c r="D641" t="inlineStr">
        <is>
          <t>AFR</t>
        </is>
      </c>
      <c r="E641" t="inlineStr">
        <is>
          <t>Banque mondiale – communiqué Afrique 2023</t>
        </is>
      </c>
      <c r="F641" t="inlineStr">
        <is>
          <t>investissement_requis_2030</t>
        </is>
      </c>
      <c r="G641" t="n">
        <v>91</v>
      </c>
      <c r="H641" t="inlineStr">
        <is>
          <t>milliards USD</t>
        </is>
      </c>
      <c r="I641" t="inlineStr">
        <is>
          <t>déclarée</t>
        </is>
      </c>
      <c r="J641" t="n">
        <v>2030</v>
      </c>
      <c r="K641" t="inlineStr">
        <is>
          <t>B</t>
        </is>
      </c>
      <c r="L641" t="inlineStr">
        <is>
          <t>confirmé</t>
        </is>
      </c>
      <c r="M641" t="inlineStr">
        <is>
          <t>Banque mondiale</t>
        </is>
      </c>
      <c r="N641" t="inlineStr">
        <is>
          <t>Solar Mini Grids Could Sustainably Power 380 million People in Africa by 2030 – if Action is Taken Now (communiqué)</t>
        </is>
      </c>
      <c r="O641" t="inlineStr">
        <is>
          <t>https://www.worldbank.org/en/news/press-release/2023/02/26/solar-mini-grids-could-sustainably-power-380-million-people-in-afe-africa-by-2030-if-action-is-taken-now</t>
        </is>
      </c>
      <c r="P641" t="inlineStr">
        <is>
          <t>2023-02-26</t>
        </is>
      </c>
      <c r="Q641" t="inlineStr">
        <is>
          <t>Powering 380 million people in Africa by 2030 will require the construction of more than 160,000 mini grids … at a cumulative cost of $91 billion.</t>
        </is>
      </c>
      <c r="R641" t="inlineStr"/>
    </row>
    <row r="642">
      <c r="A642" t="inlineStr">
        <is>
          <t>retenu</t>
        </is>
      </c>
      <c r="B642" t="inlineStr">
        <is>
          <t>C_minireseaux</t>
        </is>
      </c>
      <c r="C642" t="inlineStr">
        <is>
          <t>C</t>
        </is>
      </c>
      <c r="D642" t="inlineStr">
        <is>
          <t>AFR</t>
        </is>
      </c>
      <c r="E642" t="inlineStr">
        <is>
          <t>Power for All 2019 (synthèse BM/RMI/IRENA/WoodMac)</t>
        </is>
      </c>
      <c r="F642" t="inlineStr">
        <is>
          <t>capex_par_kw</t>
        </is>
      </c>
      <c r="G642" t="n">
        <v>3908</v>
      </c>
      <c r="H642" t="inlineStr">
        <is>
          <t>USD/kW</t>
        </is>
      </c>
      <c r="I642" t="inlineStr">
        <is>
          <t>observée</t>
        </is>
      </c>
      <c r="J642" t="n">
        <v>2019</v>
      </c>
      <c r="K642" t="inlineStr">
        <is>
          <t>C</t>
        </is>
      </c>
      <c r="L642" t="inlineStr">
        <is>
          <t>citation_partielle</t>
        </is>
      </c>
      <c r="M642" t="inlineStr">
        <is>
          <t>Power for All</t>
        </is>
      </c>
      <c r="N642" t="inlineStr">
        <is>
          <t>Fact Sheet: Mini-grids costs can be reduced by 60% by 2030</t>
        </is>
      </c>
      <c r="O642" t="inlineStr">
        <is>
          <t>https://www.powerforall.org/application/files/4415/6700/7650/FS__Mini-grids_costs_can_be_reduced_by_60_by_2030.pdf</t>
        </is>
      </c>
      <c r="P642" t="inlineStr">
        <is>
          <t>2019-08</t>
        </is>
      </c>
      <c r="Q642" t="inlineStr">
        <is>
          <t>in terms of upfront cost per kW installed, solar-hybrid mini-grids today cost US$3,908/kW on average. By 2030, this will fall below US$3,000/kW</t>
        </is>
      </c>
      <c r="R642" t="inlineStr">
        <is>
          <t>Source secondaire citant ESMAP 2019 (WB, p.3).</t>
        </is>
      </c>
    </row>
    <row r="643">
      <c r="A643" t="inlineStr">
        <is>
          <t>retenu</t>
        </is>
      </c>
      <c r="B643" t="inlineStr">
        <is>
          <t>C_minireseaux</t>
        </is>
      </c>
      <c r="C643" t="inlineStr">
        <is>
          <t>C</t>
        </is>
      </c>
      <c r="D643" t="inlineStr">
        <is>
          <t>AFR</t>
        </is>
      </c>
      <c r="E643" t="inlineStr">
        <is>
          <t>AMDA BAM 2022 – membres</t>
        </is>
      </c>
      <c r="F643" t="inlineStr">
        <is>
          <t>arpu_mensuel</t>
        </is>
      </c>
      <c r="G643" t="n">
        <v>8.300000000000001</v>
      </c>
      <c r="H643" t="inlineStr">
        <is>
          <t>USD/client/mois</t>
        </is>
      </c>
      <c r="I643" t="inlineStr">
        <is>
          <t>observée</t>
        </is>
      </c>
      <c r="J643" t="n">
        <v>2020</v>
      </c>
      <c r="K643" t="inlineStr">
        <is>
          <t>A</t>
        </is>
      </c>
      <c r="L643" t="inlineStr">
        <is>
          <t>citation_partielle</t>
        </is>
      </c>
      <c r="M643" t="inlineStr">
        <is>
          <t>AMDA (Africa Minigrid Developers Association)</t>
        </is>
      </c>
      <c r="N643" t="inlineStr">
        <is>
          <t>Benchmarking Africa's Minigrids Report 2022 (édition synthétique)</t>
        </is>
      </c>
      <c r="O643" t="inlineStr">
        <is>
          <t>https://www.lerenovaveis.org/contents/lerpublication/amda_2022_set_benchmarking-africas-minigrids-report.pdf</t>
        </is>
      </c>
      <c r="P643" t="inlineStr">
        <is>
          <t>2022</t>
        </is>
      </c>
      <c r="Q643" t="inlineStr">
        <is>
          <t>For sites that were commissioned before 2019, monthly ARPU is currently $8.30.</t>
        </is>
      </c>
      <c r="R643" t="inlineStr">
        <is>
          <t>Sites mis en service avant 2019 ; KPLC ARPU rural &lt; 1 USD/mois.</t>
        </is>
      </c>
    </row>
    <row r="644">
      <c r="A644" t="inlineStr">
        <is>
          <t>retenu</t>
        </is>
      </c>
      <c r="B644" t="inlineStr">
        <is>
          <t>C_minireseaux</t>
        </is>
      </c>
      <c r="C644" t="inlineStr">
        <is>
          <t>C</t>
        </is>
      </c>
      <c r="D644" t="inlineStr">
        <is>
          <t>AFR</t>
        </is>
      </c>
      <c r="E644" t="inlineStr">
        <is>
          <t>AMDA BAM 2022 – membres</t>
        </is>
      </c>
      <c r="F644" t="inlineStr">
        <is>
          <t>conso_moyenne_kwh_client_mois</t>
        </is>
      </c>
      <c r="G644" t="n">
        <v>8.9</v>
      </c>
      <c r="H644" t="inlineStr">
        <is>
          <t>kWh/client/mois</t>
        </is>
      </c>
      <c r="I644" t="inlineStr">
        <is>
          <t>observée</t>
        </is>
      </c>
      <c r="J644" t="n">
        <v>2020</v>
      </c>
      <c r="K644" t="inlineStr">
        <is>
          <t>A</t>
        </is>
      </c>
      <c r="L644" t="inlineStr">
        <is>
          <t>citation_partielle</t>
        </is>
      </c>
      <c r="M644" t="inlineStr">
        <is>
          <t>AMDA (Africa Minigrid Developers Association)</t>
        </is>
      </c>
      <c r="N644" t="inlineStr">
        <is>
          <t>Benchmarking Africa's Minigrids Report 2022 (édition synthétique)</t>
        </is>
      </c>
      <c r="O644" t="inlineStr">
        <is>
          <t>https://www.lerenovaveis.org/contents/lerpublication/amda_2022_set_benchmarking-africas-minigrids-report.pdf</t>
        </is>
      </c>
      <c r="P644" t="inlineStr">
        <is>
          <t>2022</t>
        </is>
      </c>
      <c r="Q644" t="inlineStr">
        <is>
          <t>For customers that were connected before 2019, the average monthly consumption is 8.9kWh. By comparison the consumption in the previous AMDA report was 6.1 kWh per month.</t>
        </is>
      </c>
      <c r="R644" t="inlineStr"/>
    </row>
    <row r="645">
      <c r="A645" t="inlineStr">
        <is>
          <t>retenu</t>
        </is>
      </c>
      <c r="B645" t="inlineStr">
        <is>
          <t>C_minireseaux</t>
        </is>
      </c>
      <c r="C645" t="inlineStr">
        <is>
          <t>C</t>
        </is>
      </c>
      <c r="D645" t="inlineStr">
        <is>
          <t>AFR</t>
        </is>
      </c>
      <c r="E645" t="inlineStr">
        <is>
          <t>AMDA BAM 2022 – membres</t>
        </is>
      </c>
      <c r="F645" t="inlineStr">
        <is>
          <t>nb_branchements</t>
        </is>
      </c>
      <c r="G645" t="n">
        <v>78000</v>
      </c>
      <c r="H645" t="inlineStr">
        <is>
          <t>branchements</t>
        </is>
      </c>
      <c r="I645" t="inlineStr">
        <is>
          <t>observée</t>
        </is>
      </c>
      <c r="J645" t="n">
        <v>2021</v>
      </c>
      <c r="K645" t="inlineStr">
        <is>
          <t>A</t>
        </is>
      </c>
      <c r="L645" t="inlineStr">
        <is>
          <t>citation_partielle</t>
        </is>
      </c>
      <c r="M645" t="inlineStr">
        <is>
          <t>AMDA (Africa Minigrid Developers Association)</t>
        </is>
      </c>
      <c r="N645" t="inlineStr">
        <is>
          <t>Benchmarking Africa's Minigrids Report 2022 (édition synthétique)</t>
        </is>
      </c>
      <c r="O645" t="inlineStr">
        <is>
          <t>https://www.lerenovaveis.org/contents/lerpublication/amda_2022_set_benchmarking-africas-minigrids-report.pdf</t>
        </is>
      </c>
      <c r="P645" t="inlineStr">
        <is>
          <t>2022</t>
        </is>
      </c>
      <c r="Q645" t="inlineStr">
        <is>
          <t>the number of connections almost doubled from 40,700 connections to more than 78,000</t>
        </is>
      </c>
      <c r="R645" t="inlineStr">
        <is>
          <t>Déc. 2019 → déc. 2021, membres AMDA déclarants.</t>
        </is>
      </c>
    </row>
    <row r="646">
      <c r="A646" t="inlineStr">
        <is>
          <t>retenu</t>
        </is>
      </c>
      <c r="B646" t="inlineStr">
        <is>
          <t>C_minireseaux</t>
        </is>
      </c>
      <c r="C646" t="inlineStr">
        <is>
          <t>C</t>
        </is>
      </c>
      <c r="D646" t="inlineStr">
        <is>
          <t>AFR</t>
        </is>
      </c>
      <c r="E646" t="inlineStr">
        <is>
          <t>AMDA BAM 2022 – financement</t>
        </is>
      </c>
      <c r="F646" t="inlineStr">
        <is>
          <t>fonds_engages_decaisses</t>
        </is>
      </c>
      <c r="G646" t="n">
        <v>208</v>
      </c>
      <c r="H646" t="inlineStr">
        <is>
          <t>millions USD</t>
        </is>
      </c>
      <c r="I646" t="inlineStr">
        <is>
          <t>observée</t>
        </is>
      </c>
      <c r="J646" t="n">
        <v>2021</v>
      </c>
      <c r="K646" t="inlineStr">
        <is>
          <t>A</t>
        </is>
      </c>
      <c r="L646" t="inlineStr">
        <is>
          <t>citation_partielle</t>
        </is>
      </c>
      <c r="M646" t="inlineStr">
        <is>
          <t>AMDA (Africa Minigrid Developers Association)</t>
        </is>
      </c>
      <c r="N646" t="inlineStr">
        <is>
          <t>Benchmarking Africa's Minigrids Report 2022 (édition synthétique)</t>
        </is>
      </c>
      <c r="O646" t="inlineStr">
        <is>
          <t>https://www.lerenovaveis.org/contents/lerpublication/amda_2022_set_benchmarking-africas-minigrids-report.pdf</t>
        </is>
      </c>
      <c r="P646" t="inlineStr">
        <is>
          <t>2022</t>
        </is>
      </c>
      <c r="Q646" t="inlineStr">
        <is>
          <t>Data shows that only 13% ($208 million) of the $1.6 billion committed to the minigrid industry to de-risk projects, close the consumer pricing gap</t>
        </is>
      </c>
      <c r="R646" t="inlineStr"/>
    </row>
    <row r="647">
      <c r="A647" t="inlineStr">
        <is>
          <t>retenu</t>
        </is>
      </c>
      <c r="B647" t="inlineStr">
        <is>
          <t>C_minireseaux</t>
        </is>
      </c>
      <c r="C647" t="inlineStr">
        <is>
          <t>C</t>
        </is>
      </c>
      <c r="D647" t="inlineStr">
        <is>
          <t>AFR</t>
        </is>
      </c>
      <c r="E647" t="inlineStr">
        <is>
          <t>AMDA BAM 2022 – membres</t>
        </is>
      </c>
      <c r="F647" t="inlineStr">
        <is>
          <t>capex_par_kwp</t>
        </is>
      </c>
      <c r="G647" t="n">
        <v>8500</v>
      </c>
      <c r="H647" t="inlineStr">
        <is>
          <t>USD/kWp</t>
        </is>
      </c>
      <c r="I647" t="inlineStr">
        <is>
          <t>observée</t>
        </is>
      </c>
      <c r="J647" t="n">
        <v>2020</v>
      </c>
      <c r="K647" t="inlineStr">
        <is>
          <t>A</t>
        </is>
      </c>
      <c r="L647" t="inlineStr">
        <is>
          <t>citation_partielle</t>
        </is>
      </c>
      <c r="M647" t="inlineStr">
        <is>
          <t>AMDA (Africa Minigrid Developers Association) / ECA</t>
        </is>
      </c>
      <c r="N647" t="inlineStr">
        <is>
          <t>Benchmarking Africa's Minigrids Report 2022 (rapport complet)</t>
        </is>
      </c>
      <c r="O647" t="inlineStr">
        <is>
          <t>https://bdd.pseau.org/outils/ouvrages/amda_benchmarking_africa_s_minigrid_report_2023.pdf</t>
        </is>
      </c>
      <c r="P647" t="inlineStr">
        <is>
          <t>2022</t>
        </is>
      </c>
      <c r="Q647" t="inlineStr">
        <is>
          <t>The average total capex in 2020 was just over USD $8,500 per kWp including distribution costs, a small increase of 2.5% from 2019 and above the three-year running average of USD $7,330 per kWp.</t>
        </is>
      </c>
      <c r="R647" t="inlineStr">
        <is>
          <t>Inclut distribution ; moyenne glissante 3 ans = 7 330 USD/kWp.</t>
        </is>
      </c>
    </row>
    <row r="648">
      <c r="A648" t="inlineStr">
        <is>
          <t>retenu</t>
        </is>
      </c>
      <c r="B648" t="inlineStr">
        <is>
          <t>C_minireseaux</t>
        </is>
      </c>
      <c r="C648" t="inlineStr">
        <is>
          <t>C</t>
        </is>
      </c>
      <c r="D648" t="inlineStr">
        <is>
          <t>AFR</t>
        </is>
      </c>
      <c r="E648" t="inlineStr">
        <is>
          <t>AMDA BAM 2022 – membres</t>
        </is>
      </c>
      <c r="F648" t="inlineStr">
        <is>
          <t>capex_par_branchement</t>
        </is>
      </c>
      <c r="G648" t="n">
        <v>930</v>
      </c>
      <c r="H648" t="inlineStr">
        <is>
          <t>USD/branchement</t>
        </is>
      </c>
      <c r="I648" t="inlineStr">
        <is>
          <t>observée</t>
        </is>
      </c>
      <c r="J648" t="n">
        <v>2020</v>
      </c>
      <c r="K648" t="inlineStr">
        <is>
          <t>A</t>
        </is>
      </c>
      <c r="L648" t="inlineStr">
        <is>
          <t>citation_partielle</t>
        </is>
      </c>
      <c r="M648" t="inlineStr">
        <is>
          <t>AMDA (Africa Minigrid Developers Association) / ECA</t>
        </is>
      </c>
      <c r="N648" t="inlineStr">
        <is>
          <t>Benchmarking Africa's Minigrids Report 2022 (rapport complet)</t>
        </is>
      </c>
      <c r="O648" t="inlineStr">
        <is>
          <t>https://bdd.pseau.org/outils/ouvrages/amda_benchmarking_africa_s_minigrid_report_2023.pdf</t>
        </is>
      </c>
      <c r="P648" t="inlineStr">
        <is>
          <t>2022</t>
        </is>
      </c>
      <c r="Q648" t="inlineStr">
        <is>
          <t>The average capex per connection for 2020 was USD $930, 32% lower than in 2019.</t>
        </is>
      </c>
      <c r="R648" t="inlineStr">
        <is>
          <t>Conflit avec ESMAP (700–800 USD en 2021) et SEforALL (1 250 USD en 2020).</t>
        </is>
      </c>
    </row>
    <row r="649">
      <c r="A649" t="inlineStr">
        <is>
          <t>retenu</t>
        </is>
      </c>
      <c r="B649" t="inlineStr">
        <is>
          <t>C_minireseaux</t>
        </is>
      </c>
      <c r="C649" t="inlineStr">
        <is>
          <t>C</t>
        </is>
      </c>
      <c r="D649" t="inlineStr">
        <is>
          <t>KEN</t>
        </is>
      </c>
      <c r="E649" t="inlineStr">
        <is>
          <t>AMDA BAM 2022 – agrégat pays Kenya</t>
        </is>
      </c>
      <c r="F649" t="inlineStr">
        <is>
          <t>conso_moyenne_kwh_client_mois</t>
        </is>
      </c>
      <c r="G649" t="n">
        <v>3.7</v>
      </c>
      <c r="H649" t="inlineStr">
        <is>
          <t>kWh/client/mois</t>
        </is>
      </c>
      <c r="I649" t="inlineStr">
        <is>
          <t>observée</t>
        </is>
      </c>
      <c r="J649" t="n">
        <v>2020</v>
      </c>
      <c r="K649" t="inlineStr">
        <is>
          <t>A</t>
        </is>
      </c>
      <c r="L649" t="inlineStr">
        <is>
          <t>confirmé</t>
        </is>
      </c>
      <c r="M649" t="inlineStr">
        <is>
          <t>AMDA (Africa Minigrid Developers Association) / ECA</t>
        </is>
      </c>
      <c r="N649" t="inlineStr">
        <is>
          <t>Benchmarking Africa's Minigrids Report 2022 (rapport complet)</t>
        </is>
      </c>
      <c r="O649" t="inlineStr">
        <is>
          <t>https://bdd.pseau.org/outils/ouvrages/amda_benchmarking_africa_s_minigrid_report_2023.pdf</t>
        </is>
      </c>
      <c r="P649" t="inlineStr">
        <is>
          <t>2022</t>
        </is>
      </c>
      <c r="Q649" t="inlineStr">
        <is>
          <t>Kenya                 4.1       3.7        1271    1,077    8,446     6,604     2.9       4</t>
        </is>
      </c>
      <c r="R649" t="inlineStr">
        <is>
          <t>Tableau 1 (colonnes 2019/2020 : conso kWh/mois, capex/branchement USD, capex/kWp USD, ARPU USD/mois). Valeur 2020.</t>
        </is>
      </c>
    </row>
    <row r="650">
      <c r="A650" t="inlineStr">
        <is>
          <t>retenu</t>
        </is>
      </c>
      <c r="B650" t="inlineStr">
        <is>
          <t>C_minireseaux</t>
        </is>
      </c>
      <c r="C650" t="inlineStr">
        <is>
          <t>C</t>
        </is>
      </c>
      <c r="D650" t="inlineStr">
        <is>
          <t>KEN</t>
        </is>
      </c>
      <c r="E650" t="inlineStr">
        <is>
          <t>AMDA BAM 2022 – agrégat pays Kenya</t>
        </is>
      </c>
      <c r="F650" t="inlineStr">
        <is>
          <t>capex_par_branchement</t>
        </is>
      </c>
      <c r="G650" t="n">
        <v>1077</v>
      </c>
      <c r="H650" t="inlineStr">
        <is>
          <t>USD/branchement</t>
        </is>
      </c>
      <c r="I650" t="inlineStr">
        <is>
          <t>observée</t>
        </is>
      </c>
      <c r="J650" t="n">
        <v>2020</v>
      </c>
      <c r="K650" t="inlineStr">
        <is>
          <t>A</t>
        </is>
      </c>
      <c r="L650" t="inlineStr">
        <is>
          <t>confirmé</t>
        </is>
      </c>
      <c r="M650" t="inlineStr">
        <is>
          <t>AMDA (Africa Minigrid Developers Association) / ECA</t>
        </is>
      </c>
      <c r="N650" t="inlineStr">
        <is>
          <t>Benchmarking Africa's Minigrids Report 2022 (rapport complet)</t>
        </is>
      </c>
      <c r="O650" t="inlineStr">
        <is>
          <t>https://bdd.pseau.org/outils/ouvrages/amda_benchmarking_africa_s_minigrid_report_2023.pdf</t>
        </is>
      </c>
      <c r="P650" t="inlineStr">
        <is>
          <t>2022</t>
        </is>
      </c>
      <c r="Q650" t="inlineStr">
        <is>
          <t>Kenya                 4.1       3.7        1271    1,077    8,446     6,604     2.9       4</t>
        </is>
      </c>
      <c r="R650" t="inlineStr">
        <is>
          <t>Tableau 1 (colonnes 2019/2020 : conso kWh/mois, capex/branchement USD, capex/kWp USD, ARPU USD/mois). Valeur 2020. Valeur 2019 : 1271.</t>
        </is>
      </c>
    </row>
    <row r="651">
      <c r="A651" t="inlineStr">
        <is>
          <t>retenu</t>
        </is>
      </c>
      <c r="B651" t="inlineStr">
        <is>
          <t>C_minireseaux</t>
        </is>
      </c>
      <c r="C651" t="inlineStr">
        <is>
          <t>C</t>
        </is>
      </c>
      <c r="D651" t="inlineStr">
        <is>
          <t>KEN</t>
        </is>
      </c>
      <c r="E651" t="inlineStr">
        <is>
          <t>AMDA BAM 2022 – agrégat pays Kenya</t>
        </is>
      </c>
      <c r="F651" t="inlineStr">
        <is>
          <t>capex_par_kwp</t>
        </is>
      </c>
      <c r="G651" t="n">
        <v>6604</v>
      </c>
      <c r="H651" t="inlineStr">
        <is>
          <t>USD/kWp</t>
        </is>
      </c>
      <c r="I651" t="inlineStr">
        <is>
          <t>observée</t>
        </is>
      </c>
      <c r="J651" t="n">
        <v>2020</v>
      </c>
      <c r="K651" t="inlineStr">
        <is>
          <t>A</t>
        </is>
      </c>
      <c r="L651" t="inlineStr">
        <is>
          <t>confirmé</t>
        </is>
      </c>
      <c r="M651" t="inlineStr">
        <is>
          <t>AMDA (Africa Minigrid Developers Association) / ECA</t>
        </is>
      </c>
      <c r="N651" t="inlineStr">
        <is>
          <t>Benchmarking Africa's Minigrids Report 2022 (rapport complet)</t>
        </is>
      </c>
      <c r="O651" t="inlineStr">
        <is>
          <t>https://bdd.pseau.org/outils/ouvrages/amda_benchmarking_africa_s_minigrid_report_2023.pdf</t>
        </is>
      </c>
      <c r="P651" t="inlineStr">
        <is>
          <t>2022</t>
        </is>
      </c>
      <c r="Q651" t="inlineStr">
        <is>
          <t>Kenya                 4.1       3.7        1271    1,077    8,446     6,604     2.9       4</t>
        </is>
      </c>
      <c r="R651" t="inlineStr">
        <is>
          <t>Tableau 1 (colonnes 2019/2020 : conso kWh/mois, capex/branchement USD, capex/kWp USD, ARPU USD/mois). Valeur 2020. Valeur 2019 : 8446.</t>
        </is>
      </c>
    </row>
    <row r="652">
      <c r="A652" t="inlineStr">
        <is>
          <t>retenu</t>
        </is>
      </c>
      <c r="B652" t="inlineStr">
        <is>
          <t>C_minireseaux</t>
        </is>
      </c>
      <c r="C652" t="inlineStr">
        <is>
          <t>C</t>
        </is>
      </c>
      <c r="D652" t="inlineStr">
        <is>
          <t>KEN</t>
        </is>
      </c>
      <c r="E652" t="inlineStr">
        <is>
          <t>AMDA BAM 2022 – agrégat pays Kenya</t>
        </is>
      </c>
      <c r="F652" t="inlineStr">
        <is>
          <t>arpu_mensuel</t>
        </is>
      </c>
      <c r="G652" t="n">
        <v>4</v>
      </c>
      <c r="H652" t="inlineStr">
        <is>
          <t>USD/client/mois</t>
        </is>
      </c>
      <c r="I652" t="inlineStr">
        <is>
          <t>observée</t>
        </is>
      </c>
      <c r="J652" t="n">
        <v>2020</v>
      </c>
      <c r="K652" t="inlineStr">
        <is>
          <t>A</t>
        </is>
      </c>
      <c r="L652" t="inlineStr">
        <is>
          <t>confirmé</t>
        </is>
      </c>
      <c r="M652" t="inlineStr">
        <is>
          <t>AMDA (Africa Minigrid Developers Association) / ECA</t>
        </is>
      </c>
      <c r="N652" t="inlineStr">
        <is>
          <t>Benchmarking Africa's Minigrids Report 2022 (rapport complet)</t>
        </is>
      </c>
      <c r="O652" t="inlineStr">
        <is>
          <t>https://bdd.pseau.org/outils/ouvrages/amda_benchmarking_africa_s_minigrid_report_2023.pdf</t>
        </is>
      </c>
      <c r="P652" t="inlineStr">
        <is>
          <t>2022</t>
        </is>
      </c>
      <c r="Q652" t="inlineStr">
        <is>
          <t>Kenya                 4.1       3.7        1271    1,077    8,446     6,604     2.9       4</t>
        </is>
      </c>
      <c r="R652" t="inlineStr">
        <is>
          <t>Tableau 1 (colonnes 2019/2020 : conso kWh/mois, capex/branchement USD, capex/kWp USD, ARPU USD/mois). Valeur 2020.</t>
        </is>
      </c>
    </row>
    <row r="653">
      <c r="A653" t="inlineStr">
        <is>
          <t>retenu</t>
        </is>
      </c>
      <c r="B653" t="inlineStr">
        <is>
          <t>C_minireseaux</t>
        </is>
      </c>
      <c r="C653" t="inlineStr">
        <is>
          <t>C</t>
        </is>
      </c>
      <c r="D653" t="inlineStr">
        <is>
          <t>TZA</t>
        </is>
      </c>
      <c r="E653" t="inlineStr">
        <is>
          <t>AMDA BAM 2022 – agrégat pays Tanzanie</t>
        </is>
      </c>
      <c r="F653" t="inlineStr">
        <is>
          <t>conso_moyenne_kwh_client_mois</t>
        </is>
      </c>
      <c r="G653" t="n">
        <v>8</v>
      </c>
      <c r="H653" t="inlineStr">
        <is>
          <t>kWh/client/mois</t>
        </is>
      </c>
      <c r="I653" t="inlineStr">
        <is>
          <t>observée</t>
        </is>
      </c>
      <c r="J653" t="n">
        <v>2020</v>
      </c>
      <c r="K653" t="inlineStr">
        <is>
          <t>A</t>
        </is>
      </c>
      <c r="L653" t="inlineStr">
        <is>
          <t>confirmé</t>
        </is>
      </c>
      <c r="M653" t="inlineStr">
        <is>
          <t>AMDA (Africa Minigrid Developers Association) / ECA</t>
        </is>
      </c>
      <c r="N653" t="inlineStr">
        <is>
          <t>Benchmarking Africa's Minigrids Report 2022 (rapport complet)</t>
        </is>
      </c>
      <c r="O653" t="inlineStr">
        <is>
          <t>https://bdd.pseau.org/outils/ouvrages/amda_benchmarking_africa_s_minigrid_report_2023.pdf</t>
        </is>
      </c>
      <c r="P653" t="inlineStr">
        <is>
          <t>2022</t>
        </is>
      </c>
      <c r="Q653" t="inlineStr">
        <is>
          <t>Tanzania              6         8          1,175   1,096    10,200    9,844     4.6       4.8</t>
        </is>
      </c>
      <c r="R653" t="inlineStr">
        <is>
          <t>Tableau 1 (colonnes 2019/2020 : conso kWh/mois, capex/branchement USD, capex/kWp USD, ARPU USD/mois). Valeur 2020.</t>
        </is>
      </c>
    </row>
    <row r="654">
      <c r="A654" t="inlineStr">
        <is>
          <t>retenu</t>
        </is>
      </c>
      <c r="B654" t="inlineStr">
        <is>
          <t>C_minireseaux</t>
        </is>
      </c>
      <c r="C654" t="inlineStr">
        <is>
          <t>C</t>
        </is>
      </c>
      <c r="D654" t="inlineStr">
        <is>
          <t>TZA</t>
        </is>
      </c>
      <c r="E654" t="inlineStr">
        <is>
          <t>AMDA BAM 2022 – agrégat pays Tanzanie</t>
        </is>
      </c>
      <c r="F654" t="inlineStr">
        <is>
          <t>capex_par_branchement</t>
        </is>
      </c>
      <c r="G654" t="n">
        <v>1096</v>
      </c>
      <c r="H654" t="inlineStr">
        <is>
          <t>USD/branchement</t>
        </is>
      </c>
      <c r="I654" t="inlineStr">
        <is>
          <t>observée</t>
        </is>
      </c>
      <c r="J654" t="n">
        <v>2020</v>
      </c>
      <c r="K654" t="inlineStr">
        <is>
          <t>A</t>
        </is>
      </c>
      <c r="L654" t="inlineStr">
        <is>
          <t>confirmé</t>
        </is>
      </c>
      <c r="M654" t="inlineStr">
        <is>
          <t>AMDA (Africa Minigrid Developers Association) / ECA</t>
        </is>
      </c>
      <c r="N654" t="inlineStr">
        <is>
          <t>Benchmarking Africa's Minigrids Report 2022 (rapport complet)</t>
        </is>
      </c>
      <c r="O654" t="inlineStr">
        <is>
          <t>https://bdd.pseau.org/outils/ouvrages/amda_benchmarking_africa_s_minigrid_report_2023.pdf</t>
        </is>
      </c>
      <c r="P654" t="inlineStr">
        <is>
          <t>2022</t>
        </is>
      </c>
      <c r="Q654" t="inlineStr">
        <is>
          <t>Tanzania              6         8          1,175   1,096    10,200    9,844     4.6       4.8</t>
        </is>
      </c>
      <c r="R654" t="inlineStr">
        <is>
          <t>Tableau 1 (colonnes 2019/2020 : conso kWh/mois, capex/branchement USD, capex/kWp USD, ARPU USD/mois). Valeur 2020. Valeur 2019 : 1175.</t>
        </is>
      </c>
    </row>
    <row r="655">
      <c r="A655" t="inlineStr">
        <is>
          <t>retenu</t>
        </is>
      </c>
      <c r="B655" t="inlineStr">
        <is>
          <t>C_minireseaux</t>
        </is>
      </c>
      <c r="C655" t="inlineStr">
        <is>
          <t>C</t>
        </is>
      </c>
      <c r="D655" t="inlineStr">
        <is>
          <t>TZA</t>
        </is>
      </c>
      <c r="E655" t="inlineStr">
        <is>
          <t>AMDA BAM 2022 – agrégat pays Tanzanie</t>
        </is>
      </c>
      <c r="F655" t="inlineStr">
        <is>
          <t>capex_par_kwp</t>
        </is>
      </c>
      <c r="G655" t="n">
        <v>9844</v>
      </c>
      <c r="H655" t="inlineStr">
        <is>
          <t>USD/kWp</t>
        </is>
      </c>
      <c r="I655" t="inlineStr">
        <is>
          <t>observée</t>
        </is>
      </c>
      <c r="J655" t="n">
        <v>2020</v>
      </c>
      <c r="K655" t="inlineStr">
        <is>
          <t>A</t>
        </is>
      </c>
      <c r="L655" t="inlineStr">
        <is>
          <t>confirmé</t>
        </is>
      </c>
      <c r="M655" t="inlineStr">
        <is>
          <t>AMDA (Africa Minigrid Developers Association) / ECA</t>
        </is>
      </c>
      <c r="N655" t="inlineStr">
        <is>
          <t>Benchmarking Africa's Minigrids Report 2022 (rapport complet)</t>
        </is>
      </c>
      <c r="O655" t="inlineStr">
        <is>
          <t>https://bdd.pseau.org/outils/ouvrages/amda_benchmarking_africa_s_minigrid_report_2023.pdf</t>
        </is>
      </c>
      <c r="P655" t="inlineStr">
        <is>
          <t>2022</t>
        </is>
      </c>
      <c r="Q655" t="inlineStr">
        <is>
          <t>Tanzania              6         8          1,175   1,096    10,200    9,844     4.6       4.8</t>
        </is>
      </c>
      <c r="R655" t="inlineStr">
        <is>
          <t>Tableau 1 (colonnes 2019/2020 : conso kWh/mois, capex/branchement USD, capex/kWp USD, ARPU USD/mois). Valeur 2020. Valeur 2019 : 10200.</t>
        </is>
      </c>
    </row>
    <row r="656">
      <c r="A656" t="inlineStr">
        <is>
          <t>retenu</t>
        </is>
      </c>
      <c r="B656" t="inlineStr">
        <is>
          <t>C_minireseaux</t>
        </is>
      </c>
      <c r="C656" t="inlineStr">
        <is>
          <t>C</t>
        </is>
      </c>
      <c r="D656" t="inlineStr">
        <is>
          <t>TZA</t>
        </is>
      </c>
      <c r="E656" t="inlineStr">
        <is>
          <t>AMDA BAM 2022 – agrégat pays Tanzanie</t>
        </is>
      </c>
      <c r="F656" t="inlineStr">
        <is>
          <t>arpu_mensuel</t>
        </is>
      </c>
      <c r="G656" t="n">
        <v>4.8</v>
      </c>
      <c r="H656" t="inlineStr">
        <is>
          <t>USD/client/mois</t>
        </is>
      </c>
      <c r="I656" t="inlineStr">
        <is>
          <t>observée</t>
        </is>
      </c>
      <c r="J656" t="n">
        <v>2020</v>
      </c>
      <c r="K656" t="inlineStr">
        <is>
          <t>A</t>
        </is>
      </c>
      <c r="L656" t="inlineStr">
        <is>
          <t>confirmé</t>
        </is>
      </c>
      <c r="M656" t="inlineStr">
        <is>
          <t>AMDA (Africa Minigrid Developers Association) / ECA</t>
        </is>
      </c>
      <c r="N656" t="inlineStr">
        <is>
          <t>Benchmarking Africa's Minigrids Report 2022 (rapport complet)</t>
        </is>
      </c>
      <c r="O656" t="inlineStr">
        <is>
          <t>https://bdd.pseau.org/outils/ouvrages/amda_benchmarking_africa_s_minigrid_report_2023.pdf</t>
        </is>
      </c>
      <c r="P656" t="inlineStr">
        <is>
          <t>2022</t>
        </is>
      </c>
      <c r="Q656" t="inlineStr">
        <is>
          <t>Tanzania              6         8          1,175   1,096    10,200    9,844     4.6       4.8</t>
        </is>
      </c>
      <c r="R656" t="inlineStr">
        <is>
          <t>Tableau 1 (colonnes 2019/2020 : conso kWh/mois, capex/branchement USD, capex/kWp USD, ARPU USD/mois). Valeur 2020.</t>
        </is>
      </c>
    </row>
    <row r="657">
      <c r="A657" t="inlineStr">
        <is>
          <t>retenu</t>
        </is>
      </c>
      <c r="B657" t="inlineStr">
        <is>
          <t>C_minireseaux</t>
        </is>
      </c>
      <c r="C657" t="inlineStr">
        <is>
          <t>C</t>
        </is>
      </c>
      <c r="D657" t="inlineStr">
        <is>
          <t>ZMB</t>
        </is>
      </c>
      <c r="E657" t="inlineStr">
        <is>
          <t>AMDA BAM 2022 – agrégat pays Zambie</t>
        </is>
      </c>
      <c r="F657" t="inlineStr">
        <is>
          <t>conso_moyenne_kwh_client_mois</t>
        </is>
      </c>
      <c r="G657" t="n">
        <v>1.5</v>
      </c>
      <c r="H657" t="inlineStr">
        <is>
          <t>kWh/client/mois</t>
        </is>
      </c>
      <c r="I657" t="inlineStr">
        <is>
          <t>observée</t>
        </is>
      </c>
      <c r="J657" t="n">
        <v>2020</v>
      </c>
      <c r="K657" t="inlineStr">
        <is>
          <t>A</t>
        </is>
      </c>
      <c r="L657" t="inlineStr">
        <is>
          <t>confirmé</t>
        </is>
      </c>
      <c r="M657" t="inlineStr">
        <is>
          <t>AMDA (Africa Minigrid Developers Association) / ECA</t>
        </is>
      </c>
      <c r="N657" t="inlineStr">
        <is>
          <t>Benchmarking Africa's Minigrids Report 2022 (rapport complet)</t>
        </is>
      </c>
      <c r="O657" t="inlineStr">
        <is>
          <t>https://bdd.pseau.org/outils/ouvrages/amda_benchmarking_africa_s_minigrid_report_2023.pdf</t>
        </is>
      </c>
      <c r="P657" t="inlineStr">
        <is>
          <t>2022</t>
        </is>
      </c>
      <c r="Q657" t="inlineStr">
        <is>
          <t>Zambia                1.5       1.5        815     815      6,891     6,891     6.1       6.1</t>
        </is>
      </c>
      <c r="R657" t="inlineStr">
        <is>
          <t>Tableau 1 (colonnes 2019/2020 : conso kWh/mois, capex/branchement USD, capex/kWp USD, ARPU USD/mois). Valeur 2020.</t>
        </is>
      </c>
    </row>
    <row r="658">
      <c r="A658" t="inlineStr">
        <is>
          <t>retenu</t>
        </is>
      </c>
      <c r="B658" t="inlineStr">
        <is>
          <t>C_minireseaux</t>
        </is>
      </c>
      <c r="C658" t="inlineStr">
        <is>
          <t>C</t>
        </is>
      </c>
      <c r="D658" t="inlineStr">
        <is>
          <t>ZMB</t>
        </is>
      </c>
      <c r="E658" t="inlineStr">
        <is>
          <t>AMDA BAM 2022 – agrégat pays Zambie</t>
        </is>
      </c>
      <c r="F658" t="inlineStr">
        <is>
          <t>capex_par_branchement</t>
        </is>
      </c>
      <c r="G658" t="n">
        <v>815</v>
      </c>
      <c r="H658" t="inlineStr">
        <is>
          <t>USD/branchement</t>
        </is>
      </c>
      <c r="I658" t="inlineStr">
        <is>
          <t>observée</t>
        </is>
      </c>
      <c r="J658" t="n">
        <v>2020</v>
      </c>
      <c r="K658" t="inlineStr">
        <is>
          <t>A</t>
        </is>
      </c>
      <c r="L658" t="inlineStr">
        <is>
          <t>confirmé</t>
        </is>
      </c>
      <c r="M658" t="inlineStr">
        <is>
          <t>AMDA (Africa Minigrid Developers Association) / ECA</t>
        </is>
      </c>
      <c r="N658" t="inlineStr">
        <is>
          <t>Benchmarking Africa's Minigrids Report 2022 (rapport complet)</t>
        </is>
      </c>
      <c r="O658" t="inlineStr">
        <is>
          <t>https://bdd.pseau.org/outils/ouvrages/amda_benchmarking_africa_s_minigrid_report_2023.pdf</t>
        </is>
      </c>
      <c r="P658" t="inlineStr">
        <is>
          <t>2022</t>
        </is>
      </c>
      <c r="Q658" t="inlineStr">
        <is>
          <t>Zambia                1.5       1.5        815     815      6,891     6,891     6.1       6.1</t>
        </is>
      </c>
      <c r="R658" t="inlineStr">
        <is>
          <t>Tableau 1 (colonnes 2019/2020 : conso kWh/mois, capex/branchement USD, capex/kWp USD, ARPU USD/mois). Valeur 2020. Valeur 2019 : 815.</t>
        </is>
      </c>
    </row>
    <row r="659">
      <c r="A659" t="inlineStr">
        <is>
          <t>retenu</t>
        </is>
      </c>
      <c r="B659" t="inlineStr">
        <is>
          <t>C_minireseaux</t>
        </is>
      </c>
      <c r="C659" t="inlineStr">
        <is>
          <t>C</t>
        </is>
      </c>
      <c r="D659" t="inlineStr">
        <is>
          <t>ZMB</t>
        </is>
      </c>
      <c r="E659" t="inlineStr">
        <is>
          <t>AMDA BAM 2022 – agrégat pays Zambie</t>
        </is>
      </c>
      <c r="F659" t="inlineStr">
        <is>
          <t>capex_par_kwp</t>
        </is>
      </c>
      <c r="G659" t="n">
        <v>6891</v>
      </c>
      <c r="H659" t="inlineStr">
        <is>
          <t>USD/kWp</t>
        </is>
      </c>
      <c r="I659" t="inlineStr">
        <is>
          <t>observée</t>
        </is>
      </c>
      <c r="J659" t="n">
        <v>2020</v>
      </c>
      <c r="K659" t="inlineStr">
        <is>
          <t>A</t>
        </is>
      </c>
      <c r="L659" t="inlineStr">
        <is>
          <t>confirmé</t>
        </is>
      </c>
      <c r="M659" t="inlineStr">
        <is>
          <t>AMDA (Africa Minigrid Developers Association) / ECA</t>
        </is>
      </c>
      <c r="N659" t="inlineStr">
        <is>
          <t>Benchmarking Africa's Minigrids Report 2022 (rapport complet)</t>
        </is>
      </c>
      <c r="O659" t="inlineStr">
        <is>
          <t>https://bdd.pseau.org/outils/ouvrages/amda_benchmarking_africa_s_minigrid_report_2023.pdf</t>
        </is>
      </c>
      <c r="P659" t="inlineStr">
        <is>
          <t>2022</t>
        </is>
      </c>
      <c r="Q659" t="inlineStr">
        <is>
          <t>Zambia                1.5       1.5        815     815      6,891     6,891     6.1       6.1</t>
        </is>
      </c>
      <c r="R659" t="inlineStr">
        <is>
          <t>Tableau 1 (colonnes 2019/2020 : conso kWh/mois, capex/branchement USD, capex/kWp USD, ARPU USD/mois). Valeur 2020. Valeur 2019 : 6891.</t>
        </is>
      </c>
    </row>
    <row r="660">
      <c r="A660" t="inlineStr">
        <is>
          <t>retenu</t>
        </is>
      </c>
      <c r="B660" t="inlineStr">
        <is>
          <t>C_minireseaux</t>
        </is>
      </c>
      <c r="C660" t="inlineStr">
        <is>
          <t>C</t>
        </is>
      </c>
      <c r="D660" t="inlineStr">
        <is>
          <t>ZMB</t>
        </is>
      </c>
      <c r="E660" t="inlineStr">
        <is>
          <t>AMDA BAM 2022 – agrégat pays Zambie</t>
        </is>
      </c>
      <c r="F660" t="inlineStr">
        <is>
          <t>arpu_mensuel</t>
        </is>
      </c>
      <c r="G660" t="n">
        <v>6.1</v>
      </c>
      <c r="H660" t="inlineStr">
        <is>
          <t>USD/client/mois</t>
        </is>
      </c>
      <c r="I660" t="inlineStr">
        <is>
          <t>observée</t>
        </is>
      </c>
      <c r="J660" t="n">
        <v>2020</v>
      </c>
      <c r="K660" t="inlineStr">
        <is>
          <t>A</t>
        </is>
      </c>
      <c r="L660" t="inlineStr">
        <is>
          <t>confirmé</t>
        </is>
      </c>
      <c r="M660" t="inlineStr">
        <is>
          <t>AMDA (Africa Minigrid Developers Association) / ECA</t>
        </is>
      </c>
      <c r="N660" t="inlineStr">
        <is>
          <t>Benchmarking Africa's Minigrids Report 2022 (rapport complet)</t>
        </is>
      </c>
      <c r="O660" t="inlineStr">
        <is>
          <t>https://bdd.pseau.org/outils/ouvrages/amda_benchmarking_africa_s_minigrid_report_2023.pdf</t>
        </is>
      </c>
      <c r="P660" t="inlineStr">
        <is>
          <t>2022</t>
        </is>
      </c>
      <c r="Q660" t="inlineStr">
        <is>
          <t>Zambia                1.5       1.5        815     815      6,891     6,891     6.1       6.1</t>
        </is>
      </c>
      <c r="R660" t="inlineStr">
        <is>
          <t>Tableau 1 (colonnes 2019/2020 : conso kWh/mois, capex/branchement USD, capex/kWp USD, ARPU USD/mois). Valeur 2020.</t>
        </is>
      </c>
    </row>
    <row r="661">
      <c r="A661" t="inlineStr">
        <is>
          <t>retenu</t>
        </is>
      </c>
      <c r="B661" t="inlineStr">
        <is>
          <t>C_minireseaux</t>
        </is>
      </c>
      <c r="C661" t="inlineStr">
        <is>
          <t>C</t>
        </is>
      </c>
      <c r="D661" t="inlineStr">
        <is>
          <t>MRT</t>
        </is>
      </c>
      <c r="E661" t="inlineStr">
        <is>
          <t>AMDA BAM 2022 – agrégat pays Mauritanie</t>
        </is>
      </c>
      <c r="F661" t="inlineStr">
        <is>
          <t>conso_moyenne_kwh_client_mois</t>
        </is>
      </c>
      <c r="G661" t="n">
        <v>44.4</v>
      </c>
      <c r="H661" t="inlineStr">
        <is>
          <t>kWh/client/mois</t>
        </is>
      </c>
      <c r="I661" t="inlineStr">
        <is>
          <t>observée</t>
        </is>
      </c>
      <c r="J661" t="n">
        <v>2020</v>
      </c>
      <c r="K661" t="inlineStr">
        <is>
          <t>A</t>
        </is>
      </c>
      <c r="L661" t="inlineStr">
        <is>
          <t>confirmé</t>
        </is>
      </c>
      <c r="M661" t="inlineStr">
        <is>
          <t>AMDA (Africa Minigrid Developers Association) / ECA</t>
        </is>
      </c>
      <c r="N661" t="inlineStr">
        <is>
          <t>Benchmarking Africa's Minigrids Report 2022 (rapport complet)</t>
        </is>
      </c>
      <c r="O661" t="inlineStr">
        <is>
          <t>https://bdd.pseau.org/outils/ouvrages/amda_benchmarking_africa_s_minigrid_report_2023.pdf</t>
        </is>
      </c>
      <c r="P661" t="inlineStr">
        <is>
          <t>2022</t>
        </is>
      </c>
      <c r="Q661" t="inlineStr">
        <is>
          <t>Mauritania            44.4      44.4       3,604   3,604    5,788     5,788     11.7      11.7</t>
        </is>
      </c>
      <c r="R661" t="inlineStr">
        <is>
          <t>Tableau 1 (colonnes 2019/2020 : conso kWh/mois, capex/branchement USD, capex/kWp USD, ARPU USD/mois). Valeur 2020.</t>
        </is>
      </c>
    </row>
    <row r="662">
      <c r="A662" t="inlineStr">
        <is>
          <t>retenu</t>
        </is>
      </c>
      <c r="B662" t="inlineStr">
        <is>
          <t>C_minireseaux</t>
        </is>
      </c>
      <c r="C662" t="inlineStr">
        <is>
          <t>C</t>
        </is>
      </c>
      <c r="D662" t="inlineStr">
        <is>
          <t>MRT</t>
        </is>
      </c>
      <c r="E662" t="inlineStr">
        <is>
          <t>AMDA BAM 2022 – agrégat pays Mauritanie</t>
        </is>
      </c>
      <c r="F662" t="inlineStr">
        <is>
          <t>capex_par_branchement</t>
        </is>
      </c>
      <c r="G662" t="n">
        <v>3604</v>
      </c>
      <c r="H662" t="inlineStr">
        <is>
          <t>USD/branchement</t>
        </is>
      </c>
      <c r="I662" t="inlineStr">
        <is>
          <t>observée</t>
        </is>
      </c>
      <c r="J662" t="n">
        <v>2020</v>
      </c>
      <c r="K662" t="inlineStr">
        <is>
          <t>A</t>
        </is>
      </c>
      <c r="L662" t="inlineStr">
        <is>
          <t>confirmé</t>
        </is>
      </c>
      <c r="M662" t="inlineStr">
        <is>
          <t>AMDA (Africa Minigrid Developers Association) / ECA</t>
        </is>
      </c>
      <c r="N662" t="inlineStr">
        <is>
          <t>Benchmarking Africa's Minigrids Report 2022 (rapport complet)</t>
        </is>
      </c>
      <c r="O662" t="inlineStr">
        <is>
          <t>https://bdd.pseau.org/outils/ouvrages/amda_benchmarking_africa_s_minigrid_report_2023.pdf</t>
        </is>
      </c>
      <c r="P662" t="inlineStr">
        <is>
          <t>2022</t>
        </is>
      </c>
      <c r="Q662" t="inlineStr">
        <is>
          <t>Mauritania            44.4      44.4       3,604   3,604    5,788     5,788     11.7      11.7</t>
        </is>
      </c>
      <c r="R662" t="inlineStr">
        <is>
          <t>Tableau 1 (colonnes 2019/2020 : conso kWh/mois, capex/branchement USD, capex/kWp USD, ARPU USD/mois). Valeur 2020. Valeur 2019 : 3604.</t>
        </is>
      </c>
    </row>
    <row r="663">
      <c r="A663" t="inlineStr">
        <is>
          <t>retenu</t>
        </is>
      </c>
      <c r="B663" t="inlineStr">
        <is>
          <t>C_minireseaux</t>
        </is>
      </c>
      <c r="C663" t="inlineStr">
        <is>
          <t>C</t>
        </is>
      </c>
      <c r="D663" t="inlineStr">
        <is>
          <t>MRT</t>
        </is>
      </c>
      <c r="E663" t="inlineStr">
        <is>
          <t>AMDA BAM 2022 – agrégat pays Mauritanie</t>
        </is>
      </c>
      <c r="F663" t="inlineStr">
        <is>
          <t>capex_par_kwp</t>
        </is>
      </c>
      <c r="G663" t="n">
        <v>5788</v>
      </c>
      <c r="H663" t="inlineStr">
        <is>
          <t>USD/kWp</t>
        </is>
      </c>
      <c r="I663" t="inlineStr">
        <is>
          <t>observée</t>
        </is>
      </c>
      <c r="J663" t="n">
        <v>2020</v>
      </c>
      <c r="K663" t="inlineStr">
        <is>
          <t>A</t>
        </is>
      </c>
      <c r="L663" t="inlineStr">
        <is>
          <t>confirmé</t>
        </is>
      </c>
      <c r="M663" t="inlineStr">
        <is>
          <t>AMDA (Africa Minigrid Developers Association) / ECA</t>
        </is>
      </c>
      <c r="N663" t="inlineStr">
        <is>
          <t>Benchmarking Africa's Minigrids Report 2022 (rapport complet)</t>
        </is>
      </c>
      <c r="O663" t="inlineStr">
        <is>
          <t>https://bdd.pseau.org/outils/ouvrages/amda_benchmarking_africa_s_minigrid_report_2023.pdf</t>
        </is>
      </c>
      <c r="P663" t="inlineStr">
        <is>
          <t>2022</t>
        </is>
      </c>
      <c r="Q663" t="inlineStr">
        <is>
          <t>Mauritania            44.4      44.4       3,604   3,604    5,788     5,788     11.7      11.7</t>
        </is>
      </c>
      <c r="R663" t="inlineStr">
        <is>
          <t>Tableau 1 (colonnes 2019/2020 : conso kWh/mois, capex/branchement USD, capex/kWp USD, ARPU USD/mois). Valeur 2020. Valeur 2019 : 5788.</t>
        </is>
      </c>
    </row>
    <row r="664">
      <c r="A664" t="inlineStr">
        <is>
          <t>retenu</t>
        </is>
      </c>
      <c r="B664" t="inlineStr">
        <is>
          <t>C_minireseaux</t>
        </is>
      </c>
      <c r="C664" t="inlineStr">
        <is>
          <t>C</t>
        </is>
      </c>
      <c r="D664" t="inlineStr">
        <is>
          <t>MRT</t>
        </is>
      </c>
      <c r="E664" t="inlineStr">
        <is>
          <t>AMDA BAM 2022 – agrégat pays Mauritanie</t>
        </is>
      </c>
      <c r="F664" t="inlineStr">
        <is>
          <t>arpu_mensuel</t>
        </is>
      </c>
      <c r="G664" t="n">
        <v>11.7</v>
      </c>
      <c r="H664" t="inlineStr">
        <is>
          <t>USD/client/mois</t>
        </is>
      </c>
      <c r="I664" t="inlineStr">
        <is>
          <t>observée</t>
        </is>
      </c>
      <c r="J664" t="n">
        <v>2020</v>
      </c>
      <c r="K664" t="inlineStr">
        <is>
          <t>A</t>
        </is>
      </c>
      <c r="L664" t="inlineStr">
        <is>
          <t>confirmé</t>
        </is>
      </c>
      <c r="M664" t="inlineStr">
        <is>
          <t>AMDA (Africa Minigrid Developers Association) / ECA</t>
        </is>
      </c>
      <c r="N664" t="inlineStr">
        <is>
          <t>Benchmarking Africa's Minigrids Report 2022 (rapport complet)</t>
        </is>
      </c>
      <c r="O664" t="inlineStr">
        <is>
          <t>https://bdd.pseau.org/outils/ouvrages/amda_benchmarking_africa_s_minigrid_report_2023.pdf</t>
        </is>
      </c>
      <c r="P664" t="inlineStr">
        <is>
          <t>2022</t>
        </is>
      </c>
      <c r="Q664" t="inlineStr">
        <is>
          <t>Mauritania            44.4      44.4       3,604   3,604    5,788     5,788     11.7      11.7</t>
        </is>
      </c>
      <c r="R664" t="inlineStr">
        <is>
          <t>Tableau 1 (colonnes 2019/2020 : conso kWh/mois, capex/branchement USD, capex/kWp USD, ARPU USD/mois). Valeur 2020.</t>
        </is>
      </c>
    </row>
    <row r="665">
      <c r="A665" t="inlineStr">
        <is>
          <t>retenu</t>
        </is>
      </c>
      <c r="B665" t="inlineStr">
        <is>
          <t>C_minireseaux</t>
        </is>
      </c>
      <c r="C665" t="inlineStr">
        <is>
          <t>C</t>
        </is>
      </c>
      <c r="D665" t="inlineStr">
        <is>
          <t>AFR</t>
        </is>
      </c>
      <c r="E665" t="inlineStr">
        <is>
          <t>AMDA BAM 2024 – membres</t>
        </is>
      </c>
      <c r="F665" t="inlineStr">
        <is>
          <t>capex_par_kwp</t>
        </is>
      </c>
      <c r="G665" t="n">
        <v>6807</v>
      </c>
      <c r="H665" t="inlineStr">
        <is>
          <t>USD/kWp</t>
        </is>
      </c>
      <c r="I665" t="inlineStr">
        <is>
          <t>observée</t>
        </is>
      </c>
      <c r="J665" t="n">
        <v>2024</v>
      </c>
      <c r="K665" t="inlineStr">
        <is>
          <t>A</t>
        </is>
      </c>
      <c r="L665" t="inlineStr">
        <is>
          <t>confirmé</t>
        </is>
      </c>
      <c r="M665" t="inlineStr">
        <is>
          <t>AMDA (Africa Minigrid Developers Association)</t>
        </is>
      </c>
      <c r="N665" t="inlineStr">
        <is>
          <t>Benchmarking Africa's Minigrids Report 2024</t>
        </is>
      </c>
      <c r="O665" t="inlineStr">
        <is>
          <t>https://www.pseau.org/outils/ouvrages/amda_benchmarking_africa_s_minigrids_report_2024_2025.pdf</t>
        </is>
      </c>
      <c r="P665" t="inlineStr">
        <is>
          <t>2024</t>
        </is>
      </c>
      <c r="Q665" t="inlineStr">
        <is>
          <t>the four-year rolling average now stands at $6,807 per kWp, reflecting a modest decline compared to the 2022 BAM report, which reported an average of $7,330 per kWp.</t>
        </is>
      </c>
      <c r="R665" t="inlineStr">
        <is>
          <t>Moyenne 2021–2024. Ailleurs le même rapport donne 6 824 USD/kWp (conflit interne mineur).</t>
        </is>
      </c>
    </row>
    <row r="666">
      <c r="A666" t="inlineStr">
        <is>
          <t>retenu</t>
        </is>
      </c>
      <c r="B666" t="inlineStr">
        <is>
          <t>C_minireseaux</t>
        </is>
      </c>
      <c r="C666" t="inlineStr">
        <is>
          <t>C</t>
        </is>
      </c>
      <c r="D666" t="inlineStr">
        <is>
          <t>AFR</t>
        </is>
      </c>
      <c r="E666" t="inlineStr">
        <is>
          <t>AMDA BAM 2024 – membres</t>
        </is>
      </c>
      <c r="F666" t="inlineStr">
        <is>
          <t>capex_par_kwp</t>
        </is>
      </c>
      <c r="G666" t="n">
        <v>6824</v>
      </c>
      <c r="H666" t="inlineStr">
        <is>
          <t>USD/kWp</t>
        </is>
      </c>
      <c r="I666" t="inlineStr">
        <is>
          <t>observée</t>
        </is>
      </c>
      <c r="J666" t="n">
        <v>2024</v>
      </c>
      <c r="K666" t="inlineStr">
        <is>
          <t>A</t>
        </is>
      </c>
      <c r="L666" t="inlineStr">
        <is>
          <t>confirmé</t>
        </is>
      </c>
      <c r="M666" t="inlineStr">
        <is>
          <t>AMDA (Africa Minigrid Developers Association)</t>
        </is>
      </c>
      <c r="N666" t="inlineStr">
        <is>
          <t>Benchmarking Africa's Minigrids Report 2024</t>
        </is>
      </c>
      <c r="O666" t="inlineStr">
        <is>
          <t>https://www.pseau.org/outils/ouvrages/amda_benchmarking_africa_s_minigrids_report_2024_2025.pdf</t>
        </is>
      </c>
      <c r="P666" t="inlineStr">
        <is>
          <t>2024</t>
        </is>
      </c>
      <c r="Q666" t="inlineStr">
        <is>
          <t>CAPEX for minigrids has declined by approximately 20% between 2020 and 2024, dropping from $8,500 per kWp to a four-year average of $6,824 per kWp.</t>
        </is>
      </c>
      <c r="R666" t="inlineStr">
        <is>
          <t>Résumé exécutif ; écart avec 6 807 dans le chapitre Coûts.</t>
        </is>
      </c>
    </row>
    <row r="667">
      <c r="A667" t="inlineStr">
        <is>
          <t>retenu</t>
        </is>
      </c>
      <c r="B667" t="inlineStr">
        <is>
          <t>C_minireseaux</t>
        </is>
      </c>
      <c r="C667" t="inlineStr">
        <is>
          <t>C</t>
        </is>
      </c>
      <c r="D667" t="inlineStr">
        <is>
          <t>AFR</t>
        </is>
      </c>
      <c r="E667" t="inlineStr">
        <is>
          <t>AMDA BAM 2024 – Afrique de l'Est et australe</t>
        </is>
      </c>
      <c r="F667" t="inlineStr">
        <is>
          <t>capex_par_kwp</t>
        </is>
      </c>
      <c r="G667" t="n">
        <v>5775</v>
      </c>
      <c r="H667" t="inlineStr">
        <is>
          <t>USD/kWp</t>
        </is>
      </c>
      <c r="I667" t="inlineStr">
        <is>
          <t>observée</t>
        </is>
      </c>
      <c r="J667" t="n">
        <v>2024</v>
      </c>
      <c r="K667" t="inlineStr">
        <is>
          <t>A</t>
        </is>
      </c>
      <c r="L667" t="inlineStr">
        <is>
          <t>confirmé</t>
        </is>
      </c>
      <c r="M667" t="inlineStr">
        <is>
          <t>AMDA (Africa Minigrid Developers Association)</t>
        </is>
      </c>
      <c r="N667" t="inlineStr">
        <is>
          <t>Benchmarking Africa's Minigrids Report 2024</t>
        </is>
      </c>
      <c r="O667" t="inlineStr">
        <is>
          <t>https://www.pseau.org/outils/ouvrages/amda_benchmarking_africa_s_minigrids_report_2024_2025.pdf</t>
        </is>
      </c>
      <c r="P667" t="inlineStr">
        <is>
          <t>2024</t>
        </is>
      </c>
      <c r="Q667" t="inlineStr">
        <is>
          <t>In Eastern and Southern Africa, the four-year average CAPEX stands at approximately $5,775 per kWp. In contrast, Western and Central Africa face significantly higher costs, with an average of $7,209 per kWp.</t>
        </is>
      </c>
      <c r="R667" t="inlineStr">
        <is>
          <t>Moyenne 2021–2024.</t>
        </is>
      </c>
    </row>
    <row r="668">
      <c r="A668" t="inlineStr">
        <is>
          <t>retenu</t>
        </is>
      </c>
      <c r="B668" t="inlineStr">
        <is>
          <t>C_minireseaux</t>
        </is>
      </c>
      <c r="C668" t="inlineStr">
        <is>
          <t>C</t>
        </is>
      </c>
      <c r="D668" t="inlineStr">
        <is>
          <t>AFR</t>
        </is>
      </c>
      <c r="E668" t="inlineStr">
        <is>
          <t>AMDA BAM 2024 – Afrique de l'Ouest et centrale</t>
        </is>
      </c>
      <c r="F668" t="inlineStr">
        <is>
          <t>capex_par_kwp</t>
        </is>
      </c>
      <c r="G668" t="n">
        <v>7209</v>
      </c>
      <c r="H668" t="inlineStr">
        <is>
          <t>USD/kWp</t>
        </is>
      </c>
      <c r="I668" t="inlineStr">
        <is>
          <t>observée</t>
        </is>
      </c>
      <c r="J668" t="n">
        <v>2024</v>
      </c>
      <c r="K668" t="inlineStr">
        <is>
          <t>A</t>
        </is>
      </c>
      <c r="L668" t="inlineStr">
        <is>
          <t>confirmé</t>
        </is>
      </c>
      <c r="M668" t="inlineStr">
        <is>
          <t>AMDA (Africa Minigrid Developers Association)</t>
        </is>
      </c>
      <c r="N668" t="inlineStr">
        <is>
          <t>Benchmarking Africa's Minigrids Report 2024</t>
        </is>
      </c>
      <c r="O668" t="inlineStr">
        <is>
          <t>https://www.pseau.org/outils/ouvrages/amda_benchmarking_africa_s_minigrids_report_2024_2025.pdf</t>
        </is>
      </c>
      <c r="P668" t="inlineStr">
        <is>
          <t>2024</t>
        </is>
      </c>
      <c r="Q668" t="inlineStr">
        <is>
          <t>Western and Central Africa face significantly higher costs, with an average of $7,209 per kWp.</t>
        </is>
      </c>
      <c r="R668" t="inlineStr">
        <is>
          <t>Fortement tiré par le Nigeria (hors périmètre) ; la figure 12 indique 7 216 USD.</t>
        </is>
      </c>
    </row>
    <row r="669">
      <c r="A669" t="inlineStr">
        <is>
          <t>retenu</t>
        </is>
      </c>
      <c r="B669" t="inlineStr">
        <is>
          <t>C_minireseaux</t>
        </is>
      </c>
      <c r="C669" t="inlineStr">
        <is>
          <t>C</t>
        </is>
      </c>
      <c r="D669" t="inlineStr">
        <is>
          <t>AFR</t>
        </is>
      </c>
      <c r="E669" t="inlineStr">
        <is>
          <t>AMDA BAM 2024 – Afrique de l'Est et australe</t>
        </is>
      </c>
      <c r="F669" t="inlineStr">
        <is>
          <t>capex_par_branchement</t>
        </is>
      </c>
      <c r="G669" t="n">
        <v>1948</v>
      </c>
      <c r="H669" t="inlineStr">
        <is>
          <t>USD/branchement</t>
        </is>
      </c>
      <c r="I669" t="inlineStr">
        <is>
          <t>observée</t>
        </is>
      </c>
      <c r="J669" t="n">
        <v>2024</v>
      </c>
      <c r="K669" t="inlineStr">
        <is>
          <t>A</t>
        </is>
      </c>
      <c r="L669" t="inlineStr">
        <is>
          <t>confirmé</t>
        </is>
      </c>
      <c r="M669" t="inlineStr">
        <is>
          <t>AMDA (Africa Minigrid Developers Association)</t>
        </is>
      </c>
      <c r="N669" t="inlineStr">
        <is>
          <t>Benchmarking Africa's Minigrids Report 2024</t>
        </is>
      </c>
      <c r="O669" t="inlineStr">
        <is>
          <t>https://www.pseau.org/outils/ouvrages/amda_benchmarking_africa_s_minigrids_report_2024_2025.pdf</t>
        </is>
      </c>
      <c r="P669" t="inlineStr">
        <is>
          <t>2024</t>
        </is>
      </c>
      <c r="Q669" t="inlineStr">
        <is>
          <t>Figure 12: Average CAPEX per kWp and per connection per region […] 1,948 US$ […] Eastern and Southern Africa</t>
        </is>
      </c>
      <c r="R669" t="inlineStr">
        <is>
          <t>Lecture de la figure 12 (étiquettes) : ES 1 948 USD/branchement. Le texte dit '46% higher' que l'Ouest/Centre, alors que 1 948/1 046 = +86 % : incohérence interne.</t>
        </is>
      </c>
    </row>
    <row r="670">
      <c r="A670" t="inlineStr">
        <is>
          <t>retenu</t>
        </is>
      </c>
      <c r="B670" t="inlineStr">
        <is>
          <t>C_minireseaux</t>
        </is>
      </c>
      <c r="C670" t="inlineStr">
        <is>
          <t>C</t>
        </is>
      </c>
      <c r="D670" t="inlineStr">
        <is>
          <t>AFR</t>
        </is>
      </c>
      <c r="E670" t="inlineStr">
        <is>
          <t>AMDA BAM 2024 – Afrique de l'Ouest et centrale</t>
        </is>
      </c>
      <c r="F670" t="inlineStr">
        <is>
          <t>capex_par_branchement</t>
        </is>
      </c>
      <c r="G670" t="n">
        <v>1046</v>
      </c>
      <c r="H670" t="inlineStr">
        <is>
          <t>USD/branchement</t>
        </is>
      </c>
      <c r="I670" t="inlineStr">
        <is>
          <t>observée</t>
        </is>
      </c>
      <c r="J670" t="n">
        <v>2024</v>
      </c>
      <c r="K670" t="inlineStr">
        <is>
          <t>A</t>
        </is>
      </c>
      <c r="L670" t="inlineStr">
        <is>
          <t>confirmé</t>
        </is>
      </c>
      <c r="M670" t="inlineStr">
        <is>
          <t>AMDA (Africa Minigrid Developers Association)</t>
        </is>
      </c>
      <c r="N670" t="inlineStr">
        <is>
          <t>Benchmarking Africa's Minigrids Report 2024</t>
        </is>
      </c>
      <c r="O670" t="inlineStr">
        <is>
          <t>https://www.pseau.org/outils/ouvrages/amda_benchmarking_africa_s_minigrids_report_2024_2025.pdf</t>
        </is>
      </c>
      <c r="P670" t="inlineStr">
        <is>
          <t>2024</t>
        </is>
      </c>
      <c r="Q670" t="inlineStr">
        <is>
          <t>Figure 12: Average CAPEX per kWp and per connection per region […] 1,046 US$ […] Western and Central Africa</t>
        </is>
      </c>
      <c r="R670" t="inlineStr">
        <is>
          <t>Lecture de la figure 12.</t>
        </is>
      </c>
    </row>
    <row r="671">
      <c r="A671" t="inlineStr">
        <is>
          <t>retenu</t>
        </is>
      </c>
      <c r="B671" t="inlineStr">
        <is>
          <t>C_minireseaux</t>
        </is>
      </c>
      <c r="C671" t="inlineStr">
        <is>
          <t>C</t>
        </is>
      </c>
      <c r="D671" t="inlineStr">
        <is>
          <t>AFR</t>
        </is>
      </c>
      <c r="E671" t="inlineStr">
        <is>
          <t>AMDA BAM 2024 – Afrique de l'Est et australe</t>
        </is>
      </c>
      <c r="F671" t="inlineStr">
        <is>
          <t>conso_moyenne_kwh_client_mois</t>
        </is>
      </c>
      <c r="G671" t="n">
        <v>10</v>
      </c>
      <c r="H671" t="inlineStr">
        <is>
          <t>kWh/client/mois</t>
        </is>
      </c>
      <c r="I671" t="inlineStr">
        <is>
          <t>observée</t>
        </is>
      </c>
      <c r="J671" t="n">
        <v>2024</v>
      </c>
      <c r="K671" t="inlineStr">
        <is>
          <t>A</t>
        </is>
      </c>
      <c r="L671" t="inlineStr">
        <is>
          <t>citation_partielle</t>
        </is>
      </c>
      <c r="M671" t="inlineStr">
        <is>
          <t>AMDA (Africa Minigrid Developers Association)</t>
        </is>
      </c>
      <c r="N671" t="inlineStr">
        <is>
          <t>Benchmarking Africa's Minigrids Report 2024</t>
        </is>
      </c>
      <c r="O671" t="inlineStr">
        <is>
          <t>https://www.pseau.org/outils/ouvrages/amda_benchmarking_africa_s_minigrids_report_2024_2025.pdf</t>
        </is>
      </c>
      <c r="P671" t="inlineStr">
        <is>
          <t>2024</t>
        </is>
      </c>
      <c r="Q671" t="inlineStr">
        <is>
          <t>Average consumption per user in Eastern and Southern Africa averages 10 kWh per month</t>
        </is>
      </c>
      <c r="R671" t="inlineStr">
        <is>
          <t>Afrique de l'Ouest et centrale : ~24 kWh/mois.</t>
        </is>
      </c>
    </row>
    <row r="672">
      <c r="A672" t="inlineStr">
        <is>
          <t>retenu</t>
        </is>
      </c>
      <c r="B672" t="inlineStr">
        <is>
          <t>C_minireseaux</t>
        </is>
      </c>
      <c r="C672" t="inlineStr">
        <is>
          <t>C</t>
        </is>
      </c>
      <c r="D672" t="inlineStr">
        <is>
          <t>AFR</t>
        </is>
      </c>
      <c r="E672" t="inlineStr">
        <is>
          <t>AMDA BAM 2024 – Afrique de l'Ouest et centrale</t>
        </is>
      </c>
      <c r="F672" t="inlineStr">
        <is>
          <t>conso_moyenne_kwh_client_mois</t>
        </is>
      </c>
      <c r="G672" t="n">
        <v>24</v>
      </c>
      <c r="H672" t="inlineStr">
        <is>
          <t>kWh/client/mois</t>
        </is>
      </c>
      <c r="I672" t="inlineStr">
        <is>
          <t>observée</t>
        </is>
      </c>
      <c r="J672" t="n">
        <v>2024</v>
      </c>
      <c r="K672" t="inlineStr">
        <is>
          <t>A</t>
        </is>
      </c>
      <c r="L672" t="inlineStr">
        <is>
          <t>citation_partielle</t>
        </is>
      </c>
      <c r="M672" t="inlineStr">
        <is>
          <t>AMDA (Africa Minigrid Developers Association)</t>
        </is>
      </c>
      <c r="N672" t="inlineStr">
        <is>
          <t>Benchmarking Africa's Minigrids Report 2024</t>
        </is>
      </c>
      <c r="O672" t="inlineStr">
        <is>
          <t>https://www.pseau.org/outils/ouvrages/amda_benchmarking_africa_s_minigrids_report_2024_2025.pdf</t>
        </is>
      </c>
      <c r="P672" t="inlineStr">
        <is>
          <t>2024</t>
        </is>
      </c>
      <c r="Q672" t="inlineStr">
        <is>
          <t>the average energy consumption per user in Western and Central Africa is higher and stands at approximately 24 kWh per month.</t>
        </is>
      </c>
      <c r="R672" t="inlineStr"/>
    </row>
    <row r="673">
      <c r="A673" t="inlineStr">
        <is>
          <t>retenu</t>
        </is>
      </c>
      <c r="B673" t="inlineStr">
        <is>
          <t>C_minireseaux</t>
        </is>
      </c>
      <c r="C673" t="inlineStr">
        <is>
          <t>C</t>
        </is>
      </c>
      <c r="D673" t="inlineStr">
        <is>
          <t>AFR</t>
        </is>
      </c>
      <c r="E673" t="inlineStr">
        <is>
          <t>AMDA BAM 2024 – Afrique de l'Est et australe</t>
        </is>
      </c>
      <c r="F673" t="inlineStr">
        <is>
          <t>tarif_client</t>
        </is>
      </c>
      <c r="G673" t="n">
        <v>0.4</v>
      </c>
      <c r="H673" t="inlineStr">
        <is>
          <t>USD/kWh</t>
        </is>
      </c>
      <c r="I673" t="inlineStr">
        <is>
          <t>observée</t>
        </is>
      </c>
      <c r="J673" t="n">
        <v>2024</v>
      </c>
      <c r="K673" t="inlineStr">
        <is>
          <t>A</t>
        </is>
      </c>
      <c r="L673" t="inlineStr">
        <is>
          <t>confirmé</t>
        </is>
      </c>
      <c r="M673" t="inlineStr">
        <is>
          <t>AMDA (Africa Minigrid Developers Association)</t>
        </is>
      </c>
      <c r="N673" t="inlineStr">
        <is>
          <t>Benchmarking Africa's Minigrids Report 2024</t>
        </is>
      </c>
      <c r="O673" t="inlineStr">
        <is>
          <t>https://www.pseau.org/outils/ouvrages/amda_benchmarking_africa_s_minigrids_report_2024_2025.pdf</t>
        </is>
      </c>
      <c r="P673" t="inlineStr">
        <is>
          <t>2024</t>
        </is>
      </c>
      <c r="Q673" t="inlineStr">
        <is>
          <t>In Eastern and Southern Africa, the average tariff is $0.40/kWh for residential consumers and $0.38 for commercial.</t>
        </is>
      </c>
      <c r="R673" t="inlineStr">
        <is>
          <t>Résidentiel 0,40 ; commercial 0,38.</t>
        </is>
      </c>
    </row>
    <row r="674">
      <c r="A674" t="inlineStr">
        <is>
          <t>retenu</t>
        </is>
      </c>
      <c r="B674" t="inlineStr">
        <is>
          <t>C_minireseaux</t>
        </is>
      </c>
      <c r="C674" t="inlineStr">
        <is>
          <t>C</t>
        </is>
      </c>
      <c r="D674" t="inlineStr">
        <is>
          <t>AFR</t>
        </is>
      </c>
      <c r="E674" t="inlineStr">
        <is>
          <t>AMDA BAM 2024 – Afrique de l'Ouest et centrale</t>
        </is>
      </c>
      <c r="F674" t="inlineStr">
        <is>
          <t>tarif_client</t>
        </is>
      </c>
      <c r="G674" t="n">
        <v>0.25</v>
      </c>
      <c r="H674" t="inlineStr">
        <is>
          <t>USD/kWh</t>
        </is>
      </c>
      <c r="I674" t="inlineStr">
        <is>
          <t>observée</t>
        </is>
      </c>
      <c r="J674" t="n">
        <v>2024</v>
      </c>
      <c r="K674" t="inlineStr">
        <is>
          <t>A</t>
        </is>
      </c>
      <c r="L674" t="inlineStr">
        <is>
          <t>confirmé</t>
        </is>
      </c>
      <c r="M674" t="inlineStr">
        <is>
          <t>AMDA (Africa Minigrid Developers Association)</t>
        </is>
      </c>
      <c r="N674" t="inlineStr">
        <is>
          <t>Benchmarking Africa's Minigrids Report 2024</t>
        </is>
      </c>
      <c r="O674" t="inlineStr">
        <is>
          <t>https://www.pseau.org/outils/ouvrages/amda_benchmarking_africa_s_minigrids_report_2024_2025.pdf</t>
        </is>
      </c>
      <c r="P674" t="inlineStr">
        <is>
          <t>2024</t>
        </is>
      </c>
      <c r="Q674" t="inlineStr">
        <is>
          <t>In Western and Central Africa, the average tariff is $0.25/kWh for both residential and commercial users.</t>
        </is>
      </c>
      <c r="R674" t="inlineStr"/>
    </row>
    <row r="675">
      <c r="A675" t="inlineStr">
        <is>
          <t>retenu</t>
        </is>
      </c>
      <c r="B675" t="inlineStr">
        <is>
          <t>C_minireseaux</t>
        </is>
      </c>
      <c r="C675" t="inlineStr">
        <is>
          <t>C</t>
        </is>
      </c>
      <c r="D675" t="inlineStr">
        <is>
          <t>AFR</t>
        </is>
      </c>
      <c r="E675" t="inlineStr">
        <is>
          <t>AMDA BAM 2024 – membres</t>
        </is>
      </c>
      <c r="F675" t="inlineStr">
        <is>
          <t>opex_par_branchement_an</t>
        </is>
      </c>
      <c r="G675" t="n">
        <v>26</v>
      </c>
      <c r="H675" t="inlineStr">
        <is>
          <t>USD/branchement/an</t>
        </is>
      </c>
      <c r="I675" t="inlineStr">
        <is>
          <t>observée</t>
        </is>
      </c>
      <c r="J675" t="n">
        <v>2024</v>
      </c>
      <c r="K675" t="inlineStr">
        <is>
          <t>A</t>
        </is>
      </c>
      <c r="L675" t="inlineStr">
        <is>
          <t>confirmé</t>
        </is>
      </c>
      <c r="M675" t="inlineStr">
        <is>
          <t>AMDA (Africa Minigrid Developers Association)</t>
        </is>
      </c>
      <c r="N675" t="inlineStr">
        <is>
          <t>Benchmarking Africa's Minigrids Report 2024</t>
        </is>
      </c>
      <c r="O675" t="inlineStr">
        <is>
          <t>https://www.pseau.org/outils/ouvrages/amda_benchmarking_africa_s_minigrids_report_2024_2025.pdf</t>
        </is>
      </c>
      <c r="P675" t="inlineStr">
        <is>
          <t>2024</t>
        </is>
      </c>
      <c r="Q675" t="inlineStr">
        <is>
          <t>ranging from an average of $16 per connection per year in Western and Central Africa to an average of $26 per connection per year in Eastern and Southern Africa.</t>
        </is>
      </c>
      <c r="R675" t="inlineStr">
        <is>
          <t>Ouest/Centre 16 ; Est/Austral 26.</t>
        </is>
      </c>
    </row>
    <row r="676">
      <c r="A676" t="inlineStr">
        <is>
          <t>retenu</t>
        </is>
      </c>
      <c r="B676" t="inlineStr">
        <is>
          <t>C_minireseaux</t>
        </is>
      </c>
      <c r="C676" t="inlineStr">
        <is>
          <t>C</t>
        </is>
      </c>
      <c r="D676" t="inlineStr">
        <is>
          <t>AFR</t>
        </is>
      </c>
      <c r="E676" t="inlineStr">
        <is>
          <t>SEforALL SOTM 2024</t>
        </is>
      </c>
      <c r="F676" t="inlineStr">
        <is>
          <t>capex_par_branchement</t>
        </is>
      </c>
      <c r="G676" t="n">
        <v>707</v>
      </c>
      <c r="H676" t="inlineStr">
        <is>
          <t>USD/branchement</t>
        </is>
      </c>
      <c r="I676" t="inlineStr">
        <is>
          <t>observée</t>
        </is>
      </c>
      <c r="J676" t="n">
        <v>2024</v>
      </c>
      <c r="K676" t="inlineStr">
        <is>
          <t>A</t>
        </is>
      </c>
      <c r="L676" t="inlineStr">
        <is>
          <t>confirmé</t>
        </is>
      </c>
      <c r="M676" t="inlineStr">
        <is>
          <t>SEforALL / Mini-Grids Partnership</t>
        </is>
      </c>
      <c r="N676" t="inlineStr">
        <is>
          <t>State of the Global Mini-grids Market Report 2024</t>
        </is>
      </c>
      <c r="O676" t="inlineStr">
        <is>
          <t>https://www.seforall.org/system/files/2024-08/SOTM%20Report%202024_EN_vFc.pdf</t>
        </is>
      </c>
      <c r="P676" t="inlineStr">
        <is>
          <t>2024-08</t>
        </is>
      </c>
      <c r="Q676" t="inlineStr">
        <is>
          <t>Average capex per mini-grid connection has fallen by 43% from USD 1,250 in 2020 to USD 707 in 2024.</t>
        </is>
      </c>
      <c r="R676" t="inlineStr">
        <is>
          <t>Périmètre mondial (majorité Afrique). 2020 : 1 250 USD.</t>
        </is>
      </c>
    </row>
    <row r="677">
      <c r="A677" t="inlineStr">
        <is>
          <t>retenu</t>
        </is>
      </c>
      <c r="B677" t="inlineStr">
        <is>
          <t>C_minireseaux</t>
        </is>
      </c>
      <c r="C677" t="inlineStr">
        <is>
          <t>C</t>
        </is>
      </c>
      <c r="D677" t="inlineStr">
        <is>
          <t>AFR</t>
        </is>
      </c>
      <c r="E677" t="inlineStr">
        <is>
          <t>SEforALL SOTM 2024</t>
        </is>
      </c>
      <c r="F677" t="inlineStr">
        <is>
          <t>capex_par_branchement</t>
        </is>
      </c>
      <c r="G677" t="n">
        <v>1250</v>
      </c>
      <c r="H677" t="inlineStr">
        <is>
          <t>USD/branchement</t>
        </is>
      </c>
      <c r="I677" t="inlineStr">
        <is>
          <t>observée</t>
        </is>
      </c>
      <c r="J677" t="n">
        <v>2020</v>
      </c>
      <c r="K677" t="inlineStr">
        <is>
          <t>A</t>
        </is>
      </c>
      <c r="L677" t="inlineStr">
        <is>
          <t>confirmé</t>
        </is>
      </c>
      <c r="M677" t="inlineStr">
        <is>
          <t>SEforALL / Mini-Grids Partnership</t>
        </is>
      </c>
      <c r="N677" t="inlineStr">
        <is>
          <t>State of the Global Mini-grids Market Report 2024</t>
        </is>
      </c>
      <c r="O677" t="inlineStr">
        <is>
          <t>https://www.seforall.org/system/files/2024-08/SOTM%20Report%202024_EN_vFc.pdf</t>
        </is>
      </c>
      <c r="P677" t="inlineStr">
        <is>
          <t>2024-08</t>
        </is>
      </c>
      <c r="Q677" t="inlineStr">
        <is>
          <t>Average capex per mini-grid connection has fallen by 43% from USD 1,250 in 2020 to USD 707 in 2024.</t>
        </is>
      </c>
      <c r="R677" t="inlineStr"/>
    </row>
    <row r="678">
      <c r="A678" t="inlineStr">
        <is>
          <t>retenu</t>
        </is>
      </c>
      <c r="B678" t="inlineStr">
        <is>
          <t>C_minireseaux</t>
        </is>
      </c>
      <c r="C678" t="inlineStr">
        <is>
          <t>C</t>
        </is>
      </c>
      <c r="D678" t="inlineStr">
        <is>
          <t>AFR</t>
        </is>
      </c>
      <c r="E678" t="inlineStr">
        <is>
          <t>SEforALL SOTM 2024</t>
        </is>
      </c>
      <c r="F678" t="inlineStr">
        <is>
          <t>capex_par_kwp</t>
        </is>
      </c>
      <c r="G678" t="n">
        <v>2200</v>
      </c>
      <c r="H678" t="inlineStr">
        <is>
          <t>USD/kWp</t>
        </is>
      </c>
      <c r="I678" t="inlineStr">
        <is>
          <t>observée</t>
        </is>
      </c>
      <c r="J678" t="n">
        <v>2024</v>
      </c>
      <c r="K678" t="inlineStr">
        <is>
          <t>A</t>
        </is>
      </c>
      <c r="L678" t="inlineStr">
        <is>
          <t>confirmé</t>
        </is>
      </c>
      <c r="M678" t="inlineStr">
        <is>
          <t>SEforALL / Mini-Grids Partnership</t>
        </is>
      </c>
      <c r="N678" t="inlineStr">
        <is>
          <t>State of the Global Mini-grids Market Report 2024</t>
        </is>
      </c>
      <c r="O678" t="inlineStr">
        <is>
          <t>https://www.seforall.org/system/files/2024-08/SOTM%20Report%202024_EN_vFc.pdf</t>
        </is>
      </c>
      <c r="P678" t="inlineStr">
        <is>
          <t>2024-08</t>
        </is>
      </c>
      <c r="Q678" t="inlineStr">
        <is>
          <t>Capex per kWp remained relatively stable between 2021 and 2024, hovering around USD 3,000 before dropping to approximately USD 2,200 in 2024.</t>
        </is>
      </c>
      <c r="R678" t="inlineStr">
        <is>
          <t>Mondial ; très en dessous des valeurs AMDA (Afrique).</t>
        </is>
      </c>
    </row>
    <row r="679">
      <c r="A679" t="inlineStr">
        <is>
          <t>retenu</t>
        </is>
      </c>
      <c r="B679" t="inlineStr">
        <is>
          <t>C_minireseaux</t>
        </is>
      </c>
      <c r="C679" t="inlineStr">
        <is>
          <t>C</t>
        </is>
      </c>
      <c r="D679" t="inlineStr">
        <is>
          <t>AFR</t>
        </is>
      </c>
      <c r="E679" t="inlineStr">
        <is>
          <t>SEforALL SOTM 2024 – programmes</t>
        </is>
      </c>
      <c r="F679" t="inlineStr">
        <is>
          <t>subvention_par_branchement</t>
        </is>
      </c>
      <c r="G679" t="n">
        <v>411</v>
      </c>
      <c r="H679" t="inlineStr">
        <is>
          <t>USD/branchement</t>
        </is>
      </c>
      <c r="I679" t="inlineStr">
        <is>
          <t>observée</t>
        </is>
      </c>
      <c r="J679" t="n">
        <v>2024</v>
      </c>
      <c r="K679" t="inlineStr">
        <is>
          <t>A</t>
        </is>
      </c>
      <c r="L679" t="inlineStr">
        <is>
          <t>confirmé</t>
        </is>
      </c>
      <c r="M679" t="inlineStr">
        <is>
          <t>SEforALL / Mini-Grids Partnership</t>
        </is>
      </c>
      <c r="N679" t="inlineStr">
        <is>
          <t>State of the Global Mini-grids Market Report 2024</t>
        </is>
      </c>
      <c r="O679" t="inlineStr">
        <is>
          <t>https://www.seforall.org/system/files/2024-08/SOTM%20Report%202024_EN_vFc.pdf</t>
        </is>
      </c>
      <c r="P679" t="inlineStr">
        <is>
          <t>2024-08</t>
        </is>
      </c>
      <c r="Q679" t="inlineStr">
        <is>
          <t>the average level of committed funding per connection is USD 411, with the highest level of funding per connection being committed by projects targeting South-Central Asia (USD 996), followed by projects targeting West and Central Africa (USD 872 and USD 860 respectively).</t>
        </is>
      </c>
      <c r="R679" t="inlineStr">
        <is>
          <t>Financement engagé (pas nécessairement subvention) par branchement planifié ; Afrique de l'Ouest 872, Afrique centrale 860.</t>
        </is>
      </c>
    </row>
    <row r="680">
      <c r="A680" t="inlineStr">
        <is>
          <t>retenu</t>
        </is>
      </c>
      <c r="B680" t="inlineStr">
        <is>
          <t>C_minireseaux</t>
        </is>
      </c>
      <c r="C680" t="inlineStr">
        <is>
          <t>C</t>
        </is>
      </c>
      <c r="D680" t="inlineStr">
        <is>
          <t>AFR</t>
        </is>
      </c>
      <c r="E680" t="inlineStr">
        <is>
          <t>Universal Energy Facility (UEF)</t>
        </is>
      </c>
      <c r="F680" t="inlineStr">
        <is>
          <t>subvention_par_branchement</t>
        </is>
      </c>
      <c r="G680" t="n">
        <v>592</v>
      </c>
      <c r="H680" t="inlineStr">
        <is>
          <t>USD/branchement</t>
        </is>
      </c>
      <c r="I680" t="inlineStr">
        <is>
          <t>observée</t>
        </is>
      </c>
      <c r="J680" t="n">
        <v>2024</v>
      </c>
      <c r="K680" t="inlineStr">
        <is>
          <t>A</t>
        </is>
      </c>
      <c r="L680" t="inlineStr">
        <is>
          <t>confirmé</t>
        </is>
      </c>
      <c r="M680" t="inlineStr">
        <is>
          <t>SEforALL / Mini-Grids Partnership</t>
        </is>
      </c>
      <c r="N680" t="inlineStr">
        <is>
          <t>State of the Global Mini-grids Market Report 2024</t>
        </is>
      </c>
      <c r="O680" t="inlineStr">
        <is>
          <t>https://www.seforall.org/system/files/2024-08/SOTM%20Report%202024_EN_vFc.pdf</t>
        </is>
      </c>
      <c r="P680" t="inlineStr">
        <is>
          <t>2024-08</t>
        </is>
      </c>
      <c r="Q680" t="inlineStr">
        <is>
          <t>The UEF disburses grant payments to approved mini-grid projects according to a results-based incentive of USD 592 per electricity connection, regardless of the country in which the mini-grid is operating.</t>
        </is>
      </c>
      <c r="R680" t="inlineStr">
        <is>
          <t>RBF multi-pays (SEforALL).</t>
        </is>
      </c>
    </row>
    <row r="681">
      <c r="A681" t="inlineStr">
        <is>
          <t>retenu</t>
        </is>
      </c>
      <c r="B681" t="inlineStr">
        <is>
          <t>C_minireseaux</t>
        </is>
      </c>
      <c r="C681" t="inlineStr">
        <is>
          <t>C</t>
        </is>
      </c>
      <c r="D681" t="inlineStr">
        <is>
          <t>AFR</t>
        </is>
      </c>
      <c r="E681" t="inlineStr">
        <is>
          <t>SEforALL SOTM 2024</t>
        </is>
      </c>
      <c r="F681" t="inlineStr">
        <is>
          <t>capex_batterie_li_ion</t>
        </is>
      </c>
      <c r="G681" t="n">
        <v>123</v>
      </c>
      <c r="H681" t="inlineStr">
        <is>
          <t>USD/kWh</t>
        </is>
      </c>
      <c r="I681" t="inlineStr">
        <is>
          <t>observée</t>
        </is>
      </c>
      <c r="J681" t="n">
        <v>2021</v>
      </c>
      <c r="K681" t="inlineStr">
        <is>
          <t>A</t>
        </is>
      </c>
      <c r="L681" t="inlineStr">
        <is>
          <t>confirmé</t>
        </is>
      </c>
      <c r="M681" t="inlineStr">
        <is>
          <t>SEforALL / Mini-Grids Partnership</t>
        </is>
      </c>
      <c r="N681" t="inlineStr">
        <is>
          <t>State of the Global Mini-grids Market Report 2024</t>
        </is>
      </c>
      <c r="O681" t="inlineStr">
        <is>
          <t>https://www.seforall.org/system/files/2024-08/SOTM%20Report%202024_EN_vFc.pdf</t>
        </is>
      </c>
      <c r="P681" t="inlineStr">
        <is>
          <t>2024-08</t>
        </is>
      </c>
      <c r="Q681" t="inlineStr">
        <is>
          <t>As of 2021 the average cost of lithium-ion batteries stood at approximately USD 123 per kWh,</t>
        </is>
      </c>
      <c r="R681" t="inlineStr">
        <is>
          <t>Prix moyen marché (pas spécifique mini-réseaux) ; écart avec ESMAP 297–314 USD/kWh.</t>
        </is>
      </c>
    </row>
    <row r="682">
      <c r="A682" t="inlineStr">
        <is>
          <t>retenu</t>
        </is>
      </c>
      <c r="B682" t="inlineStr">
        <is>
          <t>C_minireseaux</t>
        </is>
      </c>
      <c r="C682" t="inlineStr">
        <is>
          <t>C</t>
        </is>
      </c>
      <c r="D682" t="inlineStr">
        <is>
          <t>BFA</t>
        </is>
      </c>
      <c r="E682" t="inlineStr">
        <is>
          <t>SEforALL benchmark – Burkina Faso</t>
        </is>
      </c>
      <c r="F682" t="inlineStr">
        <is>
          <t>capex_par_branchement</t>
        </is>
      </c>
      <c r="G682" t="n">
        <v>1526</v>
      </c>
      <c r="H682" t="inlineStr">
        <is>
          <t>USD/branchement</t>
        </is>
      </c>
      <c r="I682" t="inlineStr">
        <is>
          <t>observée</t>
        </is>
      </c>
      <c r="J682" t="n">
        <v>2022</v>
      </c>
      <c r="K682" t="inlineStr">
        <is>
          <t>A</t>
        </is>
      </c>
      <c r="L682" t="inlineStr">
        <is>
          <t>citation_partielle</t>
        </is>
      </c>
      <c r="M682" t="inlineStr">
        <is>
          <t>SEforALL</t>
        </is>
      </c>
      <c r="N682" t="inlineStr">
        <is>
          <t>Mini-grid CAPEX and OPEX Benchmark Study: A Regional Approach in Burkina Faso, Nigeria and Sierra Leone</t>
        </is>
      </c>
      <c r="O682" t="inlineStr">
        <is>
          <t>https://seforall.org/system/files/2024-08/CAPEXOPEX%20PPT_final.pdf</t>
        </is>
      </c>
      <c r="P682" t="inlineStr">
        <is>
          <t>2024-08</t>
        </is>
      </c>
      <c r="Q682" t="inlineStr">
        <is>
          <t>Compared to Sierra Leone (USD 267) and Nigeria (USD 527), the average CAPEX cost per connection in Burkina Faso (USD 1,526) was considerably higher</t>
        </is>
      </c>
      <c r="R682" t="inlineStr">
        <is>
          <t>Données d'une seule entreprise. Incohérence interne : composants cités (158+39+74+1,2 ≈ 272 USD) ≠ 1 526.</t>
        </is>
      </c>
    </row>
    <row r="683">
      <c r="A683" t="inlineStr">
        <is>
          <t>retenu</t>
        </is>
      </c>
      <c r="B683" t="inlineStr">
        <is>
          <t>C_minireseaux</t>
        </is>
      </c>
      <c r="C683" t="inlineStr">
        <is>
          <t>C</t>
        </is>
      </c>
      <c r="D683" t="inlineStr">
        <is>
          <t>BFA</t>
        </is>
      </c>
      <c r="E683" t="inlineStr">
        <is>
          <t>SEforALL benchmark – Burkina Faso</t>
        </is>
      </c>
      <c r="F683" t="inlineStr">
        <is>
          <t>capex_production_par_branchement</t>
        </is>
      </c>
      <c r="G683" t="n">
        <v>158</v>
      </c>
      <c r="H683" t="inlineStr">
        <is>
          <t>USD/branchement</t>
        </is>
      </c>
      <c r="I683" t="inlineStr">
        <is>
          <t>observée</t>
        </is>
      </c>
      <c r="J683" t="n">
        <v>2022</v>
      </c>
      <c r="K683" t="inlineStr">
        <is>
          <t>A</t>
        </is>
      </c>
      <c r="L683" t="inlineStr">
        <is>
          <t>citation_partielle</t>
        </is>
      </c>
      <c r="M683" t="inlineStr">
        <is>
          <t>SEforALL</t>
        </is>
      </c>
      <c r="N683" t="inlineStr">
        <is>
          <t>Mini-grid CAPEX and OPEX Benchmark Study: A Regional Approach in Burkina Faso, Nigeria and Sierra Leone</t>
        </is>
      </c>
      <c r="O683" t="inlineStr">
        <is>
          <t>https://seforall.org/system/files/2024-08/CAPEXOPEX%20PPT_final.pdf</t>
        </is>
      </c>
      <c r="P683" t="inlineStr">
        <is>
          <t>2024-08</t>
        </is>
      </c>
      <c r="Q683" t="inlineStr">
        <is>
          <t>generation costs, accounting for 58% of the total CAPEX, amounting to approximately USD 158.</t>
        </is>
      </c>
      <c r="R683" t="inlineStr">
        <is>
          <t>Distribution 39 USD (15 %), autres 74 USD (27 %).</t>
        </is>
      </c>
    </row>
    <row r="684">
      <c r="A684" t="inlineStr">
        <is>
          <t>retenu</t>
        </is>
      </c>
      <c r="B684" t="inlineStr">
        <is>
          <t>C_minireseaux</t>
        </is>
      </c>
      <c r="C684" t="inlineStr">
        <is>
          <t>C</t>
        </is>
      </c>
      <c r="D684" t="inlineStr">
        <is>
          <t>BFA</t>
        </is>
      </c>
      <c r="E684" t="inlineStr">
        <is>
          <t>Mini centrale solaire de Basgana (ABER)</t>
        </is>
      </c>
      <c r="F684" t="inlineStr">
        <is>
          <t>puissance_kwp</t>
        </is>
      </c>
      <c r="G684" t="n">
        <v>50</v>
      </c>
      <c r="H684" t="inlineStr">
        <is>
          <t>kWp</t>
        </is>
      </c>
      <c r="I684" t="inlineStr">
        <is>
          <t>observée</t>
        </is>
      </c>
      <c r="K684" t="inlineStr">
        <is>
          <t>A</t>
        </is>
      </c>
      <c r="L684" t="inlineStr">
        <is>
          <t>citation_partielle</t>
        </is>
      </c>
      <c r="M684" t="inlineStr">
        <is>
          <t>SEforALL</t>
        </is>
      </c>
      <c r="N684" t="inlineStr">
        <is>
          <t>Mini-grid CAPEX and OPEX Benchmark Study: A Regional Approach in Burkina Faso, Nigeria and Sierra Leone</t>
        </is>
      </c>
      <c r="O684" t="inlineStr">
        <is>
          <t>https://seforall.org/system/files/2024-08/CAPEXOPEX%20PPT_final.pdf</t>
        </is>
      </c>
      <c r="P684" t="inlineStr">
        <is>
          <t>2024-08</t>
        </is>
      </c>
      <c r="Q684" t="inlineStr">
        <is>
          <t>Mini centrale solaire de Basgana (mini-autonomous solar power plant in Basgana) • 50kWp PV hybrid system • Financed by the World Bank through the Energy Sector Support Project (PASEL) (approx. CFA 350 million)</t>
        </is>
      </c>
      <c r="R684" t="inlineStr">
        <is>
          <t>Coût ~350 M FCFA ; année de mise en service non précisée.</t>
        </is>
      </c>
    </row>
    <row r="685">
      <c r="A685" t="inlineStr">
        <is>
          <t>retenu</t>
        </is>
      </c>
      <c r="B685" t="inlineStr">
        <is>
          <t>C_minireseaux</t>
        </is>
      </c>
      <c r="C685" t="inlineStr">
        <is>
          <t>C</t>
        </is>
      </c>
      <c r="D685" t="inlineStr">
        <is>
          <t>BFA</t>
        </is>
      </c>
      <c r="E685" t="inlineStr">
        <is>
          <t>Mini centrale solaire de Basgana (ABER)</t>
        </is>
      </c>
      <c r="F685" t="inlineStr">
        <is>
          <t>capex_total</t>
        </is>
      </c>
      <c r="G685" t="n">
        <v>350000000</v>
      </c>
      <c r="H685" t="inlineStr">
        <is>
          <t>XOF</t>
        </is>
      </c>
      <c r="I685" t="inlineStr">
        <is>
          <t>observée</t>
        </is>
      </c>
      <c r="K685" t="inlineStr">
        <is>
          <t>A</t>
        </is>
      </c>
      <c r="L685" t="inlineStr">
        <is>
          <t>confirmé</t>
        </is>
      </c>
      <c r="M685" t="inlineStr">
        <is>
          <t>SEforALL</t>
        </is>
      </c>
      <c r="N685" t="inlineStr">
        <is>
          <t>Mini-grid CAPEX and OPEX Benchmark Study: A Regional Approach in Burkina Faso, Nigeria and Sierra Leone</t>
        </is>
      </c>
      <c r="O685" t="inlineStr">
        <is>
          <t>https://seforall.org/system/files/2024-08/CAPEXOPEX%20PPT_final.pdf</t>
        </is>
      </c>
      <c r="P685" t="inlineStr">
        <is>
          <t>2024-08</t>
        </is>
      </c>
      <c r="Q685" t="inlineStr">
        <is>
          <t>Financed by the World Bank through the Energy Sector Support Project (PASEL) (approx. CFA 350 million)</t>
        </is>
      </c>
      <c r="R685" t="inlineStr">
        <is>
          <t>Soit ~7 M FCFA/kWp (calcul).</t>
        </is>
      </c>
    </row>
    <row r="686">
      <c r="A686" t="inlineStr">
        <is>
          <t>retenu</t>
        </is>
      </c>
      <c r="B686" t="inlineStr">
        <is>
          <t>C_minireseaux</t>
        </is>
      </c>
      <c r="C686" t="inlineStr">
        <is>
          <t>C</t>
        </is>
      </c>
      <c r="D686" t="inlineStr">
        <is>
          <t>BFA</t>
        </is>
      </c>
      <c r="E686" t="inlineStr">
        <is>
          <t>PCES de Toumouni (Sahelia Solar)</t>
        </is>
      </c>
      <c r="F686" t="inlineStr">
        <is>
          <t>puissance_kwp</t>
        </is>
      </c>
      <c r="G686" t="n">
        <v>15</v>
      </c>
      <c r="H686" t="inlineStr">
        <is>
          <t>kWp</t>
        </is>
      </c>
      <c r="I686" t="inlineStr">
        <is>
          <t>observée</t>
        </is>
      </c>
      <c r="K686" t="inlineStr">
        <is>
          <t>A</t>
        </is>
      </c>
      <c r="L686" t="inlineStr">
        <is>
          <t>citation_partielle</t>
        </is>
      </c>
      <c r="M686" t="inlineStr">
        <is>
          <t>SEforALL</t>
        </is>
      </c>
      <c r="N686" t="inlineStr">
        <is>
          <t>Mini-grid CAPEX and OPEX Benchmark Study: A Regional Approach in Burkina Faso, Nigeria and Sierra Leone</t>
        </is>
      </c>
      <c r="O686" t="inlineStr">
        <is>
          <t>https://seforall.org/system/files/2024-08/CAPEXOPEX%20PPT_final.pdf</t>
        </is>
      </c>
      <c r="P686" t="inlineStr">
        <is>
          <t>2024-08</t>
        </is>
      </c>
      <c r="Q686" t="inlineStr">
        <is>
          <t>Includes 15kWp of PV capacity, 60kWh of storage, electrical agro-processing equipment</t>
        </is>
      </c>
      <c r="R686" t="inlineStr">
        <is>
          <t>Stockage 60 kWh.</t>
        </is>
      </c>
    </row>
    <row r="687">
      <c r="A687" t="inlineStr">
        <is>
          <t>retenu</t>
        </is>
      </c>
      <c r="B687" t="inlineStr">
        <is>
          <t>C_minireseaux</t>
        </is>
      </c>
      <c r="C687" t="inlineStr">
        <is>
          <t>C</t>
        </is>
      </c>
      <c r="D687" t="inlineStr">
        <is>
          <t>BFA</t>
        </is>
      </c>
      <c r="E687" t="inlineStr">
        <is>
          <t>PCES de Toumouni (Sahelia Solar)</t>
        </is>
      </c>
      <c r="F687" t="inlineStr">
        <is>
          <t>stockage_kwh</t>
        </is>
      </c>
      <c r="G687" t="n">
        <v>60</v>
      </c>
      <c r="H687" t="inlineStr">
        <is>
          <t>kWh</t>
        </is>
      </c>
      <c r="I687" t="inlineStr">
        <is>
          <t>observée</t>
        </is>
      </c>
      <c r="K687" t="inlineStr">
        <is>
          <t>A</t>
        </is>
      </c>
      <c r="L687" t="inlineStr">
        <is>
          <t>citation_partielle</t>
        </is>
      </c>
      <c r="M687" t="inlineStr">
        <is>
          <t>SEforALL</t>
        </is>
      </c>
      <c r="N687" t="inlineStr">
        <is>
          <t>Mini-grid CAPEX and OPEX Benchmark Study: A Regional Approach in Burkina Faso, Nigeria and Sierra Leone</t>
        </is>
      </c>
      <c r="O687" t="inlineStr">
        <is>
          <t>https://seforall.org/system/files/2024-08/CAPEXOPEX%20PPT_final.pdf</t>
        </is>
      </c>
      <c r="P687" t="inlineStr">
        <is>
          <t>2024-08</t>
        </is>
      </c>
      <c r="Q687" t="inlineStr">
        <is>
          <t>Includes 15kWp of PV capacity, 60kWh of storage, electrical agro-processing equipment</t>
        </is>
      </c>
      <c r="R687" t="inlineStr"/>
    </row>
    <row r="688">
      <c r="A688" t="inlineStr">
        <is>
          <t>retenu</t>
        </is>
      </c>
      <c r="B688" t="inlineStr">
        <is>
          <t>C_minireseaux</t>
        </is>
      </c>
      <c r="C688" t="inlineStr">
        <is>
          <t>C</t>
        </is>
      </c>
      <c r="D688" t="inlineStr">
        <is>
          <t>BFA</t>
        </is>
      </c>
      <c r="E688" t="inlineStr">
        <is>
          <t>Projet SINCO – 7 centrales PV (65 localités)</t>
        </is>
      </c>
      <c r="F688" t="inlineStr">
        <is>
          <t>financement_programme</t>
        </is>
      </c>
      <c r="G688" t="n">
        <v>8100000000</v>
      </c>
      <c r="H688" t="inlineStr">
        <is>
          <t>XOF</t>
        </is>
      </c>
      <c r="I688" t="inlineStr">
        <is>
          <t>déclarée</t>
        </is>
      </c>
      <c r="K688" t="inlineStr">
        <is>
          <t>A</t>
        </is>
      </c>
      <c r="L688" t="inlineStr">
        <is>
          <t>citation_partielle</t>
        </is>
      </c>
      <c r="M688" t="inlineStr">
        <is>
          <t>SEforALL</t>
        </is>
      </c>
      <c r="N688" t="inlineStr">
        <is>
          <t>Mini-grid CAPEX and OPEX Benchmark Study: A Regional Approach in Burkina Faso, Nigeria and Sierra Leone</t>
        </is>
      </c>
      <c r="O688" t="inlineStr">
        <is>
          <t>https://seforall.org/system/files/2024-08/CAPEXOPEX%20PPT_final.pdf</t>
        </is>
      </c>
      <c r="P688" t="inlineStr">
        <is>
          <t>2024-08</t>
        </is>
      </c>
      <c r="Q688" t="inlineStr">
        <is>
          <t>65 localities are to be electrified as part of the project, via 7 solar PV centres of 2,500 kWc total, and distribution of 4,000 solar kits (120 kW) • Financed by the EU, SONABEL, ONEA and ABER (TDE) (amount of financing: CFA 8.1 billion)</t>
        </is>
      </c>
      <c r="R688" t="inlineStr">
        <is>
          <t>2 500 kWc au total ; inclut 4 000 kits.</t>
        </is>
      </c>
    </row>
    <row r="689">
      <c r="A689" t="inlineStr">
        <is>
          <t>retenu</t>
        </is>
      </c>
      <c r="B689" t="inlineStr">
        <is>
          <t>C_minireseaux</t>
        </is>
      </c>
      <c r="C689" t="inlineStr">
        <is>
          <t>C</t>
        </is>
      </c>
      <c r="D689" t="inlineStr">
        <is>
          <t>TZA</t>
        </is>
      </c>
      <c r="E689" t="inlineStr">
        <is>
          <t>JUMEME (îles du lac Victoria)</t>
        </is>
      </c>
      <c r="F689" t="inlineStr">
        <is>
          <t>tarif_client</t>
        </is>
      </c>
      <c r="G689" t="n">
        <v>1710</v>
      </c>
      <c r="H689" t="inlineStr">
        <is>
          <t>TZS/kWh</t>
        </is>
      </c>
      <c r="I689" t="inlineStr">
        <is>
          <t>observée</t>
        </is>
      </c>
      <c r="J689" t="n">
        <v>2025</v>
      </c>
      <c r="K689" t="inlineStr">
        <is>
          <t>A</t>
        </is>
      </c>
      <c r="L689" t="inlineStr">
        <is>
          <t>confirmé</t>
        </is>
      </c>
      <c r="M689" t="inlineStr">
        <is>
          <t>EWURA (régulateur Tanzanie)</t>
        </is>
      </c>
      <c r="N689" t="inlineStr">
        <is>
          <t>Regulatory Experience With Mini Grids – A. N. Lwila, ERRA Workshop, Ankara</t>
        </is>
      </c>
      <c r="O689" t="inlineStr">
        <is>
          <t>https://erranet.org/wp-content/uploads/2025/10/S3_P2_Lwila_Tanzanian_Regulatory_Experience_EnergyCommunities2025.pdf</t>
        </is>
      </c>
      <c r="P689" t="inlineStr">
        <is>
          <t>2025-10-14</t>
        </is>
      </c>
      <c r="Q689" t="inlineStr">
        <is>
          <t>Residential                Day     1710    68 … Night    1710    68</t>
        </is>
      </c>
      <c r="R689" t="inlineStr">
        <is>
          <t>Tarif modélisé/approuvé par EWURA par mini-réseau. Structure : Résidentiel jour/nuit. 68 US cents ; taux 2506 TZS/USD (14.09.2025).</t>
        </is>
      </c>
    </row>
    <row r="690">
      <c r="A690" t="inlineStr">
        <is>
          <t>retenu</t>
        </is>
      </c>
      <c r="B690" t="inlineStr">
        <is>
          <t>C_minireseaux</t>
        </is>
      </c>
      <c r="C690" t="inlineStr">
        <is>
          <t>C</t>
        </is>
      </c>
      <c r="D690" t="inlineStr">
        <is>
          <t>TZA</t>
        </is>
      </c>
      <c r="E690" t="inlineStr">
        <is>
          <t>JUMEME (îles du lac Victoria)</t>
        </is>
      </c>
      <c r="F690" t="inlineStr">
        <is>
          <t>tarif_client</t>
        </is>
      </c>
      <c r="G690" t="n">
        <v>1560</v>
      </c>
      <c r="H690" t="inlineStr">
        <is>
          <t>TZS/kWh</t>
        </is>
      </c>
      <c r="I690" t="inlineStr">
        <is>
          <t>observée</t>
        </is>
      </c>
      <c r="J690" t="n">
        <v>2025</v>
      </c>
      <c r="K690" t="inlineStr">
        <is>
          <t>A</t>
        </is>
      </c>
      <c r="L690" t="inlineStr">
        <is>
          <t>confirmé</t>
        </is>
      </c>
      <c r="M690" t="inlineStr">
        <is>
          <t>EWURA (régulateur Tanzanie)</t>
        </is>
      </c>
      <c r="N690" t="inlineStr">
        <is>
          <t>Regulatory Experience With Mini Grids – A. N. Lwila, ERRA Workshop, Ankara</t>
        </is>
      </c>
      <c r="O690" t="inlineStr">
        <is>
          <t>https://erranet.org/wp-content/uploads/2025/10/S3_P2_Lwila_Tanzanian_Regulatory_Experience_EnergyCommunities2025.pdf</t>
        </is>
      </c>
      <c r="P690" t="inlineStr">
        <is>
          <t>2025-10-14</t>
        </is>
      </c>
      <c r="Q690" t="inlineStr">
        <is>
          <t>Business                   Day     1560    62 … Night    1670    67</t>
        </is>
      </c>
      <c r="R690" t="inlineStr">
        <is>
          <t>Tarif modélisé/approuvé par EWURA par mini-réseau. Structure : Commercial jour. Nuit : 1 670 TZS (67 c).</t>
        </is>
      </c>
    </row>
    <row r="691">
      <c r="A691" t="inlineStr">
        <is>
          <t>retenu</t>
        </is>
      </c>
      <c r="B691" t="inlineStr">
        <is>
          <t>C_minireseaux</t>
        </is>
      </c>
      <c r="C691" t="inlineStr">
        <is>
          <t>C</t>
        </is>
      </c>
      <c r="D691" t="inlineStr">
        <is>
          <t>TZA</t>
        </is>
      </c>
      <c r="E691" t="inlineStr">
        <is>
          <t>JUMEME (îles du lac Victoria)</t>
        </is>
      </c>
      <c r="F691" t="inlineStr">
        <is>
          <t>tarif_client</t>
        </is>
      </c>
      <c r="G691" t="n">
        <v>1310</v>
      </c>
      <c r="H691" t="inlineStr">
        <is>
          <t>TZS/kWh</t>
        </is>
      </c>
      <c r="I691" t="inlineStr">
        <is>
          <t>observée</t>
        </is>
      </c>
      <c r="J691" t="n">
        <v>2025</v>
      </c>
      <c r="K691" t="inlineStr">
        <is>
          <t>A</t>
        </is>
      </c>
      <c r="L691" t="inlineStr">
        <is>
          <t>confirmé</t>
        </is>
      </c>
      <c r="M691" t="inlineStr">
        <is>
          <t>EWURA (régulateur Tanzanie)</t>
        </is>
      </c>
      <c r="N691" t="inlineStr">
        <is>
          <t>Regulatory Experience With Mini Grids – A. N. Lwila, ERRA Workshop, Ankara</t>
        </is>
      </c>
      <c r="O691" t="inlineStr">
        <is>
          <t>https://erranet.org/wp-content/uploads/2025/10/S3_P2_Lwila_Tanzanian_Regulatory_Experience_EnergyCommunities2025.pdf</t>
        </is>
      </c>
      <c r="P691" t="inlineStr">
        <is>
          <t>2025-10-14</t>
        </is>
      </c>
      <c r="Q691" t="inlineStr">
        <is>
          <t>Productive Use             Day     1310    52 … Night    1570    63</t>
        </is>
      </c>
      <c r="R691" t="inlineStr">
        <is>
          <t>Tarif modélisé/approuvé par EWURA par mini-réseau. Structure : Usage productif jour. Nuit : 1 570 TZS (63 c).</t>
        </is>
      </c>
    </row>
    <row r="692">
      <c r="A692" t="inlineStr">
        <is>
          <t>retenu</t>
        </is>
      </c>
      <c r="B692" t="inlineStr">
        <is>
          <t>C_minireseaux</t>
        </is>
      </c>
      <c r="C692" t="inlineStr">
        <is>
          <t>C</t>
        </is>
      </c>
      <c r="D692" t="inlineStr">
        <is>
          <t>TZA</t>
        </is>
      </c>
      <c r="E692" t="inlineStr">
        <is>
          <t>PowerGen (Tanzanie)</t>
        </is>
      </c>
      <c r="F692" t="inlineStr">
        <is>
          <t>tarif_client</t>
        </is>
      </c>
      <c r="G692" t="n">
        <v>1500</v>
      </c>
      <c r="H692" t="inlineStr">
        <is>
          <t>TZS/kWh</t>
        </is>
      </c>
      <c r="I692" t="inlineStr">
        <is>
          <t>observée</t>
        </is>
      </c>
      <c r="J692" t="n">
        <v>2025</v>
      </c>
      <c r="K692" t="inlineStr">
        <is>
          <t>A</t>
        </is>
      </c>
      <c r="L692" t="inlineStr">
        <is>
          <t>confirmé</t>
        </is>
      </c>
      <c r="M692" t="inlineStr">
        <is>
          <t>EWURA (régulateur Tanzanie)</t>
        </is>
      </c>
      <c r="N692" t="inlineStr">
        <is>
          <t>Regulatory Experience With Mini Grids – A. N. Lwila, ERRA Workshop, Ankara</t>
        </is>
      </c>
      <c r="O692" t="inlineStr">
        <is>
          <t>https://erranet.org/wp-content/uploads/2025/10/S3_P2_Lwila_Tanzanian_Regulatory_Experience_EnergyCommunities2025.pdf</t>
        </is>
      </c>
      <c r="P692" t="inlineStr">
        <is>
          <t>2025-10-14</t>
        </is>
      </c>
      <c r="Q692" t="inlineStr">
        <is>
          <t>PowerGen … TZS U.S cents … Residential … 1500    60</t>
        </is>
      </c>
      <c r="R692" t="inlineStr">
        <is>
          <t>Tarif modélisé/approuvé par EWURA par mini-réseau. Structure : Résidentiel. 60 US cents ; commercial 1 500, productif 1 300 (52 c), institutions 1 200 (48 c).</t>
        </is>
      </c>
    </row>
    <row r="693">
      <c r="A693" t="inlineStr">
        <is>
          <t>retenu</t>
        </is>
      </c>
      <c r="B693" t="inlineStr">
        <is>
          <t>C_minireseaux</t>
        </is>
      </c>
      <c r="C693" t="inlineStr">
        <is>
          <t>C</t>
        </is>
      </c>
      <c r="D693" t="inlineStr">
        <is>
          <t>TZA</t>
        </is>
      </c>
      <c r="E693" t="inlineStr">
        <is>
          <t>Watu &amp; Umeme (Tanzanie)</t>
        </is>
      </c>
      <c r="F693" t="inlineStr">
        <is>
          <t>tarif_client</t>
        </is>
      </c>
      <c r="G693" t="n">
        <v>1306</v>
      </c>
      <c r="H693" t="inlineStr">
        <is>
          <t>TZS/kWh</t>
        </is>
      </c>
      <c r="I693" t="inlineStr">
        <is>
          <t>observée</t>
        </is>
      </c>
      <c r="J693" t="n">
        <v>2025</v>
      </c>
      <c r="K693" t="inlineStr">
        <is>
          <t>A</t>
        </is>
      </c>
      <c r="L693" t="inlineStr">
        <is>
          <t>confirmé</t>
        </is>
      </c>
      <c r="M693" t="inlineStr">
        <is>
          <t>EWURA (régulateur Tanzanie)</t>
        </is>
      </c>
      <c r="N693" t="inlineStr">
        <is>
          <t>Regulatory Experience With Mini Grids – A. N. Lwila, ERRA Workshop, Ankara</t>
        </is>
      </c>
      <c r="O693" t="inlineStr">
        <is>
          <t>https://erranet.org/wp-content/uploads/2025/10/S3_P2_Lwila_Tanzanian_Regulatory_Experience_EnergyCommunities2025.pdf</t>
        </is>
      </c>
      <c r="P693" t="inlineStr">
        <is>
          <t>2025-10-14</t>
        </is>
      </c>
      <c r="Q693" t="inlineStr">
        <is>
          <t>Watu &amp; Umeme … Residential … 1306      52</t>
        </is>
      </c>
      <c r="R693" t="inlineStr">
        <is>
          <t>Tarif modélisé/approuvé par EWURA par mini-réseau. Structure : Résidentiel. 52 US cents ; commercial 941 (38 c), productif 801 (32 c), institutions 941 (38 c).</t>
        </is>
      </c>
    </row>
    <row r="694">
      <c r="A694" t="inlineStr">
        <is>
          <t>retenu</t>
        </is>
      </c>
      <c r="B694" t="inlineStr">
        <is>
          <t>C_minireseaux</t>
        </is>
      </c>
      <c r="C694" t="inlineStr">
        <is>
          <t>C</t>
        </is>
      </c>
      <c r="D694" t="inlineStr">
        <is>
          <t>TZA</t>
        </is>
      </c>
      <c r="E694" t="inlineStr">
        <is>
          <t>Mini-réseaux enregistrés EWURA</t>
        </is>
      </c>
      <c r="F694" t="inlineStr">
        <is>
          <t>nb_clients</t>
        </is>
      </c>
      <c r="G694" t="n">
        <v>18000</v>
      </c>
      <c r="H694" t="inlineStr">
        <is>
          <t>clients</t>
        </is>
      </c>
      <c r="I694" t="inlineStr">
        <is>
          <t>observée</t>
        </is>
      </c>
      <c r="J694" t="n">
        <v>2024</v>
      </c>
      <c r="K694" t="inlineStr">
        <is>
          <t>A</t>
        </is>
      </c>
      <c r="L694" t="inlineStr">
        <is>
          <t>confirmé</t>
        </is>
      </c>
      <c r="M694" t="inlineStr">
        <is>
          <t>EWURA (régulateur Tanzanie)</t>
        </is>
      </c>
      <c r="N694" t="inlineStr">
        <is>
          <t>Regulatory Experience With Mini Grids – A. N. Lwila, ERRA Workshop, Ankara</t>
        </is>
      </c>
      <c r="O694" t="inlineStr">
        <is>
          <t>https://erranet.org/wp-content/uploads/2025/10/S3_P2_Lwila_Tanzanian_Regulatory_Experience_EnergyCommunities2025.pdf</t>
        </is>
      </c>
      <c r="P694" t="inlineStr">
        <is>
          <t>2025-10-14</t>
        </is>
      </c>
      <c r="Q694" t="inlineStr">
        <is>
          <t>There are six (6) registered companies with multiple Mini Grids in the rural areas, including in the islands (at Lake Victoria), with 18,000 consumers reported FY 2023/24.</t>
        </is>
      </c>
      <c r="R694" t="inlineStr"/>
    </row>
    <row r="695">
      <c r="A695" t="inlineStr">
        <is>
          <t>retenu</t>
        </is>
      </c>
      <c r="B695" t="inlineStr">
        <is>
          <t>C_minireseaux</t>
        </is>
      </c>
      <c r="C695" t="inlineStr">
        <is>
          <t>C</t>
        </is>
      </c>
      <c r="D695" t="inlineStr">
        <is>
          <t>TZA</t>
        </is>
      </c>
      <c r="E695" t="inlineStr">
        <is>
          <t>Mini-réseaux enregistrés EWURA</t>
        </is>
      </c>
      <c r="F695" t="inlineStr">
        <is>
          <t>puissance_totale</t>
        </is>
      </c>
      <c r="G695" t="n">
        <v>3.76</v>
      </c>
      <c r="H695" t="inlineStr">
        <is>
          <t>MW</t>
        </is>
      </c>
      <c r="I695" t="inlineStr">
        <is>
          <t>observée</t>
        </is>
      </c>
      <c r="J695" t="n">
        <v>2025</v>
      </c>
      <c r="K695" t="inlineStr">
        <is>
          <t>A</t>
        </is>
      </c>
      <c r="L695" t="inlineStr">
        <is>
          <t>confirmé</t>
        </is>
      </c>
      <c r="M695" t="inlineStr">
        <is>
          <t>EWURA (régulateur Tanzanie)</t>
        </is>
      </c>
      <c r="N695" t="inlineStr">
        <is>
          <t>Regulatory Experience With Mini Grids – A. N. Lwila, ERRA Workshop, Ankara</t>
        </is>
      </c>
      <c r="O695" t="inlineStr">
        <is>
          <t>https://erranet.org/wp-content/uploads/2025/10/S3_P2_Lwila_Tanzanian_Regulatory_Experience_EnergyCommunities2025.pdf</t>
        </is>
      </c>
      <c r="P695" t="inlineStr">
        <is>
          <t>2025-10-14</t>
        </is>
      </c>
      <c r="Q695" t="inlineStr">
        <is>
          <t>Mini Grids produce 7,570,000MWh, total installed capacity 3.76MW in 2024/25</t>
        </is>
      </c>
      <c r="R695" t="inlineStr">
        <is>
          <t>Production '7,570,000MWh' physiquement impossible pour 3,76 MW (probablement kWh).</t>
        </is>
      </c>
    </row>
    <row r="696">
      <c r="A696" t="inlineStr">
        <is>
          <t>retenu</t>
        </is>
      </c>
      <c r="B696" t="inlineStr">
        <is>
          <t>C_minireseaux</t>
        </is>
      </c>
      <c r="C696" t="inlineStr">
        <is>
          <t>C</t>
        </is>
      </c>
      <c r="D696" t="inlineStr">
        <is>
          <t>TZA</t>
        </is>
      </c>
      <c r="E696" t="inlineStr">
        <is>
          <t>JUMEME – programme 11 mini-réseaux lac Victoria (UE)</t>
        </is>
      </c>
      <c r="F696" t="inlineStr">
        <is>
          <t>capex_total</t>
        </is>
      </c>
      <c r="G696" t="n">
        <v>41.1</v>
      </c>
      <c r="H696" t="inlineStr">
        <is>
          <t>milliards TZS</t>
        </is>
      </c>
      <c r="I696" t="inlineStr">
        <is>
          <t>déclarée</t>
        </is>
      </c>
      <c r="J696" t="n">
        <v>2019</v>
      </c>
      <c r="K696" t="inlineStr">
        <is>
          <t>C</t>
        </is>
      </c>
      <c r="L696" t="inlineStr">
        <is>
          <t>confirmé</t>
        </is>
      </c>
      <c r="M696" t="inlineStr">
        <is>
          <t>Business Chief (presse)</t>
        </is>
      </c>
      <c r="N696" t="inlineStr">
        <is>
          <t>EU and JUMEME inaugurate new solar-powered mini-grid in Kagera Region</t>
        </is>
      </c>
      <c r="O696" t="inlineStr">
        <is>
          <t>https://businesschief.eu/leadership-and-strategy/eu-and-jumeme-inaugurate-new-solar-powered-mini-grid-kagera-region</t>
        </is>
      </c>
      <c r="P696" t="inlineStr">
        <is>
          <t>2020-05-19</t>
        </is>
      </c>
      <c r="Q696" t="inlineStr">
        <is>
          <t>with a total budget of TZS41.1bn</t>
        </is>
      </c>
      <c r="R696" t="inlineStr">
        <is>
          <t>11 mini-réseaux sur 10 îles, 20 villages, &gt;80 000 habitants.</t>
        </is>
      </c>
    </row>
    <row r="697">
      <c r="A697" t="inlineStr">
        <is>
          <t>retenu</t>
        </is>
      </c>
      <c r="B697" t="inlineStr">
        <is>
          <t>C_minireseaux</t>
        </is>
      </c>
      <c r="C697" t="inlineStr">
        <is>
          <t>C</t>
        </is>
      </c>
      <c r="D697" t="inlineStr">
        <is>
          <t>TZA</t>
        </is>
      </c>
      <c r="E697" t="inlineStr">
        <is>
          <t>JUMEME – programme 11 mini-réseaux lac Victoria (UE)</t>
        </is>
      </c>
      <c r="F697" t="inlineStr">
        <is>
          <t>subvention_usd</t>
        </is>
      </c>
      <c r="G697" t="n">
        <v>7.4</v>
      </c>
      <c r="H697" t="inlineStr">
        <is>
          <t>millions EUR</t>
        </is>
      </c>
      <c r="I697" t="inlineStr">
        <is>
          <t>déclarée</t>
        </is>
      </c>
      <c r="J697" t="n">
        <v>2019</v>
      </c>
      <c r="K697" t="inlineStr">
        <is>
          <t>C</t>
        </is>
      </c>
      <c r="L697" t="inlineStr">
        <is>
          <t>confirmé</t>
        </is>
      </c>
      <c r="M697" t="inlineStr">
        <is>
          <t>Business Chief (presse)</t>
        </is>
      </c>
      <c r="N697" t="inlineStr">
        <is>
          <t>EU and JUMEME inaugurate new solar-powered mini-grid in Kagera Region</t>
        </is>
      </c>
      <c r="O697" t="inlineStr">
        <is>
          <t>https://businesschief.eu/leadership-and-strategy/eu-and-jumeme-inaugurate-new-solar-powered-mini-grid-kagera-region</t>
        </is>
      </c>
      <c r="P697" t="inlineStr">
        <is>
          <t>2020-05-19</t>
        </is>
      </c>
      <c r="Q697" t="inlineStr">
        <is>
          <t>The project is co-funded by the EU Energy Facility for a total amount of 7.4 Million Euros TZS19bn.</t>
        </is>
      </c>
      <c r="R697" t="inlineStr"/>
    </row>
    <row r="698">
      <c r="A698" t="inlineStr">
        <is>
          <t>retenu</t>
        </is>
      </c>
      <c r="B698" t="inlineStr">
        <is>
          <t>C_minireseaux</t>
        </is>
      </c>
      <c r="C698" t="inlineStr">
        <is>
          <t>C</t>
        </is>
      </c>
      <c r="D698" t="inlineStr">
        <is>
          <t>COD</t>
        </is>
      </c>
      <c r="E698" t="inlineStr">
        <is>
          <t>Nuru – Goma 1 (metrogrid)</t>
        </is>
      </c>
      <c r="F698" t="inlineStr">
        <is>
          <t>puissance_kwp</t>
        </is>
      </c>
      <c r="G698" t="n">
        <v>1300</v>
      </c>
      <c r="H698" t="inlineStr">
        <is>
          <t>kW</t>
        </is>
      </c>
      <c r="I698" t="inlineStr">
        <is>
          <t>observée</t>
        </is>
      </c>
      <c r="K698" t="inlineStr">
        <is>
          <t>A</t>
        </is>
      </c>
      <c r="L698" t="inlineStr">
        <is>
          <t>confirmé</t>
        </is>
      </c>
      <c r="M698" t="inlineStr">
        <is>
          <t>MIGA (Groupe Banque mondiale)</t>
        </is>
      </c>
      <c r="N698" t="inlineStr">
        <is>
          <t>Nuru Solar-Hybrid Mini Grids – Summary of Proposed Guarantee</t>
        </is>
      </c>
      <c r="O698" t="inlineStr">
        <is>
          <t>https://www.miga.org/project/nuru-solar-hybrid-mini-grids</t>
        </is>
      </c>
      <c r="P698" t="inlineStr">
        <is>
          <t>2021-08-30</t>
        </is>
      </c>
      <c r="Q698" t="inlineStr">
        <is>
          <t>Nuru's existing 1.3MW mini-grid site in Goma</t>
        </is>
      </c>
      <c r="R698" t="inlineStr">
        <is>
          <t>Hybride solaire + stockage + secours diesel ('diesel backstops'). Clients, tarif, coût non publiés.</t>
        </is>
      </c>
    </row>
    <row r="699">
      <c r="A699" t="inlineStr">
        <is>
          <t>retenu</t>
        </is>
      </c>
      <c r="B699" t="inlineStr">
        <is>
          <t>C_minireseaux</t>
        </is>
      </c>
      <c r="C699" t="inlineStr">
        <is>
          <t>C</t>
        </is>
      </c>
      <c r="D699" t="inlineStr">
        <is>
          <t>COD</t>
        </is>
      </c>
      <c r="E699" t="inlineStr">
        <is>
          <t>Nuru – programme metrogrids (proposé 2021)</t>
        </is>
      </c>
      <c r="F699" t="inlineStr">
        <is>
          <t>garantie_miga</t>
        </is>
      </c>
      <c r="G699" t="n">
        <v>145.54</v>
      </c>
      <c r="H699" t="inlineStr">
        <is>
          <t>millions USD</t>
        </is>
      </c>
      <c r="I699" t="inlineStr">
        <is>
          <t>déclarée</t>
        </is>
      </c>
      <c r="J699" t="n">
        <v>2021</v>
      </c>
      <c r="K699" t="inlineStr">
        <is>
          <t>A</t>
        </is>
      </c>
      <c r="L699" t="inlineStr">
        <is>
          <t>confirmé</t>
        </is>
      </c>
      <c r="M699" t="inlineStr">
        <is>
          <t>MIGA (Groupe Banque mondiale)</t>
        </is>
      </c>
      <c r="N699" t="inlineStr">
        <is>
          <t>Nuru Solar-Hybrid Mini Grids – Summary of Proposed Guarantee</t>
        </is>
      </c>
      <c r="O699" t="inlineStr">
        <is>
          <t>https://www.miga.org/project/nuru-solar-hybrid-mini-grids</t>
        </is>
      </c>
      <c r="P699" t="inlineStr">
        <is>
          <t>2021-08-30</t>
        </is>
      </c>
      <c r="Q699" t="inlineStr">
        <is>
          <t>up to US$145.54 million</t>
        </is>
      </c>
      <c r="R699" t="inlineStr">
        <is>
          <t>Pour une capacité initiale totale jusqu'à 39 MW (proposé).</t>
        </is>
      </c>
    </row>
    <row r="700">
      <c r="A700" t="inlineStr">
        <is>
          <t>retenu</t>
        </is>
      </c>
      <c r="B700" t="inlineStr">
        <is>
          <t>C_minireseaux</t>
        </is>
      </c>
      <c r="C700" t="inlineStr">
        <is>
          <t>C</t>
        </is>
      </c>
      <c r="D700" t="inlineStr">
        <is>
          <t>COD</t>
        </is>
      </c>
      <c r="E700" t="inlineStr">
        <is>
          <t>Nuru – Goma 2</t>
        </is>
      </c>
      <c r="F700" t="inlineStr">
        <is>
          <t>puissance_kwp</t>
        </is>
      </c>
      <c r="G700" t="n">
        <v>3700</v>
      </c>
      <c r="H700" t="inlineStr">
        <is>
          <t>kW</t>
        </is>
      </c>
      <c r="I700" t="inlineStr">
        <is>
          <t>déclarée</t>
        </is>
      </c>
      <c r="J700" t="n">
        <v>2023</v>
      </c>
      <c r="K700" t="inlineStr">
        <is>
          <t>B</t>
        </is>
      </c>
      <c r="L700" t="inlineStr">
        <is>
          <t>confirmé</t>
        </is>
      </c>
      <c r="M700" t="inlineStr">
        <is>
          <t>Early Warning System (d'après divulgation MIGA)</t>
        </is>
      </c>
      <c r="N700" t="inlineStr">
        <is>
          <t>Nuru Solar-Hybrid Mini Grids (MIGA-14609)</t>
        </is>
      </c>
      <c r="O700" t="inlineStr">
        <is>
          <t>https://ewsdata.rightsindevelopment.org/projects/14609-nuru-solar-hybrid-mini-grids</t>
        </is>
      </c>
      <c r="P700" t="inlineStr">
        <is>
          <t>2023-12-01</t>
        </is>
      </c>
      <c r="Q700" t="inlineStr">
        <is>
          <t>additional 3.7MW-capacity solar-hybrid metro-grid in Goma</t>
        </is>
      </c>
      <c r="R700" t="inlineStr">
        <is>
          <t>Kindu 2 MW ; Bunia 6 MW (&gt;5 MW, hors périmètre). Garantie MIGA émise 32,9 M USD (09/11/2023).</t>
        </is>
      </c>
    </row>
    <row r="701">
      <c r="A701" t="inlineStr">
        <is>
          <t>retenu</t>
        </is>
      </c>
      <c r="B701" t="inlineStr">
        <is>
          <t>C_minireseaux</t>
        </is>
      </c>
      <c r="C701" t="inlineStr">
        <is>
          <t>C</t>
        </is>
      </c>
      <c r="D701" t="inlineStr">
        <is>
          <t>COD</t>
        </is>
      </c>
      <c r="E701" t="inlineStr">
        <is>
          <t>Nuru – Kindu</t>
        </is>
      </c>
      <c r="F701" t="inlineStr">
        <is>
          <t>puissance_kwp</t>
        </is>
      </c>
      <c r="G701" t="n">
        <v>2000</v>
      </c>
      <c r="H701" t="inlineStr">
        <is>
          <t>kW</t>
        </is>
      </c>
      <c r="I701" t="inlineStr">
        <is>
          <t>déclarée</t>
        </is>
      </c>
      <c r="J701" t="n">
        <v>2023</v>
      </c>
      <c r="K701" t="inlineStr">
        <is>
          <t>B</t>
        </is>
      </c>
      <c r="L701" t="inlineStr">
        <is>
          <t>confirmé</t>
        </is>
      </c>
      <c r="M701" t="inlineStr">
        <is>
          <t>Early Warning System (d'après divulgation MIGA)</t>
        </is>
      </c>
      <c r="N701" t="inlineStr">
        <is>
          <t>Nuru Solar-Hybrid Mini Grids (MIGA-14609)</t>
        </is>
      </c>
      <c r="O701" t="inlineStr">
        <is>
          <t>https://ewsdata.rightsindevelopment.org/projects/14609-nuru-solar-hybrid-mini-grids</t>
        </is>
      </c>
      <c r="P701" t="inlineStr">
        <is>
          <t>2023-12-01</t>
        </is>
      </c>
      <c r="Q701" t="inlineStr">
        <is>
          <t>a 2 MW solar-hybrid metro-grid in Kindu</t>
        </is>
      </c>
      <c r="R701" t="inlineStr"/>
    </row>
    <row r="702">
      <c r="A702" t="inlineStr">
        <is>
          <t>retenu</t>
        </is>
      </c>
      <c r="B702" t="inlineStr">
        <is>
          <t>C_minireseaux</t>
        </is>
      </c>
      <c r="C702" t="inlineStr">
        <is>
          <t>C</t>
        </is>
      </c>
      <c r="D702" t="inlineStr">
        <is>
          <t>COD</t>
        </is>
      </c>
      <c r="E702" t="inlineStr">
        <is>
          <t>Nuru – Goma 2 / Kindu / Bunia</t>
        </is>
      </c>
      <c r="F702" t="inlineStr">
        <is>
          <t>garantie_miga</t>
        </is>
      </c>
      <c r="G702" t="n">
        <v>32.9</v>
      </c>
      <c r="H702" t="inlineStr">
        <is>
          <t>millions USD</t>
        </is>
      </c>
      <c r="I702" t="inlineStr">
        <is>
          <t>observée</t>
        </is>
      </c>
      <c r="J702" t="n">
        <v>2023</v>
      </c>
      <c r="K702" t="inlineStr">
        <is>
          <t>B</t>
        </is>
      </c>
      <c r="L702" t="inlineStr">
        <is>
          <t>confirmé</t>
        </is>
      </c>
      <c r="M702" t="inlineStr">
        <is>
          <t>Early Warning System (d'après divulgation MIGA)</t>
        </is>
      </c>
      <c r="N702" t="inlineStr">
        <is>
          <t>Nuru Solar-Hybrid Mini Grids (MIGA-14609)</t>
        </is>
      </c>
      <c r="O702" t="inlineStr">
        <is>
          <t>https://ewsdata.rightsindevelopment.org/projects/14609-nuru-solar-hybrid-mini-grids</t>
        </is>
      </c>
      <c r="P702" t="inlineStr">
        <is>
          <t>2023-12-01</t>
        </is>
      </c>
      <c r="Q702" t="inlineStr">
        <is>
          <t>a guarantee totaling US$32.9 million</t>
        </is>
      </c>
      <c r="R702" t="inlineStr">
        <is>
          <t>Émise le 9 nov. 2023.</t>
        </is>
      </c>
    </row>
    <row r="703">
      <c r="A703" t="inlineStr">
        <is>
          <t>retenu</t>
        </is>
      </c>
      <c r="B703" t="inlineStr">
        <is>
          <t>C_minireseaux</t>
        </is>
      </c>
      <c r="C703" t="inlineStr">
        <is>
          <t>C</t>
        </is>
      </c>
      <c r="D703" t="inlineStr">
        <is>
          <t>COD</t>
        </is>
      </c>
      <c r="E703" t="inlineStr">
        <is>
          <t>Nuru – Goma/Kindu/Bunia</t>
        </is>
      </c>
      <c r="F703" t="inlineStr">
        <is>
          <t>financement_fonds_propres</t>
        </is>
      </c>
      <c r="G703" t="n">
        <v>40</v>
      </c>
      <c r="H703" t="inlineStr">
        <is>
          <t>millions USD</t>
        </is>
      </c>
      <c r="I703" t="inlineStr">
        <is>
          <t>observée</t>
        </is>
      </c>
      <c r="J703" t="n">
        <v>2023</v>
      </c>
      <c r="K703" t="inlineStr">
        <is>
          <t>B</t>
        </is>
      </c>
      <c r="L703" t="inlineStr">
        <is>
          <t>confirmé</t>
        </is>
      </c>
      <c r="M703" t="inlineStr">
        <is>
          <t>GEAPP (Global Energy Alliance for People and Planet)</t>
        </is>
      </c>
      <c r="N703" t="inlineStr">
        <is>
          <t>Nuru Closes over $40 million of Equity Funding to Drive Metrogrid Scaling in the DRC</t>
        </is>
      </c>
      <c r="O703" t="inlineStr">
        <is>
          <t>https://energyalliance.org/nuru-40m-metrogrid-drc/</t>
        </is>
      </c>
      <c r="P703" t="inlineStr">
        <is>
          <t>2023-07-03</t>
        </is>
      </c>
      <c r="Q703" t="inlineStr">
        <is>
          <t>has announced the successful close of over $40 million in Series B equity funding</t>
        </is>
      </c>
      <c r="R703" t="inlineStr">
        <is>
          <t>Pour 13,7 MWp ; +28 M USD de financement de projet attendus.</t>
        </is>
      </c>
    </row>
    <row r="704">
      <c r="A704" t="inlineStr">
        <is>
          <t>retenu</t>
        </is>
      </c>
      <c r="B704" t="inlineStr">
        <is>
          <t>C_minireseaux</t>
        </is>
      </c>
      <c r="C704" t="inlineStr">
        <is>
          <t>C</t>
        </is>
      </c>
      <c r="D704" t="inlineStr">
        <is>
          <t>COD</t>
        </is>
      </c>
      <c r="E704" t="inlineStr">
        <is>
          <t>ANSER / Off-Grid Europe – phase pilote 6 localités</t>
        </is>
      </c>
      <c r="F704" t="inlineStr">
        <is>
          <t>capex_total</t>
        </is>
      </c>
      <c r="G704" t="n">
        <v>25</v>
      </c>
      <c r="H704" t="inlineStr">
        <is>
          <t>millions EUR</t>
        </is>
      </c>
      <c r="I704" t="inlineStr">
        <is>
          <t>déclarée</t>
        </is>
      </c>
      <c r="J704" t="n">
        <v>2026</v>
      </c>
      <c r="K704" t="inlineStr">
        <is>
          <t>C</t>
        </is>
      </c>
      <c r="L704" t="inlineStr">
        <is>
          <t>confirmé</t>
        </is>
      </c>
      <c r="M704" t="inlineStr">
        <is>
          <t>Bankable Africa (presse)</t>
        </is>
      </c>
      <c r="N704" t="inlineStr">
        <is>
          <t>DR Congo awards €25 mln solar mini-grid contract to German firm</t>
        </is>
      </c>
      <c r="O704" t="inlineStr">
        <is>
          <t>https://bankable.africa/en/news/2404-2807-dr-congo-awards-25-mln-solar-mini-grid-contract-to-german-firm</t>
        </is>
      </c>
      <c r="P704" t="inlineStr">
        <is>
          <t>2026-04-24</t>
        </is>
      </c>
      <c r="Q704" t="inlineStr">
        <is>
          <t>the agreement covers a €25 million project</t>
        </is>
      </c>
      <c r="R704" t="inlineStr">
        <is>
          <t>8,5 MWp ; 27 700 ménages ; 6 localités ; contrat signé le 21/04/2026. Implicite ~900 EUR/ménage, ~2 900 EUR/kWp (calcul).</t>
        </is>
      </c>
    </row>
    <row r="705">
      <c r="A705" t="inlineStr">
        <is>
          <t>retenu</t>
        </is>
      </c>
      <c r="B705" t="inlineStr">
        <is>
          <t>C_minireseaux</t>
        </is>
      </c>
      <c r="C705" t="inlineStr">
        <is>
          <t>C</t>
        </is>
      </c>
      <c r="D705" t="inlineStr">
        <is>
          <t>COD</t>
        </is>
      </c>
      <c r="E705" t="inlineStr">
        <is>
          <t>ANSER / Off-Grid Europe – phase pilote 6 localités</t>
        </is>
      </c>
      <c r="F705" t="inlineStr">
        <is>
          <t>puissance_kwp</t>
        </is>
      </c>
      <c r="G705" t="n">
        <v>8500</v>
      </c>
      <c r="H705" t="inlineStr">
        <is>
          <t>kWp</t>
        </is>
      </c>
      <c r="I705" t="inlineStr">
        <is>
          <t>déclarée</t>
        </is>
      </c>
      <c r="J705" t="n">
        <v>2026</v>
      </c>
      <c r="K705" t="inlineStr">
        <is>
          <t>C</t>
        </is>
      </c>
      <c r="L705" t="inlineStr">
        <is>
          <t>confirmé</t>
        </is>
      </c>
      <c r="M705" t="inlineStr">
        <is>
          <t>Bankable Africa (presse)</t>
        </is>
      </c>
      <c r="N705" t="inlineStr">
        <is>
          <t>DR Congo awards €25 mln solar mini-grid contract to German firm</t>
        </is>
      </c>
      <c r="O705" t="inlineStr">
        <is>
          <t>https://bankable.africa/en/news/2404-2807-dr-congo-awards-25-mln-solar-mini-grid-contract-to-german-firm</t>
        </is>
      </c>
      <c r="P705" t="inlineStr">
        <is>
          <t>2026-04-24</t>
        </is>
      </c>
      <c r="Q705" t="inlineStr">
        <is>
          <t>The first phase includes the installation of 8.5 megawatt-peak capacity</t>
        </is>
      </c>
      <c r="R705" t="inlineStr">
        <is>
          <t>~1,4 MWp par localité en moyenne.</t>
        </is>
      </c>
    </row>
    <row r="706">
      <c r="A706" t="inlineStr">
        <is>
          <t>retenu</t>
        </is>
      </c>
      <c r="B706" t="inlineStr">
        <is>
          <t>C_minireseaux</t>
        </is>
      </c>
      <c r="C706" t="inlineStr">
        <is>
          <t>C</t>
        </is>
      </c>
      <c r="D706" t="inlineStr">
        <is>
          <t>COD</t>
        </is>
      </c>
      <c r="E706" t="inlineStr">
        <is>
          <t>ANSER / Off-Grid Europe – phase pilote 6 localités</t>
        </is>
      </c>
      <c r="F706" t="inlineStr">
        <is>
          <t>nb_clients</t>
        </is>
      </c>
      <c r="G706" t="n">
        <v>27700</v>
      </c>
      <c r="H706" t="inlineStr">
        <is>
          <t>ménages</t>
        </is>
      </c>
      <c r="I706" t="inlineStr">
        <is>
          <t>déclarée</t>
        </is>
      </c>
      <c r="J706" t="n">
        <v>2026</v>
      </c>
      <c r="K706" t="inlineStr">
        <is>
          <t>C</t>
        </is>
      </c>
      <c r="L706" t="inlineStr">
        <is>
          <t>confirmé</t>
        </is>
      </c>
      <c r="M706" t="inlineStr">
        <is>
          <t>Bankable Africa (presse)</t>
        </is>
      </c>
      <c r="N706" t="inlineStr">
        <is>
          <t>DR Congo awards €25 mln solar mini-grid contract to German firm</t>
        </is>
      </c>
      <c r="O706" t="inlineStr">
        <is>
          <t>https://bankable.africa/en/news/2404-2807-dr-congo-awards-25-mln-solar-mini-grid-contract-to-german-firm</t>
        </is>
      </c>
      <c r="P706" t="inlineStr">
        <is>
          <t>2026-04-24</t>
        </is>
      </c>
      <c r="Q706" t="inlineStr">
        <is>
          <t>expected to benefit 27,700 households across six localities</t>
        </is>
      </c>
      <c r="R706" t="inlineStr"/>
    </row>
    <row r="707">
      <c r="A707" t="inlineStr">
        <is>
          <t>retenu</t>
        </is>
      </c>
      <c r="B707" t="inlineStr">
        <is>
          <t>C_minireseaux</t>
        </is>
      </c>
      <c r="C707" t="inlineStr">
        <is>
          <t>C</t>
        </is>
      </c>
      <c r="D707" t="inlineStr">
        <is>
          <t>KEN</t>
        </is>
      </c>
      <c r="E707" t="inlineStr">
        <is>
          <t>KOSAP – mini-réseaux (REREC + KPLC)</t>
        </is>
      </c>
      <c r="F707" t="inlineStr">
        <is>
          <t>capex_total</t>
        </is>
      </c>
      <c r="G707" t="n">
        <v>9.4</v>
      </c>
      <c r="H707" t="inlineStr">
        <is>
          <t>milliards KES</t>
        </is>
      </c>
      <c r="I707" t="inlineStr">
        <is>
          <t>déclarée</t>
        </is>
      </c>
      <c r="J707" t="n">
        <v>2026</v>
      </c>
      <c r="K707" t="inlineStr">
        <is>
          <t>C</t>
        </is>
      </c>
      <c r="L707" t="inlineStr">
        <is>
          <t>citation_partielle</t>
        </is>
      </c>
      <c r="M707" t="inlineStr">
        <is>
          <t>The Standard (presse)</t>
        </is>
      </c>
      <c r="N707" t="inlineStr">
        <is>
          <t>Government launches construction of 114 solar mini-grids in 14 counties</t>
        </is>
      </c>
      <c r="O707" t="inlineStr">
        <is>
          <t>https://www.standardmedia.co.ke/business/business/article/2001548045/government-launches-construction-of-114-solar-mini-grids-in-14-counties</t>
        </is>
      </c>
      <c r="P707" t="inlineStr">
        <is>
          <t>2026-05</t>
        </is>
      </c>
      <c r="Q707" t="inlineStr">
        <is>
          <t>The mini-grids will be constructed for Sh9.4 billion.</t>
        </is>
      </c>
      <c r="R707" t="inlineStr">
        <is>
          <t>114 mini-réseaux selon le titre, mais REREC 31 + Kenya Power 89 = 120.</t>
        </is>
      </c>
    </row>
    <row r="708">
      <c r="A708" t="inlineStr">
        <is>
          <t>retenu</t>
        </is>
      </c>
      <c r="B708" t="inlineStr">
        <is>
          <t>C_minireseaux</t>
        </is>
      </c>
      <c r="C708" t="inlineStr">
        <is>
          <t>C</t>
        </is>
      </c>
      <c r="D708" t="inlineStr">
        <is>
          <t>KEN</t>
        </is>
      </c>
      <c r="E708" t="inlineStr">
        <is>
          <t>KOSAP – Isiolo (5 mini-réseaux)</t>
        </is>
      </c>
      <c r="F708" t="inlineStr">
        <is>
          <t>capex_total</t>
        </is>
      </c>
      <c r="G708" t="n">
        <v>433</v>
      </c>
      <c r="H708" t="inlineStr">
        <is>
          <t>millions KES</t>
        </is>
      </c>
      <c r="I708" t="inlineStr">
        <is>
          <t>déclarée</t>
        </is>
      </c>
      <c r="J708" t="n">
        <v>2026</v>
      </c>
      <c r="K708" t="inlineStr">
        <is>
          <t>C</t>
        </is>
      </c>
      <c r="L708" t="inlineStr">
        <is>
          <t>confirmé</t>
        </is>
      </c>
      <c r="M708" t="inlineStr">
        <is>
          <t>The Standard (presse)</t>
        </is>
      </c>
      <c r="N708" t="inlineStr">
        <is>
          <t>Government launches construction of 114 solar mini-grids in 14 counties</t>
        </is>
      </c>
      <c r="O708" t="inlineStr">
        <is>
          <t>https://www.standardmedia.co.ke/business/business/article/2001548045/government-launches-construction-of-114-solar-mini-grids-in-14-counties</t>
        </is>
      </c>
      <c r="P708" t="inlineStr">
        <is>
          <t>2026-05</t>
        </is>
      </c>
      <c r="Q708" t="inlineStr">
        <is>
          <t>Five mini-grids have been earmarked for construction in Isiolo for Sh 433 million.</t>
        </is>
      </c>
      <c r="R708" t="inlineStr">
        <is>
          <t>~87 M KES par site.</t>
        </is>
      </c>
    </row>
    <row r="709">
      <c r="A709" t="inlineStr">
        <is>
          <t>retenu</t>
        </is>
      </c>
      <c r="B709" t="inlineStr">
        <is>
          <t>C_minireseaux</t>
        </is>
      </c>
      <c r="C709" t="inlineStr">
        <is>
          <t>C</t>
        </is>
      </c>
      <c r="D709" t="inlineStr">
        <is>
          <t>KEN</t>
        </is>
      </c>
      <c r="E709" t="inlineStr">
        <is>
          <t>KOSAP – Isiolo</t>
        </is>
      </c>
      <c r="F709" t="inlineStr">
        <is>
          <t>subvention_par_branchement</t>
        </is>
      </c>
      <c r="G709" t="n">
        <v>1000</v>
      </c>
      <c r="H709" t="inlineStr">
        <is>
          <t>KES/ménage</t>
        </is>
      </c>
      <c r="I709" t="inlineStr">
        <is>
          <t>déclarée</t>
        </is>
      </c>
      <c r="J709" t="n">
        <v>2026</v>
      </c>
      <c r="K709" t="inlineStr">
        <is>
          <t>C</t>
        </is>
      </c>
      <c r="L709" t="inlineStr">
        <is>
          <t>confirmé</t>
        </is>
      </c>
      <c r="M709" t="inlineStr">
        <is>
          <t>The Standard (presse)</t>
        </is>
      </c>
      <c r="N709" t="inlineStr">
        <is>
          <t>Government launches construction of 114 solar mini-grids in 14 counties</t>
        </is>
      </c>
      <c r="O709" t="inlineStr">
        <is>
          <t>https://www.standardmedia.co.ke/business/business/article/2001548045/government-launches-construction-of-114-solar-mini-grids-in-14-counties</t>
        </is>
      </c>
      <c r="P709" t="inlineStr">
        <is>
          <t>2026-05</t>
        </is>
      </c>
      <c r="Q709" t="inlineStr">
        <is>
          <t>the county government will pay Sh1,000 for each household</t>
        </is>
      </c>
      <c r="R709" t="inlineStr">
        <is>
          <t>Prise en charge des frais de branchement par le comté.</t>
        </is>
      </c>
    </row>
    <row r="710">
      <c r="A710" t="inlineStr">
        <is>
          <t>retenu</t>
        </is>
      </c>
      <c r="B710" t="inlineStr">
        <is>
          <t>C_minireseaux</t>
        </is>
      </c>
      <c r="C710" t="inlineStr">
        <is>
          <t>C</t>
        </is>
      </c>
      <c r="D710" t="inlineStr">
        <is>
          <t>KEN</t>
        </is>
      </c>
      <c r="E710" t="inlineStr">
        <is>
          <t>KOSAP – mini-réseaux (REREC)</t>
        </is>
      </c>
      <c r="F710" t="inlineStr">
        <is>
          <t>nb_mini_reseaux</t>
        </is>
      </c>
      <c r="G710" t="n">
        <v>120</v>
      </c>
      <c r="H710" t="inlineStr">
        <is>
          <t>mini-réseaux</t>
        </is>
      </c>
      <c r="I710" t="inlineStr">
        <is>
          <t>déclarée</t>
        </is>
      </c>
      <c r="J710" t="n">
        <v>2026</v>
      </c>
      <c r="K710" t="inlineStr">
        <is>
          <t>C</t>
        </is>
      </c>
      <c r="L710" t="inlineStr">
        <is>
          <t>confirmé</t>
        </is>
      </c>
      <c r="M710" t="inlineStr">
        <is>
          <t>Citizen Digital (presse)</t>
        </is>
      </c>
      <c r="N710" t="inlineStr">
        <is>
          <t>REREC to commission 120 solar mini-grids across 14 underserved counties</t>
        </is>
      </c>
      <c r="O710" t="inlineStr">
        <is>
          <t>https://citizen.digital/article/rerec-to-commission-120-solar-mini-grids-across-14-underserved-counties-n387791</t>
        </is>
      </c>
      <c r="P710" t="inlineStr">
        <is>
          <t>2026-08-05</t>
        </is>
      </c>
      <c r="Q710" t="inlineStr">
        <is>
          <t>hand over 120 newly constructed solar mini-grids</t>
        </is>
      </c>
      <c r="R710" t="inlineStr">
        <is>
          <t>Mise en service prévue au 30/09/2026 ; 75 à 1 835 usagers par site.</t>
        </is>
      </c>
    </row>
    <row r="711">
      <c r="A711" t="inlineStr">
        <is>
          <t>retenu</t>
        </is>
      </c>
      <c r="B711" t="inlineStr">
        <is>
          <t>C_minireseaux</t>
        </is>
      </c>
      <c r="C711" t="inlineStr">
        <is>
          <t>C</t>
        </is>
      </c>
      <c r="D711" t="inlineStr">
        <is>
          <t>KEN</t>
        </is>
      </c>
      <c r="E711" t="inlineStr">
        <is>
          <t>Kudura Power (RVE.SOL) – 11 sites Busia</t>
        </is>
      </c>
      <c r="F711" t="inlineStr">
        <is>
          <t>puissance_kwp</t>
        </is>
      </c>
      <c r="G711" t="n">
        <v>283.8</v>
      </c>
      <c r="H711" t="inlineStr">
        <is>
          <t>kW</t>
        </is>
      </c>
      <c r="I711" t="inlineStr">
        <is>
          <t>observée</t>
        </is>
      </c>
      <c r="J711" t="n">
        <v>2025</v>
      </c>
      <c r="K711" t="inlineStr">
        <is>
          <t>C</t>
        </is>
      </c>
      <c r="L711" t="inlineStr">
        <is>
          <t>citation_partielle</t>
        </is>
      </c>
      <c r="M711" t="inlineStr">
        <is>
          <t>Business Daily Africa (presse)</t>
        </is>
      </c>
      <c r="N711" t="inlineStr">
        <is>
          <t>Private mini-power grids light up life in rural Kenya</t>
        </is>
      </c>
      <c r="O711" t="inlineStr">
        <is>
          <t>https://www.businessdailyafrica.com/bd/corporate/industry/private-mini-power-grids-light-up-life-in-rural-kenya-5060482</t>
        </is>
      </c>
      <c r="P711" t="inlineStr">
        <is>
          <t>2025-05-28</t>
        </is>
      </c>
      <c r="Q711" t="inlineStr">
        <is>
          <t>with a combined installed capacity of 283.8 kilowatts.</t>
        </is>
      </c>
      <c r="R711" t="inlineStr">
        <is>
          <t>11 sites (Matayos, Samia, Teso North).</t>
        </is>
      </c>
    </row>
    <row r="712">
      <c r="A712" t="inlineStr">
        <is>
          <t>retenu</t>
        </is>
      </c>
      <c r="B712" t="inlineStr">
        <is>
          <t>C_minireseaux</t>
        </is>
      </c>
      <c r="C712" t="inlineStr">
        <is>
          <t>C</t>
        </is>
      </c>
      <c r="D712" t="inlineStr">
        <is>
          <t>KEN</t>
        </is>
      </c>
      <c r="E712" t="inlineStr">
        <is>
          <t>Kudura Power (RVE.SOL) – 11 sites Busia</t>
        </is>
      </c>
      <c r="F712" t="inlineStr">
        <is>
          <t>frais_branchement_client</t>
        </is>
      </c>
      <c r="G712" t="n">
        <v>6000</v>
      </c>
      <c r="H712" t="inlineStr">
        <is>
          <t>KES/ménage</t>
        </is>
      </c>
      <c r="I712" t="inlineStr">
        <is>
          <t>observée</t>
        </is>
      </c>
      <c r="J712" t="n">
        <v>2025</v>
      </c>
      <c r="K712" t="inlineStr">
        <is>
          <t>C</t>
        </is>
      </c>
      <c r="L712" t="inlineStr">
        <is>
          <t>confirmé</t>
        </is>
      </c>
      <c r="M712" t="inlineStr">
        <is>
          <t>Business Daily Africa (presse)</t>
        </is>
      </c>
      <c r="N712" t="inlineStr">
        <is>
          <t>Private mini-power grids light up life in rural Kenya</t>
        </is>
      </c>
      <c r="O712" t="inlineStr">
        <is>
          <t>https://www.businessdailyafrica.com/bd/corporate/industry/private-mini-power-grids-light-up-life-in-rural-kenya-5060482</t>
        </is>
      </c>
      <c r="P712" t="inlineStr">
        <is>
          <t>2025-05-28</t>
        </is>
      </c>
      <c r="Q712" t="inlineStr">
        <is>
          <t>A household connection can cost as little as Sh6,000, which covers wiring and setup.</t>
        </is>
      </c>
      <c r="R712" t="inlineStr">
        <is>
          <t>Frais payés par le client (pas coût total).</t>
        </is>
      </c>
    </row>
    <row r="713">
      <c r="A713" t="inlineStr">
        <is>
          <t>retenu</t>
        </is>
      </c>
      <c r="B713" t="inlineStr">
        <is>
          <t>C_minireseaux</t>
        </is>
      </c>
      <c r="C713" t="inlineStr">
        <is>
          <t>C</t>
        </is>
      </c>
      <c r="D713" t="inlineStr">
        <is>
          <t>UGA</t>
        </is>
      </c>
      <c r="E713" t="inlineStr">
        <is>
          <t>Lolwe (Engie Energy Access / Equatorial Power)</t>
        </is>
      </c>
      <c r="F713" t="inlineStr">
        <is>
          <t>puissance_kwp</t>
        </is>
      </c>
      <c r="G713" t="n">
        <v>600</v>
      </c>
      <c r="H713" t="inlineStr">
        <is>
          <t>kWp</t>
        </is>
      </c>
      <c r="I713" t="inlineStr">
        <is>
          <t>observée</t>
        </is>
      </c>
      <c r="J713" t="n">
        <v>2022</v>
      </c>
      <c r="K713" t="inlineStr">
        <is>
          <t>A</t>
        </is>
      </c>
      <c r="L713" t="inlineStr">
        <is>
          <t>confirmé</t>
        </is>
      </c>
      <c r="M713" t="inlineStr">
        <is>
          <t>MIGA (Groupe Banque mondiale)</t>
        </is>
      </c>
      <c r="N713" t="inlineStr">
        <is>
          <t>Engie's Mini-grid projects – Environmental and Social Review Summary</t>
        </is>
      </c>
      <c r="O713" t="inlineStr">
        <is>
          <t>https://www.miga.org/project/engies-mini-grid-projects</t>
        </is>
      </c>
      <c r="P713" t="inlineStr">
        <is>
          <t>2023-06-09</t>
        </is>
      </c>
      <c r="Q713" t="inlineStr">
        <is>
          <t>The Lolwe Project consists of the construction, co-financing, operation, and maintenance of a 600 kWp solar mini-grid project</t>
        </is>
      </c>
      <c r="R713" t="inlineStr">
        <is>
          <t>Opérationnel depuis oct. 2022 ; district de Namayingo.</t>
        </is>
      </c>
    </row>
    <row r="714">
      <c r="A714" t="inlineStr">
        <is>
          <t>retenu</t>
        </is>
      </c>
      <c r="B714" t="inlineStr">
        <is>
          <t>C_minireseaux</t>
        </is>
      </c>
      <c r="C714" t="inlineStr">
        <is>
          <t>C</t>
        </is>
      </c>
      <c r="D714" t="inlineStr">
        <is>
          <t>UGA</t>
        </is>
      </c>
      <c r="E714" t="inlineStr">
        <is>
          <t>Lolwe (Engie Energy Access / Equatorial Power)</t>
        </is>
      </c>
      <c r="F714" t="inlineStr">
        <is>
          <t>nb_clients</t>
        </is>
      </c>
      <c r="G714" t="n">
        <v>3783</v>
      </c>
      <c r="H714" t="inlineStr">
        <is>
          <t>clients</t>
        </is>
      </c>
      <c r="I714" t="inlineStr">
        <is>
          <t>observée</t>
        </is>
      </c>
      <c r="J714" t="n">
        <v>2023</v>
      </c>
      <c r="K714" t="inlineStr">
        <is>
          <t>A</t>
        </is>
      </c>
      <c r="L714" t="inlineStr">
        <is>
          <t>confirmé</t>
        </is>
      </c>
      <c r="M714" t="inlineStr">
        <is>
          <t>MIGA (Groupe Banque mondiale)</t>
        </is>
      </c>
      <c r="N714" t="inlineStr">
        <is>
          <t>Engie's Mini-grid projects – Environmental and Social Review Summary</t>
        </is>
      </c>
      <c r="O714" t="inlineStr">
        <is>
          <t>https://www.miga.org/project/engies-mini-grid-projects</t>
        </is>
      </c>
      <c r="P714" t="inlineStr">
        <is>
          <t>2023-06-09</t>
        </is>
      </c>
      <c r="Q714" t="inlineStr">
        <is>
          <t>3,783 households and commercial end-users</t>
        </is>
      </c>
      <c r="R714" t="inlineStr"/>
    </row>
    <row r="715">
      <c r="A715" t="inlineStr">
        <is>
          <t>retenu</t>
        </is>
      </c>
      <c r="B715" t="inlineStr">
        <is>
          <t>C_minireseaux</t>
        </is>
      </c>
      <c r="C715" t="inlineStr">
        <is>
          <t>C</t>
        </is>
      </c>
      <c r="D715" t="inlineStr">
        <is>
          <t>UGA</t>
        </is>
      </c>
      <c r="E715" t="inlineStr">
        <is>
          <t>Lolwe (Engie Energy Access / Equatorial Power)</t>
        </is>
      </c>
      <c r="F715" t="inlineStr">
        <is>
          <t>financement_fonds_propres</t>
        </is>
      </c>
      <c r="G715" t="n">
        <v>1.8</v>
      </c>
      <c r="H715" t="inlineStr">
        <is>
          <t>millions USD</t>
        </is>
      </c>
      <c r="I715" t="inlineStr">
        <is>
          <t>observée</t>
        </is>
      </c>
      <c r="J715" t="n">
        <v>2023</v>
      </c>
      <c r="K715" t="inlineStr">
        <is>
          <t>A</t>
        </is>
      </c>
      <c r="L715" t="inlineStr">
        <is>
          <t>citation_partielle</t>
        </is>
      </c>
      <c r="M715" t="inlineStr">
        <is>
          <t>MIGA (Groupe Banque mondiale)</t>
        </is>
      </c>
      <c r="N715" t="inlineStr">
        <is>
          <t>Engie's Mini-grid projects – Environmental and Social Review Summary</t>
        </is>
      </c>
      <c r="O715" t="inlineStr">
        <is>
          <t>https://www.miga.org/project/engies-mini-grid-projects</t>
        </is>
      </c>
      <c r="P715" t="inlineStr">
        <is>
          <t>2023-06-09</t>
        </is>
      </c>
      <c r="Q715" t="inlineStr">
        <is>
          <t>an equity investment of US$1.8 million.</t>
        </is>
      </c>
      <c r="R715" t="inlineStr">
        <is>
          <t>Fonds propres Engie ; coût total non publié. Garantie MIGA ~21,8 M USD pour portefeuille de 45 mini-réseaux d'ici 2028.</t>
        </is>
      </c>
    </row>
    <row r="716">
      <c r="A716" t="inlineStr">
        <is>
          <t>retenu</t>
        </is>
      </c>
      <c r="B716" t="inlineStr">
        <is>
          <t>C_minireseaux</t>
        </is>
      </c>
      <c r="C716" t="inlineStr">
        <is>
          <t>C</t>
        </is>
      </c>
      <c r="D716" t="inlineStr">
        <is>
          <t>UGA</t>
        </is>
      </c>
      <c r="E716" t="inlineStr">
        <is>
          <t>Winch Energy – 25 mini-réseaux Lamwo (DINU/UE-GIZ)</t>
        </is>
      </c>
      <c r="F716" t="inlineStr">
        <is>
          <t>capex_total</t>
        </is>
      </c>
      <c r="G716" t="n">
        <v>4</v>
      </c>
      <c r="H716" t="inlineStr">
        <is>
          <t>millions USD</t>
        </is>
      </c>
      <c r="I716" t="inlineStr">
        <is>
          <t>déclarée</t>
        </is>
      </c>
      <c r="J716" t="n">
        <v>2021</v>
      </c>
      <c r="K716" t="inlineStr">
        <is>
          <t>C</t>
        </is>
      </c>
      <c r="L716" t="inlineStr">
        <is>
          <t>confirmé</t>
        </is>
      </c>
      <c r="M716" t="inlineStr">
        <is>
          <t>pv magazine (presse)</t>
        </is>
      </c>
      <c r="N716" t="inlineStr">
        <is>
          <t>Uganda turns to solar mini-grids to level-up its northern region</t>
        </is>
      </c>
      <c r="O716" t="inlineStr">
        <is>
          <t>https://www.pv-magazine.com/2021/12/09/uganda-turns-to-solar-mini-grids-to-level-up-its-northern-region/</t>
        </is>
      </c>
      <c r="P716" t="inlineStr">
        <is>
          <t>2021-12-09</t>
        </is>
      </c>
      <c r="Q716" t="inlineStr">
        <is>
          <t>the total project cost is $4 million</t>
        </is>
      </c>
      <c r="R716" t="inlineStr">
        <is>
          <t>~1 MW au total ; 60 % utilisés pour subventionner l'électricité.</t>
        </is>
      </c>
    </row>
    <row r="717">
      <c r="A717" t="inlineStr">
        <is>
          <t>retenu</t>
        </is>
      </c>
      <c r="B717" t="inlineStr">
        <is>
          <t>C_minireseaux</t>
        </is>
      </c>
      <c r="C717" t="inlineStr">
        <is>
          <t>C</t>
        </is>
      </c>
      <c r="D717" t="inlineStr">
        <is>
          <t>UGA</t>
        </is>
      </c>
      <c r="E717" t="inlineStr">
        <is>
          <t>Winch Energy – 25 mini-réseaux Lamwo (DINU/UE-GIZ)</t>
        </is>
      </c>
      <c r="F717" t="inlineStr">
        <is>
          <t>subvention_usd</t>
        </is>
      </c>
      <c r="G717" t="n">
        <v>18</v>
      </c>
      <c r="H717" t="inlineStr">
        <is>
          <t>milliards UGX</t>
        </is>
      </c>
      <c r="I717" t="inlineStr">
        <is>
          <t>déclarée</t>
        </is>
      </c>
      <c r="J717" t="n">
        <v>2021</v>
      </c>
      <c r="K717" t="inlineStr">
        <is>
          <t>C</t>
        </is>
      </c>
      <c r="L717" t="inlineStr">
        <is>
          <t>confirmé</t>
        </is>
      </c>
      <c r="M717" t="inlineStr">
        <is>
          <t>pv magazine (presse)</t>
        </is>
      </c>
      <c r="N717" t="inlineStr">
        <is>
          <t>Uganda turns to solar mini-grids to level-up its northern region</t>
        </is>
      </c>
      <c r="O717" t="inlineStr">
        <is>
          <t>https://www.pv-magazine.com/2021/12/09/uganda-turns-to-solar-mini-grids-to-level-up-its-northern-region/</t>
        </is>
      </c>
      <c r="P717" t="inlineStr">
        <is>
          <t>2021-12-09</t>
        </is>
      </c>
      <c r="Q717" t="inlineStr">
        <is>
          <t>non-repayable grants to the extent of UGX18 billion (€4.44 million)</t>
        </is>
      </c>
      <c r="R717" t="inlineStr">
        <is>
          <t>Subvention &gt; coût total annoncé (conflit).</t>
        </is>
      </c>
    </row>
    <row r="718">
      <c r="A718" t="inlineStr">
        <is>
          <t>retenu</t>
        </is>
      </c>
      <c r="B718" t="inlineStr">
        <is>
          <t>C_minireseaux</t>
        </is>
      </c>
      <c r="C718" t="inlineStr">
        <is>
          <t>C</t>
        </is>
      </c>
      <c r="D718" t="inlineStr">
        <is>
          <t>UGA</t>
        </is>
      </c>
      <c r="E718" t="inlineStr">
        <is>
          <t>Winch Energy – 25 mini-réseaux Lamwo (DINU/UE-GIZ)</t>
        </is>
      </c>
      <c r="F718" t="inlineStr">
        <is>
          <t>tarif_client</t>
        </is>
      </c>
      <c r="G718" t="n">
        <v>0.29</v>
      </c>
      <c r="H718" t="inlineStr">
        <is>
          <t>USD/kWh</t>
        </is>
      </c>
      <c r="I718" t="inlineStr">
        <is>
          <t>déclarée</t>
        </is>
      </c>
      <c r="J718" t="n">
        <v>2021</v>
      </c>
      <c r="K718" t="inlineStr">
        <is>
          <t>C</t>
        </is>
      </c>
      <c r="L718" t="inlineStr">
        <is>
          <t>confirmé</t>
        </is>
      </c>
      <c r="M718" t="inlineStr">
        <is>
          <t>pv magazine (presse)</t>
        </is>
      </c>
      <c r="N718" t="inlineStr">
        <is>
          <t>Uganda turns to solar mini-grids to level-up its northern region</t>
        </is>
      </c>
      <c r="O718" t="inlineStr">
        <is>
          <t>https://www.pv-magazine.com/2021/12/09/uganda-turns-to-solar-mini-grids-to-level-up-its-northern-region/</t>
        </is>
      </c>
      <c r="P718" t="inlineStr">
        <is>
          <t>2021-12-09</t>
        </is>
      </c>
      <c r="Q718" t="inlineStr">
        <is>
          <t>subsidized, $0.29/kWh electricity</t>
        </is>
      </c>
      <c r="R718" t="inlineStr">
        <is>
          <t>Tarif subventionné.</t>
        </is>
      </c>
    </row>
    <row r="719">
      <c r="A719" t="inlineStr">
        <is>
          <t>retenu</t>
        </is>
      </c>
      <c r="B719" t="inlineStr">
        <is>
          <t>C_minireseaux</t>
        </is>
      </c>
      <c r="C719" t="inlineStr">
        <is>
          <t>C</t>
        </is>
      </c>
      <c r="D719" t="inlineStr">
        <is>
          <t>UGA</t>
        </is>
      </c>
      <c r="E719" t="inlineStr">
        <is>
          <t>Winch Energy – 25 mini-réseaux Lamwo (DINU/UE-GIZ)</t>
        </is>
      </c>
      <c r="F719" t="inlineStr">
        <is>
          <t>puissance_kwp</t>
        </is>
      </c>
      <c r="G719" t="n">
        <v>1000</v>
      </c>
      <c r="H719" t="inlineStr">
        <is>
          <t>kW</t>
        </is>
      </c>
      <c r="I719" t="inlineStr">
        <is>
          <t>déclarée</t>
        </is>
      </c>
      <c r="J719" t="n">
        <v>2021</v>
      </c>
      <c r="K719" t="inlineStr">
        <is>
          <t>C</t>
        </is>
      </c>
      <c r="L719" t="inlineStr">
        <is>
          <t>citation_partielle</t>
        </is>
      </c>
      <c r="M719" t="inlineStr">
        <is>
          <t>pv magazine (presse)</t>
        </is>
      </c>
      <c r="N719" t="inlineStr">
        <is>
          <t>Uganda turns to solar mini-grids to level-up its northern region</t>
        </is>
      </c>
      <c r="O719" t="inlineStr">
        <is>
          <t>https://www.pv-magazine.com/2021/12/09/uganda-turns-to-solar-mini-grids-to-level-up-its-northern-region/</t>
        </is>
      </c>
      <c r="P719" t="inlineStr">
        <is>
          <t>2021-12-09</t>
        </is>
      </c>
      <c r="Q719" t="inlineStr">
        <is>
          <t>The total generation capacity to be installed by Winch will be around 1 MW.</t>
        </is>
      </c>
      <c r="R719" t="inlineStr">
        <is>
          <t>40 mini-réseaux appelés à fournir 4 000 branchements (ministre).</t>
        </is>
      </c>
    </row>
    <row r="720">
      <c r="A720" t="inlineStr">
        <is>
          <t>retenu</t>
        </is>
      </c>
      <c r="B720" t="inlineStr">
        <is>
          <t>C_minireseaux</t>
        </is>
      </c>
      <c r="C720" t="inlineStr">
        <is>
          <t>C</t>
        </is>
      </c>
      <c r="D720" t="inlineStr">
        <is>
          <t>MLI</t>
        </is>
      </c>
      <c r="E720" t="inlineStr">
        <is>
          <t>SHER – centrales hybrides PV/diesel (AMADER)</t>
        </is>
      </c>
      <c r="F720" t="inlineStr">
        <is>
          <t>puissance_kwp</t>
        </is>
      </c>
      <c r="G720" t="n">
        <v>5630</v>
      </c>
      <c r="H720" t="inlineStr">
        <is>
          <t>kW</t>
        </is>
      </c>
      <c r="I720" t="inlineStr">
        <is>
          <t>observée</t>
        </is>
      </c>
      <c r="J720" t="n">
        <v>2021</v>
      </c>
      <c r="K720" t="inlineStr">
        <is>
          <t>A</t>
        </is>
      </c>
      <c r="L720" t="inlineStr">
        <is>
          <t>confirmé</t>
        </is>
      </c>
      <c r="M720" t="inlineStr">
        <is>
          <t>Banque mondiale</t>
        </is>
      </c>
      <c r="N720" t="inlineStr">
        <is>
          <t>Disclosable Restructuring Paper – Mali Rural Electrification Hybrid System Project (P131084)</t>
        </is>
      </c>
      <c r="O720" t="inlineStr">
        <is>
          <t>https://documents1.worldbank.org/curated/en/926201633029302738/text/Disclosable-Restructuring-Paper-Mali-Rural-Electrification-Hybrid-System-Project-P131084.txt</t>
        </is>
      </c>
      <c r="P720" t="inlineStr">
        <is>
          <t>2021</t>
        </is>
      </c>
      <c r="Q720" t="inlineStr">
        <is>
          <t>As of September 2021, the project beneficiaries were 557,288 people (target is 1,060,000) and 5.63 MW of renewable generation capacity (target is 6.70 MW).</t>
        </is>
      </c>
      <c r="R720" t="inlineStr">
        <is>
          <t>36 centrales achevées sur 45 (18 en service, 18 en essais).</t>
        </is>
      </c>
    </row>
    <row r="721">
      <c r="A721" t="inlineStr">
        <is>
          <t>retenu</t>
        </is>
      </c>
      <c r="B721" t="inlineStr">
        <is>
          <t>C_minireseaux</t>
        </is>
      </c>
      <c r="C721" t="inlineStr">
        <is>
          <t>C</t>
        </is>
      </c>
      <c r="D721" t="inlineStr">
        <is>
          <t>MLI</t>
        </is>
      </c>
      <c r="E721" t="inlineStr">
        <is>
          <t>SHER – centrales hybrides PV/diesel (AMADER)</t>
        </is>
      </c>
      <c r="F721" t="inlineStr">
        <is>
          <t>financement_programme</t>
        </is>
      </c>
      <c r="G721" t="n">
        <v>67.59999999999999</v>
      </c>
      <c r="H721" t="inlineStr">
        <is>
          <t>millions USD</t>
        </is>
      </c>
      <c r="I721" t="inlineStr">
        <is>
          <t>observée</t>
        </is>
      </c>
      <c r="J721" t="n">
        <v>2021</v>
      </c>
      <c r="K721" t="inlineStr">
        <is>
          <t>A</t>
        </is>
      </c>
      <c r="L721" t="inlineStr">
        <is>
          <t>confirmé</t>
        </is>
      </c>
      <c r="M721" t="inlineStr">
        <is>
          <t>Banque mondiale</t>
        </is>
      </c>
      <c r="N721" t="inlineStr">
        <is>
          <t>Disclosable Restructuring Paper – Mali Rural Electrification Hybrid System Project (P131084)</t>
        </is>
      </c>
      <c r="O721" t="inlineStr">
        <is>
          <t>https://documents1.worldbank.org/curated/en/926201633029302738/text/Disclosable-Restructuring-Paper-Mali-Rural-Electrification-Hybrid-System-Project-P131084.txt</t>
        </is>
      </c>
      <c r="P721" t="inlineStr">
        <is>
          <t>2021</t>
        </is>
      </c>
      <c r="Q721" t="inlineStr">
        <is>
          <t>bringing the total project financing to US$67.6 million.</t>
        </is>
      </c>
      <c r="R721" t="inlineStr">
        <is>
          <t>Composante 1 (centrales hybrides + réseaux) : 53,3 M USD après financement additionnel.</t>
        </is>
      </c>
    </row>
    <row r="722">
      <c r="A722" t="inlineStr">
        <is>
          <t>retenu</t>
        </is>
      </c>
      <c r="B722" t="inlineStr">
        <is>
          <t>C_minireseaux</t>
        </is>
      </c>
      <c r="C722" t="inlineStr">
        <is>
          <t>C</t>
        </is>
      </c>
      <c r="D722" t="inlineStr">
        <is>
          <t>MLI</t>
        </is>
      </c>
      <c r="E722" t="inlineStr">
        <is>
          <t>SHER – centrales hybrides PV/diesel (AMADER)</t>
        </is>
      </c>
      <c r="F722" t="inlineStr">
        <is>
          <t>nb_mini_reseaux</t>
        </is>
      </c>
      <c r="G722" t="n">
        <v>36</v>
      </c>
      <c r="H722" t="inlineStr">
        <is>
          <t>centrales</t>
        </is>
      </c>
      <c r="I722" t="inlineStr">
        <is>
          <t>observée</t>
        </is>
      </c>
      <c r="J722" t="n">
        <v>2021</v>
      </c>
      <c r="K722" t="inlineStr">
        <is>
          <t>A</t>
        </is>
      </c>
      <c r="L722" t="inlineStr">
        <is>
          <t>confirmé</t>
        </is>
      </c>
      <c r="M722" t="inlineStr">
        <is>
          <t>Banque mondiale</t>
        </is>
      </c>
      <c r="N722" t="inlineStr">
        <is>
          <t>Disclosable Restructuring Paper – Mali Rural Electrification Hybrid System Project (P131084)</t>
        </is>
      </c>
      <c r="O722" t="inlineStr">
        <is>
          <t>https://documents1.worldbank.org/curated/en/926201633029302738/text/Disclosable-Restructuring-Paper-Mali-Rural-Electrification-Hybrid-System-Project-P131084.txt</t>
        </is>
      </c>
      <c r="P722" t="inlineStr">
        <is>
          <t>2021</t>
        </is>
      </c>
      <c r="Q722" t="inlineStr">
        <is>
          <t>A total of 36 power plants have been completed, out of the 45 planned, including 18 in service and 18 in the testing phase, while nine plants are under construction.</t>
        </is>
      </c>
      <c r="R722" t="inlineStr">
        <is>
          <t>Groupe diesel de secours (hybride).</t>
        </is>
      </c>
    </row>
    <row r="723">
      <c r="A723" t="inlineStr">
        <is>
          <t>retenu</t>
        </is>
      </c>
      <c r="B723" t="inlineStr">
        <is>
          <t>C_minireseaux</t>
        </is>
      </c>
      <c r="C723" t="inlineStr">
        <is>
          <t>C</t>
        </is>
      </c>
      <c r="D723" t="inlineStr">
        <is>
          <t>MLI</t>
        </is>
      </c>
      <c r="E723" t="inlineStr">
        <is>
          <t>SHER – centrales hybrides PV/diesel (AMADER)</t>
        </is>
      </c>
      <c r="F723" t="inlineStr">
        <is>
          <t>puissance_kwp</t>
        </is>
      </c>
      <c r="G723" t="n">
        <v>5900</v>
      </c>
      <c r="H723" t="inlineStr">
        <is>
          <t>kWp</t>
        </is>
      </c>
      <c r="I723" t="inlineStr">
        <is>
          <t>déclarée</t>
        </is>
      </c>
      <c r="J723" t="n">
        <v>2022</v>
      </c>
      <c r="K723" t="inlineStr">
        <is>
          <t>B</t>
        </is>
      </c>
      <c r="L723" t="inlineStr">
        <is>
          <t>confirmé</t>
        </is>
      </c>
      <c r="M723" t="inlineStr">
        <is>
          <t>Artelia (bureau d'études)</t>
        </is>
      </c>
      <c r="N723" t="inlineStr">
        <is>
          <t>Hybridation and mini-grids in Mali</t>
        </is>
      </c>
      <c r="O723" t="inlineStr">
        <is>
          <t>https://www.arteliagroup.com/project/hybridation-and-mini-grids-in-mali/</t>
        </is>
      </c>
      <c r="P723" t="inlineStr">
        <is>
          <t>2022</t>
        </is>
      </c>
      <c r="Q723" t="inlineStr">
        <is>
          <t>with a combined output of 5.9 MWp</t>
        </is>
      </c>
      <c r="R723" t="inlineStr">
        <is>
          <t>Stockage associé 26,3 MWh ; projet 2020-2022.</t>
        </is>
      </c>
    </row>
    <row r="724">
      <c r="A724" t="inlineStr">
        <is>
          <t>retenu</t>
        </is>
      </c>
      <c r="B724" t="inlineStr">
        <is>
          <t>C_minireseaux</t>
        </is>
      </c>
      <c r="C724" t="inlineStr">
        <is>
          <t>C</t>
        </is>
      </c>
      <c r="D724" t="inlineStr">
        <is>
          <t>MLI</t>
        </is>
      </c>
      <c r="E724" t="inlineStr">
        <is>
          <t>SHER – centrales hybrides PV/diesel (AMADER)</t>
        </is>
      </c>
      <c r="F724" t="inlineStr">
        <is>
          <t>stockage_kwh</t>
        </is>
      </c>
      <c r="G724" t="n">
        <v>26300</v>
      </c>
      <c r="H724" t="inlineStr">
        <is>
          <t>kWh</t>
        </is>
      </c>
      <c r="I724" t="inlineStr">
        <is>
          <t>déclarée</t>
        </is>
      </c>
      <c r="J724" t="n">
        <v>2022</v>
      </c>
      <c r="K724" t="inlineStr">
        <is>
          <t>B</t>
        </is>
      </c>
      <c r="L724" t="inlineStr">
        <is>
          <t>confirmé</t>
        </is>
      </c>
      <c r="M724" t="inlineStr">
        <is>
          <t>Artelia (bureau d'études)</t>
        </is>
      </c>
      <c r="N724" t="inlineStr">
        <is>
          <t>Hybridation and mini-grids in Mali</t>
        </is>
      </c>
      <c r="O724" t="inlineStr">
        <is>
          <t>https://www.arteliagroup.com/project/hybridation-and-mini-grids-in-mali/</t>
        </is>
      </c>
      <c r="P724" t="inlineStr">
        <is>
          <t>2022</t>
        </is>
      </c>
      <c r="Q724" t="inlineStr">
        <is>
          <t>the battery storage associated with this solar production (with a combined output of 26.3 MWh)</t>
        </is>
      </c>
      <c r="R724" t="inlineStr"/>
    </row>
    <row r="725">
      <c r="A725" t="inlineStr">
        <is>
          <t>retenu</t>
        </is>
      </c>
      <c r="B725" t="inlineStr">
        <is>
          <t>C_minireseaux</t>
        </is>
      </c>
      <c r="C725" t="inlineStr">
        <is>
          <t>C</t>
        </is>
      </c>
      <c r="D725" t="inlineStr">
        <is>
          <t>SEN</t>
        </is>
      </c>
      <c r="E725" t="inlineStr">
        <is>
          <t>Programme 1000 villages ASER-BOAD-FVC (FP138)</t>
        </is>
      </c>
      <c r="F725" t="inlineStr">
        <is>
          <t>financement_programme</t>
        </is>
      </c>
      <c r="G725" t="n">
        <v>75.44499999999999</v>
      </c>
      <c r="H725" t="inlineStr">
        <is>
          <t>millions EUR</t>
        </is>
      </c>
      <c r="I725" t="inlineStr">
        <is>
          <t>déclarée</t>
        </is>
      </c>
      <c r="J725" t="n">
        <v>2020</v>
      </c>
      <c r="K725" t="inlineStr">
        <is>
          <t>A</t>
        </is>
      </c>
      <c r="L725" t="inlineStr">
        <is>
          <t>confirmé</t>
        </is>
      </c>
      <c r="M725" t="inlineStr">
        <is>
          <t>ASER (Agence sénégalaise d'électrification rurale)</t>
        </is>
      </c>
      <c r="N725" t="inlineStr">
        <is>
          <t>Programme 1000 villages ASER-BOAD-FVC (fiche)</t>
        </is>
      </c>
      <c r="O725" t="inlineStr">
        <is>
          <t>https://www.ctc-n.org/sites/default/files/ASER%20BOAD%20GCF%201000%20VILLAGES%20AD.pdf</t>
        </is>
      </c>
      <c r="P725" t="inlineStr">
        <is>
          <t>2020</t>
        </is>
      </c>
      <c r="Q725" t="inlineStr">
        <is>
          <t>Montant : 75,445 Millions d'euros dont 1,822 millions d'euros de Don.</t>
        </is>
      </c>
      <c r="R725" t="inlineStr">
        <is>
          <t>Taux 0 %, 40 ans ; 1 000 villages, 80 000 ménages, 11 MW (≈ 940 EUR/ménage, calcul).</t>
        </is>
      </c>
    </row>
    <row r="726">
      <c r="A726" t="inlineStr">
        <is>
          <t>retenu</t>
        </is>
      </c>
      <c r="B726" t="inlineStr">
        <is>
          <t>C_minireseaux</t>
        </is>
      </c>
      <c r="C726" t="inlineStr">
        <is>
          <t>C</t>
        </is>
      </c>
      <c r="D726" t="inlineStr">
        <is>
          <t>SEN</t>
        </is>
      </c>
      <c r="E726" t="inlineStr">
        <is>
          <t>Programme 1000 villages ASER-BOAD-FVC (FP138)</t>
        </is>
      </c>
      <c r="F726" t="inlineStr">
        <is>
          <t>nb_clients</t>
        </is>
      </c>
      <c r="G726" t="n">
        <v>80000</v>
      </c>
      <c r="H726" t="inlineStr">
        <is>
          <t>ménages</t>
        </is>
      </c>
      <c r="I726" t="inlineStr">
        <is>
          <t>déclarée</t>
        </is>
      </c>
      <c r="J726" t="n">
        <v>2020</v>
      </c>
      <c r="K726" t="inlineStr">
        <is>
          <t>A</t>
        </is>
      </c>
      <c r="L726" t="inlineStr">
        <is>
          <t>citation_partielle</t>
        </is>
      </c>
      <c r="M726" t="inlineStr">
        <is>
          <t>ASER (Agence sénégalaise d'électrification rurale)</t>
        </is>
      </c>
      <c r="N726" t="inlineStr">
        <is>
          <t>Programme 1000 villages ASER-BOAD-FVC (fiche)</t>
        </is>
      </c>
      <c r="O726" t="inlineStr">
        <is>
          <t>https://www.ctc-n.org/sites/default/files/ASER%20BOAD%20GCF%201000%20VILLAGES%20AD.pdf</t>
        </is>
      </c>
      <c r="P726" t="inlineStr">
        <is>
          <t>2020</t>
        </is>
      </c>
      <c r="Q726" t="inlineStr">
        <is>
          <t>80 000 ménages ruraux electrifies (11 MW)</t>
        </is>
      </c>
      <c r="R726" t="inlineStr"/>
    </row>
    <row r="727">
      <c r="A727" t="inlineStr">
        <is>
          <t>retenu</t>
        </is>
      </c>
      <c r="B727" t="inlineStr">
        <is>
          <t>C_minireseaux</t>
        </is>
      </c>
      <c r="C727" t="inlineStr">
        <is>
          <t>C</t>
        </is>
      </c>
      <c r="D727" t="inlineStr">
        <is>
          <t>SEN</t>
        </is>
      </c>
      <c r="E727" t="inlineStr">
        <is>
          <t>Dialadiang (Paroumba, Vélingara) – programme ASER/BOAD 63 villages</t>
        </is>
      </c>
      <c r="F727" t="inlineStr">
        <is>
          <t>puissance_kwp</t>
        </is>
      </c>
      <c r="G727" t="n">
        <v>185</v>
      </c>
      <c r="H727" t="inlineStr">
        <is>
          <t>kWc</t>
        </is>
      </c>
      <c r="I727" t="inlineStr">
        <is>
          <t>observée</t>
        </is>
      </c>
      <c r="J727" t="n">
        <v>2026</v>
      </c>
      <c r="K727" t="inlineStr">
        <is>
          <t>C</t>
        </is>
      </c>
      <c r="L727" t="inlineStr">
        <is>
          <t>confirmé</t>
        </is>
      </c>
      <c r="M727" t="inlineStr">
        <is>
          <t>Le Soleil via AllAfrica (presse)</t>
        </is>
      </c>
      <c r="N727" t="inlineStr">
        <is>
          <t>Sénégal: Programme national d'accès universel à l'électricité - L'Aser branche 15 villages entre Kolda et Sédhiou</t>
        </is>
      </c>
      <c r="O727" t="inlineStr">
        <is>
          <t>https://fr.allafrica.com/stories/202608270146.html</t>
        </is>
      </c>
      <c r="P727" t="inlineStr">
        <is>
          <t>2026-08-27</t>
        </is>
      </c>
      <c r="Q727" t="inlineStr">
        <is>
          <t>ce village de plus de 2200 habitants dispose désormais d'une centrale solaire d'une puissance de 185 kWc</t>
        </is>
      </c>
      <c r="R727" t="inlineStr">
        <is>
          <t>Mis en service août 2026.</t>
        </is>
      </c>
    </row>
    <row r="728">
      <c r="A728" t="inlineStr">
        <is>
          <t>retenu</t>
        </is>
      </c>
      <c r="B728" t="inlineStr">
        <is>
          <t>C_minireseaux</t>
        </is>
      </c>
      <c r="C728" t="inlineStr">
        <is>
          <t>C</t>
        </is>
      </c>
      <c r="D728" t="inlineStr">
        <is>
          <t>SEN</t>
        </is>
      </c>
      <c r="E728" t="inlineStr">
        <is>
          <t>Programme ASER/BOAD – 63 villages (minicentrales PV)</t>
        </is>
      </c>
      <c r="F728" t="inlineStr">
        <is>
          <t>financement_programme</t>
        </is>
      </c>
      <c r="G728" t="n">
        <v>10</v>
      </c>
      <c r="H728" t="inlineStr">
        <is>
          <t>milliards XOF</t>
        </is>
      </c>
      <c r="I728" t="inlineStr">
        <is>
          <t>déclarée</t>
        </is>
      </c>
      <c r="J728" t="n">
        <v>2026</v>
      </c>
      <c r="K728" t="inlineStr">
        <is>
          <t>C</t>
        </is>
      </c>
      <c r="L728" t="inlineStr">
        <is>
          <t>confirmé</t>
        </is>
      </c>
      <c r="M728" t="inlineStr">
        <is>
          <t>Le Soleil via AllAfrica (presse)</t>
        </is>
      </c>
      <c r="N728" t="inlineStr">
        <is>
          <t>Sénégal: Programme national d'accès universel à l'électricité - L'Aser branche 15 villages entre Kolda et Sédhiou</t>
        </is>
      </c>
      <c r="O728" t="inlineStr">
        <is>
          <t>https://fr.allafrica.com/stories/202608270146.html</t>
        </is>
      </c>
      <c r="P728" t="inlineStr">
        <is>
          <t>2026-08-27</t>
        </is>
      </c>
      <c r="Q728" t="inlineStr">
        <is>
          <t>financé par la Banque ouest-africaine de développement (Boad) pour 10 milliards de FCFA</t>
        </is>
      </c>
      <c r="R728" t="inlineStr">
        <is>
          <t>63 villages ; 15 mis en service fin août 2026.</t>
        </is>
      </c>
    </row>
    <row r="729">
      <c r="A729" t="inlineStr">
        <is>
          <t>retenu</t>
        </is>
      </c>
      <c r="B729" t="inlineStr">
        <is>
          <t>C_minireseaux</t>
        </is>
      </c>
      <c r="C729" t="inlineStr">
        <is>
          <t>C</t>
        </is>
      </c>
      <c r="D729" t="inlineStr">
        <is>
          <t>BFA</t>
        </is>
      </c>
      <c r="E729" t="inlineStr">
        <is>
          <t>Programme spécial solaire (budget de l'État, ABER)</t>
        </is>
      </c>
      <c r="F729" t="inlineStr">
        <is>
          <t>nb_mini_reseaux</t>
        </is>
      </c>
      <c r="G729" t="n">
        <v>100</v>
      </c>
      <c r="H729" t="inlineStr">
        <is>
          <t>localités</t>
        </is>
      </c>
      <c r="I729" t="inlineStr">
        <is>
          <t>déclarée</t>
        </is>
      </c>
      <c r="J729" t="n">
        <v>2017</v>
      </c>
      <c r="K729" t="inlineStr">
        <is>
          <t>C</t>
        </is>
      </c>
      <c r="L729" t="inlineStr">
        <is>
          <t>confirmé</t>
        </is>
      </c>
      <c r="M729" t="inlineStr">
        <is>
          <t>Burkina24 (presse)</t>
        </is>
      </c>
      <c r="N729" t="inlineStr">
        <is>
          <t>Electrification solaire : Les travaux de construction des minicentrales solaires avancent</t>
        </is>
      </c>
      <c r="O729" t="inlineStr">
        <is>
          <t>https://burkina24.com/?p=154489</t>
        </is>
      </c>
      <c r="P729" t="inlineStr">
        <is>
          <t>2017-12-11</t>
        </is>
      </c>
      <c r="Q729" t="inlineStr">
        <is>
          <t>dans 100 localités dont 26 localités actuellement engagées pour la phase 2017</t>
        </is>
      </c>
      <c r="R729" t="inlineStr">
        <is>
          <t>Groupement ASEMI ; kWc, ménages et coût non publiés.</t>
        </is>
      </c>
    </row>
    <row r="730">
      <c r="A730" t="inlineStr">
        <is>
          <t>retenu</t>
        </is>
      </c>
      <c r="B730" t="inlineStr">
        <is>
          <t>C_minireseaux</t>
        </is>
      </c>
      <c r="C730" t="inlineStr">
        <is>
          <t>C</t>
        </is>
      </c>
      <c r="D730" t="inlineStr">
        <is>
          <t>GHA</t>
        </is>
      </c>
      <c r="E730" t="inlineStr">
        <is>
          <t>5 mini-réseaux pilotes îles du lac Volta (GEDAP/VRA)</t>
        </is>
      </c>
      <c r="F730" t="inlineStr">
        <is>
          <t>puissance_kwp</t>
        </is>
      </c>
      <c r="G730" t="n">
        <v>200</v>
      </c>
      <c r="H730" t="inlineStr">
        <is>
          <t>kW</t>
        </is>
      </c>
      <c r="I730" t="inlineStr">
        <is>
          <t>observée</t>
        </is>
      </c>
      <c r="J730" t="n">
        <v>2018</v>
      </c>
      <c r="K730" t="inlineStr">
        <is>
          <t>B</t>
        </is>
      </c>
      <c r="L730" t="inlineStr">
        <is>
          <t>confirmé</t>
        </is>
      </c>
      <c r="M730" t="inlineStr">
        <is>
          <t>SNV</t>
        </is>
      </c>
      <c r="N730" t="inlineStr">
        <is>
          <t>Lighting-up isolated communities in Ghana with mini-grids</t>
        </is>
      </c>
      <c r="O730" t="inlineStr">
        <is>
          <t>https://snv.org/update/lighting-isolated-communities-ghana-mini-grids</t>
        </is>
      </c>
      <c r="P730" t="inlineStr">
        <is>
          <t>2018-08-02</t>
        </is>
      </c>
      <c r="Q730" t="inlineStr">
        <is>
          <t>These solar projects have a total of about 200kW and are expected to provide 24-hour electricity to about 3,500 residents</t>
        </is>
      </c>
      <c r="R730" t="inlineStr">
        <is>
          <t>Remis à VRA le 29/06/2018 ; financés par la Banque mondiale.</t>
        </is>
      </c>
    </row>
    <row r="731">
      <c r="A731" t="inlineStr">
        <is>
          <t>retenu</t>
        </is>
      </c>
      <c r="B731" t="inlineStr">
        <is>
          <t>C_minireseaux</t>
        </is>
      </c>
      <c r="C731" t="inlineStr">
        <is>
          <t>C</t>
        </is>
      </c>
      <c r="D731" t="inlineStr">
        <is>
          <t>ZWE</t>
        </is>
      </c>
      <c r="E731" t="inlineStr">
        <is>
          <t>Mashaba (Gwanda) – Practical Action/SNV</t>
        </is>
      </c>
      <c r="F731" t="inlineStr">
        <is>
          <t>capex_total</t>
        </is>
      </c>
      <c r="G731" t="n">
        <v>3.2</v>
      </c>
      <c r="H731" t="inlineStr">
        <is>
          <t>millions USD</t>
        </is>
      </c>
      <c r="I731" t="inlineStr">
        <is>
          <t>observée</t>
        </is>
      </c>
      <c r="J731" t="n">
        <v>2015</v>
      </c>
      <c r="K731" t="inlineStr">
        <is>
          <t>C</t>
        </is>
      </c>
      <c r="L731" t="inlineStr">
        <is>
          <t>confirmé</t>
        </is>
      </c>
      <c r="M731" t="inlineStr">
        <is>
          <t>Thomson Reuters Foundation via climatechange.ie (presse)</t>
        </is>
      </c>
      <c r="N731" t="inlineStr">
        <is>
          <t>Solar grid keeps harvests high, hospitals lit in parched rural Zimbabwe</t>
        </is>
      </c>
      <c r="O731" t="inlineStr">
        <is>
          <t>https://www.climatechange.ie/solar-grid-keeps-harvests-high-hospitals-lit-in-parched-rural-zimbabwe/</t>
        </is>
      </c>
      <c r="P731" t="inlineStr">
        <is>
          <t>2017-09-11</t>
        </is>
      </c>
      <c r="Q731" t="inlineStr">
        <is>
          <t>The $3.2 million mini-grid was funded by the European Union</t>
        </is>
      </c>
      <c r="R731" t="inlineStr">
        <is>
          <t>Installé en 2015 (limite du périmètre 2016–2026) ; 99 kW (SNV/Africa Energy) ; ~10 000 bénéficiaires ; coût inclut probablement le programme SE4RC entier.</t>
        </is>
      </c>
    </row>
    <row r="732">
      <c r="A732" t="inlineStr">
        <is>
          <t>retenu</t>
        </is>
      </c>
      <c r="B732" t="inlineStr">
        <is>
          <t>C_minireseaux</t>
        </is>
      </c>
      <c r="C732" t="inlineStr">
        <is>
          <t>C</t>
        </is>
      </c>
      <c r="D732" t="inlineStr">
        <is>
          <t>ZWE</t>
        </is>
      </c>
      <c r="E732" t="inlineStr">
        <is>
          <t>Mashaba (Gwanda) – Practical Action/SNV</t>
        </is>
      </c>
      <c r="F732" t="inlineStr">
        <is>
          <t>puissance_kwp</t>
        </is>
      </c>
      <c r="G732" t="n">
        <v>99</v>
      </c>
      <c r="H732" t="inlineStr">
        <is>
          <t>kW</t>
        </is>
      </c>
      <c r="I732" t="inlineStr">
        <is>
          <t>observée</t>
        </is>
      </c>
      <c r="K732" t="inlineStr">
        <is>
          <t>B</t>
        </is>
      </c>
      <c r="L732" t="inlineStr">
        <is>
          <t>confirmé</t>
        </is>
      </c>
      <c r="M732" t="inlineStr">
        <is>
          <t>SNV</t>
        </is>
      </c>
      <c r="N732" t="inlineStr">
        <is>
          <t>Sustainable Energy for Rural Communities/Mashaba Solar Mini-grid</t>
        </is>
      </c>
      <c r="O732" t="inlineStr">
        <is>
          <t>https://www.snv.org/project/sustainable-energy-rural-communitiesmashaba-solar-mini-grid</t>
        </is>
      </c>
      <c r="P732" t="inlineStr"/>
      <c r="Q732" t="inlineStr">
        <is>
          <t>A 99KW decentralised mini-grid, 2 energy centres and 2 stand-alone power units</t>
        </is>
      </c>
      <c r="R732" t="inlineStr"/>
    </row>
    <row r="733">
      <c r="A733" t="inlineStr">
        <is>
          <t>retenu</t>
        </is>
      </c>
      <c r="B733" t="inlineStr">
        <is>
          <t>C_minireseaux</t>
        </is>
      </c>
      <c r="C733" t="inlineStr">
        <is>
          <t>C</t>
        </is>
      </c>
      <c r="D733" t="inlineStr">
        <is>
          <t>EGY</t>
        </is>
      </c>
      <c r="E733" t="inlineStr">
        <is>
          <t>Abu Ghuraqd (Sud-Sinaï) – don Jinko/Schneider</t>
        </is>
      </c>
      <c r="F733" t="inlineStr">
        <is>
          <t>puissance_kwp</t>
        </is>
      </c>
      <c r="G733" t="n">
        <v>55</v>
      </c>
      <c r="H733" t="inlineStr">
        <is>
          <t>kW</t>
        </is>
      </c>
      <c r="I733" t="inlineStr">
        <is>
          <t>observée</t>
        </is>
      </c>
      <c r="J733" t="n">
        <v>2018</v>
      </c>
      <c r="K733" t="inlineStr">
        <is>
          <t>B</t>
        </is>
      </c>
      <c r="L733" t="inlineStr">
        <is>
          <t>confirmé</t>
        </is>
      </c>
      <c r="M733" t="inlineStr">
        <is>
          <t>JinkoSolar (communiqué via pv magazine)</t>
        </is>
      </c>
      <c r="N733" t="inlineStr">
        <is>
          <t>JinkoSolar Together with Schneider Electric Donated a 55kW Off-grid Solar Project in Egypt</t>
        </is>
      </c>
      <c r="O733" t="inlineStr">
        <is>
          <t>https://www.pv-magazine.com/press-releases/jinkosolar-together-with-schneider-electric-donated-a-55kw-off-grid-solar-project-in-egypt/</t>
        </is>
      </c>
      <c r="P733" t="inlineStr">
        <is>
          <t>2018-12-28</t>
        </is>
      </c>
      <c r="Q733" t="inlineStr">
        <is>
          <t>to donate a 55kW off-grid solar project in Abu Redis, South Sinai, Egypt.</t>
        </is>
      </c>
      <c r="R733" t="inlineStr">
        <is>
          <t>35 familles + mosquée, école, centre médical, 3 fermes ; 20 h/jour ; remplace 3 groupes diesel de 30 kW (8 h/jour).</t>
        </is>
      </c>
    </row>
    <row r="734">
      <c r="A734" t="inlineStr">
        <is>
          <t>retenu</t>
        </is>
      </c>
      <c r="B734" t="inlineStr">
        <is>
          <t>C_minireseaux</t>
        </is>
      </c>
      <c r="C734" t="inlineStr">
        <is>
          <t>C</t>
        </is>
      </c>
      <c r="D734" t="inlineStr">
        <is>
          <t>EGY</t>
        </is>
      </c>
      <c r="E734" t="inlineStr">
        <is>
          <t>Abu Ghuraqd (Sud-Sinaï) – don Jinko/Schneider</t>
        </is>
      </c>
      <c r="F734" t="inlineStr">
        <is>
          <t>nb_clients</t>
        </is>
      </c>
      <c r="G734" t="n">
        <v>35</v>
      </c>
      <c r="H734" t="inlineStr">
        <is>
          <t>familles</t>
        </is>
      </c>
      <c r="I734" t="inlineStr">
        <is>
          <t>observée</t>
        </is>
      </c>
      <c r="J734" t="n">
        <v>2018</v>
      </c>
      <c r="K734" t="inlineStr">
        <is>
          <t>B</t>
        </is>
      </c>
      <c r="L734" t="inlineStr">
        <is>
          <t>citation_partielle</t>
        </is>
      </c>
      <c r="M734" t="inlineStr">
        <is>
          <t>JinkoSolar (communiqué via pv magazine)</t>
        </is>
      </c>
      <c r="N734" t="inlineStr">
        <is>
          <t>JinkoSolar Together with Schneider Electric Donated a 55kW Off-grid Solar Project in Egypt</t>
        </is>
      </c>
      <c r="O734" t="inlineStr">
        <is>
          <t>https://www.pv-magazine.com/press-releases/jinkosolar-together-with-schneider-electric-donated-a-55kw-off-grid-solar-project-in-egypt/</t>
        </is>
      </c>
      <c r="P734" t="inlineStr">
        <is>
          <t>2018-12-28</t>
        </is>
      </c>
      <c r="Q734" t="inlineStr">
        <is>
          <t>which comprises of 35 families, a mosque, a school, a small medical center and three farms.</t>
        </is>
      </c>
      <c r="R734" t="inlineStr"/>
    </row>
    <row r="735">
      <c r="A735" t="inlineStr">
        <is>
          <t>retenu</t>
        </is>
      </c>
      <c r="B735" t="inlineStr">
        <is>
          <t>C_minireseaux</t>
        </is>
      </c>
      <c r="C735" t="inlineStr">
        <is>
          <t>C</t>
        </is>
      </c>
      <c r="D735" t="inlineStr">
        <is>
          <t>CIV</t>
        </is>
      </c>
      <c r="E735" t="inlineStr">
        <is>
          <t>ECLER Ivoire – 16 mini-centrales hybrides (UE/CI-Energies)</t>
        </is>
      </c>
      <c r="F735" t="inlineStr">
        <is>
          <t>puissance_kwp</t>
        </is>
      </c>
      <c r="G735" t="n">
        <v>792</v>
      </c>
      <c r="H735" t="inlineStr">
        <is>
          <t>kWc</t>
        </is>
      </c>
      <c r="I735" t="inlineStr">
        <is>
          <t>déclarée</t>
        </is>
      </c>
      <c r="J735" t="n">
        <v>2022</v>
      </c>
      <c r="K735" t="inlineStr">
        <is>
          <t>B</t>
        </is>
      </c>
      <c r="L735" t="inlineStr">
        <is>
          <t>confirmé</t>
        </is>
      </c>
      <c r="M735" t="inlineStr">
        <is>
          <t>Expertise France</t>
        </is>
      </c>
      <c r="N735" t="inlineStr">
        <is>
          <t>ECLER Ivoire – Rural electrification and energy efficiency</t>
        </is>
      </c>
      <c r="O735" t="inlineStr">
        <is>
          <t>https://expertisefrance.fr/en/projects/ecler-ivoire-rural-electrification-and-energy-efficiency</t>
        </is>
      </c>
      <c r="P735" t="inlineStr">
        <is>
          <t>2023</t>
        </is>
      </c>
      <c r="Q735" t="inlineStr">
        <is>
          <t>Sixteen mini-power plants with a total capacity of 792 kWc are being installed.</t>
        </is>
      </c>
      <c r="R735" t="inlineStr">
        <is>
          <t>Travaux démarrés déc. 2021 (12 mois prévus).</t>
        </is>
      </c>
    </row>
    <row r="736">
      <c r="A736" t="inlineStr">
        <is>
          <t>retenu</t>
        </is>
      </c>
      <c r="B736" t="inlineStr">
        <is>
          <t>C_minireseaux</t>
        </is>
      </c>
      <c r="C736" t="inlineStr">
        <is>
          <t>C</t>
        </is>
      </c>
      <c r="D736" t="inlineStr">
        <is>
          <t>CIV</t>
        </is>
      </c>
      <c r="E736" t="inlineStr">
        <is>
          <t>ECLER Ivoire – 16 mini-centrales hybrides (UE/CI-Energies)</t>
        </is>
      </c>
      <c r="F736" t="inlineStr">
        <is>
          <t>nb_clients</t>
        </is>
      </c>
      <c r="G736" t="n">
        <v>1500</v>
      </c>
      <c r="H736" t="inlineStr">
        <is>
          <t>ménages</t>
        </is>
      </c>
      <c r="I736" t="inlineStr">
        <is>
          <t>déclarée</t>
        </is>
      </c>
      <c r="J736" t="n">
        <v>2022</v>
      </c>
      <c r="K736" t="inlineStr">
        <is>
          <t>B</t>
        </is>
      </c>
      <c r="L736" t="inlineStr">
        <is>
          <t>confirmé</t>
        </is>
      </c>
      <c r="M736" t="inlineStr">
        <is>
          <t>Expertise France</t>
        </is>
      </c>
      <c r="N736" t="inlineStr">
        <is>
          <t>ECLER Ivoire – Rural electrification and energy efficiency</t>
        </is>
      </c>
      <c r="O736" t="inlineStr">
        <is>
          <t>https://expertisefrance.fr/en/projects/ecler-ivoire-rural-electrification-and-energy-efficiency</t>
        </is>
      </c>
      <c r="P736" t="inlineStr">
        <is>
          <t>2023</t>
        </is>
      </c>
      <c r="Q736" t="inlineStr">
        <is>
          <t>This represents a population of about 10,000 inhabitants and 1,500 households.</t>
        </is>
      </c>
      <c r="R736" t="inlineStr">
        <is>
          <t>17 communes selon la description, 30 selon l'interview (incohérence).</t>
        </is>
      </c>
    </row>
    <row r="737">
      <c r="A737" t="inlineStr">
        <is>
          <t>retenu</t>
        </is>
      </c>
      <c r="B737" t="inlineStr">
        <is>
          <t>C_minireseaux</t>
        </is>
      </c>
      <c r="C737" t="inlineStr">
        <is>
          <t>C</t>
        </is>
      </c>
      <c r="D737" t="inlineStr">
        <is>
          <t>NAM</t>
        </is>
      </c>
      <c r="E737" t="inlineStr">
        <is>
          <t>Puros (Kunene) – mini-réseau solaire</t>
        </is>
      </c>
      <c r="F737" t="inlineStr">
        <is>
          <t>subvention_usd</t>
        </is>
      </c>
      <c r="G737" t="n">
        <v>8</v>
      </c>
      <c r="H737" t="inlineStr">
        <is>
          <t>millions NAD</t>
        </is>
      </c>
      <c r="I737" t="inlineStr">
        <is>
          <t>déclarée</t>
        </is>
      </c>
      <c r="J737" t="n">
        <v>2025</v>
      </c>
      <c r="K737" t="inlineStr">
        <is>
          <t>C</t>
        </is>
      </c>
      <c r="L737" t="inlineStr">
        <is>
          <t>confirmé</t>
        </is>
      </c>
      <c r="M737" t="inlineStr">
        <is>
          <t>The Namibian (presse)</t>
        </is>
      </c>
      <c r="N737" t="inlineStr">
        <is>
          <t>Puros village receives N$8 million for solar project</t>
        </is>
      </c>
      <c r="O737" t="inlineStr">
        <is>
          <t>https://www.namibian.com.na/puros-village-receives-n8-million-for-solar-project</t>
        </is>
      </c>
      <c r="P737" t="inlineStr">
        <is>
          <t>2025-06-17</t>
        </is>
      </c>
      <c r="Q737" t="inlineStr">
        <is>
          <t>has received N$8 million through the Environmental Investment Fund for the development of a solar mini grid</t>
        </is>
      </c>
      <c r="R737" t="inlineStr"/>
    </row>
    <row r="738">
      <c r="A738" t="inlineStr">
        <is>
          <t>retenu</t>
        </is>
      </c>
      <c r="B738" t="inlineStr">
        <is>
          <t>C_minireseaux</t>
        </is>
      </c>
      <c r="C738" t="inlineStr">
        <is>
          <t>C</t>
        </is>
      </c>
      <c r="D738" t="inlineStr">
        <is>
          <t>NAM</t>
        </is>
      </c>
      <c r="E738" t="inlineStr">
        <is>
          <t>Tsumkwe et Gam – stations hybrides solaires</t>
        </is>
      </c>
      <c r="F738" t="inlineStr">
        <is>
          <t>capex_rehabilitation</t>
        </is>
      </c>
      <c r="G738" t="n">
        <v>16</v>
      </c>
      <c r="H738" t="inlineStr">
        <is>
          <t>millions NAD</t>
        </is>
      </c>
      <c r="I738" t="inlineStr">
        <is>
          <t>déclarée</t>
        </is>
      </c>
      <c r="J738" t="n">
        <v>2025</v>
      </c>
      <c r="K738" t="inlineStr">
        <is>
          <t>C</t>
        </is>
      </c>
      <c r="L738" t="inlineStr">
        <is>
          <t>confirmé</t>
        </is>
      </c>
      <c r="M738" t="inlineStr">
        <is>
          <t>The Namibian (presse)</t>
        </is>
      </c>
      <c r="N738" t="inlineStr">
        <is>
          <t>Puros village receives N$8 million for solar project</t>
        </is>
      </c>
      <c r="O738" t="inlineStr">
        <is>
          <t>https://www.namibian.com.na/puros-village-receives-n8-million-for-solar-project</t>
        </is>
      </c>
      <c r="P738" t="inlineStr">
        <is>
          <t>2025-06-17</t>
        </is>
      </c>
      <c r="Q738" t="inlineStr">
        <is>
          <t>an additional N$16 million for major upgrades at the Tsumkwe and Gam Solar Hybrid Stations</t>
        </is>
      </c>
      <c r="R738" t="inlineStr">
        <is>
          <t>Mise à niveau (pas construction).</t>
        </is>
      </c>
    </row>
  </sheetData>
  <autoFilter ref="A2:R73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126"/>
  <sheetViews>
    <sheetView workbookViewId="0">
      <pane ySplit="2" topLeftCell="A3" activePane="bottomLeft" state="frozen"/>
      <selection pane="bottomLeft" activeCell="A1" sqref="A1"/>
    </sheetView>
  </sheetViews>
  <sheetFormatPr baseColWidth="8" defaultRowHeight="15"/>
  <cols>
    <col width="12" customWidth="1" min="1" max="1"/>
    <col width="12" customWidth="1" min="2" max="2"/>
    <col width="12" customWidth="1" min="3" max="3"/>
    <col width="13" customWidth="1" min="4" max="4"/>
    <col width="34" customWidth="1" min="5" max="5"/>
    <col width="12" customWidth="1" min="6" max="6"/>
    <col width="12" customWidth="1" min="7" max="7"/>
    <col width="12" customWidth="1" min="8" max="8"/>
    <col width="15" customWidth="1" min="9" max="9"/>
    <col width="16" customWidth="1" min="10" max="10"/>
    <col width="13" customWidth="1" min="11" max="11"/>
    <col width="16" customWidth="1" min="12" max="12"/>
    <col width="20" customWidth="1" min="13" max="13"/>
    <col width="16" customWidth="1" min="14" max="14"/>
    <col width="12" customWidth="1" min="15" max="15"/>
    <col width="15" customWidth="1" min="16" max="16"/>
    <col width="80" customWidth="1" min="17" max="17"/>
    <col width="12" customWidth="1" min="18" max="18"/>
  </cols>
  <sheetData>
    <row r="1">
      <c r="A1" s="3" t="inlineStr">
        <is>
          <t>Valeurs NON retenues : citation introuvable, valeur dérivée ou additionnée, ou source inaccessible au contrôle. À vérifier à la main avant tout usage.</t>
        </is>
      </c>
    </row>
    <row r="2">
      <c r="A2" s="2" t="inlineStr">
        <is>
          <t>usage</t>
        </is>
      </c>
      <c r="B2" s="2" t="inlineStr">
        <is>
          <t>tranche</t>
        </is>
      </c>
      <c r="C2" s="2" t="inlineStr">
        <is>
          <t>volet</t>
        </is>
      </c>
      <c r="D2" s="2" t="inlineStr">
        <is>
          <t>pays_iso3</t>
        </is>
      </c>
      <c r="E2" s="2" t="inlineStr">
        <is>
          <t>projet</t>
        </is>
      </c>
      <c r="F2" s="2" t="inlineStr">
        <is>
          <t>champ</t>
        </is>
      </c>
      <c r="G2" s="2" t="inlineStr">
        <is>
          <t>valeur</t>
        </is>
      </c>
      <c r="H2" s="2" t="inlineStr">
        <is>
          <t>unite</t>
        </is>
      </c>
      <c r="I2" s="2" t="inlineStr">
        <is>
          <t>type_donnee</t>
        </is>
      </c>
      <c r="J2" s="2" t="inlineStr">
        <is>
          <t>annee_valeur</t>
        </is>
      </c>
      <c r="K2" s="2" t="inlineStr">
        <is>
          <t>fiabilite</t>
        </is>
      </c>
      <c r="L2" s="2" t="inlineStr">
        <is>
          <t>verification</t>
        </is>
      </c>
      <c r="M2" s="2" t="inlineStr">
        <is>
          <t>source_organisme</t>
        </is>
      </c>
      <c r="N2" s="2" t="inlineStr">
        <is>
          <t>source_titre</t>
        </is>
      </c>
      <c r="O2" s="2" t="inlineStr">
        <is>
          <t>url</t>
        </is>
      </c>
      <c r="P2" s="2" t="inlineStr">
        <is>
          <t>date_source</t>
        </is>
      </c>
      <c r="Q2" s="2" t="inlineStr">
        <is>
          <t>citation</t>
        </is>
      </c>
      <c r="R2" s="2" t="inlineStr">
        <is>
          <t>note</t>
        </is>
      </c>
    </row>
    <row r="3">
      <c r="A3" t="inlineStr">
        <is>
          <t>a_revoir</t>
        </is>
      </c>
      <c r="B3" t="inlineStr">
        <is>
          <t>A_australe</t>
        </is>
      </c>
      <c r="C3" t="inlineStr">
        <is>
          <t>A</t>
        </is>
      </c>
      <c r="D3" t="inlineStr">
        <is>
          <t>ZAF</t>
        </is>
      </c>
      <c r="E3" t="inlineStr">
        <is>
          <t>REIPPPP BW1 - moyenne PV</t>
        </is>
      </c>
      <c r="F3" t="inlineStr">
        <is>
          <t>tarif</t>
        </is>
      </c>
      <c r="G3" t="n">
        <v>3.84</v>
      </c>
      <c r="H3" t="inlineStr">
        <is>
          <t>ZAR/kWh (Apr-2017-R)</t>
        </is>
      </c>
      <c r="I3" t="inlineStr">
        <is>
          <t>observée</t>
        </is>
      </c>
      <c r="J3" t="n">
        <v>2017</v>
      </c>
      <c r="K3" t="inlineStr">
        <is>
          <t>B</t>
        </is>
      </c>
      <c r="L3" t="inlineStr">
        <is>
          <t>valeur_absente_de_citation</t>
        </is>
      </c>
      <c r="M3" t="inlineStr">
        <is>
          <t>CSIR Energy Centre</t>
        </is>
      </c>
      <c r="N3" t="inlineStr">
        <is>
          <t>Statistics of utility-scale solar PV, wind and CSP in South Africa in 2017</t>
        </is>
      </c>
      <c r="O3" t="inlineStr">
        <is>
          <t>https://www.csir.co.za/sites/default/files/Documents/Statistics%20of%20RE%20in%20SA%20in%202017%20-%20CSIR%20-%20FINAL.pdf</t>
        </is>
      </c>
      <c r="P3" t="inlineStr">
        <is>
          <t>2018</t>
        </is>
      </c>
      <c r="Q3" t="inlineStr">
        <is>
          <t>Actual tariffs: Reductions in tariff for new wind, solar PV and CSP [...] Actual average tariffs in R/kWh (Apr-2017-R) [...] Prices have dropped over the four bidding phases with average solar PV tariffs decreasing by 83%</t>
        </is>
      </c>
      <c r="R3" t="inlineStr">
        <is>
          <t>Valeur lue sur le graphique p.7 (série Solar PV, date de soumission Nov 2011). Compilation CSIR à partir de données DoE/IPP Office, indexée CPI en Rands d'avril 2017.</t>
        </is>
      </c>
    </row>
    <row r="4">
      <c r="A4" t="inlineStr">
        <is>
          <t>a_revoir</t>
        </is>
      </c>
      <c r="B4" t="inlineStr">
        <is>
          <t>A_australe</t>
        </is>
      </c>
      <c r="C4" t="inlineStr">
        <is>
          <t>A</t>
        </is>
      </c>
      <c r="D4" t="inlineStr">
        <is>
          <t>ZAF</t>
        </is>
      </c>
      <c r="E4" t="inlineStr">
        <is>
          <t>REIPPPP BW2 - moyenne PV</t>
        </is>
      </c>
      <c r="F4" t="inlineStr">
        <is>
          <t>tarif</t>
        </is>
      </c>
      <c r="G4" t="n">
        <v>2.29</v>
      </c>
      <c r="H4" t="inlineStr">
        <is>
          <t>ZAR/kWh (Apr-2017-R)</t>
        </is>
      </c>
      <c r="I4" t="inlineStr">
        <is>
          <t>observée</t>
        </is>
      </c>
      <c r="J4" t="n">
        <v>2017</v>
      </c>
      <c r="K4" t="inlineStr">
        <is>
          <t>B</t>
        </is>
      </c>
      <c r="L4" t="inlineStr">
        <is>
          <t>valeur_absente_de_citation</t>
        </is>
      </c>
      <c r="M4" t="inlineStr">
        <is>
          <t>CSIR Energy Centre</t>
        </is>
      </c>
      <c r="N4" t="inlineStr">
        <is>
          <t>Statistics of utility-scale solar PV, wind and CSP in South Africa in 2017</t>
        </is>
      </c>
      <c r="O4" t="inlineStr">
        <is>
          <t>https://www.csir.co.za/sites/default/files/Documents/Statistics%20of%20RE%20in%20SA%20in%202017%20-%20CSIR%20-%20FINAL.pdf</t>
        </is>
      </c>
      <c r="P4" t="inlineStr">
        <is>
          <t>2018</t>
        </is>
      </c>
      <c r="Q4" t="inlineStr">
        <is>
          <t>Actual tariffs: Reductions in tariff for new wind, solar PV and CSP [...] Actual average tariffs in R/kWh (Apr-2017-R) [...] Prices have dropped over the four bidding phases with average solar PV tariffs decreasing by 83%</t>
        </is>
      </c>
      <c r="R4" t="inlineStr">
        <is>
          <t>Valeur lue sur le graphique p.7 (série Solar PV, date de soumission Mar 2012). Compilation CSIR à partir de données DoE/IPP Office, indexée CPI en Rands d'avril 2017.</t>
        </is>
      </c>
    </row>
    <row r="5">
      <c r="A5" t="inlineStr">
        <is>
          <t>a_revoir</t>
        </is>
      </c>
      <c r="B5" t="inlineStr">
        <is>
          <t>A_australe</t>
        </is>
      </c>
      <c r="C5" t="inlineStr">
        <is>
          <t>A</t>
        </is>
      </c>
      <c r="D5" t="inlineStr">
        <is>
          <t>ZAF</t>
        </is>
      </c>
      <c r="E5" t="inlineStr">
        <is>
          <t>REIPPPP BW3 - moyenne PV</t>
        </is>
      </c>
      <c r="F5" t="inlineStr">
        <is>
          <t>tarif</t>
        </is>
      </c>
      <c r="G5" t="n">
        <v>1.23</v>
      </c>
      <c r="H5" t="inlineStr">
        <is>
          <t>ZAR/kWh (Apr-2017-R)</t>
        </is>
      </c>
      <c r="I5" t="inlineStr">
        <is>
          <t>observée</t>
        </is>
      </c>
      <c r="J5" t="n">
        <v>2017</v>
      </c>
      <c r="K5" t="inlineStr">
        <is>
          <t>B</t>
        </is>
      </c>
      <c r="L5" t="inlineStr">
        <is>
          <t>valeur_absente_de_citation</t>
        </is>
      </c>
      <c r="M5" t="inlineStr">
        <is>
          <t>CSIR Energy Centre</t>
        </is>
      </c>
      <c r="N5" t="inlineStr">
        <is>
          <t>Statistics of utility-scale solar PV, wind and CSP in South Africa in 2017</t>
        </is>
      </c>
      <c r="O5" t="inlineStr">
        <is>
          <t>https://www.csir.co.za/sites/default/files/Documents/Statistics%20of%20RE%20in%20SA%20in%202017%20-%20CSIR%20-%20FINAL.pdf</t>
        </is>
      </c>
      <c r="P5" t="inlineStr">
        <is>
          <t>2018</t>
        </is>
      </c>
      <c r="Q5" t="inlineStr">
        <is>
          <t>Actual tariffs: Reductions in tariff for new wind, solar PV and CSP [...] Actual average tariffs in R/kWh (Apr-2017-R) [...] Prices have dropped over the four bidding phases with average solar PV tariffs decreasing by 83%</t>
        </is>
      </c>
      <c r="R5" t="inlineStr">
        <is>
          <t>Valeur lue sur le graphique p.7 (série Solar PV, date de soumission Aug 2013). Compilation CSIR à partir de données DoE/IPP Office, indexée CPI en Rands d'avril 2017.</t>
        </is>
      </c>
    </row>
    <row r="6">
      <c r="A6" t="inlineStr">
        <is>
          <t>a_revoir</t>
        </is>
      </c>
      <c r="B6" t="inlineStr">
        <is>
          <t>A_australe</t>
        </is>
      </c>
      <c r="C6" t="inlineStr">
        <is>
          <t>A</t>
        </is>
      </c>
      <c r="D6" t="inlineStr">
        <is>
          <t>ZAF</t>
        </is>
      </c>
      <c r="E6" t="inlineStr">
        <is>
          <t>REIPPPP BW4 - moyenne PV</t>
        </is>
      </c>
      <c r="F6" t="inlineStr">
        <is>
          <t>tarif</t>
        </is>
      </c>
      <c r="G6" t="n">
        <v>0.96</v>
      </c>
      <c r="H6" t="inlineStr">
        <is>
          <t>ZAR/kWh (Apr-2017-R)</t>
        </is>
      </c>
      <c r="I6" t="inlineStr">
        <is>
          <t>observée</t>
        </is>
      </c>
      <c r="J6" t="n">
        <v>2017</v>
      </c>
      <c r="K6" t="inlineStr">
        <is>
          <t>B</t>
        </is>
      </c>
      <c r="L6" t="inlineStr">
        <is>
          <t>valeur_absente_de_citation</t>
        </is>
      </c>
      <c r="M6" t="inlineStr">
        <is>
          <t>CSIR Energy Centre</t>
        </is>
      </c>
      <c r="N6" t="inlineStr">
        <is>
          <t>Statistics of utility-scale solar PV, wind and CSP in South Africa in 2017</t>
        </is>
      </c>
      <c r="O6" t="inlineStr">
        <is>
          <t>https://www.csir.co.za/sites/default/files/Documents/Statistics%20of%20RE%20in%20SA%20in%202017%20-%20CSIR%20-%20FINAL.pdf</t>
        </is>
      </c>
      <c r="P6" t="inlineStr">
        <is>
          <t>2018</t>
        </is>
      </c>
      <c r="Q6" t="inlineStr">
        <is>
          <t>Actual tariffs: Reductions in tariff for new wind, solar PV and CSP [...] Actual average tariffs in R/kWh (Apr-2017-R) [...] Prices have dropped over the four bidding phases with average solar PV tariffs decreasing by 83%</t>
        </is>
      </c>
      <c r="R6" t="inlineStr">
        <is>
          <t>Valeur lue sur le graphique p.7 (série Solar PV, date de soumission Aug 2014). Compilation CSIR à partir de données DoE/IPP Office, indexée CPI en Rands d'avril 2017.</t>
        </is>
      </c>
    </row>
    <row r="7">
      <c r="A7" t="inlineStr">
        <is>
          <t>a_revoir</t>
        </is>
      </c>
      <c r="B7" t="inlineStr">
        <is>
          <t>A_australe</t>
        </is>
      </c>
      <c r="C7" t="inlineStr">
        <is>
          <t>A</t>
        </is>
      </c>
      <c r="D7" t="inlineStr">
        <is>
          <t>ZAF</t>
        </is>
      </c>
      <c r="E7" t="inlineStr">
        <is>
          <t>REIPPPP BW4 Expedited (1S2/BW4.5) - moyenne PV</t>
        </is>
      </c>
      <c r="F7" t="inlineStr">
        <is>
          <t>tarif</t>
        </is>
      </c>
      <c r="G7" t="n">
        <v>0.65</v>
      </c>
      <c r="H7" t="inlineStr">
        <is>
          <t>ZAR/kWh (Apr-2017-R)</t>
        </is>
      </c>
      <c r="I7" t="inlineStr">
        <is>
          <t>observée</t>
        </is>
      </c>
      <c r="J7" t="n">
        <v>2017</v>
      </c>
      <c r="K7" t="inlineStr">
        <is>
          <t>B</t>
        </is>
      </c>
      <c r="L7" t="inlineStr">
        <is>
          <t>valeur_absente_de_citation</t>
        </is>
      </c>
      <c r="M7" t="inlineStr">
        <is>
          <t>CSIR Energy Centre</t>
        </is>
      </c>
      <c r="N7" t="inlineStr">
        <is>
          <t>Statistics of utility-scale solar PV, wind and CSP in South Africa in 2017</t>
        </is>
      </c>
      <c r="O7" t="inlineStr">
        <is>
          <t>https://www.csir.co.za/sites/default/files/Documents/Statistics%20of%20RE%20in%20SA%20in%202017%20-%20CSIR%20-%20FINAL.pdf</t>
        </is>
      </c>
      <c r="P7" t="inlineStr">
        <is>
          <t>2018</t>
        </is>
      </c>
      <c r="Q7" t="inlineStr">
        <is>
          <t>Actual tariffs: Reductions in tariff for new wind, solar PV and CSP [...] Actual average tariffs in R/kWh (Apr-2017-R) [...] Prices have dropped over the four bidding phases with average solar PV tariffs decreasing by 83%</t>
        </is>
      </c>
      <c r="R7" t="inlineStr">
        <is>
          <t>Valeur lue sur le graphique p.7 (série Solar PV, date de soumission Nov 2015). Compilation CSIR à partir de données DoE/IPP Office, indexée CPI en Rands d'avril 2017.</t>
        </is>
      </c>
    </row>
    <row r="8">
      <c r="A8" t="inlineStr">
        <is>
          <t>a_revoir</t>
        </is>
      </c>
      <c r="B8" t="inlineStr">
        <is>
          <t>A_australe</t>
        </is>
      </c>
      <c r="C8" t="inlineStr">
        <is>
          <t>A</t>
        </is>
      </c>
      <c r="D8" t="inlineStr">
        <is>
          <t>ZAF</t>
        </is>
      </c>
      <c r="E8" t="inlineStr">
        <is>
          <t>Grootfontein PV 1-3 (ensemble)</t>
        </is>
      </c>
      <c r="F8" t="inlineStr">
        <is>
          <t>dette_part</t>
        </is>
      </c>
      <c r="G8" t="n">
        <v>0.88</v>
      </c>
      <c r="H8" t="inlineStr">
        <is>
          <t>fraction (calculée)</t>
        </is>
      </c>
      <c r="I8" t="inlineStr">
        <is>
          <t>modélisée</t>
        </is>
      </c>
      <c r="J8" t="n">
        <v>2023</v>
      </c>
      <c r="K8" t="inlineStr">
        <is>
          <t>B</t>
        </is>
      </c>
      <c r="L8" t="inlineStr">
        <is>
          <t>valeur_absente_de_citation</t>
        </is>
      </c>
      <c r="M8" t="inlineStr">
        <is>
          <t>Scatec (relayé par Renewable Energy Magazine)</t>
        </is>
      </c>
      <c r="N8" t="inlineStr">
        <is>
          <t>Scatec reaches financial close for its Grootfontein solar projects in South Africa</t>
        </is>
      </c>
      <c r="O8" t="inlineStr">
        <is>
          <t>https://www.renewableenergymagazine.com/pv_solar/scatec-reaches-financial-close-for-its-grootfontein-20230630</t>
        </is>
      </c>
      <c r="P8" t="inlineStr">
        <is>
          <t>2023-06-30</t>
        </is>
      </c>
      <c r="Q8" t="inlineStr">
        <is>
          <t>ZAR 4.5 billion (US$241 million) of non-recourse project finance debt [...] estimated total project cost of ZAR 5.1 billion</t>
        </is>
      </c>
      <c r="R8" t="inlineStr">
        <is>
          <t>Calcul 4.5/5.1.</t>
        </is>
      </c>
    </row>
    <row r="9">
      <c r="A9" t="inlineStr">
        <is>
          <t>a_revoir</t>
        </is>
      </c>
      <c r="B9" t="inlineStr">
        <is>
          <t>A_australe</t>
        </is>
      </c>
      <c r="C9" t="inlineStr">
        <is>
          <t>A</t>
        </is>
      </c>
      <c r="D9" t="inlineStr">
        <is>
          <t>ZMB</t>
        </is>
      </c>
      <c r="E9" t="inlineStr">
        <is>
          <t>Bangweulu (Scaling Solar, West Lunga)</t>
        </is>
      </c>
      <c r="F9" t="inlineStr">
        <is>
          <t>annee_attribution</t>
        </is>
      </c>
      <c r="G9" t="n">
        <v>2016</v>
      </c>
      <c r="H9" t="inlineStr">
        <is>
          <t>année</t>
        </is>
      </c>
      <c r="I9" t="inlineStr">
        <is>
          <t>observée</t>
        </is>
      </c>
      <c r="K9" t="inlineStr">
        <is>
          <t>B</t>
        </is>
      </c>
      <c r="L9" t="inlineStr">
        <is>
          <t>valeur_absente_de_citation</t>
        </is>
      </c>
      <c r="M9" t="inlineStr">
        <is>
          <t>IDC Zambia</t>
        </is>
      </c>
      <c r="N9" t="inlineStr">
        <is>
          <t>First 'Scaling Solar' Auctions in Zambia Yield Record Low Tariffs amid Electricity Shortages</t>
        </is>
      </c>
      <c r="O9" t="inlineStr">
        <is>
          <t>https://www.idc.co.zm/?p=861</t>
        </is>
      </c>
      <c r="P9" t="inlineStr">
        <is>
          <t>2016-05 (page datée 2018-07-09)</t>
        </is>
      </c>
      <c r="Q9" t="inlineStr">
        <is>
          <t>NEOEN S.A.S. / First Solar Inc. and Enel Green Power S.p.A. will win the two projects</t>
        </is>
      </c>
      <c r="R9" t="inlineStr">
        <is>
          <t>Résultats Scaling Solar mai-juin 2016.</t>
        </is>
      </c>
    </row>
    <row r="10">
      <c r="A10" t="inlineStr">
        <is>
          <t>a_revoir</t>
        </is>
      </c>
      <c r="B10" t="inlineStr">
        <is>
          <t>A_australe</t>
        </is>
      </c>
      <c r="C10" t="inlineStr">
        <is>
          <t>A</t>
        </is>
      </c>
      <c r="D10" t="inlineStr">
        <is>
          <t>ZMB</t>
        </is>
      </c>
      <c r="E10" t="inlineStr">
        <is>
          <t>Ngonye (Scaling Solar, Mosi-oa-Tunya)</t>
        </is>
      </c>
      <c r="F10" t="inlineStr">
        <is>
          <t>puissance_mwp</t>
        </is>
      </c>
      <c r="G10" t="n">
        <v>34</v>
      </c>
      <c r="H10" t="inlineStr">
        <is>
          <t>MWp (DC)</t>
        </is>
      </c>
      <c r="I10" t="inlineStr">
        <is>
          <t>déclarée</t>
        </is>
      </c>
      <c r="K10" t="inlineStr">
        <is>
          <t>B</t>
        </is>
      </c>
      <c r="L10" t="inlineStr">
        <is>
          <t>citation_absente</t>
        </is>
      </c>
      <c r="M10" t="inlineStr">
        <is>
          <t>Enel Green Power</t>
        </is>
      </c>
      <c r="N10" t="inlineStr">
        <is>
          <t>Enel and IDC sign 34 million US dollar financing agreement with IFC and EIB for solar project in Zambia</t>
        </is>
      </c>
      <c r="O10" t="inlineStr">
        <is>
          <t>https://www.enelgreenpower.com/megamenu/media/press/2018/06/enel-and-idc-sign-34-million-us-dollar-financing-agreement-with-ifc-and-eib-for-solar-project-in-zambia</t>
        </is>
      </c>
      <c r="P10" t="inlineStr">
        <is>
          <t>2018-06-20</t>
        </is>
      </c>
      <c r="Q10" t="inlineStr">
        <is>
          <t>the construction of the 34 MW1 Ngonye solar plant [...] (footnote: Dc capacity, equivalent to 28 MWac.)</t>
        </is>
      </c>
      <c r="R10" t="inlineStr"/>
    </row>
    <row r="11">
      <c r="A11" t="inlineStr">
        <is>
          <t>a_revoir</t>
        </is>
      </c>
      <c r="B11" t="inlineStr">
        <is>
          <t>A_australe</t>
        </is>
      </c>
      <c r="C11" t="inlineStr">
        <is>
          <t>A</t>
        </is>
      </c>
      <c r="D11" t="inlineStr">
        <is>
          <t>ZMB</t>
        </is>
      </c>
      <c r="E11" t="inlineStr">
        <is>
          <t>Bulemu East &amp; West (GET FiT Zambia)</t>
        </is>
      </c>
      <c r="F11" t="inlineStr">
        <is>
          <t>puissance_mwac</t>
        </is>
      </c>
      <c r="G11" t="n">
        <v>40</v>
      </c>
      <c r="H11" t="inlineStr">
        <is>
          <t>MWac (2 x 20)</t>
        </is>
      </c>
      <c r="I11" t="inlineStr">
        <is>
          <t>observée</t>
        </is>
      </c>
      <c r="K11" t="inlineStr">
        <is>
          <t>B</t>
        </is>
      </c>
      <c r="L11" t="inlineStr">
        <is>
          <t>valeur_absente_de_citation</t>
        </is>
      </c>
      <c r="M11" t="inlineStr">
        <is>
          <t>UCT GSB Power Futures Lab (Kruger &amp; Eberhard)</t>
        </is>
      </c>
      <c r="N11" t="inlineStr">
        <is>
          <t>Zambia Country Report - Energy and Economic Growth Research Programme</t>
        </is>
      </c>
      <c r="O11" t="inlineStr">
        <is>
          <t>https://www.gsb.uct.ac.za/files/Zambia_Country_Report.pdf</t>
        </is>
      </c>
      <c r="P11" t="inlineStr">
        <is>
          <t>2019-07</t>
        </is>
      </c>
      <c r="Q11" t="inlineStr">
        <is>
          <t>Bulemu East &amp; West Building Energy &amp; Pele Green Energy 2 x 20 MWac US$c 3,999/kWh</t>
        </is>
      </c>
      <c r="R11" t="inlineStr"/>
    </row>
    <row r="12">
      <c r="A12" t="inlineStr">
        <is>
          <t>a_revoir</t>
        </is>
      </c>
      <c r="B12" t="inlineStr">
        <is>
          <t>A_australe</t>
        </is>
      </c>
      <c r="C12" t="inlineStr">
        <is>
          <t>A</t>
        </is>
      </c>
      <c r="D12" t="inlineStr">
        <is>
          <t>ZMB</t>
        </is>
      </c>
      <c r="E12" t="inlineStr">
        <is>
          <t>Aurora Sola One &amp; Two (GET FiT Zambia)</t>
        </is>
      </c>
      <c r="F12" t="inlineStr">
        <is>
          <t>puissance_mwac</t>
        </is>
      </c>
      <c r="G12" t="n">
        <v>40</v>
      </c>
      <c r="H12" t="inlineStr">
        <is>
          <t>MWac (2 x 20)</t>
        </is>
      </c>
      <c r="I12" t="inlineStr">
        <is>
          <t>observée</t>
        </is>
      </c>
      <c r="K12" t="inlineStr">
        <is>
          <t>B</t>
        </is>
      </c>
      <c r="L12" t="inlineStr">
        <is>
          <t>valeur_absente_de_citation</t>
        </is>
      </c>
      <c r="M12" t="inlineStr">
        <is>
          <t>UCT GSB Power Futures Lab (Kruger &amp; Eberhard)</t>
        </is>
      </c>
      <c r="N12" t="inlineStr">
        <is>
          <t>Zambia Country Report - Energy and Economic Growth Research Programme</t>
        </is>
      </c>
      <c r="O12" t="inlineStr">
        <is>
          <t>https://www.gsb.uct.ac.za/files/Zambia_Country_Report.pdf</t>
        </is>
      </c>
      <c r="P12" t="inlineStr">
        <is>
          <t>2019-07</t>
        </is>
      </c>
      <c r="Q12" t="inlineStr">
        <is>
          <t>Aurora Sola One &amp; Two Globeleq &amp; Aurora Power Solutions 2 x 20 MWac US$c 4,52/kWh</t>
        </is>
      </c>
      <c r="R12" t="inlineStr"/>
    </row>
    <row r="13">
      <c r="A13" t="inlineStr">
        <is>
          <t>a_revoir</t>
        </is>
      </c>
      <c r="B13" t="inlineStr">
        <is>
          <t>A_australe</t>
        </is>
      </c>
      <c r="C13" t="inlineStr">
        <is>
          <t>A</t>
        </is>
      </c>
      <c r="D13" t="inlineStr">
        <is>
          <t>ZMB</t>
        </is>
      </c>
      <c r="E13" t="inlineStr">
        <is>
          <t>Garneton North &amp; South (GET FiT Zambia)</t>
        </is>
      </c>
      <c r="F13" t="inlineStr">
        <is>
          <t>puissance_mwac</t>
        </is>
      </c>
      <c r="G13" t="n">
        <v>40</v>
      </c>
      <c r="H13" t="inlineStr">
        <is>
          <t>MWac (2 x 20)</t>
        </is>
      </c>
      <c r="I13" t="inlineStr">
        <is>
          <t>observée</t>
        </is>
      </c>
      <c r="K13" t="inlineStr">
        <is>
          <t>B</t>
        </is>
      </c>
      <c r="L13" t="inlineStr">
        <is>
          <t>valeur_absente_de_citation</t>
        </is>
      </c>
      <c r="M13" t="inlineStr">
        <is>
          <t>UCT GSB Power Futures Lab (Kruger &amp; Eberhard)</t>
        </is>
      </c>
      <c r="N13" t="inlineStr">
        <is>
          <t>Zambia Country Report - Energy and Economic Growth Research Programme</t>
        </is>
      </c>
      <c r="O13" t="inlineStr">
        <is>
          <t>https://www.gsb.uct.ac.za/files/Zambia_Country_Report.pdf</t>
        </is>
      </c>
      <c r="P13" t="inlineStr">
        <is>
          <t>2019-07</t>
        </is>
      </c>
      <c r="Q13" t="inlineStr">
        <is>
          <t>Garneton North &amp; South Innovent &amp; CEC 2 x 20 MWac US$c 4,8/kWh</t>
        </is>
      </c>
      <c r="R13" t="inlineStr"/>
    </row>
    <row r="14">
      <c r="A14" t="inlineStr">
        <is>
          <t>a_revoir</t>
        </is>
      </c>
      <c r="B14" t="inlineStr">
        <is>
          <t>A_australe</t>
        </is>
      </c>
      <c r="C14" t="inlineStr">
        <is>
          <t>A</t>
        </is>
      </c>
      <c r="D14" t="inlineStr">
        <is>
          <t>ZMB</t>
        </is>
      </c>
      <c r="E14" t="inlineStr">
        <is>
          <t>Chisamba Solar phase II (ZESCO)</t>
        </is>
      </c>
      <c r="F14" t="inlineStr">
        <is>
          <t>annee_mise_en_service</t>
        </is>
      </c>
      <c r="G14" t="n">
        <v>2026</v>
      </c>
      <c r="H14" t="inlineStr">
        <is>
          <t>année</t>
        </is>
      </c>
      <c r="I14" t="inlineStr">
        <is>
          <t>observée</t>
        </is>
      </c>
      <c r="K14" t="inlineStr">
        <is>
          <t>C</t>
        </is>
      </c>
      <c r="L14" t="inlineStr">
        <is>
          <t>valeur_absente_de_citation</t>
        </is>
      </c>
      <c r="M14" t="inlineStr">
        <is>
          <t>pv magazine</t>
        </is>
      </c>
      <c r="N14" t="inlineStr">
        <is>
          <t>Zambia doubles capacity of Chisamba solar project</t>
        </is>
      </c>
      <c r="O14" t="inlineStr">
        <is>
          <t>https://www.pv-magazine.com/2026/07/28/zambia-doubles-capacity-of-chisamba-solar-project/</t>
        </is>
      </c>
      <c r="P14" t="inlineStr">
        <is>
          <t>2026-07-28</t>
        </is>
      </c>
      <c r="Q14" t="inlineStr">
        <is>
          <t>Zambian state-owned power company ZESCO has commissioned the second phase of the Chisamba solar power plant</t>
        </is>
      </c>
      <c r="R14" t="inlineStr">
        <is>
          <t>Total complexe 200 MW.</t>
        </is>
      </c>
    </row>
    <row r="15">
      <c r="A15" t="inlineStr">
        <is>
          <t>a_revoir</t>
        </is>
      </c>
      <c r="B15" t="inlineStr">
        <is>
          <t>A_australe</t>
        </is>
      </c>
      <c r="C15" t="inlineStr">
        <is>
          <t>A</t>
        </is>
      </c>
      <c r="D15" t="inlineStr">
        <is>
          <t>ZWE</t>
        </is>
      </c>
      <c r="E15" t="inlineStr">
        <is>
          <t>Zimplats Selous Solar phase 1 (captif)</t>
        </is>
      </c>
      <c r="F15" t="inlineStr">
        <is>
          <t>production_gwh_an</t>
        </is>
      </c>
      <c r="G15" t="n">
        <v>66</v>
      </c>
      <c r="H15" t="inlineStr">
        <is>
          <t>GWh/an (FY2025, &gt;66)</t>
        </is>
      </c>
      <c r="I15" t="inlineStr">
        <is>
          <t>observée</t>
        </is>
      </c>
      <c r="J15" t="n">
        <v>2025</v>
      </c>
      <c r="K15" t="inlineStr">
        <is>
          <t>C</t>
        </is>
      </c>
      <c r="L15" t="inlineStr">
        <is>
          <t>inaccessible</t>
        </is>
      </c>
      <c r="M15" t="inlineStr">
        <is>
          <t>SolarQuarter</t>
        </is>
      </c>
      <c r="N15" t="inlineStr">
        <is>
          <t>Zimplats Advances 185 MW Solar Program</t>
        </is>
      </c>
      <c r="O15" t="inlineStr">
        <is>
          <t>https://solarquarter.com/2026/07/02/zimplats-advances-185-mw-solar-program-strengthening-zimbabwes-renewable-energy-investment-outlook/</t>
        </is>
      </c>
      <c r="P15" t="inlineStr">
        <is>
          <t>2026-07-02</t>
        </is>
      </c>
      <c r="Q15" t="inlineStr">
        <is>
          <t>During the 2025 fiscal year, the plant generated more than 66GWh of clean electricity,</t>
        </is>
      </c>
      <c r="R15" t="inlineStr">
        <is>
          <t>Production réalisée; 35 MW (DC/AC non précisé) -&gt; ~21-22% FC (calcul approx.). Phase 2 (+45 MW) en construction.</t>
        </is>
      </c>
    </row>
    <row r="16">
      <c r="A16" t="inlineStr">
        <is>
          <t>a_revoir</t>
        </is>
      </c>
      <c r="B16" t="inlineStr">
        <is>
          <t>A_centre_est</t>
        </is>
      </c>
      <c r="C16" t="inlineStr">
        <is>
          <t>A</t>
        </is>
      </c>
      <c r="D16" t="inlineStr">
        <is>
          <t>UGA</t>
        </is>
      </c>
      <c r="E16" t="inlineStr">
        <is>
          <t>Soroti Solar (Access Uganda Solar)</t>
        </is>
      </c>
      <c r="F16" t="inlineStr">
        <is>
          <t>dette_part</t>
        </is>
      </c>
      <c r="G16" t="n">
        <v>0.5600000000000001</v>
      </c>
      <c r="H16" t="inlineStr">
        <is>
          <t>fraction (calculée 10,7/19)</t>
        </is>
      </c>
      <c r="I16" t="inlineStr">
        <is>
          <t>modélisée</t>
        </is>
      </c>
      <c r="J16" t="n">
        <v>2016</v>
      </c>
      <c r="K16" t="inlineStr">
        <is>
          <t>B</t>
        </is>
      </c>
      <c r="L16" t="inlineStr">
        <is>
          <t>valeur_absente_de_citation</t>
        </is>
      </c>
      <c r="M16" t="inlineStr">
        <is>
          <t>EAIF / PIDG</t>
        </is>
      </c>
      <c r="N16" t="inlineStr">
        <is>
          <t>EAIF participates in Uganda solar farm project financing led by FMO</t>
        </is>
      </c>
      <c r="O16" t="inlineStr">
        <is>
          <t>https://www.eaif.com/eaif-participates-in-uganda-solar-farm-project-financing-led-by-fmo/</t>
        </is>
      </c>
      <c r="P16" t="inlineStr">
        <is>
          <t>2016</t>
        </is>
      </c>
      <c r="Q16" t="inlineStr">
        <is>
          <t>EAIF contributed US$5.35 million to FMO's total loan to its client of US$10.7 million.</t>
        </is>
      </c>
      <c r="R16" t="inlineStr">
        <is>
          <t>Calcul: prêt total 10,7 M USD / coût 19 M USD (FMO). Taux et durée de la dette non trouvés.</t>
        </is>
      </c>
    </row>
    <row r="17">
      <c r="A17" t="inlineStr">
        <is>
          <t>a_revoir</t>
        </is>
      </c>
      <c r="B17" t="inlineStr">
        <is>
          <t>A_centre_est</t>
        </is>
      </c>
      <c r="C17" t="inlineStr">
        <is>
          <t>A</t>
        </is>
      </c>
      <c r="D17" t="inlineStr">
        <is>
          <t>UGA</t>
        </is>
      </c>
      <c r="E17" t="inlineStr">
        <is>
          <t>Tororo Solar North (Building Energy)</t>
        </is>
      </c>
      <c r="F17" t="inlineStr">
        <is>
          <t>financeurs</t>
        </is>
      </c>
      <c r="G17" t="inlineStr">
        <is>
          <t>Prêt à terme 14,7 M USD (FMO arrangeur, 50 % syndiqué à EAIF) ; fonds propres 4,9 M USD ; prime GET FiT 7,08 M EUR (EU-AITF)</t>
        </is>
      </c>
      <c r="H17" t="inlineStr">
        <is>
          <t>texte</t>
        </is>
      </c>
      <c r="I17" t="inlineStr">
        <is>
          <t>observée</t>
        </is>
      </c>
      <c r="J17" t="n">
        <v>2017</v>
      </c>
      <c r="K17" t="inlineStr">
        <is>
          <t>B</t>
        </is>
      </c>
      <c r="L17" t="inlineStr">
        <is>
          <t>citation_absente</t>
        </is>
      </c>
      <c r="M17" t="inlineStr">
        <is>
          <t>Délégation UE en Ouganda (EEAS)</t>
        </is>
      </c>
      <c r="N17" t="inlineStr">
        <is>
          <t>Inauguration of Tororo solar power plant (GET FiT / EU-AITF)</t>
        </is>
      </c>
      <c r="O17" t="inlineStr">
        <is>
          <t>https://www.eeas.europa.eu/node/34013</t>
        </is>
      </c>
      <c r="P17" t="inlineStr">
        <is>
          <t>2017-10-16</t>
        </is>
      </c>
      <c r="Q17" t="inlineStr">
        <is>
          <t>$14.7 million term loan facility ... Half was syndicated to the Emerging Africa Infrastructure Fund ... Shareholders contributed $4.9 million ... 7,08 million euros</t>
        </is>
      </c>
      <c r="R17" t="inlineStr">
        <is>
          <t>Citation recomposée à partir de fragments de la page (non continue).</t>
        </is>
      </c>
    </row>
    <row r="18">
      <c r="A18" t="inlineStr">
        <is>
          <t>a_revoir</t>
        </is>
      </c>
      <c r="B18" t="inlineStr">
        <is>
          <t>A_centre_est</t>
        </is>
      </c>
      <c r="C18" t="inlineStr">
        <is>
          <t>A</t>
        </is>
      </c>
      <c r="D18" t="inlineStr">
        <is>
          <t>UGA</t>
        </is>
      </c>
      <c r="E18" t="inlineStr">
        <is>
          <t>Tororo Solar North (Building Energy)</t>
        </is>
      </c>
      <c r="F18" t="inlineStr">
        <is>
          <t>dette_part</t>
        </is>
      </c>
      <c r="G18" t="n">
        <v>0.75</v>
      </c>
      <c r="H18" t="inlineStr">
        <is>
          <t>fraction (calculée 14,7/19,6)</t>
        </is>
      </c>
      <c r="I18" t="inlineStr">
        <is>
          <t>modélisée</t>
        </is>
      </c>
      <c r="J18" t="n">
        <v>2017</v>
      </c>
      <c r="K18" t="inlineStr">
        <is>
          <t>B</t>
        </is>
      </c>
      <c r="L18" t="inlineStr">
        <is>
          <t>citation_absente</t>
        </is>
      </c>
      <c r="M18" t="inlineStr">
        <is>
          <t>Délégation UE en Ouganda (EEAS)</t>
        </is>
      </c>
      <c r="N18" t="inlineStr">
        <is>
          <t>Inauguration of Tororo solar power plant (GET FiT / EU-AITF)</t>
        </is>
      </c>
      <c r="O18" t="inlineStr">
        <is>
          <t>https://www.eeas.europa.eu/node/34013</t>
        </is>
      </c>
      <c r="P18" t="inlineStr">
        <is>
          <t>2017-10-16</t>
        </is>
      </c>
      <c r="Q18" t="inlineStr">
        <is>
          <t>$14.7 million term loan facility</t>
        </is>
      </c>
      <c r="R18" t="inlineStr">
        <is>
          <t>Calcul: 14,7/(14,7+4,9)=0,75.</t>
        </is>
      </c>
    </row>
    <row r="19">
      <c r="A19" t="inlineStr">
        <is>
          <t>a_revoir</t>
        </is>
      </c>
      <c r="B19" t="inlineStr">
        <is>
          <t>A_centre_est</t>
        </is>
      </c>
      <c r="C19" t="inlineStr">
        <is>
          <t>A</t>
        </is>
      </c>
      <c r="D19" t="inlineStr">
        <is>
          <t>UGA</t>
        </is>
      </c>
      <c r="E19" t="inlineStr">
        <is>
          <t>Tororo Solar North (Building Energy)</t>
        </is>
      </c>
      <c r="F19" t="inlineStr">
        <is>
          <t>annee_mise_en_service</t>
        </is>
      </c>
      <c r="G19" t="n">
        <v>2017</v>
      </c>
      <c r="H19" t="inlineStr">
        <is>
          <t>année</t>
        </is>
      </c>
      <c r="I19" t="inlineStr">
        <is>
          <t>observée</t>
        </is>
      </c>
      <c r="J19" t="n">
        <v>2017</v>
      </c>
      <c r="K19" t="inlineStr">
        <is>
          <t>C</t>
        </is>
      </c>
      <c r="L19" t="inlineStr">
        <is>
          <t>valeur_absente_de_citation</t>
        </is>
      </c>
      <c r="M19" t="inlineStr">
        <is>
          <t>pv magazine</t>
        </is>
      </c>
      <c r="N19" t="inlineStr">
        <is>
          <t>10 MW PV plant connected in Uganda</t>
        </is>
      </c>
      <c r="O19" t="inlineStr">
        <is>
          <t>https://www.pv-magazine.com/2017/10/16/10-mw-pv-plant-connected-in-uganda/</t>
        </is>
      </c>
      <c r="P19" t="inlineStr">
        <is>
          <t>2017-10-16</t>
        </is>
      </c>
      <c r="Q19" t="inlineStr">
        <is>
          <t>generate 16 GWh of electricity annually</t>
        </is>
      </c>
      <c r="R19" t="inlineStr">
        <is>
          <t>Article du 16/10/2017 annonçant le début de production.</t>
        </is>
      </c>
    </row>
    <row r="20">
      <c r="A20" t="inlineStr">
        <is>
          <t>a_revoir</t>
        </is>
      </c>
      <c r="B20" t="inlineStr">
        <is>
          <t>A_centre_est</t>
        </is>
      </c>
      <c r="C20" t="inlineStr">
        <is>
          <t>A</t>
        </is>
      </c>
      <c r="D20" t="inlineStr">
        <is>
          <t>UGA</t>
        </is>
      </c>
      <c r="E20" t="inlineStr">
        <is>
          <t>Mayuge / Bufulubi Solar (Tryba Energy)</t>
        </is>
      </c>
      <c r="F20" t="inlineStr">
        <is>
          <t>annee_mise_en_service</t>
        </is>
      </c>
      <c r="G20" t="n">
        <v>2019</v>
      </c>
      <c r="H20" t="inlineStr">
        <is>
          <t>année</t>
        </is>
      </c>
      <c r="I20" t="inlineStr">
        <is>
          <t>observée</t>
        </is>
      </c>
      <c r="J20" t="n">
        <v>2019</v>
      </c>
      <c r="K20" t="inlineStr">
        <is>
          <t>C</t>
        </is>
      </c>
      <c r="L20" t="inlineStr">
        <is>
          <t>valeur_absente_de_citation</t>
        </is>
      </c>
      <c r="M20" t="inlineStr">
        <is>
          <t>Daily Monitor</t>
        </is>
      </c>
      <c r="N20" t="inlineStr">
        <is>
          <t>Mayuge gets Shs41b solar plant</t>
        </is>
      </c>
      <c r="O20" t="inlineStr">
        <is>
          <t>https://www.monitor.co.ug/uganda/news/national/mayuge-gets-shs41b-solar-plant-1830674</t>
        </is>
      </c>
      <c r="P20" t="inlineStr">
        <is>
          <t>2019-06-07</t>
        </is>
      </c>
      <c r="Q20" t="inlineStr">
        <is>
          <t>A 10MW solar power plant has been commissioned in Mayuge District.</t>
        </is>
      </c>
      <c r="R20" t="inlineStr"/>
    </row>
    <row r="21">
      <c r="A21" t="inlineStr">
        <is>
          <t>a_revoir</t>
        </is>
      </c>
      <c r="B21" t="inlineStr">
        <is>
          <t>A_centre_est</t>
        </is>
      </c>
      <c r="C21" t="inlineStr">
        <is>
          <t>A</t>
        </is>
      </c>
      <c r="D21" t="inlineStr">
        <is>
          <t>UGA</t>
        </is>
      </c>
      <c r="E21" t="inlineStr">
        <is>
          <t>Nkonge / Kabulasoke Solar (Xsabo, 20 MW, financement UDB)</t>
        </is>
      </c>
      <c r="F21" t="inlineStr">
        <is>
          <t>tarif</t>
        </is>
      </c>
      <c r="G21" t="n">
        <v>0.07099999999999999</v>
      </c>
      <c r="H21" t="inlineStr">
        <is>
          <t>USD/kWh</t>
        </is>
      </c>
      <c r="I21" t="inlineStr">
        <is>
          <t>déclarée</t>
        </is>
      </c>
      <c r="J21" t="n">
        <v>2024</v>
      </c>
      <c r="K21" t="inlineStr">
        <is>
          <t>C</t>
        </is>
      </c>
      <c r="L21" t="inlineStr">
        <is>
          <t>inaccessible</t>
        </is>
      </c>
      <c r="M21" t="inlineStr">
        <is>
          <t>The Observer (Ouganda)</t>
        </is>
      </c>
      <c r="N21" t="inlineStr">
        <is>
          <t>Nkonge solar plant adds 20MW to national grid</t>
        </is>
      </c>
      <c r="O21" t="inlineStr">
        <is>
          <t>https://observer.ug/news/nkonge-solar-plant-adds-20mw-to-national-grid/</t>
        </is>
      </c>
      <c r="P21" t="inlineStr">
        <is>
          <t>2024-03-10</t>
        </is>
      </c>
      <c r="Q21" t="inlineStr">
        <is>
          <t>an advantageous tariff of US cents 7.1 per kilowatt-hour</t>
        </is>
      </c>
      <c r="R21" t="inlineStr">
        <is>
          <t>Vente à UETCL. Licence ERA 21 ans 3 mois du 28/09/2020 pour 20 MW à Kyakasa (Mubende). La page situe la centrale 'in Kabulasoke at the Nkonge station' : risque de confusion avec Kabulasoke-Gomba (Xsabo, 2019).</t>
        </is>
      </c>
    </row>
    <row r="22">
      <c r="A22" t="inlineStr">
        <is>
          <t>a_revoir</t>
        </is>
      </c>
      <c r="B22" t="inlineStr">
        <is>
          <t>A_centre_est</t>
        </is>
      </c>
      <c r="C22" t="inlineStr">
        <is>
          <t>A</t>
        </is>
      </c>
      <c r="D22" t="inlineStr">
        <is>
          <t>UGA</t>
        </is>
      </c>
      <c r="E22" t="inlineStr">
        <is>
          <t>Nkonge / Kabulasoke Solar (Xsabo, 20 MW, financement UDB)</t>
        </is>
      </c>
      <c r="F22" t="inlineStr">
        <is>
          <t>financeurs</t>
        </is>
      </c>
      <c r="G22" t="inlineStr">
        <is>
          <t>Prêt Uganda Development Bank</t>
        </is>
      </c>
      <c r="H22" t="inlineStr">
        <is>
          <t>texte</t>
        </is>
      </c>
      <c r="I22" t="inlineStr">
        <is>
          <t>déclarée</t>
        </is>
      </c>
      <c r="J22" t="n">
        <v>2024</v>
      </c>
      <c r="K22" t="inlineStr">
        <is>
          <t>C</t>
        </is>
      </c>
      <c r="L22" t="inlineStr">
        <is>
          <t>inaccessible</t>
        </is>
      </c>
      <c r="M22" t="inlineStr">
        <is>
          <t>The Observer (Ouganda)</t>
        </is>
      </c>
      <c r="N22" t="inlineStr">
        <is>
          <t>Nkonge solar plant adds 20MW to national grid</t>
        </is>
      </c>
      <c r="O22" t="inlineStr">
        <is>
          <t>https://observer.ug/news/nkonge-solar-plant-adds-20mw-to-national-grid/</t>
        </is>
      </c>
      <c r="P22" t="inlineStr">
        <is>
          <t>2024-03-10</t>
        </is>
      </c>
      <c r="Q22" t="inlineStr">
        <is>
          <t>loan from the Uganda Development Bank</t>
        </is>
      </c>
      <c r="R22" t="inlineStr">
        <is>
          <t>Montant non trouvé sur la page ouverte (un autre résultat de recherche cite 21 M USD, non vérifié).</t>
        </is>
      </c>
    </row>
    <row r="23">
      <c r="A23" t="inlineStr">
        <is>
          <t>a_revoir</t>
        </is>
      </c>
      <c r="B23" t="inlineStr">
        <is>
          <t>A_centre_est</t>
        </is>
      </c>
      <c r="C23" t="inlineStr">
        <is>
          <t>A</t>
        </is>
      </c>
      <c r="D23" t="inlineStr">
        <is>
          <t>UGA</t>
        </is>
      </c>
      <c r="E23" t="inlineStr">
        <is>
          <t>Nkonge / Kabulasoke Solar (Xsabo, 20 MW, financement UDB)</t>
        </is>
      </c>
      <c r="F23" t="inlineStr">
        <is>
          <t>puissance_mwp</t>
        </is>
      </c>
      <c r="G23" t="n">
        <v>20</v>
      </c>
      <c r="H23" t="inlineStr">
        <is>
          <t>MW (DC/AC non précisé)</t>
        </is>
      </c>
      <c r="I23" t="inlineStr">
        <is>
          <t>déclarée</t>
        </is>
      </c>
      <c r="J23" t="n">
        <v>2024</v>
      </c>
      <c r="K23" t="inlineStr">
        <is>
          <t>C</t>
        </is>
      </c>
      <c r="L23" t="inlineStr">
        <is>
          <t>inaccessible</t>
        </is>
      </c>
      <c r="M23" t="inlineStr">
        <is>
          <t>The Observer (Ouganda)</t>
        </is>
      </c>
      <c r="N23" t="inlineStr">
        <is>
          <t>Nkonge solar plant adds 20MW to national grid</t>
        </is>
      </c>
      <c r="O23" t="inlineStr">
        <is>
          <t>https://observer.ug/news/nkonge-solar-plant-adds-20mw-to-national-grid/</t>
        </is>
      </c>
      <c r="P23" t="inlineStr">
        <is>
          <t>2024-03-10</t>
        </is>
      </c>
      <c r="Q23" t="inlineStr">
        <is>
          <t>20 megawatts</t>
        </is>
      </c>
      <c r="R23" t="inlineStr"/>
    </row>
    <row r="24">
      <c r="A24" t="inlineStr">
        <is>
          <t>a_revoir</t>
        </is>
      </c>
      <c r="B24" t="inlineStr">
        <is>
          <t>A_centre_est</t>
        </is>
      </c>
      <c r="C24" t="inlineStr">
        <is>
          <t>A</t>
        </is>
      </c>
      <c r="D24" t="inlineStr">
        <is>
          <t>UGA</t>
        </is>
      </c>
      <c r="E24" t="inlineStr">
        <is>
          <t>Contexte réglementaire Ouganda (ERA)</t>
        </is>
      </c>
      <c r="F24" t="inlineStr">
        <is>
          <t>tarif</t>
        </is>
      </c>
      <c r="G24" t="n">
        <v>0.051</v>
      </c>
      <c r="H24" t="inlineStr">
        <is>
          <t>USD/kWh (tarif solaire de référence ERA)</t>
        </is>
      </c>
      <c r="I24" t="inlineStr">
        <is>
          <t>déclarée</t>
        </is>
      </c>
      <c r="J24" t="n">
        <v>2025</v>
      </c>
      <c r="K24" t="inlineStr">
        <is>
          <t>C</t>
        </is>
      </c>
      <c r="L24" t="inlineStr">
        <is>
          <t>inaccessible</t>
        </is>
      </c>
      <c r="M24" t="inlineStr">
        <is>
          <t>The Observer (Ouganda)</t>
        </is>
      </c>
      <c r="N24" t="inlineStr">
        <is>
          <t>Solar power now Uganda's cheapest energy as tariff drops to 5.1 US cents</t>
        </is>
      </c>
      <c r="O24" t="inlineStr">
        <is>
          <t>https://observer.ug/business/solar-power-now-ugandas-cheapest-energy-as-tariff-drops-to-5-1-us-cents/</t>
        </is>
      </c>
      <c r="P24" t="inlineStr">
        <is>
          <t>2025-05-28</t>
        </is>
      </c>
      <c r="Q24" t="inlineStr">
        <is>
          <t>5.1 US cents/kWh</t>
        </is>
      </c>
      <c r="R24" t="inlineStr">
        <is>
          <t>Remplace FiT antérieur de 7,1 USc/kWh. Non rattaché à un projet précis.</t>
        </is>
      </c>
    </row>
    <row r="25">
      <c r="A25" t="inlineStr">
        <is>
          <t>a_revoir</t>
        </is>
      </c>
      <c r="B25" t="inlineStr">
        <is>
          <t>A_centre_est</t>
        </is>
      </c>
      <c r="C25" t="inlineStr">
        <is>
          <t>A</t>
        </is>
      </c>
      <c r="D25" t="inlineStr">
        <is>
          <t>KEN</t>
        </is>
      </c>
      <c r="E25" t="inlineStr">
        <is>
          <t>Malindi Solar (Globeleq/AEDC)</t>
        </is>
      </c>
      <c r="F25" t="inlineStr">
        <is>
          <t>dette_part</t>
        </is>
      </c>
      <c r="G25" t="n">
        <v>0.754</v>
      </c>
      <c r="H25" t="inlineStr">
        <is>
          <t>fraction (calculée 52/69)</t>
        </is>
      </c>
      <c r="I25" t="inlineStr">
        <is>
          <t>modélisée</t>
        </is>
      </c>
      <c r="J25" t="n">
        <v>2019</v>
      </c>
      <c r="K25" t="inlineStr">
        <is>
          <t>B</t>
        </is>
      </c>
      <c r="L25" t="inlineStr">
        <is>
          <t>valeur_absente_de_citation</t>
        </is>
      </c>
      <c r="M25" t="inlineStr">
        <is>
          <t>Globeleq (communiqué via PR Newswire)</t>
        </is>
      </c>
      <c r="N25" t="inlineStr">
        <is>
          <t>Globeleq reaches financial close on Kenya's first utility-scale IPP solar project</t>
        </is>
      </c>
      <c r="O25" t="inlineStr">
        <is>
          <t>https://www.prnewswire.co.uk/news-releases/globeleq-reaches-financial-close-on-kenya-s-first-utility-scale-ipp-solar-project-844728383</t>
        </is>
      </c>
      <c r="P25" t="inlineStr">
        <is>
          <t>2019-06-03</t>
        </is>
      </c>
      <c r="Q25" t="inlineStr">
        <is>
          <t>has sourced US$52 million in debt financing</t>
        </is>
      </c>
      <c r="R25" t="inlineStr">
        <is>
          <t>Calcul.</t>
        </is>
      </c>
    </row>
    <row r="26">
      <c r="A26" t="inlineStr">
        <is>
          <t>a_revoir</t>
        </is>
      </c>
      <c r="B26" t="inlineStr">
        <is>
          <t>A_centre_est</t>
        </is>
      </c>
      <c r="C26" t="inlineStr">
        <is>
          <t>A</t>
        </is>
      </c>
      <c r="D26" t="inlineStr">
        <is>
          <t>KEN</t>
        </is>
      </c>
      <c r="E26" t="inlineStr">
        <is>
          <t>Kesses Solar (Alten Kenya)</t>
        </is>
      </c>
      <c r="F26" t="inlineStr">
        <is>
          <t>annee_mise_en_service</t>
        </is>
      </c>
      <c r="G26" t="n">
        <v>2023</v>
      </c>
      <c r="H26" t="inlineStr">
        <is>
          <t>année</t>
        </is>
      </c>
      <c r="I26" t="inlineStr">
        <is>
          <t>observée</t>
        </is>
      </c>
      <c r="J26" t="n">
        <v>2023</v>
      </c>
      <c r="K26" t="inlineStr">
        <is>
          <t>C</t>
        </is>
      </c>
      <c r="L26" t="inlineStr">
        <is>
          <t>valeur_absente_de_citation</t>
        </is>
      </c>
      <c r="M26" t="inlineStr">
        <is>
          <t>RenewAfrica</t>
        </is>
      </c>
      <c r="N26" t="inlineStr">
        <is>
          <t>Alten commissions 44 MW Kesses solar power plant in Kenya</t>
        </is>
      </c>
      <c r="O26" t="inlineStr">
        <is>
          <t>https://renewafrica.biz/investment-finance/alten-commissions-44-mw-kesses-solar-power-plant-in-kenya/</t>
        </is>
      </c>
      <c r="P26" t="inlineStr">
        <is>
          <t>2023-06-21</t>
        </is>
      </c>
      <c r="Q26" t="inlineStr">
        <is>
          <t>Alten commissions 44 MW Kesses solar power plant</t>
        </is>
      </c>
      <c r="R26" t="inlineStr">
        <is>
          <t>Date exacte non indiquée.</t>
        </is>
      </c>
    </row>
    <row r="27">
      <c r="A27" t="inlineStr">
        <is>
          <t>a_revoir</t>
        </is>
      </c>
      <c r="B27" t="inlineStr">
        <is>
          <t>A_centre_est</t>
        </is>
      </c>
      <c r="C27" t="inlineStr">
        <is>
          <t>A</t>
        </is>
      </c>
      <c r="D27" t="inlineStr">
        <is>
          <t>KEN</t>
        </is>
      </c>
      <c r="E27" t="inlineStr">
        <is>
          <t>Eldosol + Radiant (Frontier Energy, 2×40 MW)</t>
        </is>
      </c>
      <c r="F27" t="inlineStr">
        <is>
          <t>financeurs</t>
        </is>
      </c>
      <c r="G27" t="inlineStr">
        <is>
          <t>BEI 53 M EUR + FMO 53 M EUR ; Frontier Energy, DL Group, Paramount Bank</t>
        </is>
      </c>
      <c r="H27" t="inlineStr">
        <is>
          <t>texte</t>
        </is>
      </c>
      <c r="I27" t="inlineStr">
        <is>
          <t>déclarée</t>
        </is>
      </c>
      <c r="J27" t="n">
        <v>2019</v>
      </c>
      <c r="K27" t="inlineStr">
        <is>
          <t>C</t>
        </is>
      </c>
      <c r="L27" t="inlineStr">
        <is>
          <t>citation_absente</t>
        </is>
      </c>
      <c r="M27" t="inlineStr">
        <is>
          <t>pv magazine</t>
        </is>
      </c>
      <c r="N27" t="inlineStr">
        <is>
          <t>80 MW of Kenyan PV projects get €106m boost from Europe</t>
        </is>
      </c>
      <c r="O27" t="inlineStr">
        <is>
          <t>https://pv-magazine.com/2019/09/26/80-mw-of-kenyan-pv-projects-get-e106m-boost-from-europe/</t>
        </is>
      </c>
      <c r="P27" t="inlineStr">
        <is>
          <t>2019-09-26</t>
        </is>
      </c>
      <c r="Q27" t="inlineStr">
        <is>
          <t>The European lenders committed €106 million</t>
        </is>
      </c>
      <c r="R27" t="inlineStr"/>
    </row>
    <row r="28">
      <c r="A28" t="inlineStr">
        <is>
          <t>a_revoir</t>
        </is>
      </c>
      <c r="B28" t="inlineStr">
        <is>
          <t>A_centre_est</t>
        </is>
      </c>
      <c r="C28" t="inlineStr">
        <is>
          <t>A</t>
        </is>
      </c>
      <c r="D28" t="inlineStr">
        <is>
          <t>KEN</t>
        </is>
      </c>
      <c r="E28" t="inlineStr">
        <is>
          <t>Eldosol + Radiant (Frontier Energy, 2×40 MW)</t>
        </is>
      </c>
      <c r="F28" t="inlineStr">
        <is>
          <t>dette_part</t>
        </is>
      </c>
      <c r="G28" t="n">
        <v>0.72</v>
      </c>
      <c r="H28" t="inlineStr">
        <is>
          <t>fraction (calculée 106/147)</t>
        </is>
      </c>
      <c r="I28" t="inlineStr">
        <is>
          <t>modélisée</t>
        </is>
      </c>
      <c r="J28" t="n">
        <v>2019</v>
      </c>
      <c r="K28" t="inlineStr">
        <is>
          <t>C</t>
        </is>
      </c>
      <c r="L28" t="inlineStr">
        <is>
          <t>citation_absente</t>
        </is>
      </c>
      <c r="M28" t="inlineStr">
        <is>
          <t>pv magazine</t>
        </is>
      </c>
      <c r="N28" t="inlineStr">
        <is>
          <t>80 MW of Kenyan PV projects get €106m boost from Europe</t>
        </is>
      </c>
      <c r="O28" t="inlineStr">
        <is>
          <t>https://pv-magazine.com/2019/09/26/80-mw-of-kenyan-pv-projects-get-e106m-boost-from-europe/</t>
        </is>
      </c>
      <c r="P28" t="inlineStr">
        <is>
          <t>2019-09-26</t>
        </is>
      </c>
      <c r="Q28" t="inlineStr">
        <is>
          <t>The European lenders committed €106 million</t>
        </is>
      </c>
      <c r="R28" t="inlineStr">
        <is>
          <t>Calcul.</t>
        </is>
      </c>
    </row>
    <row r="29">
      <c r="A29" t="inlineStr">
        <is>
          <t>a_revoir</t>
        </is>
      </c>
      <c r="B29" t="inlineStr">
        <is>
          <t>A_centre_est</t>
        </is>
      </c>
      <c r="C29" t="inlineStr">
        <is>
          <t>A</t>
        </is>
      </c>
      <c r="D29" t="inlineStr">
        <is>
          <t>KEN</t>
        </is>
      </c>
      <c r="E29" t="inlineStr">
        <is>
          <t>Kopere Solar (Voltalia)</t>
        </is>
      </c>
      <c r="F29" t="inlineStr">
        <is>
          <t>annee_attribution</t>
        </is>
      </c>
      <c r="G29" t="n">
        <v>2018</v>
      </c>
      <c r="H29" t="inlineStr">
        <is>
          <t>année</t>
        </is>
      </c>
      <c r="I29" t="inlineStr">
        <is>
          <t>observée</t>
        </is>
      </c>
      <c r="J29" t="n">
        <v>2018</v>
      </c>
      <c r="K29" t="inlineStr">
        <is>
          <t>C</t>
        </is>
      </c>
      <c r="L29" t="inlineStr">
        <is>
          <t>citation_absente</t>
        </is>
      </c>
      <c r="M29" t="inlineStr">
        <is>
          <t>Africa Energy (Cross-border Information)</t>
        </is>
      </c>
      <c r="N29" t="inlineStr">
        <is>
          <t>Kenya: Solar projects sign PPAs</t>
        </is>
      </c>
      <c r="O29" t="inlineStr">
        <is>
          <t>https://www.africa-energy.com/live-data/article/kenya-solar-projects-sign-ppas</t>
        </is>
      </c>
      <c r="P29" t="inlineStr">
        <is>
          <t>2018-05-26</t>
        </is>
      </c>
      <c r="Q29" t="inlineStr">
        <is>
          <t>On 23 May 2018, the parties signed the agreements</t>
        </is>
      </c>
      <c r="R29" t="inlineStr"/>
    </row>
    <row r="30">
      <c r="A30" t="inlineStr">
        <is>
          <t>a_revoir</t>
        </is>
      </c>
      <c r="B30" t="inlineStr">
        <is>
          <t>A_centre_est</t>
        </is>
      </c>
      <c r="C30" t="inlineStr">
        <is>
          <t>A</t>
        </is>
      </c>
      <c r="D30" t="inlineStr">
        <is>
          <t>ETH</t>
        </is>
      </c>
      <c r="E30" t="inlineStr">
        <is>
          <t>Metehara Solar (Enel Green Power / Orchid)</t>
        </is>
      </c>
      <c r="F30" t="inlineStr">
        <is>
          <t>annee_attribution</t>
        </is>
      </c>
      <c r="G30" t="n">
        <v>2017</v>
      </c>
      <c r="H30" t="inlineStr">
        <is>
          <t>année (soumissionnaire préféré)</t>
        </is>
      </c>
      <c r="I30" t="inlineStr">
        <is>
          <t>observée</t>
        </is>
      </c>
      <c r="J30" t="n">
        <v>2017</v>
      </c>
      <c r="K30" t="inlineStr">
        <is>
          <t>C</t>
        </is>
      </c>
      <c r="L30" t="inlineStr">
        <is>
          <t>valeur_absente_de_citation</t>
        </is>
      </c>
      <c r="M30" t="inlineStr">
        <is>
          <t>pv magazine</t>
        </is>
      </c>
      <c r="N30" t="inlineStr">
        <is>
          <t>Enel wins Ethiopia's 100 MW solar tender</t>
        </is>
      </c>
      <c r="O30" t="inlineStr">
        <is>
          <t>https://pv-magazine.com/2017/10/23/enel-wins-ethiopias-100-mw-solar-tender/</t>
        </is>
      </c>
      <c r="P30" t="inlineStr">
        <is>
          <t>2017-10-23</t>
        </is>
      </c>
      <c r="Q30" t="inlineStr">
        <is>
          <t>Enel wins Ethiopia's 100 MW solar tender</t>
        </is>
      </c>
      <c r="R30" t="inlineStr">
        <is>
          <t>Appel d'offres EEP (non Scaling Solar).</t>
        </is>
      </c>
    </row>
    <row r="31">
      <c r="A31" t="inlineStr">
        <is>
          <t>a_revoir</t>
        </is>
      </c>
      <c r="B31" t="inlineStr">
        <is>
          <t>A_centre_est</t>
        </is>
      </c>
      <c r="C31" t="inlineStr">
        <is>
          <t>A</t>
        </is>
      </c>
      <c r="D31" t="inlineStr">
        <is>
          <t>ETH</t>
        </is>
      </c>
      <c r="E31" t="inlineStr">
        <is>
          <t>Gad + Dicheto (Scaling Solar Éthiopie, ACWA Power, 2×125 MW)</t>
        </is>
      </c>
      <c r="F31" t="inlineStr">
        <is>
          <t>puissance_mwp</t>
        </is>
      </c>
      <c r="G31" t="n">
        <v>250</v>
      </c>
      <c r="H31" t="inlineStr">
        <is>
          <t>MW total (2×125 MW, DC/AC non précisé)</t>
        </is>
      </c>
      <c r="I31" t="inlineStr">
        <is>
          <t>observée</t>
        </is>
      </c>
      <c r="J31" t="n">
        <v>2019</v>
      </c>
      <c r="K31" t="inlineStr">
        <is>
          <t>C</t>
        </is>
      </c>
      <c r="L31" t="inlineStr">
        <is>
          <t>valeur_absente_de_citation</t>
        </is>
      </c>
      <c r="M31" t="inlineStr">
        <is>
          <t>The Energy Industry Times</t>
        </is>
      </c>
      <c r="N31" t="inlineStr">
        <is>
          <t>ACWA Power signs PPAs for 250MW of solar projects in Ethiopia</t>
        </is>
      </c>
      <c r="O31" t="inlineStr">
        <is>
          <t>https://teitimes.com/post/acwa-power-signs-ppas-for-250mw-of-solar-projects-in-ethiopia</t>
        </is>
      </c>
      <c r="P31" t="inlineStr">
        <is>
          <t>2019-12-24</t>
        </is>
      </c>
      <c r="Q31" t="inlineStr">
        <is>
          <t>each project at 125MW</t>
        </is>
      </c>
      <c r="R31" t="inlineStr"/>
    </row>
    <row r="32">
      <c r="A32" t="inlineStr">
        <is>
          <t>a_revoir</t>
        </is>
      </c>
      <c r="B32" t="inlineStr">
        <is>
          <t>A_centre_est</t>
        </is>
      </c>
      <c r="C32" t="inlineStr">
        <is>
          <t>A</t>
        </is>
      </c>
      <c r="D32" t="inlineStr">
        <is>
          <t>ETH</t>
        </is>
      </c>
      <c r="E32" t="inlineStr">
        <is>
          <t>Gad + Dicheto (Scaling Solar Éthiopie, ACWA Power, 2×125 MW)</t>
        </is>
      </c>
      <c r="F32" t="inlineStr">
        <is>
          <t>procedure</t>
        </is>
      </c>
      <c r="G32" t="inlineStr">
        <is>
          <t>appel d'offres Scaling Solar (IFC/Banque mondiale), 5 soumissionnaires</t>
        </is>
      </c>
      <c r="H32" t="inlineStr">
        <is>
          <t>texte</t>
        </is>
      </c>
      <c r="I32" t="inlineStr">
        <is>
          <t>observée</t>
        </is>
      </c>
      <c r="J32" t="n">
        <v>2019</v>
      </c>
      <c r="K32" t="inlineStr">
        <is>
          <t>C</t>
        </is>
      </c>
      <c r="L32" t="inlineStr">
        <is>
          <t>inaccessible</t>
        </is>
      </c>
      <c r="M32" t="inlineStr">
        <is>
          <t>PV Tech</t>
        </is>
      </c>
      <c r="N32" t="inlineStr">
        <is>
          <t>ACWA's 'record' bid wins 250MW Scaling Solar duo in Ethiopia</t>
        </is>
      </c>
      <c r="O32" t="inlineStr">
        <is>
          <t>https://www.pv-tech.org/news/acwa-power-bags-250mw-project-duo-in-ethiopia</t>
        </is>
      </c>
      <c r="P32" t="inlineStr">
        <is>
          <t>2019-09-16</t>
        </is>
      </c>
      <c r="Q32" t="inlineStr">
        <is>
          <t>one of five companies that submitted proposals for the projects</t>
        </is>
      </c>
      <c r="R32" t="inlineStr">
        <is>
          <t>PV Tech parle de 'round two' ; d'autres sources de 'first round' : conflit de numérotation.</t>
        </is>
      </c>
    </row>
    <row r="33">
      <c r="A33" t="inlineStr">
        <is>
          <t>a_revoir</t>
        </is>
      </c>
      <c r="B33" t="inlineStr">
        <is>
          <t>A_centre_est</t>
        </is>
      </c>
      <c r="C33" t="inlineStr">
        <is>
          <t>A</t>
        </is>
      </c>
      <c r="D33" t="inlineStr">
        <is>
          <t>CMR</t>
        </is>
      </c>
      <c r="E33" t="inlineStr">
        <is>
          <t>Maroua + Guider (Scatec Release, phase 1)</t>
        </is>
      </c>
      <c r="F33" t="inlineStr">
        <is>
          <t>puissance_mwp</t>
        </is>
      </c>
      <c r="G33" t="n">
        <v>25</v>
      </c>
      <c r="H33" t="inlineStr">
        <is>
          <t>MWc (projet initial 2019)</t>
        </is>
      </c>
      <c r="I33" t="inlineStr">
        <is>
          <t>déclarée</t>
        </is>
      </c>
      <c r="J33" t="n">
        <v>2019</v>
      </c>
      <c r="K33" t="inlineStr">
        <is>
          <t>C</t>
        </is>
      </c>
      <c r="L33" t="inlineStr">
        <is>
          <t>valeur_absente_de_citation</t>
        </is>
      </c>
      <c r="M33" t="inlineStr">
        <is>
          <t>Financial Afrik</t>
        </is>
      </c>
      <c r="N33" t="inlineStr">
        <is>
          <t>Cameroun : 14 milliards de FCFA pour la construction de deux centrales solaires</t>
        </is>
      </c>
      <c r="O33" t="inlineStr">
        <is>
          <t>https://financialafrik.com/2019/08/09/cameroun-14-milliards-de-fcfa-pour-la-construction-de-deux-centrales-solaires</t>
        </is>
      </c>
      <c r="P33" t="inlineStr">
        <is>
          <t>2019-08-09</t>
        </is>
      </c>
      <c r="Q33" t="inlineStr">
        <is>
          <t>Guider ... 15 MWc ; Maroua ... 10 MWc</t>
        </is>
      </c>
      <c r="R33" t="inlineStr">
        <is>
          <t>Conflit avec 36 MWc réalisés.</t>
        </is>
      </c>
    </row>
    <row r="34">
      <c r="A34" t="inlineStr">
        <is>
          <t>a_revoir</t>
        </is>
      </c>
      <c r="B34" t="inlineStr">
        <is>
          <t>A_centre_est</t>
        </is>
      </c>
      <c r="C34" t="inlineStr">
        <is>
          <t>A</t>
        </is>
      </c>
      <c r="D34" t="inlineStr">
        <is>
          <t>CMR</t>
        </is>
      </c>
      <c r="E34" t="inlineStr">
        <is>
          <t>Maroua + Guider (Scatec Release, phase 1)</t>
        </is>
      </c>
      <c r="F34" t="inlineStr">
        <is>
          <t>annee_attribution</t>
        </is>
      </c>
      <c r="G34" t="n">
        <v>2019</v>
      </c>
      <c r="H34" t="inlineStr">
        <is>
          <t>année</t>
        </is>
      </c>
      <c r="I34" t="inlineStr">
        <is>
          <t>observée</t>
        </is>
      </c>
      <c r="J34" t="n">
        <v>2019</v>
      </c>
      <c r="K34" t="inlineStr">
        <is>
          <t>C</t>
        </is>
      </c>
      <c r="L34" t="inlineStr">
        <is>
          <t>valeur_absente_de_citation</t>
        </is>
      </c>
      <c r="M34" t="inlineStr">
        <is>
          <t>Financial Afrik</t>
        </is>
      </c>
      <c r="N34" t="inlineStr">
        <is>
          <t>Cameroun : 14 milliards de FCFA pour la construction de deux centrales solaires</t>
        </is>
      </c>
      <c r="O34" t="inlineStr">
        <is>
          <t>https://financialafrik.com/2019/08/09/cameroun-14-milliards-de-fcfa-pour-la-construction-de-deux-centrales-solaires</t>
        </is>
      </c>
      <c r="P34" t="inlineStr">
        <is>
          <t>2019-08-09</t>
        </is>
      </c>
      <c r="Q34" t="inlineStr">
        <is>
          <t>un consortium composé de Scatec Solar, Izuba Energy et Sphinx Energy</t>
        </is>
      </c>
      <c r="R34" t="inlineStr">
        <is>
          <t>Convention ENEO–consortium ; tarif 'très compétitif' non chiffré.</t>
        </is>
      </c>
    </row>
    <row r="35">
      <c r="A35" t="inlineStr">
        <is>
          <t>a_revoir</t>
        </is>
      </c>
      <c r="B35" t="inlineStr">
        <is>
          <t>A_centre_est</t>
        </is>
      </c>
      <c r="C35" t="inlineStr">
        <is>
          <t>A</t>
        </is>
      </c>
      <c r="D35" t="inlineStr">
        <is>
          <t>CMR</t>
        </is>
      </c>
      <c r="E35" t="inlineStr">
        <is>
          <t>Maroua + Guider (Scatec Release, phase 1)</t>
        </is>
      </c>
      <c r="F35" t="inlineStr">
        <is>
          <t>annee_mise_en_service</t>
        </is>
      </c>
      <c r="G35" t="n">
        <v>2023</v>
      </c>
      <c r="H35" t="inlineStr">
        <is>
          <t>année (inauguration)</t>
        </is>
      </c>
      <c r="I35" t="inlineStr">
        <is>
          <t>observée</t>
        </is>
      </c>
      <c r="J35" t="n">
        <v>2023</v>
      </c>
      <c r="K35" t="inlineStr">
        <is>
          <t>C</t>
        </is>
      </c>
      <c r="L35" t="inlineStr">
        <is>
          <t>valeur_absente_de_citation</t>
        </is>
      </c>
      <c r="M35" t="inlineStr">
        <is>
          <t>pv magazine</t>
        </is>
      </c>
      <c r="N35" t="inlineStr">
        <is>
          <t>Scatec switches on 30 MW of PV linked to 20MW/19MWh of storage in Cameroon</t>
        </is>
      </c>
      <c r="O35" t="inlineStr">
        <is>
          <t>https://www.pv-magazine.com/?p=34544</t>
        </is>
      </c>
      <c r="P35" t="inlineStr">
        <is>
          <t>2023-09-27</t>
        </is>
      </c>
      <c r="Q35" t="inlineStr">
        <is>
          <t>combined 36 MW of PV capacity</t>
        </is>
      </c>
      <c r="R35" t="inlineStr">
        <is>
          <t>Conflit interne : titre 30 MW vs corps 36 MW.</t>
        </is>
      </c>
    </row>
    <row r="36">
      <c r="A36" t="inlineStr">
        <is>
          <t>a_revoir</t>
        </is>
      </c>
      <c r="B36" t="inlineStr">
        <is>
          <t>A_centre_est</t>
        </is>
      </c>
      <c r="C36" t="inlineStr">
        <is>
          <t>A</t>
        </is>
      </c>
      <c r="D36" t="inlineStr">
        <is>
          <t>CMR</t>
        </is>
      </c>
      <c r="E36" t="inlineStr">
        <is>
          <t>Maroua + Guider (Scatec Release, phase 1)</t>
        </is>
      </c>
      <c r="F36" t="inlineStr">
        <is>
          <t>puissance_mwp</t>
        </is>
      </c>
      <c r="G36" t="n">
        <v>35.8</v>
      </c>
      <c r="H36" t="inlineStr">
        <is>
          <t>MWp (18 Maroua + 17,8 Guider)</t>
        </is>
      </c>
      <c r="I36" t="inlineStr">
        <is>
          <t>observée</t>
        </is>
      </c>
      <c r="J36" t="n">
        <v>2025</v>
      </c>
      <c r="K36" t="inlineStr">
        <is>
          <t>C</t>
        </is>
      </c>
      <c r="L36" t="inlineStr">
        <is>
          <t>valeur_absente_de_citation</t>
        </is>
      </c>
      <c r="M36" t="inlineStr">
        <is>
          <t>Agence Ecofin</t>
        </is>
      </c>
      <c r="N36" t="inlineStr">
        <is>
          <t>Cameroon expands solar and storage capacity with Scatec's second phase projects</t>
        </is>
      </c>
      <c r="O36" t="inlineStr">
        <is>
          <t>https://www.ecofinagency.com/news-industry/1609-48736-cameroon-expands-solar-and-storage-capacity-with-scatec-s-second-phase-projects</t>
        </is>
      </c>
      <c r="P36" t="inlineStr">
        <is>
          <t>2025-09-16</t>
        </is>
      </c>
      <c r="Q36" t="inlineStr">
        <is>
          <t>18 MWp + 9.5 MWh ... 17.8 MWp + 9.5 MWh</t>
        </is>
      </c>
      <c r="R36" t="inlineStr">
        <is>
          <t>PV + STOCKAGE.</t>
        </is>
      </c>
    </row>
    <row r="37">
      <c r="A37" t="inlineStr">
        <is>
          <t>a_revoir</t>
        </is>
      </c>
      <c r="B37" t="inlineStr">
        <is>
          <t>A_centre_est</t>
        </is>
      </c>
      <c r="C37" t="inlineStr">
        <is>
          <t>A</t>
        </is>
      </c>
      <c r="D37" t="inlineStr">
        <is>
          <t>TCD</t>
        </is>
      </c>
      <c r="E37" t="inlineStr">
        <is>
          <t>Djermaya Solar phase 1 (InfraCo Africa / Aldwych / Smart Energies)</t>
        </is>
      </c>
      <c r="F37" t="inlineStr">
        <is>
          <t>production_gwh_an</t>
        </is>
      </c>
      <c r="G37" t="n">
        <v>60</v>
      </c>
      <c r="H37" t="inlineStr">
        <is>
          <t>GWh/an (calculé : 1,5 TWh sur 25 ans)</t>
        </is>
      </c>
      <c r="I37" t="inlineStr">
        <is>
          <t>modélisée</t>
        </is>
      </c>
      <c r="J37" t="n">
        <v>2019</v>
      </c>
      <c r="K37" t="inlineStr">
        <is>
          <t>A</t>
        </is>
      </c>
      <c r="L37" t="inlineStr">
        <is>
          <t>valeur_absente_de_citation</t>
        </is>
      </c>
      <c r="M37" t="inlineStr">
        <is>
          <t>MIGA</t>
        </is>
      </c>
      <c r="N37" t="inlineStr">
        <is>
          <t>Djermaya CDEN Energy SARL</t>
        </is>
      </c>
      <c r="O37" t="inlineStr">
        <is>
          <t>https://www.miga.org/project/djermaya-cden-energy-sarl</t>
        </is>
      </c>
      <c r="P37" t="inlineStr">
        <is>
          <t>2019-12-06</t>
        </is>
      </c>
      <c r="Q37" t="inlineStr">
        <is>
          <t>1.5 TWh</t>
        </is>
      </c>
      <c r="R37" t="inlineStr">
        <is>
          <t>Calcul approximatif ; MIGA indique 1,5 TWh sur la durée de vie.</t>
        </is>
      </c>
    </row>
    <row r="38">
      <c r="A38" t="inlineStr">
        <is>
          <t>a_revoir</t>
        </is>
      </c>
      <c r="B38" t="inlineStr">
        <is>
          <t>A_centre_est</t>
        </is>
      </c>
      <c r="C38" t="inlineStr">
        <is>
          <t>A</t>
        </is>
      </c>
      <c r="D38" t="inlineStr">
        <is>
          <t>GAB</t>
        </is>
      </c>
      <c r="E38" t="inlineStr">
        <is>
          <t>Ayémé Plaine Solar (Solen)</t>
        </is>
      </c>
      <c r="F38" t="inlineStr">
        <is>
          <t>annee_mise_en_service</t>
        </is>
      </c>
      <c r="G38" t="n">
        <v>2024</v>
      </c>
      <c r="H38" t="inlineStr">
        <is>
          <t>année (11 MW initiaux)</t>
        </is>
      </c>
      <c r="I38" t="inlineStr">
        <is>
          <t>observée</t>
        </is>
      </c>
      <c r="J38" t="n">
        <v>2024</v>
      </c>
      <c r="K38" t="inlineStr">
        <is>
          <t>C</t>
        </is>
      </c>
      <c r="L38" t="inlineStr">
        <is>
          <t>valeur_absente_de_citation</t>
        </is>
      </c>
      <c r="M38" t="inlineStr">
        <is>
          <t>pv magazine</t>
        </is>
      </c>
      <c r="N38" t="inlineStr">
        <is>
          <t>Gabon inaugurates first utility-scale solar plant</t>
        </is>
      </c>
      <c r="O38" t="inlineStr">
        <is>
          <t>https://www.pv-magazine.com/?p=39055</t>
        </is>
      </c>
      <c r="P38" t="inlineStr">
        <is>
          <t>2024-11-20</t>
        </is>
      </c>
      <c r="Q38" t="inlineStr">
        <is>
          <t>an initial capacity of 11 MW</t>
        </is>
      </c>
      <c r="R38" t="inlineStr">
        <is>
          <t>Extension visée à 30 MW sous PPA avec SEEG.</t>
        </is>
      </c>
    </row>
    <row r="39">
      <c r="A39" t="inlineStr">
        <is>
          <t>a_revoir</t>
        </is>
      </c>
      <c r="B39" t="inlineStr">
        <is>
          <t>A_centre_est</t>
        </is>
      </c>
      <c r="C39" t="inlineStr">
        <is>
          <t>A</t>
        </is>
      </c>
      <c r="D39" t="inlineStr">
        <is>
          <t>COD</t>
        </is>
      </c>
      <c r="E39" t="inlineStr">
        <is>
          <t>Kolwezi + Likasi Solar (Financing Access / Green Power Capital)</t>
        </is>
      </c>
      <c r="F39" t="inlineStr">
        <is>
          <t>capex_total</t>
        </is>
      </c>
      <c r="G39" t="n">
        <v>305</v>
      </c>
      <c r="H39" t="inlineStr">
        <is>
          <t>millions USD (148 Kolwezi + 157 Likasi)</t>
        </is>
      </c>
      <c r="I39" t="inlineStr">
        <is>
          <t>déclarée</t>
        </is>
      </c>
      <c r="J39" t="n">
        <v>2021</v>
      </c>
      <c r="K39" t="inlineStr">
        <is>
          <t>D</t>
        </is>
      </c>
      <c r="L39" t="inlineStr">
        <is>
          <t>inaccessible</t>
        </is>
      </c>
      <c r="M39" t="inlineStr">
        <is>
          <t>energynews.pro</t>
        </is>
      </c>
      <c r="N39" t="inlineStr">
        <is>
          <t>Le Congo signe un accord pour 2 centrales solaires</t>
        </is>
      </c>
      <c r="O39" t="inlineStr">
        <is>
          <t>https://energynews.pro/le-congo-signe-un-accord-pour-2-centrales-solaires</t>
        </is>
      </c>
      <c r="P39" t="inlineStr">
        <is>
          <t>2021-06-29</t>
        </is>
      </c>
      <c r="Q39" t="inlineStr">
        <is>
          <t>Kolwezi : $148 millions ; Likasi : $157 millions</t>
        </is>
      </c>
      <c r="R39" t="inlineStr">
        <is>
          <t>PPA annoncés avec SNEL ; 2×100 MW (ambigu) ; mise en service visée début 2023, non confirmée. Statut : annoncé.</t>
        </is>
      </c>
    </row>
    <row r="40">
      <c r="A40" t="inlineStr">
        <is>
          <t>a_revoir</t>
        </is>
      </c>
      <c r="B40" t="inlineStr">
        <is>
          <t>A_nord</t>
        </is>
      </c>
      <c r="C40" t="inlineStr">
        <is>
          <t>A</t>
        </is>
      </c>
      <c r="D40" t="inlineStr">
        <is>
          <t>EGY</t>
        </is>
      </c>
      <c r="E40" t="inlineStr">
        <is>
          <t>Benban – Scatec Benban I / Aswan PV Power (50 MW)</t>
        </is>
      </c>
      <c r="F40" t="inlineStr">
        <is>
          <t>dette_part</t>
        </is>
      </c>
      <c r="G40" t="n">
        <v>0.52</v>
      </c>
      <c r="H40" t="inlineStr">
        <is>
          <t>fraction (calculée)</t>
        </is>
      </c>
      <c r="I40" t="inlineStr">
        <is>
          <t>modélisée</t>
        </is>
      </c>
      <c r="J40" t="n">
        <v>2017</v>
      </c>
      <c r="K40" t="inlineStr">
        <is>
          <t>A</t>
        </is>
      </c>
      <c r="L40" t="inlineStr">
        <is>
          <t>valeur_absente_de_citation</t>
        </is>
      </c>
      <c r="M40" t="inlineStr">
        <is>
          <t>EBRD</t>
        </is>
      </c>
      <c r="N40" t="inlineStr">
        <is>
          <t>PSD 47972 – Scatec Benban I (Aswan Solar Project)</t>
        </is>
      </c>
      <c r="O40" t="inlineStr">
        <is>
          <t>https://www.ebrd.com/home/work-with-us/projects/psd/47972.html</t>
        </is>
      </c>
      <c r="P40" t="inlineStr">
        <is>
          <t>2017-05-03</t>
        </is>
      </c>
      <c r="Q40" t="inlineStr">
        <is>
          <t>Provision of long-term senior debt financing of up to USD 40.5 million (EUR 37.9 million equivalent)</t>
        </is>
      </c>
      <c r="R40" t="inlineStr">
        <is>
          <t>Calcul 40,5/78,5 = part EBRD seule, pas la dette totale</t>
        </is>
      </c>
    </row>
    <row r="41">
      <c r="A41" t="inlineStr">
        <is>
          <t>a_revoir</t>
        </is>
      </c>
      <c r="B41" t="inlineStr">
        <is>
          <t>A_nord</t>
        </is>
      </c>
      <c r="C41" t="inlineStr">
        <is>
          <t>A</t>
        </is>
      </c>
      <c r="D41" t="inlineStr">
        <is>
          <t>EGY</t>
        </is>
      </c>
      <c r="E41" t="inlineStr">
        <is>
          <t>Benban – portefeuille Scatec/KLP/Norfund/Africa50 (6 x 65 MW)</t>
        </is>
      </c>
      <c r="F41" t="inlineStr">
        <is>
          <t>annee_mise_en_service</t>
        </is>
      </c>
      <c r="G41" t="n">
        <v>2019</v>
      </c>
      <c r="H41" t="inlineStr"/>
      <c r="I41" t="inlineStr">
        <is>
          <t>observée</t>
        </is>
      </c>
      <c r="J41" t="n">
        <v>2019</v>
      </c>
      <c r="K41" t="inlineStr">
        <is>
          <t>B</t>
        </is>
      </c>
      <c r="L41" t="inlineStr">
        <is>
          <t>valeur_absente_de_citation</t>
        </is>
      </c>
      <c r="M41" t="inlineStr">
        <is>
          <t>IPP Journal (reprise communiqué Scatec Solar)</t>
        </is>
      </c>
      <c r="N41" t="inlineStr">
        <is>
          <t>Scatec Solar and partners complete 390 MW solar portfolio of the 1.8 GW Benban solar complex</t>
        </is>
      </c>
      <c r="O41" t="inlineStr">
        <is>
          <t>https://ippjournal.com/update/scatec-solar-and-partners-complete-390-mw-solar-portfolio-of-the-18-gw-benban-solar-complex</t>
        </is>
      </c>
      <c r="P41" t="inlineStr">
        <is>
          <t>2019-10-16</t>
        </is>
      </c>
      <c r="Q41" t="inlineStr">
        <is>
          <t>the last of the six 65 MW solar power plants in Egypt</t>
        </is>
      </c>
      <c r="R41" t="inlineStr">
        <is>
          <t>Dernière centrale raccordée en oct. 2019</t>
        </is>
      </c>
    </row>
    <row r="42">
      <c r="A42" t="inlineStr">
        <is>
          <t>a_revoir</t>
        </is>
      </c>
      <c r="B42" t="inlineStr">
        <is>
          <t>A_nord</t>
        </is>
      </c>
      <c r="C42" t="inlineStr">
        <is>
          <t>A</t>
        </is>
      </c>
      <c r="D42" t="inlineStr">
        <is>
          <t>EGY</t>
        </is>
      </c>
      <c r="E42" t="inlineStr">
        <is>
          <t>Benban – portefeuille Scatec/KLP/Norfund/Africa50 (6 x 65 MW)</t>
        </is>
      </c>
      <c r="F42" t="inlineStr">
        <is>
          <t>puissance_mwp</t>
        </is>
      </c>
      <c r="G42" t="n">
        <v>390</v>
      </c>
      <c r="H42" t="inlineStr">
        <is>
          <t>MW (DC/AC non précisé)</t>
        </is>
      </c>
      <c r="I42" t="inlineStr">
        <is>
          <t>déclarée</t>
        </is>
      </c>
      <c r="J42" t="n">
        <v>2019</v>
      </c>
      <c r="K42" t="inlineStr">
        <is>
          <t>B</t>
        </is>
      </c>
      <c r="L42" t="inlineStr">
        <is>
          <t>valeur_absente_de_citation</t>
        </is>
      </c>
      <c r="M42" t="inlineStr">
        <is>
          <t>IPP Journal (reprise communiqué Scatec Solar)</t>
        </is>
      </c>
      <c r="N42" t="inlineStr">
        <is>
          <t>Scatec Solar and partners complete 390 MW solar portfolio of the 1.8 GW Benban solar complex</t>
        </is>
      </c>
      <c r="O42" t="inlineStr">
        <is>
          <t>https://ippjournal.com/update/scatec-solar-and-partners-complete-390-mw-solar-portfolio-of-the-18-gw-benban-solar-complex</t>
        </is>
      </c>
      <c r="P42" t="inlineStr">
        <is>
          <t>2019-10-16</t>
        </is>
      </c>
      <c r="Q42" t="inlineStr">
        <is>
          <t>the last of the six 65 MW solar power plants in Egypt</t>
        </is>
      </c>
      <c r="R42" t="inlineStr">
        <is>
          <t>65 MW probablement DC (EBRD : 50 MW par projet, probablement AC)</t>
        </is>
      </c>
    </row>
    <row r="43">
      <c r="A43" t="inlineStr">
        <is>
          <t>a_revoir</t>
        </is>
      </c>
      <c r="B43" t="inlineStr">
        <is>
          <t>A_nord</t>
        </is>
      </c>
      <c r="C43" t="inlineStr">
        <is>
          <t>A</t>
        </is>
      </c>
      <c r="D43" t="inlineStr">
        <is>
          <t>EGY</t>
        </is>
      </c>
      <c r="E43" t="inlineStr">
        <is>
          <t>Kom Ombo PV (200 MWac)</t>
        </is>
      </c>
      <c r="F43" t="inlineStr">
        <is>
          <t>dette_part</t>
        </is>
      </c>
      <c r="G43" t="n">
        <v>0.7</v>
      </c>
      <c r="H43" t="inlineStr">
        <is>
          <t>fraction (calculée)</t>
        </is>
      </c>
      <c r="I43" t="inlineStr">
        <is>
          <t>modélisée</t>
        </is>
      </c>
      <c r="J43" t="n">
        <v>2021</v>
      </c>
      <c r="K43" t="inlineStr">
        <is>
          <t>B</t>
        </is>
      </c>
      <c r="L43" t="inlineStr">
        <is>
          <t>valeur_absente_de_citation</t>
        </is>
      </c>
      <c r="M43" t="inlineStr">
        <is>
          <t>AfDB (via AllAfrica)</t>
        </is>
      </c>
      <c r="N43" t="inlineStr">
        <is>
          <t>Egypt's Largest Solar Plant, Kom Ombo, Receives U.S.$ 114 Million Financing Package</t>
        </is>
      </c>
      <c r="O43" t="inlineStr">
        <is>
          <t>https://allafrica.com/stories/202104221041.html</t>
        </is>
      </c>
      <c r="P43" t="inlineStr">
        <is>
          <t>2021-04-22</t>
        </is>
      </c>
      <c r="Q43" t="inlineStr">
        <is>
          <t>The development of the Kom Ombo solar plant will add 200 MW of energy capacity.</t>
        </is>
      </c>
      <c r="R43" t="inlineStr">
        <is>
          <t>Calcul 114/163 (ACWA capex) ; sources différentes</t>
        </is>
      </c>
    </row>
    <row r="44">
      <c r="A44" t="inlineStr">
        <is>
          <t>a_revoir</t>
        </is>
      </c>
      <c r="B44" t="inlineStr">
        <is>
          <t>A_nord</t>
        </is>
      </c>
      <c r="C44" t="inlineStr">
        <is>
          <t>A</t>
        </is>
      </c>
      <c r="D44" t="inlineStr">
        <is>
          <t>EGY</t>
        </is>
      </c>
      <c r="E44" t="inlineStr">
        <is>
          <t>Obelisk (PV + stockage, 1,1 GW + 100 MW/200 MWh) – PV+STOCKAGE</t>
        </is>
      </c>
      <c r="F44" t="inlineStr">
        <is>
          <t>puissance_mwp</t>
        </is>
      </c>
      <c r="G44" t="n">
        <v>1125</v>
      </c>
      <c r="H44" t="inlineStr">
        <is>
          <t>MW (561+564, DC/AC non précisé)</t>
        </is>
      </c>
      <c r="I44" t="inlineStr">
        <is>
          <t>déclarée</t>
        </is>
      </c>
      <c r="J44" t="n">
        <v>2025</v>
      </c>
      <c r="K44" t="inlineStr">
        <is>
          <t>B</t>
        </is>
      </c>
      <c r="L44" t="inlineStr">
        <is>
          <t>valeur_absente_de_citation</t>
        </is>
      </c>
      <c r="M44" t="inlineStr">
        <is>
          <t>Energy-pedia (reprise communiqué Scatec 15/06/2025)</t>
        </is>
      </c>
      <c r="N44" t="inlineStr">
        <is>
          <t>Scatec reaches financial close for the 1.1GW solar + 100MW/200MWh BESS Obelisk project</t>
        </is>
      </c>
      <c r="O44" t="inlineStr">
        <is>
          <t>https://www.energy-pedia.com/news/egypt/scatec-reaches-financial-close-for-the-1-1gw-solar---100mw-200mwh-bess-obelisk-project-200184</t>
        </is>
      </c>
      <c r="P44" t="inlineStr">
        <is>
          <t>2025-06-16</t>
        </is>
      </c>
      <c r="Q44" t="inlineStr">
        <is>
          <t>The first phase of 561 MW solar + 100 MW/200 MWh battery storage</t>
        </is>
      </c>
      <c r="R44" t="inlineStr">
        <is>
          <t>Phase 2 : 564 MW</t>
        </is>
      </c>
    </row>
    <row r="45">
      <c r="A45" t="inlineStr">
        <is>
          <t>a_revoir</t>
        </is>
      </c>
      <c r="B45" t="inlineStr">
        <is>
          <t>A_nord</t>
        </is>
      </c>
      <c r="C45" t="inlineStr">
        <is>
          <t>A</t>
        </is>
      </c>
      <c r="D45" t="inlineStr">
        <is>
          <t>EGY</t>
        </is>
      </c>
      <c r="E45" t="inlineStr">
        <is>
          <t>Obelisk (PV + stockage, 1,1 GW + 100 MW/200 MWh) – PV+STOCKAGE</t>
        </is>
      </c>
      <c r="F45" t="inlineStr">
        <is>
          <t>dette_part</t>
        </is>
      </c>
      <c r="G45" t="n">
        <v>0.8</v>
      </c>
      <c r="H45" t="inlineStr">
        <is>
          <t>fraction</t>
        </is>
      </c>
      <c r="I45" t="inlineStr">
        <is>
          <t>déclarée</t>
        </is>
      </c>
      <c r="J45" t="n">
        <v>2025</v>
      </c>
      <c r="K45" t="inlineStr">
        <is>
          <t>B</t>
        </is>
      </c>
      <c r="L45" t="inlineStr">
        <is>
          <t>valeur_absente_de_citation</t>
        </is>
      </c>
      <c r="M45" t="inlineStr">
        <is>
          <t>Energy-pedia (reprise communiqué Scatec 15/06/2025)</t>
        </is>
      </c>
      <c r="N45" t="inlineStr">
        <is>
          <t>Scatec reaches financial close for the 1.1GW solar + 100MW/200MWh BESS Obelisk project</t>
        </is>
      </c>
      <c r="O45" t="inlineStr">
        <is>
          <t>https://www.energy-pedia.com/news/egypt/scatec-reaches-financial-close-for-the-1-1gw-solar---100mw-200mwh-bess-obelisk-project-200184</t>
        </is>
      </c>
      <c r="P45" t="inlineStr">
        <is>
          <t>2025-06-16</t>
        </is>
      </c>
      <c r="Q45" t="inlineStr">
        <is>
          <t>total estimated capex of USD 590 million</t>
        </is>
      </c>
      <c r="R45" t="inlineStr">
        <is>
          <t>Dette 479,1 MUSD ≈ 80% du capex selon le communiqué</t>
        </is>
      </c>
    </row>
    <row r="46">
      <c r="A46" t="inlineStr">
        <is>
          <t>a_revoir</t>
        </is>
      </c>
      <c r="B46" t="inlineStr">
        <is>
          <t>A_nord</t>
        </is>
      </c>
      <c r="C46" t="inlineStr">
        <is>
          <t>A</t>
        </is>
      </c>
      <c r="D46" t="inlineStr">
        <is>
          <t>MAR</t>
        </is>
      </c>
      <c r="E46" t="inlineStr">
        <is>
          <t>Programme NOOR PV I (Ouarzazate IV + Laâyoune + Boujdour)</t>
        </is>
      </c>
      <c r="F46" t="inlineStr">
        <is>
          <t>annee_attribution</t>
        </is>
      </c>
      <c r="G46" t="n">
        <v>2016</v>
      </c>
      <c r="H46" t="inlineStr"/>
      <c r="I46" t="inlineStr">
        <is>
          <t>observée</t>
        </is>
      </c>
      <c r="J46" t="n">
        <v>2016</v>
      </c>
      <c r="K46" t="inlineStr">
        <is>
          <t>A</t>
        </is>
      </c>
      <c r="L46" t="inlineStr">
        <is>
          <t>valeur_absente_de_citation</t>
        </is>
      </c>
      <c r="M46" t="inlineStr">
        <is>
          <t>Masen</t>
        </is>
      </c>
      <c r="N46" t="inlineStr">
        <is>
          <t>Masen selects the developer of the 3 NOOR PV I solar power plants and signs contracts securing their financing (communiqué)</t>
        </is>
      </c>
      <c r="O46" t="inlineStr">
        <is>
          <t>https://www.masen.ma/sites/default/files/documents_presse/1.pdf</t>
        </is>
      </c>
      <c r="P46" t="inlineStr">
        <is>
          <t>2016-11-16</t>
        </is>
      </c>
      <c r="Q46" t="inlineStr">
        <is>
          <t>Today Masen announces the selection of the company that will design, finance, build, operate, and maintain the NOOR PV I program.</t>
        </is>
      </c>
      <c r="R46" t="inlineStr"/>
    </row>
    <row r="47">
      <c r="A47" t="inlineStr">
        <is>
          <t>a_revoir</t>
        </is>
      </c>
      <c r="B47" t="inlineStr">
        <is>
          <t>A_nord</t>
        </is>
      </c>
      <c r="C47" t="inlineStr">
        <is>
          <t>A</t>
        </is>
      </c>
      <c r="D47" t="inlineStr">
        <is>
          <t>MAR</t>
        </is>
      </c>
      <c r="E47" t="inlineStr">
        <is>
          <t>Noor Ouarzazate IV (PV)</t>
        </is>
      </c>
      <c r="F47" t="inlineStr">
        <is>
          <t>dette_part</t>
        </is>
      </c>
      <c r="G47" t="n">
        <v>0.88</v>
      </c>
      <c r="H47" t="inlineStr">
        <is>
          <t>fraction (calculée)</t>
        </is>
      </c>
      <c r="I47" t="inlineStr">
        <is>
          <t>modélisée</t>
        </is>
      </c>
      <c r="J47" t="n">
        <v>2017</v>
      </c>
      <c r="K47" t="inlineStr">
        <is>
          <t>A</t>
        </is>
      </c>
      <c r="L47" t="inlineStr">
        <is>
          <t>valeur_absente_de_citation</t>
        </is>
      </c>
      <c r="M47" t="inlineStr">
        <is>
          <t>Masen</t>
        </is>
      </c>
      <c r="N47" t="inlineStr">
        <is>
          <t>Lancement des travaux de la centrale Noor Ouarzazate IV (communiqué)</t>
        </is>
      </c>
      <c r="O47" t="inlineStr">
        <is>
          <t>https://www.masen.ma/sites/default/files/documents_presse/17.pdf</t>
        </is>
      </c>
      <c r="P47" t="inlineStr">
        <is>
          <t>2017-04-01</t>
        </is>
      </c>
      <c r="Q47" t="inlineStr">
        <is>
          <t>L’investissement est estimé à plus de 750 millions de dirhams.</t>
        </is>
      </c>
      <c r="R47" t="inlineStr">
        <is>
          <t>659/750 MMAD ; borne haute car investissement '&gt; 750'</t>
        </is>
      </c>
    </row>
    <row r="48">
      <c r="A48" t="inlineStr">
        <is>
          <t>a_revoir</t>
        </is>
      </c>
      <c r="B48" t="inlineStr">
        <is>
          <t>A_nord</t>
        </is>
      </c>
      <c r="C48" t="inlineStr">
        <is>
          <t>A</t>
        </is>
      </c>
      <c r="D48" t="inlineStr">
        <is>
          <t>TUN</t>
        </is>
      </c>
      <c r="E48" t="inlineStr">
        <is>
          <t>Kairouan Solar Plant (AMEA Power, 100 MWac / 120 MWp)</t>
        </is>
      </c>
      <c r="F48" t="inlineStr">
        <is>
          <t>annee_mise_en_service</t>
        </is>
      </c>
      <c r="G48" t="n">
        <v>2025</v>
      </c>
      <c r="H48" t="inlineStr"/>
      <c r="I48" t="inlineStr">
        <is>
          <t>observée</t>
        </is>
      </c>
      <c r="J48" t="n">
        <v>2025</v>
      </c>
      <c r="K48" t="inlineStr">
        <is>
          <t>C</t>
        </is>
      </c>
      <c r="L48" t="inlineStr">
        <is>
          <t>inaccessible</t>
        </is>
      </c>
      <c r="M48" t="inlineStr">
        <is>
          <t>Renewable Watch</t>
        </is>
      </c>
      <c r="N48" t="inlineStr">
        <is>
          <t>AMEA Power commissions 120 MWp solar project in Tunisia</t>
        </is>
      </c>
      <c r="O48" t="inlineStr">
        <is>
          <t>https://renewablewatch.in/2025/12/19/amea-power-commissions-120-mwp-solar-project-in-tunisia/</t>
        </is>
      </c>
      <c r="P48" t="inlineStr">
        <is>
          <t>2025-12-19</t>
        </is>
      </c>
      <c r="Q48" t="inlineStr">
        <is>
          <t>commissioned a 120 MWp solar project</t>
        </is>
      </c>
      <c r="R48" t="inlineStr"/>
    </row>
    <row r="49">
      <c r="A49" t="inlineStr">
        <is>
          <t>a_revoir</t>
        </is>
      </c>
      <c r="B49" t="inlineStr">
        <is>
          <t>A_nord</t>
        </is>
      </c>
      <c r="C49" t="inlineStr">
        <is>
          <t>A</t>
        </is>
      </c>
      <c r="D49" t="inlineStr">
        <is>
          <t>TUN</t>
        </is>
      </c>
      <c r="E49" t="inlineStr">
        <is>
          <t>Kairouan Solar Plant (AMEA Power, 100 MWac / 120 MWp)</t>
        </is>
      </c>
      <c r="F49" t="inlineStr">
        <is>
          <t>production_gwh_an</t>
        </is>
      </c>
      <c r="G49" t="n">
        <v>222</v>
      </c>
      <c r="H49" t="inlineStr">
        <is>
          <t>GWh/an</t>
        </is>
      </c>
      <c r="I49" t="inlineStr">
        <is>
          <t>déclarée</t>
        </is>
      </c>
      <c r="J49" t="n">
        <v>2025</v>
      </c>
      <c r="K49" t="inlineStr">
        <is>
          <t>C</t>
        </is>
      </c>
      <c r="L49" t="inlineStr">
        <is>
          <t>inaccessible</t>
        </is>
      </c>
      <c r="M49" t="inlineStr">
        <is>
          <t>Renewable Watch</t>
        </is>
      </c>
      <c r="N49" t="inlineStr">
        <is>
          <t>AMEA Power commissions 120 MWp solar project in Tunisia</t>
        </is>
      </c>
      <c r="O49" t="inlineStr">
        <is>
          <t>https://renewablewatch.in/2025/12/19/amea-power-commissions-120-mwp-solar-project-in-tunisia/</t>
        </is>
      </c>
      <c r="P49" t="inlineStr">
        <is>
          <t>2025-12-19</t>
        </is>
      </c>
      <c r="Q49" t="inlineStr">
        <is>
          <t>expected to produce about 222 GWh of electricity annually</t>
        </is>
      </c>
      <c r="R49" t="inlineStr"/>
    </row>
    <row r="50">
      <c r="A50" t="inlineStr">
        <is>
          <t>a_revoir</t>
        </is>
      </c>
      <c r="B50" t="inlineStr">
        <is>
          <t>A_nord</t>
        </is>
      </c>
      <c r="C50" t="inlineStr">
        <is>
          <t>A</t>
        </is>
      </c>
      <c r="D50" t="inlineStr">
        <is>
          <t>TUN</t>
        </is>
      </c>
      <c r="E50" t="inlineStr">
        <is>
          <t>Sidi Bouzid + Tozeur (Scatec/Aeolus, 2 x 60 MW)</t>
        </is>
      </c>
      <c r="F50" t="inlineStr">
        <is>
          <t>capex_total</t>
        </is>
      </c>
      <c r="G50" t="n">
        <v>79</v>
      </c>
      <c r="H50" t="inlineStr">
        <is>
          <t>M EUR</t>
        </is>
      </c>
      <c r="I50" t="inlineStr">
        <is>
          <t>déclarée</t>
        </is>
      </c>
      <c r="J50" t="n">
        <v>2024</v>
      </c>
      <c r="K50" t="inlineStr">
        <is>
          <t>C</t>
        </is>
      </c>
      <c r="L50" t="inlineStr">
        <is>
          <t>inaccessible</t>
        </is>
      </c>
      <c r="M50" t="inlineStr">
        <is>
          <t>PV Tech</t>
        </is>
      </c>
      <c r="N50" t="inlineStr">
        <is>
          <t>Scatec, Aeolus partner to build 120MW Tunisian PV, secure EBRD funding</t>
        </is>
      </c>
      <c r="O50" t="inlineStr">
        <is>
          <t>https://pv-tech.org/scatec-aeolus-partner-to-build-120mw-tunisian-pv-secure-ebrd-funding</t>
        </is>
      </c>
      <c r="P50" t="inlineStr">
        <is>
          <t>2024-08-07</t>
        </is>
      </c>
      <c r="Q50" t="inlineStr">
        <is>
          <t>Scatec estimated the total cost of the project to be €79 million</t>
        </is>
      </c>
      <c r="R50" t="inlineStr"/>
    </row>
    <row r="51">
      <c r="A51" t="inlineStr">
        <is>
          <t>a_revoir</t>
        </is>
      </c>
      <c r="B51" t="inlineStr">
        <is>
          <t>A_nord</t>
        </is>
      </c>
      <c r="C51" t="inlineStr">
        <is>
          <t>A</t>
        </is>
      </c>
      <c r="D51" t="inlineStr">
        <is>
          <t>TUN</t>
        </is>
      </c>
      <c r="E51" t="inlineStr">
        <is>
          <t>Sidi Bouzid + Tozeur (Scatec/Aeolus, 2 x 60 MW)</t>
        </is>
      </c>
      <c r="F51" t="inlineStr">
        <is>
          <t>financeurs</t>
        </is>
      </c>
      <c r="G51" t="inlineStr">
        <is>
          <t>EBRD + Proparco 25 M€ ; CTF 8,9 MUSD (concessionnel) ; GEF 5,0 MUSD</t>
        </is>
      </c>
      <c r="H51" t="inlineStr"/>
      <c r="I51" t="inlineStr">
        <is>
          <t>observée</t>
        </is>
      </c>
      <c r="J51" t="n">
        <v>2024</v>
      </c>
      <c r="K51" t="inlineStr">
        <is>
          <t>C</t>
        </is>
      </c>
      <c r="L51" t="inlineStr">
        <is>
          <t>inaccessible</t>
        </is>
      </c>
      <c r="M51" t="inlineStr">
        <is>
          <t>PV Tech</t>
        </is>
      </c>
      <c r="N51" t="inlineStr">
        <is>
          <t>Scatec, Aeolus partner to build 120MW Tunisian PV, secure EBRD funding</t>
        </is>
      </c>
      <c r="O51" t="inlineStr">
        <is>
          <t>https://pv-tech.org/scatec-aeolus-partner-to-build-120mw-tunisian-pv-secure-ebrd-funding</t>
        </is>
      </c>
      <c r="P51" t="inlineStr">
        <is>
          <t>2024-08-07</t>
        </is>
      </c>
      <c r="Q51" t="inlineStr">
        <is>
          <t>The European Bank for Reconstruction and Development (EBRD) and Proparco lent €25 million (US$27.3 million).</t>
        </is>
      </c>
      <c r="R51" t="inlineStr">
        <is>
          <t>Résumé de l'article ; montants détaillés selon PV Tech</t>
        </is>
      </c>
    </row>
    <row r="52">
      <c r="A52" t="inlineStr">
        <is>
          <t>a_revoir</t>
        </is>
      </c>
      <c r="B52" t="inlineStr">
        <is>
          <t>A_nord</t>
        </is>
      </c>
      <c r="C52" t="inlineStr">
        <is>
          <t>A</t>
        </is>
      </c>
      <c r="D52" t="inlineStr">
        <is>
          <t>TUN</t>
        </is>
      </c>
      <c r="E52" t="inlineStr">
        <is>
          <t>Sidi Bouzid + Tozeur (Scatec/Aeolus, 2 x 60 MW)</t>
        </is>
      </c>
      <c r="F52" t="inlineStr">
        <is>
          <t>ppa_duree</t>
        </is>
      </c>
      <c r="G52" t="n">
        <v>20</v>
      </c>
      <c r="H52" t="inlineStr">
        <is>
          <t>ans</t>
        </is>
      </c>
      <c r="I52" t="inlineStr">
        <is>
          <t>observée</t>
        </is>
      </c>
      <c r="J52" t="n">
        <v>2019</v>
      </c>
      <c r="K52" t="inlineStr">
        <is>
          <t>C</t>
        </is>
      </c>
      <c r="L52" t="inlineStr">
        <is>
          <t>inaccessible</t>
        </is>
      </c>
      <c r="M52" t="inlineStr">
        <is>
          <t>PV Tech</t>
        </is>
      </c>
      <c r="N52" t="inlineStr">
        <is>
          <t>Scatec, Aeolus partner to build 120MW Tunisian PV, secure EBRD funding</t>
        </is>
      </c>
      <c r="O52" t="inlineStr">
        <is>
          <t>https://pv-tech.org/scatec-aeolus-partner-to-build-120mw-tunisian-pv-secure-ebrd-funding</t>
        </is>
      </c>
      <c r="P52" t="inlineStr">
        <is>
          <t>2024-08-07</t>
        </is>
      </c>
      <c r="Q52" t="inlineStr">
        <is>
          <t>a 20-year power purchase agreement (PPA), back in 2019</t>
        </is>
      </c>
      <c r="R52" t="inlineStr"/>
    </row>
    <row r="53">
      <c r="A53" t="inlineStr">
        <is>
          <t>a_revoir</t>
        </is>
      </c>
      <c r="B53" t="inlineStr">
        <is>
          <t>A_nord</t>
        </is>
      </c>
      <c r="C53" t="inlineStr">
        <is>
          <t>A</t>
        </is>
      </c>
      <c r="D53" t="inlineStr">
        <is>
          <t>TUN</t>
        </is>
      </c>
      <c r="E53" t="inlineStr">
        <is>
          <t>Sidi Bouzid + Tozeur (Scatec/Aeolus, 2 x 60 MW)</t>
        </is>
      </c>
      <c r="F53" t="inlineStr">
        <is>
          <t>acheteur</t>
        </is>
      </c>
      <c r="G53" t="inlineStr">
        <is>
          <t>STEG</t>
        </is>
      </c>
      <c r="H53" t="inlineStr"/>
      <c r="I53" t="inlineStr">
        <is>
          <t>observée</t>
        </is>
      </c>
      <c r="J53" t="n">
        <v>2019</v>
      </c>
      <c r="K53" t="inlineStr">
        <is>
          <t>C</t>
        </is>
      </c>
      <c r="L53" t="inlineStr">
        <is>
          <t>inaccessible</t>
        </is>
      </c>
      <c r="M53" t="inlineStr">
        <is>
          <t>PV Tech</t>
        </is>
      </c>
      <c r="N53" t="inlineStr">
        <is>
          <t>Scatec, Aeolus partner to build 120MW Tunisian PV, secure EBRD funding</t>
        </is>
      </c>
      <c r="O53" t="inlineStr">
        <is>
          <t>https://pv-tech.org/scatec-aeolus-partner-to-build-120mw-tunisian-pv-secure-ebrd-funding</t>
        </is>
      </c>
      <c r="P53" t="inlineStr">
        <is>
          <t>2024-08-07</t>
        </is>
      </c>
      <c r="Q53" t="inlineStr">
        <is>
          <t>a 20-year power purchase agreement (PPA), back in 2019</t>
        </is>
      </c>
      <c r="R53" t="inlineStr"/>
    </row>
    <row r="54">
      <c r="A54" t="inlineStr">
        <is>
          <t>a_revoir</t>
        </is>
      </c>
      <c r="B54" t="inlineStr">
        <is>
          <t>A_nord</t>
        </is>
      </c>
      <c r="C54" t="inlineStr">
        <is>
          <t>A</t>
        </is>
      </c>
      <c r="D54" t="inlineStr">
        <is>
          <t>TUN</t>
        </is>
      </c>
      <c r="E54" t="inlineStr">
        <is>
          <t>Sidi Bouzid + Tozeur (Scatec/Aeolus, 2 x 60 MW)</t>
        </is>
      </c>
      <c r="F54" t="inlineStr">
        <is>
          <t>statut</t>
        </is>
      </c>
      <c r="G54" t="inlineStr">
        <is>
          <t>en construction (bouclage financier août 2024)</t>
        </is>
      </c>
      <c r="H54" t="inlineStr"/>
      <c r="I54" t="inlineStr">
        <is>
          <t>observée</t>
        </is>
      </c>
      <c r="J54" t="n">
        <v>2024</v>
      </c>
      <c r="K54" t="inlineStr">
        <is>
          <t>C</t>
        </is>
      </c>
      <c r="L54" t="inlineStr">
        <is>
          <t>inaccessible</t>
        </is>
      </c>
      <c r="M54" t="inlineStr">
        <is>
          <t>PV Tech</t>
        </is>
      </c>
      <c r="N54" t="inlineStr">
        <is>
          <t>Scatec, Aeolus partner to build 120MW Tunisian PV, secure EBRD funding</t>
        </is>
      </c>
      <c r="O54" t="inlineStr">
        <is>
          <t>https://pv-tech.org/scatec-aeolus-partner-to-build-120mw-tunisian-pv-secure-ebrd-funding</t>
        </is>
      </c>
      <c r="P54" t="inlineStr">
        <is>
          <t>2024-08-07</t>
        </is>
      </c>
      <c r="Q54" t="inlineStr">
        <is>
          <t>Scatec estimated the total cost of the project to be €79 million</t>
        </is>
      </c>
      <c r="R54" t="inlineStr">
        <is>
          <t>COD non trouvée</t>
        </is>
      </c>
    </row>
    <row r="55">
      <c r="A55" t="inlineStr">
        <is>
          <t>a_revoir</t>
        </is>
      </c>
      <c r="B55" t="inlineStr">
        <is>
          <t>A_nord</t>
        </is>
      </c>
      <c r="C55" t="inlineStr">
        <is>
          <t>A</t>
        </is>
      </c>
      <c r="D55" t="inlineStr">
        <is>
          <t>TUN</t>
        </is>
      </c>
      <c r="E55" t="inlineStr">
        <is>
          <t>Sidi Bouzid + Tozeur (Scatec/Aeolus, 2 x 60 MW)</t>
        </is>
      </c>
      <c r="F55" t="inlineStr">
        <is>
          <t>developpeur</t>
        </is>
      </c>
      <c r="G55" t="inlineStr">
        <is>
          <t>Scatec 51% / Aeolus (Toyota Tsusho) 49%</t>
        </is>
      </c>
      <c r="H55" t="inlineStr"/>
      <c r="I55" t="inlineStr">
        <is>
          <t>observée</t>
        </is>
      </c>
      <c r="J55" t="n">
        <v>2024</v>
      </c>
      <c r="K55" t="inlineStr">
        <is>
          <t>C</t>
        </is>
      </c>
      <c r="L55" t="inlineStr">
        <is>
          <t>inaccessible</t>
        </is>
      </c>
      <c r="M55" t="inlineStr">
        <is>
          <t>PV Tech</t>
        </is>
      </c>
      <c r="N55" t="inlineStr">
        <is>
          <t>Scatec, Aeolus partner to build 120MW Tunisian PV, secure EBRD funding</t>
        </is>
      </c>
      <c r="O55" t="inlineStr">
        <is>
          <t>https://pv-tech.org/scatec-aeolus-partner-to-build-120mw-tunisian-pv-secure-ebrd-funding</t>
        </is>
      </c>
      <c r="P55" t="inlineStr">
        <is>
          <t>2024-08-07</t>
        </is>
      </c>
      <c r="Q55" t="inlineStr">
        <is>
          <t>Scatec estimated the total cost of the project to be €79 million</t>
        </is>
      </c>
      <c r="R55" t="inlineStr"/>
    </row>
    <row r="56">
      <c r="A56" t="inlineStr">
        <is>
          <t>a_revoir</t>
        </is>
      </c>
      <c r="B56" t="inlineStr">
        <is>
          <t>A_nord</t>
        </is>
      </c>
      <c r="C56" t="inlineStr">
        <is>
          <t>A</t>
        </is>
      </c>
      <c r="D56" t="inlineStr">
        <is>
          <t>TUN</t>
        </is>
      </c>
      <c r="E56" t="inlineStr">
        <is>
          <t>Tozeur I (STEG, 10 MW)</t>
        </is>
      </c>
      <c r="F56" t="inlineStr">
        <is>
          <t>annee_mise_en_service</t>
        </is>
      </c>
      <c r="G56" t="n">
        <v>2019</v>
      </c>
      <c r="H56" t="inlineStr"/>
      <c r="I56" t="inlineStr">
        <is>
          <t>observée</t>
        </is>
      </c>
      <c r="J56" t="n">
        <v>2019</v>
      </c>
      <c r="K56" t="inlineStr">
        <is>
          <t>C</t>
        </is>
      </c>
      <c r="L56" t="inlineStr">
        <is>
          <t>valeur_absente_de_citation</t>
        </is>
      </c>
      <c r="M56" t="inlineStr">
        <is>
          <t>pv magazine</t>
        </is>
      </c>
      <c r="N56" t="inlineStr">
        <is>
          <t>Tunisia announces grid-connection of its first solar park</t>
        </is>
      </c>
      <c r="O56" t="inlineStr">
        <is>
          <t>https://www.pv-magazine.com/?p=22517</t>
        </is>
      </c>
      <c r="P56" t="inlineStr">
        <is>
          <t>2019-08-09</t>
        </is>
      </c>
      <c r="Q56" t="inlineStr">
        <is>
          <t>the 10 MW Tozeur I solar facility</t>
        </is>
      </c>
      <c r="R56" t="inlineStr">
        <is>
          <t>Mise en service officielle 2019</t>
        </is>
      </c>
    </row>
    <row r="57">
      <c r="A57" t="inlineStr">
        <is>
          <t>a_revoir</t>
        </is>
      </c>
      <c r="B57" t="inlineStr">
        <is>
          <t>A_nord</t>
        </is>
      </c>
      <c r="C57" t="inlineStr">
        <is>
          <t>A</t>
        </is>
      </c>
      <c r="D57" t="inlineStr">
        <is>
          <t>DZA</t>
        </is>
      </c>
      <c r="E57" t="inlineStr">
        <is>
          <t>Tendla (El M'Ghaier, 200 MW)</t>
        </is>
      </c>
      <c r="F57" t="inlineStr">
        <is>
          <t>annee_mise_en_service</t>
        </is>
      </c>
      <c r="G57" t="n">
        <v>2026</v>
      </c>
      <c r="H57" t="inlineStr"/>
      <c r="I57" t="inlineStr">
        <is>
          <t>observée</t>
        </is>
      </c>
      <c r="J57" t="n">
        <v>2026</v>
      </c>
      <c r="K57" t="inlineStr">
        <is>
          <t>C</t>
        </is>
      </c>
      <c r="L57" t="inlineStr">
        <is>
          <t>valeur_absente_de_citation</t>
        </is>
      </c>
      <c r="M57" t="inlineStr">
        <is>
          <t>Radio Algérienne</t>
        </is>
      </c>
      <c r="N57" t="inlineStr">
        <is>
          <t>Adjal met en service une centrale photovoltaïque de 200 mégawatts à El-Meghaïer</t>
        </is>
      </c>
      <c r="O57" t="inlineStr">
        <is>
          <t>https://news.radioalgerie.dz/fr/node/86449</t>
        </is>
      </c>
      <c r="P57" t="inlineStr">
        <is>
          <t>2026-05-18</t>
        </is>
      </c>
      <c r="Q57" t="inlineStr">
        <is>
          <t>une centrale photovoltaïque d'une capacité de 200 mégawatts</t>
        </is>
      </c>
      <c r="R57" t="inlineStr">
        <is>
          <t>Mise en service le 18 mai 2026</t>
        </is>
      </c>
    </row>
    <row r="58">
      <c r="A58" t="inlineStr">
        <is>
          <t>a_revoir</t>
        </is>
      </c>
      <c r="B58" t="inlineStr">
        <is>
          <t>A_nord</t>
        </is>
      </c>
      <c r="C58" t="inlineStr">
        <is>
          <t>A</t>
        </is>
      </c>
      <c r="D58" t="inlineStr">
        <is>
          <t>DZA</t>
        </is>
      </c>
      <c r="E58" t="inlineStr">
        <is>
          <t>El Ghrous (Biskra, 200 MW)</t>
        </is>
      </c>
      <c r="F58" t="inlineStr">
        <is>
          <t>annee_mise_en_service</t>
        </is>
      </c>
      <c r="G58" t="n">
        <v>2026</v>
      </c>
      <c r="H58" t="inlineStr"/>
      <c r="I58" t="inlineStr">
        <is>
          <t>observée</t>
        </is>
      </c>
      <c r="J58" t="n">
        <v>2026</v>
      </c>
      <c r="K58" t="inlineStr">
        <is>
          <t>C</t>
        </is>
      </c>
      <c r="L58" t="inlineStr">
        <is>
          <t>valeur_absente_de_citation</t>
        </is>
      </c>
      <c r="M58" t="inlineStr">
        <is>
          <t>Radio Algérienne (EN)</t>
        </is>
      </c>
      <c r="N58" t="inlineStr">
        <is>
          <t>Adjal Commissions Two 200-Megawatt Photovoltaic Power Plants in El-Meghaïer and Biskra</t>
        </is>
      </c>
      <c r="O58" t="inlineStr">
        <is>
          <t>https://news.radioalgerie.dz/en/node/86486</t>
        </is>
      </c>
      <c r="P58" t="inlineStr">
        <is>
          <t>2026-05-18</t>
        </is>
      </c>
      <c r="Q58" t="inlineStr">
        <is>
          <t>two major 200-megawatt photovoltaic power plants</t>
        </is>
      </c>
      <c r="R58" t="inlineStr"/>
    </row>
    <row r="59">
      <c r="A59" t="inlineStr">
        <is>
          <t>a_revoir</t>
        </is>
      </c>
      <c r="B59" t="inlineStr">
        <is>
          <t>A_nord</t>
        </is>
      </c>
      <c r="C59" t="inlineStr">
        <is>
          <t>A</t>
        </is>
      </c>
      <c r="D59" t="inlineStr">
        <is>
          <t>MRT</t>
        </is>
      </c>
      <c r="E59" t="inlineStr">
        <is>
          <t>Toujounine (Nouakchott, 50 MW)</t>
        </is>
      </c>
      <c r="F59" t="inlineStr">
        <is>
          <t>annee_mise_en_service</t>
        </is>
      </c>
      <c r="G59" t="n">
        <v>2017</v>
      </c>
      <c r="H59" t="inlineStr"/>
      <c r="I59" t="inlineStr">
        <is>
          <t>observée</t>
        </is>
      </c>
      <c r="J59" t="n">
        <v>2017</v>
      </c>
      <c r="K59" t="inlineStr">
        <is>
          <t>C</t>
        </is>
      </c>
      <c r="L59" t="inlineStr">
        <is>
          <t>valeur_absente_de_citation</t>
        </is>
      </c>
      <c r="M59" t="inlineStr">
        <is>
          <t>Financial Afrik</t>
        </is>
      </c>
      <c r="N59" t="inlineStr">
        <is>
          <t>Mauritanie : inauguration d'une centrale solaire photovoltaïque de 50 MW à Toujounine</t>
        </is>
      </c>
      <c r="O59" t="inlineStr">
        <is>
          <t>https://www.financialafrik.com/2017/11/24/mauritanie-inauguration-dune-centrale-solaire-photovoltaique-de-50-mw-a-toujounine</t>
        </is>
      </c>
      <c r="P59" t="inlineStr">
        <is>
          <t>2017-11-24</t>
        </is>
      </c>
      <c r="Q59" t="inlineStr">
        <is>
          <t>inaugurée jeudi, 23 novembre, à Toujounine</t>
        </is>
      </c>
      <c r="R59" t="inlineStr">
        <is>
          <t>156 540 panneaux</t>
        </is>
      </c>
    </row>
    <row r="60">
      <c r="A60" t="inlineStr">
        <is>
          <t>a_revoir</t>
        </is>
      </c>
      <c r="B60" t="inlineStr">
        <is>
          <t>A_ouest</t>
        </is>
      </c>
      <c r="C60" t="inlineStr">
        <is>
          <t>A</t>
        </is>
      </c>
      <c r="D60" t="inlineStr">
        <is>
          <t>SEN</t>
        </is>
      </c>
      <c r="E60" t="inlineStr">
        <is>
          <t>Kahone Solaire (Scaling Solar)</t>
        </is>
      </c>
      <c r="F60" t="inlineStr">
        <is>
          <t>annee_mise_en_service</t>
        </is>
      </c>
      <c r="G60" t="n">
        <v>2021</v>
      </c>
      <c r="H60" t="inlineStr">
        <is>
          <t>année</t>
        </is>
      </c>
      <c r="I60" t="inlineStr">
        <is>
          <t>observée</t>
        </is>
      </c>
      <c r="J60" t="n">
        <v>2021</v>
      </c>
      <c r="K60" t="inlineStr">
        <is>
          <t>A</t>
        </is>
      </c>
      <c r="L60" t="inlineStr">
        <is>
          <t>valeur_absente_de_citation</t>
        </is>
      </c>
      <c r="M60" t="inlineStr">
        <is>
          <t>BEI</t>
        </is>
      </c>
      <c r="N60" t="inlineStr">
        <is>
          <t>Scaling Solar : deux centrales PV ... Sénégal (communiqué 2021-183)</t>
        </is>
      </c>
      <c r="O60" t="inlineStr">
        <is>
          <t>https://www.eib.org/fr/press/all/2021-183-scaling-solar-two-pv-plants-bring-clean-energy-to-more-than-500000-in-senegal</t>
        </is>
      </c>
      <c r="P60" t="inlineStr">
        <is>
          <t>2021-06-02</t>
        </is>
      </c>
      <c r="Q60" t="inlineStr">
        <is>
          <t>qui ont été mises en service le mois dernier</t>
        </is>
      </c>
      <c r="R60" t="inlineStr">
        <is>
          <t>Mise en service mai 2021.</t>
        </is>
      </c>
    </row>
    <row r="61">
      <c r="A61" t="inlineStr">
        <is>
          <t>a_revoir</t>
        </is>
      </c>
      <c r="B61" t="inlineStr">
        <is>
          <t>A_ouest</t>
        </is>
      </c>
      <c r="C61" t="inlineStr">
        <is>
          <t>A</t>
        </is>
      </c>
      <c r="D61" t="inlineStr">
        <is>
          <t>SEN</t>
        </is>
      </c>
      <c r="E61" t="inlineStr">
        <is>
          <t>Kahone Solaire (Scaling Solar)</t>
        </is>
      </c>
      <c r="F61" t="inlineStr">
        <is>
          <t>developpeur</t>
        </is>
      </c>
      <c r="G61" t="inlineStr">
        <is>
          <t>Engie (40 %), Meridiam (40 %), FONSIS (20 %)</t>
        </is>
      </c>
      <c r="H61" t="inlineStr">
        <is>
          <t>texte</t>
        </is>
      </c>
      <c r="I61" t="inlineStr">
        <is>
          <t>observée</t>
        </is>
      </c>
      <c r="J61" t="n">
        <v>2019</v>
      </c>
      <c r="K61" t="inlineStr">
        <is>
          <t>A</t>
        </is>
      </c>
      <c r="L61" t="inlineStr">
        <is>
          <t>citation_absente</t>
        </is>
      </c>
      <c r="M61" t="inlineStr">
        <is>
          <t>IFC</t>
        </is>
      </c>
      <c r="N61" t="inlineStr">
        <is>
          <t>SS Senegal – ESRS (projet 38959)</t>
        </is>
      </c>
      <c r="O61" t="inlineStr">
        <is>
          <t>https://disclosures.ifc.org/project-detail/ESRS/38959/ss-senegal</t>
        </is>
      </c>
      <c r="P61" t="inlineStr">
        <is>
          <t>2019-02-19</t>
        </is>
      </c>
      <c r="Q61" t="inlineStr">
        <is>
          <t>Engie's indirect subsidiary Engie Global Developments BV owns 40% of the project companies, and Meridiam's funds hold a combined 40%. Fonsis SA holds 20%.</t>
        </is>
      </c>
      <c r="R61" t="inlineStr">
        <is>
          <t>Citation telle que restituée par l'outil d'extraction (formulation possiblement résumée).</t>
        </is>
      </c>
    </row>
    <row r="62">
      <c r="A62" t="inlineStr">
        <is>
          <t>a_revoir</t>
        </is>
      </c>
      <c r="B62" t="inlineStr">
        <is>
          <t>A_ouest</t>
        </is>
      </c>
      <c r="C62" t="inlineStr">
        <is>
          <t>A</t>
        </is>
      </c>
      <c r="D62" t="inlineStr">
        <is>
          <t>SEN</t>
        </is>
      </c>
      <c r="E62" t="inlineStr">
        <is>
          <t>Kael Solaire (Scaling Solar)</t>
        </is>
      </c>
      <c r="F62" t="inlineStr">
        <is>
          <t>annee_mise_en_service</t>
        </is>
      </c>
      <c r="G62" t="n">
        <v>2021</v>
      </c>
      <c r="H62" t="inlineStr">
        <is>
          <t>année</t>
        </is>
      </c>
      <c r="I62" t="inlineStr">
        <is>
          <t>observée</t>
        </is>
      </c>
      <c r="J62" t="n">
        <v>2021</v>
      </c>
      <c r="K62" t="inlineStr">
        <is>
          <t>A</t>
        </is>
      </c>
      <c r="L62" t="inlineStr">
        <is>
          <t>valeur_absente_de_citation</t>
        </is>
      </c>
      <c r="M62" t="inlineStr">
        <is>
          <t>BEI</t>
        </is>
      </c>
      <c r="N62" t="inlineStr">
        <is>
          <t>Scaling Solar : deux centrales PV ... Sénégal (communiqué 2021-183)</t>
        </is>
      </c>
      <c r="O62" t="inlineStr">
        <is>
          <t>https://www.eib.org/fr/press/all/2021-183-scaling-solar-two-pv-plants-bring-clean-energy-to-more-than-500000-in-senegal</t>
        </is>
      </c>
      <c r="P62" t="inlineStr">
        <is>
          <t>2021-06-02</t>
        </is>
      </c>
      <c r="Q62" t="inlineStr">
        <is>
          <t>qui ont été mises en service le mois dernier</t>
        </is>
      </c>
      <c r="R62" t="inlineStr">
        <is>
          <t>Mise en service mai 2021.</t>
        </is>
      </c>
    </row>
    <row r="63">
      <c r="A63" t="inlineStr">
        <is>
          <t>a_revoir</t>
        </is>
      </c>
      <c r="B63" t="inlineStr">
        <is>
          <t>A_ouest</t>
        </is>
      </c>
      <c r="C63" t="inlineStr">
        <is>
          <t>A</t>
        </is>
      </c>
      <c r="D63" t="inlineStr">
        <is>
          <t>SEN</t>
        </is>
      </c>
      <c r="E63" t="inlineStr">
        <is>
          <t>Kael Solaire (Scaling Solar)</t>
        </is>
      </c>
      <c r="F63" t="inlineStr">
        <is>
          <t>developpeur</t>
        </is>
      </c>
      <c r="G63" t="inlineStr">
        <is>
          <t>Engie (40 %), Meridiam (40 %), FONSIS (20 %)</t>
        </is>
      </c>
      <c r="H63" t="inlineStr">
        <is>
          <t>texte</t>
        </is>
      </c>
      <c r="I63" t="inlineStr">
        <is>
          <t>observée</t>
        </is>
      </c>
      <c r="J63" t="n">
        <v>2019</v>
      </c>
      <c r="K63" t="inlineStr">
        <is>
          <t>A</t>
        </is>
      </c>
      <c r="L63" t="inlineStr">
        <is>
          <t>citation_absente</t>
        </is>
      </c>
      <c r="M63" t="inlineStr">
        <is>
          <t>IFC</t>
        </is>
      </c>
      <c r="N63" t="inlineStr">
        <is>
          <t>SS Senegal – ESRS (projet 38959)</t>
        </is>
      </c>
      <c r="O63" t="inlineStr">
        <is>
          <t>https://disclosures.ifc.org/project-detail/ESRS/38959/ss-senegal</t>
        </is>
      </c>
      <c r="P63" t="inlineStr">
        <is>
          <t>2019-02-19</t>
        </is>
      </c>
      <c r="Q63" t="inlineStr">
        <is>
          <t>Engie's indirect subsidiary Engie Global Developments BV owns 40% of the project companies, and Meridiam's funds hold a combined 40%. Fonsis SA holds 20%.</t>
        </is>
      </c>
      <c r="R63" t="inlineStr">
        <is>
          <t>Citation telle que restituée par l'outil d'extraction (formulation possiblement résumée).</t>
        </is>
      </c>
    </row>
    <row r="64">
      <c r="A64" t="inlineStr">
        <is>
          <t>a_revoir</t>
        </is>
      </c>
      <c r="B64" t="inlineStr">
        <is>
          <t>A_ouest</t>
        </is>
      </c>
      <c r="C64" t="inlineStr">
        <is>
          <t>A</t>
        </is>
      </c>
      <c r="D64" t="inlineStr">
        <is>
          <t>SEN</t>
        </is>
      </c>
      <c r="E64" t="inlineStr">
        <is>
          <t>Kahone Solaire (Scaling Solar)</t>
        </is>
      </c>
      <c r="F64" t="inlineStr">
        <is>
          <t>puissance_mwp</t>
        </is>
      </c>
      <c r="G64" t="n">
        <v>35</v>
      </c>
      <c r="H64" t="inlineStr">
        <is>
          <t>MWp</t>
        </is>
      </c>
      <c r="I64" t="inlineStr">
        <is>
          <t>déclarée</t>
        </is>
      </c>
      <c r="J64" t="n">
        <v>2021</v>
      </c>
      <c r="K64" t="inlineStr">
        <is>
          <t>D</t>
        </is>
      </c>
      <c r="L64" t="inlineStr">
        <is>
          <t>inaccessible</t>
        </is>
      </c>
      <c r="M64" t="inlineStr">
        <is>
          <t>reGlobal</t>
        </is>
      </c>
      <c r="N64" t="inlineStr">
        <is>
          <t>Kahone and Kael solar plants in Senegal go into commercial operation</t>
        </is>
      </c>
      <c r="O64" t="inlineStr">
        <is>
          <t>https://reglobal.org/kahone-and-kael-solar-plants-in-senegal-go-into-commercial-operation/</t>
        </is>
      </c>
      <c r="P64" t="inlineStr">
        <is>
          <t>2021-06-07</t>
        </is>
      </c>
      <c r="Q64" t="inlineStr">
        <is>
          <t>has a capacity of 35 MWp</t>
        </is>
      </c>
      <c r="R64" t="inlineStr">
        <is>
          <t>Valeur probablement MWac présentée comme MWp ; contredit IFC/MIGA (44 MWp).</t>
        </is>
      </c>
    </row>
    <row r="65">
      <c r="A65" t="inlineStr">
        <is>
          <t>a_revoir</t>
        </is>
      </c>
      <c r="B65" t="inlineStr">
        <is>
          <t>A_ouest</t>
        </is>
      </c>
      <c r="C65" t="inlineStr">
        <is>
          <t>A</t>
        </is>
      </c>
      <c r="D65" t="inlineStr">
        <is>
          <t>SEN</t>
        </is>
      </c>
      <c r="E65" t="inlineStr">
        <is>
          <t>Kael Solaire (Scaling Solar)</t>
        </is>
      </c>
      <c r="F65" t="inlineStr">
        <is>
          <t>puissance_mwp</t>
        </is>
      </c>
      <c r="G65" t="n">
        <v>25</v>
      </c>
      <c r="H65" t="inlineStr">
        <is>
          <t>MWp</t>
        </is>
      </c>
      <c r="I65" t="inlineStr">
        <is>
          <t>déclarée</t>
        </is>
      </c>
      <c r="J65" t="n">
        <v>2021</v>
      </c>
      <c r="K65" t="inlineStr">
        <is>
          <t>D</t>
        </is>
      </c>
      <c r="L65" t="inlineStr">
        <is>
          <t>inaccessible</t>
        </is>
      </c>
      <c r="M65" t="inlineStr">
        <is>
          <t>reGlobal</t>
        </is>
      </c>
      <c r="N65" t="inlineStr">
        <is>
          <t>Kahone and Kael solar plants ... commercial operation</t>
        </is>
      </c>
      <c r="O65" t="inlineStr">
        <is>
          <t>https://reglobal.org/kahone-and-kael-solar-plants-in-senegal-go-into-commercial-operation/</t>
        </is>
      </c>
      <c r="P65" t="inlineStr">
        <is>
          <t>2021-06-07</t>
        </is>
      </c>
      <c r="Q65" t="inlineStr">
        <is>
          <t>has a capacity of 25 MWp</t>
        </is>
      </c>
      <c r="R65" t="inlineStr">
        <is>
          <t>Probablement MWac ; contredit IFC/MIGA (35 MWp).</t>
        </is>
      </c>
    </row>
    <row r="66">
      <c r="A66" t="inlineStr">
        <is>
          <t>a_revoir</t>
        </is>
      </c>
      <c r="B66" t="inlineStr">
        <is>
          <t>A_ouest</t>
        </is>
      </c>
      <c r="C66" t="inlineStr">
        <is>
          <t>A</t>
        </is>
      </c>
      <c r="D66" t="inlineStr">
        <is>
          <t>SEN</t>
        </is>
      </c>
      <c r="E66" t="inlineStr">
        <is>
          <t>Kahone + Kael (Scaling Solar, total)</t>
        </is>
      </c>
      <c r="F66" t="inlineStr">
        <is>
          <t>financeurs_IFC</t>
        </is>
      </c>
      <c r="G66" t="n">
        <v>14000000</v>
      </c>
      <c r="H66" t="inlineStr">
        <is>
          <t>EUR</t>
        </is>
      </c>
      <c r="I66" t="inlineStr">
        <is>
          <t>déclarée</t>
        </is>
      </c>
      <c r="J66" t="n">
        <v>2019</v>
      </c>
      <c r="K66" t="inlineStr">
        <is>
          <t>A</t>
        </is>
      </c>
      <c r="L66" t="inlineStr">
        <is>
          <t>citation_absente</t>
        </is>
      </c>
      <c r="M66" t="inlineStr">
        <is>
          <t>IFC</t>
        </is>
      </c>
      <c r="N66" t="inlineStr">
        <is>
          <t>SS Senegal – ESRS (38959)</t>
        </is>
      </c>
      <c r="O66" t="inlineStr">
        <is>
          <t>https://disclosures.ifc.org/project-detail/ESRS/38959/ss-senegal</t>
        </is>
      </c>
      <c r="P66" t="inlineStr">
        <is>
          <t>2019-02-19</t>
        </is>
      </c>
      <c r="Q66" t="inlineStr">
        <is>
          <t>Up to EUR14 million in total, split between the two project companies</t>
        </is>
      </c>
      <c r="R66" t="inlineStr">
        <is>
          <t>Montant proposé (A loan + prêt concessionnel Finland-IFC).</t>
        </is>
      </c>
    </row>
    <row r="67">
      <c r="A67" t="inlineStr">
        <is>
          <t>a_revoir</t>
        </is>
      </c>
      <c r="B67" t="inlineStr">
        <is>
          <t>A_ouest</t>
        </is>
      </c>
      <c r="C67" t="inlineStr">
        <is>
          <t>A</t>
        </is>
      </c>
      <c r="D67" t="inlineStr">
        <is>
          <t>SEN</t>
        </is>
      </c>
      <c r="E67" t="inlineStr">
        <is>
          <t>Senergy 2 – Bokhol</t>
        </is>
      </c>
      <c r="F67" t="inlineStr">
        <is>
          <t>annee_mise_en_service</t>
        </is>
      </c>
      <c r="G67" t="n">
        <v>2016</v>
      </c>
      <c r="H67" t="inlineStr">
        <is>
          <t>année</t>
        </is>
      </c>
      <c r="I67" t="inlineStr">
        <is>
          <t>observée</t>
        </is>
      </c>
      <c r="J67" t="n">
        <v>2016</v>
      </c>
      <c r="K67" t="inlineStr">
        <is>
          <t>C</t>
        </is>
      </c>
      <c r="L67" t="inlineStr">
        <is>
          <t>valeur_absente_de_citation</t>
        </is>
      </c>
      <c r="M67" t="inlineStr">
        <is>
          <t>Financial Afrik</t>
        </is>
      </c>
      <c r="N67" t="inlineStr">
        <is>
          <t>idem</t>
        </is>
      </c>
      <c r="O67" t="inlineStr">
        <is>
          <t>https://www.financialafrik.com/2016/10/24/senegal-macky-sall-inaugure-la-centrale-solaire-de-bokhol/</t>
        </is>
      </c>
      <c r="P67" t="inlineStr">
        <is>
          <t>2016-10-24</t>
        </is>
      </c>
      <c r="Q67" t="inlineStr">
        <is>
          <t>le chef de l'Etat sénégalais, Macky Sall, a procédé samedi 22 octobre à l'inauguration de la centrale solaire de Bokhol</t>
        </is>
      </c>
      <c r="R67" t="inlineStr"/>
    </row>
    <row r="68">
      <c r="A68" t="inlineStr">
        <is>
          <t>a_revoir</t>
        </is>
      </c>
      <c r="B68" t="inlineStr">
        <is>
          <t>A_ouest</t>
        </is>
      </c>
      <c r="C68" t="inlineStr">
        <is>
          <t>A</t>
        </is>
      </c>
      <c r="D68" t="inlineStr">
        <is>
          <t>SEN</t>
        </is>
      </c>
      <c r="E68" t="inlineStr">
        <is>
          <t>Senergy PV – Santhiou Mékhé</t>
        </is>
      </c>
      <c r="F68" t="inlineStr">
        <is>
          <t>annee_mise_en_service</t>
        </is>
      </c>
      <c r="G68" t="n">
        <v>2017</v>
      </c>
      <c r="H68" t="inlineStr">
        <is>
          <t>année</t>
        </is>
      </c>
      <c r="I68" t="inlineStr">
        <is>
          <t>observée</t>
        </is>
      </c>
      <c r="J68" t="n">
        <v>2017</v>
      </c>
      <c r="K68" t="inlineStr">
        <is>
          <t>C</t>
        </is>
      </c>
      <c r="L68" t="inlineStr">
        <is>
          <t>valeur_absente_de_citation</t>
        </is>
      </c>
      <c r="M68" t="inlineStr">
        <is>
          <t>pv magazine</t>
        </is>
      </c>
      <c r="N68" t="inlineStr">
        <is>
          <t>Senegal's first solar park comes online</t>
        </is>
      </c>
      <c r="O68" t="inlineStr">
        <is>
          <t>https://www.pv-magazine.com/2017/06/30/senegals-first-solar-park-comes-online/</t>
        </is>
      </c>
      <c r="P68" t="inlineStr">
        <is>
          <t>2017-06-30</t>
        </is>
      </c>
      <c r="Q68" t="inlineStr">
        <is>
          <t>A 30 MW solar plant in Santhiou Mékhé was officially inaugurated</t>
        </is>
      </c>
      <c r="R68" t="inlineStr">
        <is>
          <t>Construction démarrée mai 2016. EPC/O&amp;M : Solairedirect (Engie).</t>
        </is>
      </c>
    </row>
    <row r="69">
      <c r="A69" t="inlineStr">
        <is>
          <t>a_revoir</t>
        </is>
      </c>
      <c r="B69" t="inlineStr">
        <is>
          <t>A_ouest</t>
        </is>
      </c>
      <c r="C69" t="inlineStr">
        <is>
          <t>A</t>
        </is>
      </c>
      <c r="D69" t="inlineStr">
        <is>
          <t>SEN</t>
        </is>
      </c>
      <c r="E69" t="inlineStr">
        <is>
          <t>Ten Merina (Merina Dakhar)</t>
        </is>
      </c>
      <c r="F69" t="inlineStr">
        <is>
          <t>dette_part</t>
        </is>
      </c>
      <c r="G69" t="n">
        <v>0.8</v>
      </c>
      <c r="H69" t="inlineStr">
        <is>
          <t>ratio</t>
        </is>
      </c>
      <c r="I69" t="inlineStr">
        <is>
          <t>déclarée</t>
        </is>
      </c>
      <c r="J69" t="n">
        <v>2016</v>
      </c>
      <c r="K69" t="inlineStr">
        <is>
          <t>C</t>
        </is>
      </c>
      <c r="L69" t="inlineStr">
        <is>
          <t>valeur_absente_de_citation</t>
        </is>
      </c>
      <c r="M69" t="inlineStr">
        <is>
          <t>Agence Ecofin</t>
        </is>
      </c>
      <c r="N69" t="inlineStr">
        <is>
          <t>idem</t>
        </is>
      </c>
      <c r="O69" t="inlineStr">
        <is>
          <t>https://www.ecofinagency.com/electricity-uk/1212-36077-senegal-proparco-renews-its-commitment-for-one-of-the-future-largest-solar-power-plant-in-west-africa</t>
        </is>
      </c>
      <c r="P69" t="inlineStr">
        <is>
          <t>2016-12-12</t>
        </is>
      </c>
      <c r="Q69" t="inlineStr">
        <is>
          <t>The total project cost amounts to €43 million, including €34.4 million of debt borrowed over 18 years.</t>
        </is>
      </c>
      <c r="R69" t="inlineStr">
        <is>
          <t>Ratio calculé : 34,4/43 = 80 %.</t>
        </is>
      </c>
    </row>
    <row r="70">
      <c r="A70" t="inlineStr">
        <is>
          <t>a_revoir</t>
        </is>
      </c>
      <c r="B70" t="inlineStr">
        <is>
          <t>A_ouest</t>
        </is>
      </c>
      <c r="C70" t="inlineStr">
        <is>
          <t>A</t>
        </is>
      </c>
      <c r="D70" t="inlineStr">
        <is>
          <t>SEN</t>
        </is>
      </c>
      <c r="E70" t="inlineStr">
        <is>
          <t>Ten Merina (Merina Dakhar)</t>
        </is>
      </c>
      <c r="F70" t="inlineStr">
        <is>
          <t>annee_mise_en_service</t>
        </is>
      </c>
      <c r="G70" t="n">
        <v>2018</v>
      </c>
      <c r="H70" t="inlineStr">
        <is>
          <t>année</t>
        </is>
      </c>
      <c r="I70" t="inlineStr">
        <is>
          <t>déclarée</t>
        </is>
      </c>
      <c r="J70" t="n">
        <v>2018</v>
      </c>
      <c r="K70" t="inlineStr">
        <is>
          <t>C</t>
        </is>
      </c>
      <c r="L70" t="inlineStr">
        <is>
          <t>valeur_absente_de_citation</t>
        </is>
      </c>
      <c r="M70" t="inlineStr">
        <is>
          <t>pv magazine</t>
        </is>
      </c>
      <c r="N70" t="inlineStr">
        <is>
          <t>Senegal commissions another 30 MW solar park</t>
        </is>
      </c>
      <c r="O70" t="inlineStr">
        <is>
          <t>https://www.pv-magazine.com/?p=18703</t>
        </is>
      </c>
      <c r="P70" t="inlineStr">
        <is>
          <t>2018-01-17</t>
        </is>
      </c>
      <c r="Q70" t="inlineStr">
        <is>
          <t>The president of Senegal, Macky Sall has officially inaugurated a 30 MW solar park</t>
        </is>
      </c>
      <c r="R70" t="inlineStr">
        <is>
          <t>Inauguration rapportée le 17/01/2018 (date exacte non fournie). Construit par Solairedirect (Engie) ; financé par Meridiam et Proparco.</t>
        </is>
      </c>
    </row>
    <row r="71">
      <c r="A71" t="inlineStr">
        <is>
          <t>a_revoir</t>
        </is>
      </c>
      <c r="B71" t="inlineStr">
        <is>
          <t>A_ouest</t>
        </is>
      </c>
      <c r="C71" t="inlineStr">
        <is>
          <t>A</t>
        </is>
      </c>
      <c r="D71" t="inlineStr">
        <is>
          <t>CIV</t>
        </is>
      </c>
      <c r="E71" t="inlineStr">
        <is>
          <t>Ferké Solar (Ferkessédougou)</t>
        </is>
      </c>
      <c r="F71" t="inlineStr">
        <is>
          <t>annee_mise_en_service</t>
        </is>
      </c>
      <c r="G71" t="n">
        <v>2026</v>
      </c>
      <c r="H71" t="inlineStr">
        <is>
          <t>année</t>
        </is>
      </c>
      <c r="I71" t="inlineStr">
        <is>
          <t>observée</t>
        </is>
      </c>
      <c r="J71" t="n">
        <v>2026</v>
      </c>
      <c r="K71" t="inlineStr">
        <is>
          <t>C</t>
        </is>
      </c>
      <c r="L71" t="inlineStr">
        <is>
          <t>inaccessible</t>
        </is>
      </c>
      <c r="M71" t="inlineStr">
        <is>
          <t>SolarQuarter</t>
        </is>
      </c>
      <c r="N71" t="inlineStr">
        <is>
          <t>Côte d'Ivoire commissions 52.4 MW Ferke solar plant</t>
        </is>
      </c>
      <c r="O71" t="inlineStr">
        <is>
          <t>https://solarquarter.com/2026/07/18/cote-divoire-commissions-52-4-mw-ferke-solar-plant-first-locally-developed-ipp-solar-project/</t>
        </is>
      </c>
      <c r="P71" t="inlineStr">
        <is>
          <t>2026-07-18</t>
        </is>
      </c>
      <c r="Q71" t="inlineStr">
        <is>
          <t>Côte d'Ivoire has officially commissioned the 52.4 MW Ferke Solar Plant in Ferkessédougou</t>
        </is>
      </c>
      <c r="R71" t="inlineStr">
        <is>
          <t>Modèle BOOT ; développeur PFO Energies. Date gouvernementale (7 juillet 2026) vue seulement dans un résumé de recherche.</t>
        </is>
      </c>
    </row>
    <row r="72">
      <c r="A72" t="inlineStr">
        <is>
          <t>a_revoir</t>
        </is>
      </c>
      <c r="B72" t="inlineStr">
        <is>
          <t>A_ouest</t>
        </is>
      </c>
      <c r="C72" t="inlineStr">
        <is>
          <t>A</t>
        </is>
      </c>
      <c r="D72" t="inlineStr">
        <is>
          <t>GHA</t>
        </is>
      </c>
      <c r="E72" t="inlineStr">
        <is>
          <t>Kaleo (phase 1)</t>
        </is>
      </c>
      <c r="F72" t="inlineStr">
        <is>
          <t>puissance_mwp</t>
        </is>
      </c>
      <c r="G72" t="n">
        <v>13</v>
      </c>
      <c r="H72" t="inlineStr">
        <is>
          <t>MWp</t>
        </is>
      </c>
      <c r="I72" t="inlineStr">
        <is>
          <t>observée</t>
        </is>
      </c>
      <c r="J72" t="n">
        <v>2022</v>
      </c>
      <c r="K72" t="inlineStr">
        <is>
          <t>C</t>
        </is>
      </c>
      <c r="L72" t="inlineStr">
        <is>
          <t>inaccessible</t>
        </is>
      </c>
      <c r="M72" t="inlineStr">
        <is>
          <t>SolarQuarter</t>
        </is>
      </c>
      <c r="N72" t="inlineStr">
        <is>
          <t>VRA commissions 13 MWp Kaleo solar PV plant</t>
        </is>
      </c>
      <c r="O72" t="inlineStr">
        <is>
          <t>https://solarquarter.com/2022/08/26/vra-commissions-13-mwp-kaleo-solar-pv-plant-in-ghana/</t>
        </is>
      </c>
      <c r="P72" t="inlineStr">
        <is>
          <t>2022-08-26</t>
        </is>
      </c>
      <c r="Q72" t="inlineStr">
        <is>
          <t>The 13 MWp solar plant is the first phase of a proposed 28 MWp solar facility at Kaleo.</t>
        </is>
      </c>
      <c r="R72" t="inlineStr"/>
    </row>
    <row r="73">
      <c r="A73" t="inlineStr">
        <is>
          <t>a_revoir</t>
        </is>
      </c>
      <c r="B73" t="inlineStr">
        <is>
          <t>A_ouest</t>
        </is>
      </c>
      <c r="C73" t="inlineStr">
        <is>
          <t>A</t>
        </is>
      </c>
      <c r="D73" t="inlineStr">
        <is>
          <t>GHA</t>
        </is>
      </c>
      <c r="E73" t="inlineStr">
        <is>
          <t>Kaleo (phase 1)</t>
        </is>
      </c>
      <c r="F73" t="inlineStr">
        <is>
          <t>financeurs</t>
        </is>
      </c>
      <c r="G73" t="inlineStr">
        <is>
          <t>KfW (12,39 M EUR) + fonds propres VRA (8,12 M EUR)</t>
        </is>
      </c>
      <c r="H73" t="inlineStr">
        <is>
          <t>texte</t>
        </is>
      </c>
      <c r="I73" t="inlineStr">
        <is>
          <t>observée</t>
        </is>
      </c>
      <c r="J73" t="n">
        <v>2022</v>
      </c>
      <c r="K73" t="inlineStr">
        <is>
          <t>C</t>
        </is>
      </c>
      <c r="L73" t="inlineStr">
        <is>
          <t>inaccessible</t>
        </is>
      </c>
      <c r="M73" t="inlineStr">
        <is>
          <t>SolarQuarter</t>
        </is>
      </c>
      <c r="N73" t="inlineStr">
        <is>
          <t>idem</t>
        </is>
      </c>
      <c r="O73" t="inlineStr">
        <is>
          <t>https://solarquarter.com/2022/08/26/vra-commissions-13-mwp-kaleo-solar-pv-plant-in-ghana/</t>
        </is>
      </c>
      <c r="P73" t="inlineStr">
        <is>
          <t>2022-08-26</t>
        </is>
      </c>
      <c r="Q73" t="inlineStr">
        <is>
          <t>is financed with a €12.39 loan from the German Development Bank (KfW) ... the VRA's additional funding of €8.12 million</t>
        </is>
      </c>
      <c r="R73" t="inlineStr">
        <is>
          <t>Le mot 'million' manque dans la source pour KfW. Type exact (prêt/don) KfW non vérifié sur document KfW.</t>
        </is>
      </c>
    </row>
    <row r="74">
      <c r="A74" t="inlineStr">
        <is>
          <t>a_revoir</t>
        </is>
      </c>
      <c r="B74" t="inlineStr">
        <is>
          <t>A_ouest</t>
        </is>
      </c>
      <c r="C74" t="inlineStr">
        <is>
          <t>A</t>
        </is>
      </c>
      <c r="D74" t="inlineStr">
        <is>
          <t>GHA</t>
        </is>
      </c>
      <c r="E74" t="inlineStr">
        <is>
          <t>Kaleo (phase 1)</t>
        </is>
      </c>
      <c r="F74" t="inlineStr">
        <is>
          <t>annee_mise_en_service</t>
        </is>
      </c>
      <c r="G74" t="n">
        <v>2022</v>
      </c>
      <c r="H74" t="inlineStr">
        <is>
          <t>année</t>
        </is>
      </c>
      <c r="I74" t="inlineStr">
        <is>
          <t>observée</t>
        </is>
      </c>
      <c r="J74" t="n">
        <v>2022</v>
      </c>
      <c r="K74" t="inlineStr">
        <is>
          <t>C</t>
        </is>
      </c>
      <c r="L74" t="inlineStr">
        <is>
          <t>inaccessible</t>
        </is>
      </c>
      <c r="M74" t="inlineStr">
        <is>
          <t>SolarQuarter</t>
        </is>
      </c>
      <c r="N74" t="inlineStr">
        <is>
          <t>idem</t>
        </is>
      </c>
      <c r="O74" t="inlineStr">
        <is>
          <t>https://solarquarter.com/2022/08/26/vra-commissions-13-mwp-kaleo-solar-pv-plant-in-ghana/</t>
        </is>
      </c>
      <c r="P74" t="inlineStr">
        <is>
          <t>2022-08-26</t>
        </is>
      </c>
      <c r="Q74" t="inlineStr">
        <is>
          <t>VRA commissions 13 MWp Kaleo solar PV plant</t>
        </is>
      </c>
      <c r="R74" t="inlineStr">
        <is>
          <t>EPC : Elecnor. Procédure : EPC public (VRA).</t>
        </is>
      </c>
    </row>
    <row r="75">
      <c r="A75" t="inlineStr">
        <is>
          <t>a_revoir</t>
        </is>
      </c>
      <c r="B75" t="inlineStr">
        <is>
          <t>A_ouest</t>
        </is>
      </c>
      <c r="C75" t="inlineStr">
        <is>
          <t>A</t>
        </is>
      </c>
      <c r="D75" t="inlineStr">
        <is>
          <t>GHA</t>
        </is>
      </c>
      <c r="E75" t="inlineStr">
        <is>
          <t>Kaleo (phase 2)</t>
        </is>
      </c>
      <c r="F75" t="inlineStr">
        <is>
          <t>financeurs</t>
        </is>
      </c>
      <c r="G75" t="inlineStr">
        <is>
          <t>KfW 15 M EUR annoncés</t>
        </is>
      </c>
      <c r="H75" t="inlineStr">
        <is>
          <t>texte</t>
        </is>
      </c>
      <c r="I75" t="inlineStr">
        <is>
          <t>déclarée</t>
        </is>
      </c>
      <c r="J75" t="n">
        <v>2022</v>
      </c>
      <c r="K75" t="inlineStr">
        <is>
          <t>C</t>
        </is>
      </c>
      <c r="L75" t="inlineStr">
        <is>
          <t>inaccessible</t>
        </is>
      </c>
      <c r="M75" t="inlineStr">
        <is>
          <t>SolarQuarter</t>
        </is>
      </c>
      <c r="N75" t="inlineStr">
        <is>
          <t>idem</t>
        </is>
      </c>
      <c r="O75" t="inlineStr">
        <is>
          <t>https://solarquarter.com/2022/08/26/vra-commissions-13-mwp-kaleo-solar-pv-plant-in-ghana/</t>
        </is>
      </c>
      <c r="P75" t="inlineStr">
        <is>
          <t>2022-08-26</t>
        </is>
      </c>
      <c r="Q75" t="inlineStr">
        <is>
          <t>VRA will receive another funding of €15 million from KfW for the development of the second phase</t>
        </is>
      </c>
      <c r="R75" t="inlineStr">
        <is>
          <t>Achèvement prévu mi-2023, non confirmé.</t>
        </is>
      </c>
    </row>
    <row r="76">
      <c r="A76" t="inlineStr">
        <is>
          <t>a_revoir</t>
        </is>
      </c>
      <c r="B76" t="inlineStr">
        <is>
          <t>A_ouest</t>
        </is>
      </c>
      <c r="C76" t="inlineStr">
        <is>
          <t>A</t>
        </is>
      </c>
      <c r="D76" t="inlineStr">
        <is>
          <t>BFA</t>
        </is>
      </c>
      <c r="E76" t="inlineStr">
        <is>
          <t>Zagtouli 1</t>
        </is>
      </c>
      <c r="F76" t="inlineStr">
        <is>
          <t>capex_total</t>
        </is>
      </c>
      <c r="G76" t="n">
        <v>47500000</v>
      </c>
      <c r="H76" t="inlineStr">
        <is>
          <t>EUR</t>
        </is>
      </c>
      <c r="I76" t="inlineStr">
        <is>
          <t>déclarée</t>
        </is>
      </c>
      <c r="J76" t="n">
        <v>2017</v>
      </c>
      <c r="K76" t="inlineStr">
        <is>
          <t>C</t>
        </is>
      </c>
      <c r="L76" t="inlineStr">
        <is>
          <t>inaccessible</t>
        </is>
      </c>
      <c r="M76" t="inlineStr">
        <is>
          <t>Connaissance des Énergies</t>
        </is>
      </c>
      <c r="N76" t="inlineStr">
        <is>
          <t>Zagtouli, symbole solaire au pays des hommes intègres</t>
        </is>
      </c>
      <c r="O76" t="inlineStr">
        <is>
          <t>https://www.connaissancedesenergies.org/zagtouli-symbole-solaire-au-pays-des-hommes-integres-171011</t>
        </is>
      </c>
      <c r="P76" t="inlineStr">
        <is>
          <t>2017-10-11</t>
        </is>
      </c>
      <c r="Q76" t="inlineStr">
        <is>
          <t>Le coût total de la centrale de Zagtouli est estimé à 47,5 millions d'euros.</t>
        </is>
      </c>
      <c r="R76">
        <f> 25 M EUR UE + 22,5 M EUR AFD.</f>
        <v/>
      </c>
    </row>
    <row r="77">
      <c r="A77" t="inlineStr">
        <is>
          <t>a_revoir</t>
        </is>
      </c>
      <c r="B77" t="inlineStr">
        <is>
          <t>A_ouest</t>
        </is>
      </c>
      <c r="C77" t="inlineStr">
        <is>
          <t>A</t>
        </is>
      </c>
      <c r="D77" t="inlineStr">
        <is>
          <t>BFA</t>
        </is>
      </c>
      <c r="E77" t="inlineStr">
        <is>
          <t>Zagtouli 1</t>
        </is>
      </c>
      <c r="F77" t="inlineStr">
        <is>
          <t>production_gwh_an</t>
        </is>
      </c>
      <c r="G77" t="n">
        <v>56</v>
      </c>
      <c r="H77" t="inlineStr">
        <is>
          <t>GWh/an</t>
        </is>
      </c>
      <c r="I77" t="inlineStr">
        <is>
          <t>déclarée</t>
        </is>
      </c>
      <c r="J77" t="n">
        <v>2017</v>
      </c>
      <c r="K77" t="inlineStr">
        <is>
          <t>C</t>
        </is>
      </c>
      <c r="L77" t="inlineStr">
        <is>
          <t>inaccessible</t>
        </is>
      </c>
      <c r="M77" t="inlineStr">
        <is>
          <t>Connaissance des Énergies</t>
        </is>
      </c>
      <c r="N77" t="inlineStr">
        <is>
          <t>idem</t>
        </is>
      </c>
      <c r="O77" t="inlineStr">
        <is>
          <t>https://www.connaissancedesenergies.org/zagtouli-symbole-solaire-au-pays-des-hommes-integres-171011</t>
        </is>
      </c>
      <c r="P77" t="inlineStr">
        <is>
          <t>2017-10-11</t>
        </is>
      </c>
      <c r="Q77" t="inlineStr">
        <is>
          <t>pourrait produire près de 56 GWh par an</t>
        </is>
      </c>
      <c r="R77" t="inlineStr">
        <is>
          <t>Estimation Sonabel.</t>
        </is>
      </c>
    </row>
    <row r="78">
      <c r="A78" t="inlineStr">
        <is>
          <t>a_revoir</t>
        </is>
      </c>
      <c r="B78" t="inlineStr">
        <is>
          <t>A_ouest</t>
        </is>
      </c>
      <c r="C78" t="inlineStr">
        <is>
          <t>A</t>
        </is>
      </c>
      <c r="D78" t="inlineStr">
        <is>
          <t>BFA</t>
        </is>
      </c>
      <c r="E78" t="inlineStr">
        <is>
          <t>Zagtouli 1</t>
        </is>
      </c>
      <c r="F78" t="inlineStr">
        <is>
          <t>financeurs_BEI_annonce</t>
        </is>
      </c>
      <c r="G78" t="n">
        <v>23000000</v>
      </c>
      <c r="H78" t="inlineStr">
        <is>
          <t>EUR</t>
        </is>
      </c>
      <c r="I78" t="inlineStr">
        <is>
          <t>déclarée</t>
        </is>
      </c>
      <c r="J78" t="n">
        <v>2014</v>
      </c>
      <c r="K78" t="inlineStr">
        <is>
          <t>C</t>
        </is>
      </c>
      <c r="L78" t="inlineStr">
        <is>
          <t>inaccessible</t>
        </is>
      </c>
      <c r="M78" t="inlineStr">
        <is>
          <t>PV Tech</t>
        </is>
      </c>
      <c r="N78" t="inlineStr">
        <is>
          <t>European Investment Bank awards €23 million loan ...</t>
        </is>
      </c>
      <c r="O78" t="inlineStr">
        <is>
          <t>https://pv-tech.org/european_investment_bank_awards_23_million_loan_for_west_africa_solar</t>
        </is>
      </c>
      <c r="P78" t="inlineStr">
        <is>
          <t>2014-09-22</t>
        </is>
      </c>
      <c r="Q78" t="inlineStr">
        <is>
          <t>€23 million (US$29.5 million) loan</t>
        </is>
      </c>
      <c r="R78" t="inlineStr">
        <is>
          <t>Durée 20 ans selon l'article. Non confirmé par l'évaluation AFD (cofinancement AFD+UE seulement).</t>
        </is>
      </c>
    </row>
    <row r="79">
      <c r="A79" t="inlineStr">
        <is>
          <t>a_revoir</t>
        </is>
      </c>
      <c r="B79" t="inlineStr">
        <is>
          <t>A_ouest</t>
        </is>
      </c>
      <c r="C79" t="inlineStr">
        <is>
          <t>A</t>
        </is>
      </c>
      <c r="D79" t="inlineStr">
        <is>
          <t>MLI</t>
        </is>
      </c>
      <c r="E79" t="inlineStr">
        <is>
          <t>Kita (Akuo Kita Solar)</t>
        </is>
      </c>
      <c r="F79" t="inlineStr">
        <is>
          <t>capex_total</t>
        </is>
      </c>
      <c r="G79" t="n">
        <v>80700000</v>
      </c>
      <c r="H79" t="inlineStr">
        <is>
          <t>EUR</t>
        </is>
      </c>
      <c r="I79" t="inlineStr">
        <is>
          <t>observée</t>
        </is>
      </c>
      <c r="J79" t="n">
        <v>2021</v>
      </c>
      <c r="K79" t="inlineStr">
        <is>
          <t>C</t>
        </is>
      </c>
      <c r="L79" t="inlineStr">
        <is>
          <t>inaccessible</t>
        </is>
      </c>
      <c r="M79" t="inlineStr">
        <is>
          <t>SolarQuarter</t>
        </is>
      </c>
      <c r="N79" t="inlineStr">
        <is>
          <t>Mali: Akuo Energy commissions its 50 MWp Kita solar power plant</t>
        </is>
      </c>
      <c r="O79" t="inlineStr">
        <is>
          <t>https://solarquarter.com/2021/02/03/mali-akuo-energy-commissions-its-50-mwp-kita-solar-power-plant/</t>
        </is>
      </c>
      <c r="P79" t="inlineStr">
        <is>
          <t>2021-02-03</t>
        </is>
      </c>
      <c r="Q79" t="inlineStr">
        <is>
          <t>required an investment of 53 billion CFA francs (80.7 million euros)</t>
        </is>
      </c>
      <c r="R79" t="inlineStr"/>
    </row>
    <row r="80">
      <c r="A80" t="inlineStr">
        <is>
          <t>a_revoir</t>
        </is>
      </c>
      <c r="B80" t="inlineStr">
        <is>
          <t>A_ouest</t>
        </is>
      </c>
      <c r="C80" t="inlineStr">
        <is>
          <t>A</t>
        </is>
      </c>
      <c r="D80" t="inlineStr">
        <is>
          <t>MLI</t>
        </is>
      </c>
      <c r="E80" t="inlineStr">
        <is>
          <t>Kita (Akuo Kita Solar)</t>
        </is>
      </c>
      <c r="F80" t="inlineStr">
        <is>
          <t>ppa_duree</t>
        </is>
      </c>
      <c r="G80" t="n">
        <v>30</v>
      </c>
      <c r="H80" t="inlineStr">
        <is>
          <t>ans</t>
        </is>
      </c>
      <c r="I80" t="inlineStr">
        <is>
          <t>déclarée</t>
        </is>
      </c>
      <c r="J80" t="n">
        <v>2021</v>
      </c>
      <c r="K80" t="inlineStr">
        <is>
          <t>C</t>
        </is>
      </c>
      <c r="L80" t="inlineStr">
        <is>
          <t>inaccessible</t>
        </is>
      </c>
      <c r="M80" t="inlineStr">
        <is>
          <t>SolarQuarter</t>
        </is>
      </c>
      <c r="N80" t="inlineStr">
        <is>
          <t>idem</t>
        </is>
      </c>
      <c r="O80" t="inlineStr">
        <is>
          <t>https://solarquarter.com/2021/02/03/mali-akuo-energy-commissions-its-50-mwp-kita-solar-power-plant/</t>
        </is>
      </c>
      <c r="P80" t="inlineStr">
        <is>
          <t>2021-02-03</t>
        </is>
      </c>
      <c r="Q80" t="inlineStr">
        <is>
          <t>sold to the public company Electricité du Mali (EDM) under a 30-year power purchase agreement</t>
        </is>
      </c>
      <c r="R80" t="inlineStr"/>
    </row>
    <row r="81">
      <c r="A81" t="inlineStr">
        <is>
          <t>a_revoir</t>
        </is>
      </c>
      <c r="B81" t="inlineStr">
        <is>
          <t>A_ouest</t>
        </is>
      </c>
      <c r="C81" t="inlineStr">
        <is>
          <t>A</t>
        </is>
      </c>
      <c r="D81" t="inlineStr">
        <is>
          <t>MLI</t>
        </is>
      </c>
      <c r="E81" t="inlineStr">
        <is>
          <t>Kita (Akuo Kita Solar)</t>
        </is>
      </c>
      <c r="F81" t="inlineStr">
        <is>
          <t>puissance_mwp</t>
        </is>
      </c>
      <c r="G81" t="n">
        <v>50</v>
      </c>
      <c r="H81" t="inlineStr">
        <is>
          <t>MWp</t>
        </is>
      </c>
      <c r="I81" t="inlineStr">
        <is>
          <t>observée</t>
        </is>
      </c>
      <c r="J81" t="n">
        <v>2021</v>
      </c>
      <c r="K81" t="inlineStr">
        <is>
          <t>C</t>
        </is>
      </c>
      <c r="L81" t="inlineStr">
        <is>
          <t>inaccessible</t>
        </is>
      </c>
      <c r="M81" t="inlineStr">
        <is>
          <t>SolarQuarter</t>
        </is>
      </c>
      <c r="N81" t="inlineStr">
        <is>
          <t>idem</t>
        </is>
      </c>
      <c r="O81" t="inlineStr">
        <is>
          <t>https://solarquarter.com/2021/02/03/mali-akuo-energy-commissions-its-50-mwp-kita-solar-power-plant/</t>
        </is>
      </c>
      <c r="P81" t="inlineStr">
        <is>
          <t>2021-02-03</t>
        </is>
      </c>
      <c r="Q81" t="inlineStr">
        <is>
          <t>With a capacity of 50 MWp, it is one of the largest photovoltaic installations in West Africa.</t>
        </is>
      </c>
      <c r="R81" t="inlineStr">
        <is>
          <t>EAIF : '50MW' (DC/AC non précisé).</t>
        </is>
      </c>
    </row>
    <row r="82">
      <c r="A82" t="inlineStr">
        <is>
          <t>a_revoir</t>
        </is>
      </c>
      <c r="B82" t="inlineStr">
        <is>
          <t>A_ouest</t>
        </is>
      </c>
      <c r="C82" t="inlineStr">
        <is>
          <t>A</t>
        </is>
      </c>
      <c r="D82" t="inlineStr">
        <is>
          <t>MLI</t>
        </is>
      </c>
      <c r="E82" t="inlineStr">
        <is>
          <t>Kita (Akuo Kita Solar)</t>
        </is>
      </c>
      <c r="F82" t="inlineStr">
        <is>
          <t>annee_mise_en_service</t>
        </is>
      </c>
      <c r="G82" t="n">
        <v>2021</v>
      </c>
      <c r="H82" t="inlineStr">
        <is>
          <t>année</t>
        </is>
      </c>
      <c r="I82" t="inlineStr">
        <is>
          <t>observée</t>
        </is>
      </c>
      <c r="J82" t="n">
        <v>2021</v>
      </c>
      <c r="K82" t="inlineStr">
        <is>
          <t>C</t>
        </is>
      </c>
      <c r="L82" t="inlineStr">
        <is>
          <t>inaccessible</t>
        </is>
      </c>
      <c r="M82" t="inlineStr">
        <is>
          <t>SolarQuarter</t>
        </is>
      </c>
      <c r="N82" t="inlineStr">
        <is>
          <t>idem</t>
        </is>
      </c>
      <c r="O82" t="inlineStr">
        <is>
          <t>https://solarquarter.com/2021/02/03/mali-akuo-energy-commissions-its-50-mwp-kita-solar-power-plant/</t>
        </is>
      </c>
      <c r="P82" t="inlineStr">
        <is>
          <t>2021-02-03</t>
        </is>
      </c>
      <c r="Q82" t="inlineStr">
        <is>
          <t>Akuo Energy is commissioning its Kita solar photovoltaic power plant</t>
        </is>
      </c>
      <c r="R82" t="inlineStr">
        <is>
          <t>Acheteur : EDM SA. BOOT. Pash Global 49,9 %.</t>
        </is>
      </c>
    </row>
    <row r="83">
      <c r="A83" t="inlineStr">
        <is>
          <t>a_revoir</t>
        </is>
      </c>
      <c r="B83" t="inlineStr">
        <is>
          <t>B_captif</t>
        </is>
      </c>
      <c r="C83" t="inlineStr">
        <is>
          <t>B</t>
        </is>
      </c>
      <c r="D83" t="inlineStr">
        <is>
          <t>MLI</t>
        </is>
      </c>
      <c r="E83" t="inlineStr">
        <is>
          <t>Fekola Solar Plant (phase 1) – mine d'or de Fekola</t>
        </is>
      </c>
      <c r="F83" t="inlineStr">
        <is>
          <t>developpeur_proprietaire</t>
        </is>
      </c>
      <c r="G83" t="inlineStr">
        <is>
          <t>B2Gold Corp. (Fekola S.A., Etat malien 20 %) ; EPC Suntrace GmbH &amp; BayWa r.e.</t>
        </is>
      </c>
      <c r="H83" t="inlineStr">
        <is>
          <t>texte</t>
        </is>
      </c>
      <c r="I83" t="inlineStr">
        <is>
          <t>observée</t>
        </is>
      </c>
      <c r="J83" t="n">
        <v>2021</v>
      </c>
      <c r="K83" t="inlineStr">
        <is>
          <t>C</t>
        </is>
      </c>
      <c r="L83" t="inlineStr">
        <is>
          <t>inaccessible</t>
        </is>
      </c>
      <c r="M83" t="inlineStr">
        <is>
          <t>SolarQuarter</t>
        </is>
      </c>
      <c r="N83" t="inlineStr">
        <is>
          <t>Largest Off-Grid Solar-Battery System For Mining Industry</t>
        </is>
      </c>
      <c r="O83" t="inlineStr">
        <is>
          <t>https://solarquarter.com/2021/04/23/largest-off-grid-solar-battery-system-for-mining-industry/</t>
        </is>
      </c>
      <c r="P83" t="inlineStr">
        <is>
          <t>2021-04-23</t>
        </is>
      </c>
      <c r="Q83" t="inlineStr">
        <is>
          <t>Suntrace GmbH and BayWa r.e., together with B2Gold Corp. (CA), have completed commissioning</t>
        </is>
      </c>
      <c r="R83" t="inlineStr">
        <is>
          <t>Centrale détenue par le minier (autoproduction) ; Suntrace/BayWa = ingénierie/EPC.</t>
        </is>
      </c>
    </row>
    <row r="84">
      <c r="A84" t="inlineStr">
        <is>
          <t>a_revoir</t>
        </is>
      </c>
      <c r="B84" t="inlineStr">
        <is>
          <t>B_captif</t>
        </is>
      </c>
      <c r="C84" t="inlineStr">
        <is>
          <t>B</t>
        </is>
      </c>
      <c r="D84" t="inlineStr">
        <is>
          <t>MLI</t>
        </is>
      </c>
      <c r="E84" t="inlineStr">
        <is>
          <t>Fekola Solar Plant (phase 1) – mine d'or de Fekola</t>
        </is>
      </c>
      <c r="F84" t="inlineStr">
        <is>
          <t>taux_couverture_solaire</t>
        </is>
      </c>
      <c r="G84" t="n">
        <v>75</v>
      </c>
      <c r="H84" t="inlineStr">
        <is>
          <t>% de la demande en journée (max)</t>
        </is>
      </c>
      <c r="I84" t="inlineStr">
        <is>
          <t>déclarée</t>
        </is>
      </c>
      <c r="J84" t="n">
        <v>2021</v>
      </c>
      <c r="K84" t="inlineStr">
        <is>
          <t>C</t>
        </is>
      </c>
      <c r="L84" t="inlineStr">
        <is>
          <t>inaccessible</t>
        </is>
      </c>
      <c r="M84" t="inlineStr">
        <is>
          <t>SolarQuarter</t>
        </is>
      </c>
      <c r="N84" t="inlineStr">
        <is>
          <t>Largest Off-Grid Solar-Battery System For Mining Industry</t>
        </is>
      </c>
      <c r="O84" t="inlineStr">
        <is>
          <t>https://solarquarter.com/2021/04/23/largest-off-grid-solar-battery-system-for-mining-industry/</t>
        </is>
      </c>
      <c r="P84" t="inlineStr">
        <is>
          <t>2021-04-23</t>
        </is>
      </c>
      <c r="Q84" t="inlineStr">
        <is>
          <t>allows up to 75% of the electricity demand of the gold mine to be covered by renewable energy during the daytime</t>
        </is>
      </c>
      <c r="R84" t="inlineStr">
        <is>
          <t>Part maximale diurne, pas moyenne annuelle.</t>
        </is>
      </c>
    </row>
    <row r="85">
      <c r="A85" t="inlineStr">
        <is>
          <t>a_revoir</t>
        </is>
      </c>
      <c r="B85" t="inlineStr">
        <is>
          <t>B_captif</t>
        </is>
      </c>
      <c r="C85" t="inlineStr">
        <is>
          <t>B</t>
        </is>
      </c>
      <c r="D85" t="inlineStr">
        <is>
          <t>MLI</t>
        </is>
      </c>
      <c r="E85" t="inlineStr">
        <is>
          <t>Fekola Solar Plant – extension phase 2</t>
        </is>
      </c>
      <c r="F85" t="inlineStr">
        <is>
          <t>capex_total</t>
        </is>
      </c>
      <c r="G85" t="n">
        <v>39000000</v>
      </c>
      <c r="H85" t="inlineStr">
        <is>
          <t>USD</t>
        </is>
      </c>
      <c r="I85" t="inlineStr">
        <is>
          <t>observée</t>
        </is>
      </c>
      <c r="J85" t="n">
        <v>2024</v>
      </c>
      <c r="K85" t="inlineStr">
        <is>
          <t>A</t>
        </is>
      </c>
      <c r="L85" t="inlineStr">
        <is>
          <t>valeur_absente_de_citation</t>
        </is>
      </c>
      <c r="M85" t="inlineStr">
        <is>
          <t>B2Gold Corp. (calcul)</t>
        </is>
      </c>
      <c r="N85" t="inlineStr">
        <is>
          <t>B2Gold Corp. MD&amp;A 2024 (Form 6-K, Exhibit 99.2)</t>
        </is>
      </c>
      <c r="O85" t="inlineStr">
        <is>
          <t>https://www.sec.gov/Archives/edgar/data/1429937/000142993725000002/btg-123124xexhibit992.htm</t>
        </is>
      </c>
      <c r="P85" t="inlineStr">
        <is>
          <t>2025-02-20</t>
        </is>
      </c>
      <c r="Q85" t="inlineStr">
        <is>
          <t>$21 million for the expansion of the solar power plant</t>
        </is>
      </c>
      <c r="R85" t="inlineStr">
        <is>
          <t>CALCUL : 18 M (2023, MD&amp;A 2023) + 21 M (2024, MD&amp;A 2024). Coût final approximatif, hors éventuelles dépenses 2025.</t>
        </is>
      </c>
    </row>
    <row r="86">
      <c r="A86" t="inlineStr">
        <is>
          <t>a_revoir</t>
        </is>
      </c>
      <c r="B86" t="inlineStr">
        <is>
          <t>B_captif</t>
        </is>
      </c>
      <c r="C86" t="inlineStr">
        <is>
          <t>B</t>
        </is>
      </c>
      <c r="D86" t="inlineStr">
        <is>
          <t>MRT</t>
        </is>
      </c>
      <c r="E86" t="inlineStr">
        <is>
          <t>Tasiast solar power plant – mine d'or de Tasiast</t>
        </is>
      </c>
      <c r="F86" t="inlineStr">
        <is>
          <t>puissance_mwp</t>
        </is>
      </c>
      <c r="G86" t="n">
        <v>42.9</v>
      </c>
      <c r="H86" t="inlineStr">
        <is>
          <t>MWc (calcul)</t>
        </is>
      </c>
      <c r="I86" t="inlineStr">
        <is>
          <t>observée</t>
        </is>
      </c>
      <c r="J86" t="n">
        <v>2024</v>
      </c>
      <c r="K86" t="inlineStr">
        <is>
          <t>A</t>
        </is>
      </c>
      <c r="L86" t="inlineStr">
        <is>
          <t>valeur_absente_de_citation</t>
        </is>
      </c>
      <c r="M86" t="inlineStr">
        <is>
          <t>Kinross Gold</t>
        </is>
      </c>
      <c r="N86" t="inlineStr">
        <is>
          <t>Tasiast Mine, Mauritania – NI 43-101 Technical Report (eff. 31 déc. 2024), Kinross</t>
        </is>
      </c>
      <c r="O86" t="inlineStr">
        <is>
          <t>https://www.sec.gov/Archives/edgar/data/701818/000110465925028817/tm2510061d1_ex99-1.htm</t>
        </is>
      </c>
      <c r="P86" t="inlineStr">
        <is>
          <t>2025-03-27</t>
        </is>
      </c>
      <c r="Q86" t="inlineStr">
        <is>
          <t>The solar plant consisting of 78,000 550W JA Solar Bifacial photovoltaic panels</t>
        </is>
      </c>
      <c r="R86" t="inlineStr">
        <is>
          <t>CALCUL de l'auteur : 78 000 × 550 Wc.</t>
        </is>
      </c>
    </row>
    <row r="87">
      <c r="A87" t="inlineStr">
        <is>
          <t>a_revoir</t>
        </is>
      </c>
      <c r="B87" t="inlineStr">
        <is>
          <t>B_captif</t>
        </is>
      </c>
      <c r="C87" t="inlineStr">
        <is>
          <t>B</t>
        </is>
      </c>
      <c r="D87" t="inlineStr">
        <is>
          <t>ZWE</t>
        </is>
      </c>
      <c r="E87" t="inlineStr">
        <is>
          <t>Blanket Mine solar plant (Caledonia Mining Services)</t>
        </is>
      </c>
      <c r="F87" t="inlineStr">
        <is>
          <t>annee_mise_en_service</t>
        </is>
      </c>
      <c r="G87" t="n">
        <v>2023</v>
      </c>
      <c r="H87" t="inlineStr">
        <is>
          <t>année (raccordé nov. 2022, pleinement mis en service févr. 2023)</t>
        </is>
      </c>
      <c r="I87" t="inlineStr">
        <is>
          <t>observée</t>
        </is>
      </c>
      <c r="J87" t="n">
        <v>2023</v>
      </c>
      <c r="K87" t="inlineStr">
        <is>
          <t>A</t>
        </is>
      </c>
      <c r="L87" t="inlineStr">
        <is>
          <t>valeur_absente_de_citation</t>
        </is>
      </c>
      <c r="M87" t="inlineStr">
        <is>
          <t>Caledonia Mining</t>
        </is>
      </c>
      <c r="N87" t="inlineStr">
        <is>
          <t>Caledonia Mining – MD&amp;A 2022 (6-K Ex. 99.2)</t>
        </is>
      </c>
      <c r="O87" t="inlineStr">
        <is>
          <t>https://www.sec.gov/Archives/edgar/data/766011/000117184323001872/ex_492474.htm</t>
        </is>
      </c>
      <c r="P87" t="inlineStr">
        <is>
          <t>2023-03</t>
        </is>
      </c>
      <c r="Q87" t="inlineStr">
        <is>
          <t>The solar plant was fully commissioned early February, is operating better than expected and is generating slightly more power than anticipated.</t>
        </is>
      </c>
      <c r="R87" t="inlineStr"/>
    </row>
    <row r="88">
      <c r="A88" t="inlineStr">
        <is>
          <t>a_revoir</t>
        </is>
      </c>
      <c r="B88" t="inlineStr">
        <is>
          <t>B_captif</t>
        </is>
      </c>
      <c r="C88" t="inlineStr">
        <is>
          <t>B</t>
        </is>
      </c>
      <c r="D88" t="inlineStr">
        <is>
          <t>SEN</t>
        </is>
      </c>
      <c r="E88" t="inlineStr">
        <is>
          <t>Sabodala-Massawa Solar Power Plant</t>
        </is>
      </c>
      <c r="F88" t="inlineStr">
        <is>
          <t>annee_mise_en_service</t>
        </is>
      </c>
      <c r="G88" t="n">
        <v>2025</v>
      </c>
      <c r="H88" t="inlineStr">
        <is>
          <t>année (1er mars 2025, première injection déc. 2024)</t>
        </is>
      </c>
      <c r="I88" t="inlineStr">
        <is>
          <t>observée</t>
        </is>
      </c>
      <c r="J88" t="n">
        <v>2025</v>
      </c>
      <c r="K88" t="inlineStr">
        <is>
          <t>B</t>
        </is>
      </c>
      <c r="L88" t="inlineStr">
        <is>
          <t>valeur_absente_de_citation</t>
        </is>
      </c>
      <c r="M88" t="inlineStr">
        <is>
          <t>Endeavour Mining</t>
        </is>
      </c>
      <c r="N88" t="inlineStr">
        <is>
          <t>Endeavour Mining – FY-2024 results</t>
        </is>
      </c>
      <c r="O88" t="inlineStr">
        <is>
          <t>https://www.investegate.co.uk/announcement/gnw/endeavour-mining--edv/endeavour-reports-strong-fy-2024-results/8765530</t>
        </is>
      </c>
      <c r="P88" t="inlineStr">
        <is>
          <t>2025-02</t>
        </is>
      </c>
      <c r="Q88" t="inlineStr">
        <is>
          <t>In December 2024, first photovoltaic power was injected into Sabodala-Massawa's grid.</t>
        </is>
      </c>
      <c r="R88" t="inlineStr">
        <is>
          <t>'Commissioning and ramp up of photovoltaic power generation was completed on 1 March 2025, with full nameplate capacity achieved.'</t>
        </is>
      </c>
    </row>
    <row r="89">
      <c r="A89" t="inlineStr">
        <is>
          <t>a_revoir</t>
        </is>
      </c>
      <c r="B89" t="inlineStr">
        <is>
          <t>B_captif</t>
        </is>
      </c>
      <c r="C89" t="inlineStr">
        <is>
          <t>B</t>
        </is>
      </c>
      <c r="D89" t="inlineStr">
        <is>
          <t>KEN</t>
        </is>
      </c>
      <c r="E89" t="inlineStr">
        <is>
          <t>Bamburi Cement – centrales PV Mombasa (14,5 MW) et Athi River (5 MW)</t>
        </is>
      </c>
      <c r="F89" t="inlineStr">
        <is>
          <t>puissance_mwp</t>
        </is>
      </c>
      <c r="G89" t="n">
        <v>19.5</v>
      </c>
      <c r="H89" t="inlineStr">
        <is>
          <t>MW (14,5 + 5)</t>
        </is>
      </c>
      <c r="I89" t="inlineStr">
        <is>
          <t>déclarée</t>
        </is>
      </c>
      <c r="J89" t="n">
        <v>2023</v>
      </c>
      <c r="K89" t="inlineStr">
        <is>
          <t>C</t>
        </is>
      </c>
      <c r="L89" t="inlineStr">
        <is>
          <t>valeur_absente_de_citation</t>
        </is>
      </c>
      <c r="M89" t="inlineStr">
        <is>
          <t>Capital FM</t>
        </is>
      </c>
      <c r="N89" t="inlineStr">
        <is>
          <t>Bamburi Cement Commences Construction of Two Solar PV Plants</t>
        </is>
      </c>
      <c r="O89" t="inlineStr">
        <is>
          <t>https://capitalfm.africa/bamburi-cement-commences-construction-of-two-solar-pv-plants/</t>
        </is>
      </c>
      <c r="P89" t="inlineStr">
        <is>
          <t>2023-11-30</t>
        </is>
      </c>
      <c r="Q89" t="inlineStr">
        <is>
          <t>boasting capacities of 14.5MW and 5MW, situated in Bamburi's Mombasa and Athi River locations, respectively</t>
        </is>
      </c>
      <c r="R89" t="inlineStr"/>
    </row>
    <row r="90">
      <c r="A90" t="inlineStr">
        <is>
          <t>a_revoir</t>
        </is>
      </c>
      <c r="B90" t="inlineStr">
        <is>
          <t>B_captif</t>
        </is>
      </c>
      <c r="C90" t="inlineStr">
        <is>
          <t>B</t>
        </is>
      </c>
      <c r="D90" t="inlineStr">
        <is>
          <t>KEN</t>
        </is>
      </c>
      <c r="E90" t="inlineStr">
        <is>
          <t>Mombasa Cement – Vipingo (10 MW)</t>
        </is>
      </c>
      <c r="F90" t="inlineStr">
        <is>
          <t>annee_mise_en_service</t>
        </is>
      </c>
      <c r="G90" t="n">
        <v>2025</v>
      </c>
      <c r="H90" t="inlineStr">
        <is>
          <t>année</t>
        </is>
      </c>
      <c r="I90" t="inlineStr">
        <is>
          <t>observée</t>
        </is>
      </c>
      <c r="J90" t="n">
        <v>2025</v>
      </c>
      <c r="K90" t="inlineStr">
        <is>
          <t>C</t>
        </is>
      </c>
      <c r="L90" t="inlineStr">
        <is>
          <t>valeur_absente_de_citation</t>
        </is>
      </c>
      <c r="M90" t="inlineStr">
        <is>
          <t>Green Building Africa</t>
        </is>
      </c>
      <c r="N90" t="inlineStr">
        <is>
          <t>Equator Energy commissions 10MW solar plant at Mombasa Cement Vipingo in Kenya</t>
        </is>
      </c>
      <c r="O90" t="inlineStr">
        <is>
          <t>https://www.greenbuildingafrica.co.za/equator-energy-commissions-10mw-solar-plant-at-mombasa-cement-vipingo-in-kenya/</t>
        </is>
      </c>
      <c r="P90" t="inlineStr">
        <is>
          <t>2025-10-04</t>
        </is>
      </c>
      <c r="Q90" t="inlineStr">
        <is>
          <t>Equator Energy has successfully commissioned a 10MW solar plant at Mombasa Cement's Vipingo facility</t>
        </is>
      </c>
      <c r="R90" t="inlineStr"/>
    </row>
    <row r="91">
      <c r="A91" t="inlineStr">
        <is>
          <t>a_revoir</t>
        </is>
      </c>
      <c r="B91" t="inlineStr">
        <is>
          <t>B_captif</t>
        </is>
      </c>
      <c r="C91" t="inlineStr">
        <is>
          <t>B</t>
        </is>
      </c>
      <c r="D91" t="inlineStr">
        <is>
          <t>KEN</t>
        </is>
      </c>
      <c r="E91" t="inlineStr">
        <is>
          <t>Williamson Tea – système PV hybride 1,5 MWc + 4 MWh (OFGEN)</t>
        </is>
      </c>
      <c r="F91" t="inlineStr">
        <is>
          <t>annee_mise_en_service</t>
        </is>
      </c>
      <c r="G91" t="n">
        <v>2021</v>
      </c>
      <c r="H91" t="inlineStr">
        <is>
          <t>année (≤ janv. 2022)</t>
        </is>
      </c>
      <c r="I91" t="inlineStr">
        <is>
          <t>déclarée</t>
        </is>
      </c>
      <c r="J91" t="n">
        <v>2022</v>
      </c>
      <c r="K91" t="inlineStr">
        <is>
          <t>C</t>
        </is>
      </c>
      <c r="L91" t="inlineStr">
        <is>
          <t>valeur_absente_de_citation</t>
        </is>
      </c>
      <c r="M91" t="inlineStr">
        <is>
          <t>AFSIA (communiqué OFGEN)</t>
        </is>
      </c>
      <c r="N91" t="inlineStr">
        <is>
          <t>OFGEN commissions a 1.5MWp/4000 kWh BESS at Williamson Tea PLC, Kenya</t>
        </is>
      </c>
      <c r="O91" t="inlineStr">
        <is>
          <t>https://www.afsiasolar.com/ofgen-commissions-a-1-5mwp-4000-kwh-bess-at-williamson-tea-plc-kenya/</t>
        </is>
      </c>
      <c r="P91" t="inlineStr">
        <is>
          <t>2022-01-05</t>
        </is>
      </c>
      <c r="Q91" t="inlineStr">
        <is>
          <t>We successfully commissioned a 1,500kWp hybrid ground-mounted solar PV system</t>
        </is>
      </c>
      <c r="R91" t="inlineStr">
        <is>
          <t>Date exacte non indiquée ; publication 5 janv. 2022.</t>
        </is>
      </c>
    </row>
    <row r="92">
      <c r="A92" t="inlineStr">
        <is>
          <t>a_revoir</t>
        </is>
      </c>
      <c r="B92" t="inlineStr">
        <is>
          <t>C_minireseaux</t>
        </is>
      </c>
      <c r="C92" t="inlineStr">
        <is>
          <t>C</t>
        </is>
      </c>
      <c r="D92" t="inlineStr">
        <is>
          <t>AFR</t>
        </is>
      </c>
      <c r="E92" t="inlineStr">
        <is>
          <t>ESMAP 2022 – mini-réseau solaire hybride 'best-in-class'</t>
        </is>
      </c>
      <c r="F92" t="inlineStr">
        <is>
          <t>lcoe</t>
        </is>
      </c>
      <c r="G92" t="n">
        <v>0.55</v>
      </c>
      <c r="H92" t="inlineStr">
        <is>
          <t>USD/kWh</t>
        </is>
      </c>
      <c r="I92" t="inlineStr">
        <is>
          <t>modélisée</t>
        </is>
      </c>
      <c r="J92" t="n">
        <v>2018</v>
      </c>
      <c r="K92" t="inlineStr">
        <is>
          <t>A</t>
        </is>
      </c>
      <c r="L92" t="inlineStr">
        <is>
          <t>inaccessible</t>
        </is>
      </c>
      <c r="M92" t="inlineStr">
        <is>
          <t>ESMAP / Banque mondiale</t>
        </is>
      </c>
      <c r="N92" t="inlineStr">
        <is>
          <t>Mini Grids for Half a Billion People: Market Outlook and Handbook for Decision Makers (2022)</t>
        </is>
      </c>
      <c r="O92" t="inlineStr">
        <is>
          <t>https://openknowledge.worldbank.org/bitstreams/dc000258-8524-594f-a2ee-e1ee7a256f6b/download</t>
        </is>
      </c>
      <c r="P92" t="inlineStr">
        <is>
          <t>2022</t>
        </is>
      </c>
      <c r="Q92" t="inlineStr">
        <is>
          <t>the LCOE of a best-in-class solar hybrid mini grid was $0.55/kWh in 2018 (ESMAP 2019).</t>
        </is>
      </c>
      <c r="R92" t="inlineStr">
        <is>
          <t>Référence 2018 issue de l'édition ESMAP 2019 ; périmètre mondial, mini-réseau type (facteur de charge 22 %).</t>
        </is>
      </c>
    </row>
    <row r="93">
      <c r="A93" t="inlineStr">
        <is>
          <t>a_revoir</t>
        </is>
      </c>
      <c r="B93" t="inlineStr">
        <is>
          <t>C_minireseaux</t>
        </is>
      </c>
      <c r="C93" t="inlineStr">
        <is>
          <t>C</t>
        </is>
      </c>
      <c r="D93" t="inlineStr">
        <is>
          <t>AFR</t>
        </is>
      </c>
      <c r="E93" t="inlineStr">
        <is>
          <t>ESMAP 2022 – mini-réseau solaire hybride 'best-in-class'</t>
        </is>
      </c>
      <c r="F93" t="inlineStr">
        <is>
          <t>lcoe</t>
        </is>
      </c>
      <c r="G93" t="n">
        <v>0.38</v>
      </c>
      <c r="H93" t="inlineStr">
        <is>
          <t>USD/kWh</t>
        </is>
      </c>
      <c r="I93" t="inlineStr">
        <is>
          <t>modélisée</t>
        </is>
      </c>
      <c r="J93" t="n">
        <v>2021</v>
      </c>
      <c r="K93" t="inlineStr">
        <is>
          <t>A</t>
        </is>
      </c>
      <c r="L93" t="inlineStr">
        <is>
          <t>inaccessible</t>
        </is>
      </c>
      <c r="M93" t="inlineStr">
        <is>
          <t>ESMAP / Banque mondiale</t>
        </is>
      </c>
      <c r="N93" t="inlineStr">
        <is>
          <t>Mini Grids for Half a Billion People: Market Outlook and Handbook for Decision Makers (2022)</t>
        </is>
      </c>
      <c r="O93" t="inlineStr">
        <is>
          <t>https://openknowledge.worldbank.org/bitstreams/dc000258-8524-594f-a2ee-e1ee7a256f6b/download</t>
        </is>
      </c>
      <c r="P93" t="inlineStr">
        <is>
          <t>2022</t>
        </is>
      </c>
      <c r="Q93" t="inlineStr">
        <is>
          <t>In 2021, the LCOE in a best-in-class, third-generation mini grid was $0.38/kWh at a 22 percent load factor, or a 31 percent reduction from 2018.</t>
        </is>
      </c>
      <c r="R93" t="inlineStr">
        <is>
          <t>Valeur modélisée (économique, sans subvention), périmètre mondial. Voir conflit de millésime (2020 vs 2021) dans le même rapport.</t>
        </is>
      </c>
    </row>
    <row r="94">
      <c r="A94" t="inlineStr">
        <is>
          <t>a_revoir</t>
        </is>
      </c>
      <c r="B94" t="inlineStr">
        <is>
          <t>C_minireseaux</t>
        </is>
      </c>
      <c r="C94" t="inlineStr">
        <is>
          <t>C</t>
        </is>
      </c>
      <c r="D94" t="inlineStr">
        <is>
          <t>AFR</t>
        </is>
      </c>
      <c r="E94" t="inlineStr">
        <is>
          <t>ESMAP 2022 – mini-réseau solaire hybride 'best-in-class'</t>
        </is>
      </c>
      <c r="F94" t="inlineStr">
        <is>
          <t>lcoe</t>
        </is>
      </c>
      <c r="G94" t="n">
        <v>0.38</v>
      </c>
      <c r="H94" t="inlineStr">
        <is>
          <t>USD/kWh</t>
        </is>
      </c>
      <c r="I94" t="inlineStr">
        <is>
          <t>modélisée</t>
        </is>
      </c>
      <c r="J94" t="n">
        <v>2020</v>
      </c>
      <c r="K94" t="inlineStr">
        <is>
          <t>A</t>
        </is>
      </c>
      <c r="L94" t="inlineStr">
        <is>
          <t>inaccessible</t>
        </is>
      </c>
      <c r="M94" t="inlineStr">
        <is>
          <t>ESMAP / Banque mondiale</t>
        </is>
      </c>
      <c r="N94" t="inlineStr">
        <is>
          <t>Mini Grids for Half a Billion People: Market Outlook and Handbook for Decision Makers (2022)</t>
        </is>
      </c>
      <c r="O94" t="inlineStr">
        <is>
          <t>https://openknowledge.worldbank.org/bitstreams/dc000258-8524-594f-a2ee-e1ee7a256f6b/download</t>
        </is>
      </c>
      <c r="P94" t="inlineStr">
        <is>
          <t>2022</t>
        </is>
      </c>
      <c r="Q94" t="inlineStr">
        <is>
          <t>the LCOE for a best-in-class solar hybrid mini grid was $0.38/kWh in 2020. This was ahead of the 2020 target</t>
        </is>
      </c>
      <c r="R94" t="inlineStr">
        <is>
          <t>Même chiffre daté 2020 ailleurs dans le rapport (conflit interne de millésime).</t>
        </is>
      </c>
    </row>
    <row r="95">
      <c r="A95" t="inlineStr">
        <is>
          <t>a_revoir</t>
        </is>
      </c>
      <c r="B95" t="inlineStr">
        <is>
          <t>C_minireseaux</t>
        </is>
      </c>
      <c r="C95" t="inlineStr">
        <is>
          <t>C</t>
        </is>
      </c>
      <c r="D95" t="inlineStr">
        <is>
          <t>AFR</t>
        </is>
      </c>
      <c r="E95" t="inlineStr">
        <is>
          <t>ESMAP 2022 – mini-réseau solaire hybride 'best-in-class'</t>
        </is>
      </c>
      <c r="F95" t="inlineStr">
        <is>
          <t>lcoe_cible</t>
        </is>
      </c>
      <c r="G95" t="n">
        <v>0.2</v>
      </c>
      <c r="H95" t="inlineStr">
        <is>
          <t>USD/kWh</t>
        </is>
      </c>
      <c r="I95" t="inlineStr">
        <is>
          <t>déclarée</t>
        </is>
      </c>
      <c r="J95" t="n">
        <v>2030</v>
      </c>
      <c r="K95" t="inlineStr">
        <is>
          <t>A</t>
        </is>
      </c>
      <c r="L95" t="inlineStr">
        <is>
          <t>inaccessible</t>
        </is>
      </c>
      <c r="M95" t="inlineStr">
        <is>
          <t>ESMAP / Banque mondiale</t>
        </is>
      </c>
      <c r="N95" t="inlineStr">
        <is>
          <t>Mini Grids for Half a Billion People: Market Outlook and Handbook for Decision Makers (2022)</t>
        </is>
      </c>
      <c r="O95" t="inlineStr">
        <is>
          <t>https://openknowledge.worldbank.org/bitstreams/dc000258-8524-594f-a2ee-e1ee7a256f6b/download</t>
        </is>
      </c>
      <c r="P95" t="inlineStr">
        <is>
          <t>2022</t>
        </is>
      </c>
      <c r="Q95" t="inlineStr">
        <is>
          <t>expected to bring the LCOE of third-generation mini grids to $0.20/kWh by 2030</t>
        </is>
      </c>
      <c r="R95" t="inlineStr">
        <is>
          <t>Objectif/projection 2030 (facteur de charge 40 % + baisse des coûts).</t>
        </is>
      </c>
    </row>
    <row r="96">
      <c r="A96" t="inlineStr">
        <is>
          <t>a_revoir</t>
        </is>
      </c>
      <c r="B96" t="inlineStr">
        <is>
          <t>C_minireseaux</t>
        </is>
      </c>
      <c r="C96" t="inlineStr">
        <is>
          <t>C</t>
        </is>
      </c>
      <c r="D96" t="inlineStr">
        <is>
          <t>AFR</t>
        </is>
      </c>
      <c r="E96" t="inlineStr">
        <is>
          <t>ESMAP 2022 – mini-réseau solaire hybride 'best-in-class'</t>
        </is>
      </c>
      <c r="F96" t="inlineStr">
        <is>
          <t>lcoe</t>
        </is>
      </c>
      <c r="G96" t="n">
        <v>0.28</v>
      </c>
      <c r="H96" t="inlineStr">
        <is>
          <t>USD/kWh</t>
        </is>
      </c>
      <c r="I96" t="inlineStr">
        <is>
          <t>modélisée</t>
        </is>
      </c>
      <c r="J96" t="n">
        <v>2021</v>
      </c>
      <c r="K96" t="inlineStr">
        <is>
          <t>A</t>
        </is>
      </c>
      <c r="L96" t="inlineStr">
        <is>
          <t>inaccessible</t>
        </is>
      </c>
      <c r="M96" t="inlineStr">
        <is>
          <t>ESMAP / Banque mondiale</t>
        </is>
      </c>
      <c r="N96" t="inlineStr">
        <is>
          <t>Mini Grids for Half a Billion People: Market Outlook and Handbook for Decision Makers (2022)</t>
        </is>
      </c>
      <c r="O96" t="inlineStr">
        <is>
          <t>https://openknowledge.worldbank.org/bitstreams/dc000258-8524-594f-a2ee-e1ee7a256f6b/download</t>
        </is>
      </c>
      <c r="P96" t="inlineStr">
        <is>
          <t>2022</t>
        </is>
      </c>
      <c r="Q96" t="inlineStr">
        <is>
          <t>$0.28/kWh with income-generating machines to achieve 40 percent load factor</t>
        </is>
      </c>
      <c r="R96" t="inlineStr">
        <is>
          <t>Scénario facteur de charge 40 % avec usages productifs, coûts 2021.</t>
        </is>
      </c>
    </row>
    <row r="97">
      <c r="A97" t="inlineStr">
        <is>
          <t>a_revoir</t>
        </is>
      </c>
      <c r="B97" t="inlineStr">
        <is>
          <t>C_minireseaux</t>
        </is>
      </c>
      <c r="C97" t="inlineStr">
        <is>
          <t>C</t>
        </is>
      </c>
      <c r="D97" t="inlineStr">
        <is>
          <t>AFR</t>
        </is>
      </c>
      <c r="E97" t="inlineStr">
        <is>
          <t>ESMAP 2022 – mini-réseau solaire hybride 'best-in-class'</t>
        </is>
      </c>
      <c r="F97" t="inlineStr">
        <is>
          <t>capex_par_kw_firm</t>
        </is>
      </c>
      <c r="G97" t="n">
        <v>3659</v>
      </c>
      <c r="H97" t="inlineStr">
        <is>
          <t>USD/kWfirm</t>
        </is>
      </c>
      <c r="I97" t="inlineStr">
        <is>
          <t>modélisée</t>
        </is>
      </c>
      <c r="J97" t="n">
        <v>2021</v>
      </c>
      <c r="K97" t="inlineStr">
        <is>
          <t>A</t>
        </is>
      </c>
      <c r="L97" t="inlineStr">
        <is>
          <t>inaccessible</t>
        </is>
      </c>
      <c r="M97" t="inlineStr">
        <is>
          <t>ESMAP / Banque mondiale</t>
        </is>
      </c>
      <c r="N97" t="inlineStr">
        <is>
          <t>Mini Grids for Half a Billion People: Market Outlook and Handbook for Decision Makers (2022)</t>
        </is>
      </c>
      <c r="O97" t="inlineStr">
        <is>
          <t>https://openknowledge.worldbank.org/bitstreams/dc000258-8524-594f-a2ee-e1ee7a256f6b/download</t>
        </is>
      </c>
      <c r="P97" t="inlineStr">
        <is>
          <t>2022</t>
        </is>
      </c>
      <c r="Q97" t="inlineStr">
        <is>
          <t>The economic cost of a best-in-class mini grid in 2021 was $3,659 per kWfirm.</t>
        </is>
      </c>
      <c r="R97" t="inlineStr">
        <is>
          <t>Coût économique total (production+distribution) d'un mini-réseau de référence.</t>
        </is>
      </c>
    </row>
    <row r="98">
      <c r="A98" t="inlineStr">
        <is>
          <t>a_revoir</t>
        </is>
      </c>
      <c r="B98" t="inlineStr">
        <is>
          <t>C_minireseaux</t>
        </is>
      </c>
      <c r="C98" t="inlineStr">
        <is>
          <t>C</t>
        </is>
      </c>
      <c r="D98" t="inlineStr">
        <is>
          <t>AFR</t>
        </is>
      </c>
      <c r="E98" t="inlineStr">
        <is>
          <t>ESMAP 2022 – base de données de 356 mini-réseaux</t>
        </is>
      </c>
      <c r="F98" t="inlineStr">
        <is>
          <t>capex_par_kw_firm_median</t>
        </is>
      </c>
      <c r="G98" t="n">
        <v>5084</v>
      </c>
      <c r="H98" t="inlineStr">
        <is>
          <t>USD/kWfirm</t>
        </is>
      </c>
      <c r="I98" t="inlineStr">
        <is>
          <t>observée</t>
        </is>
      </c>
      <c r="J98" t="n">
        <v>2021</v>
      </c>
      <c r="K98" t="inlineStr">
        <is>
          <t>A</t>
        </is>
      </c>
      <c r="L98" t="inlineStr">
        <is>
          <t>inaccessible</t>
        </is>
      </c>
      <c r="M98" t="inlineStr">
        <is>
          <t>ESMAP / Banque mondiale</t>
        </is>
      </c>
      <c r="N98" t="inlineStr">
        <is>
          <t>Mini Grids for Half a Billion People: Market Outlook and Handbook for Decision Makers (2022)</t>
        </is>
      </c>
      <c r="O98" t="inlineStr">
        <is>
          <t>https://openknowledge.worldbank.org/bitstreams/dc000258-8524-594f-a2ee-e1ee7a256f6b/download</t>
        </is>
      </c>
      <c r="P98" t="inlineStr">
        <is>
          <t>2022</t>
        </is>
      </c>
      <c r="Q98" t="inlineStr">
        <is>
          <t>Of 356 mini grids, there are wild cost variations per kilowatt of firm power (kWfirm) output (figure 1.4). The median economic cost was $5,084 per kWfirm, while the 25th and 75th percentile economic costs were $3,760 and $6,953 per kWfirm</t>
        </is>
      </c>
      <c r="R98" t="inlineStr">
        <is>
          <t>Échantillon mondial (Afrique + Asie), mini-réseaux construits 2012–2021. P25=3 760 ; P75=6 953.</t>
        </is>
      </c>
    </row>
    <row r="99">
      <c r="A99" t="inlineStr">
        <is>
          <t>a_revoir</t>
        </is>
      </c>
      <c r="B99" t="inlineStr">
        <is>
          <t>C_minireseaux</t>
        </is>
      </c>
      <c r="C99" t="inlineStr">
        <is>
          <t>C</t>
        </is>
      </c>
      <c r="D99" t="inlineStr">
        <is>
          <t>AFR</t>
        </is>
      </c>
      <c r="E99" t="inlineStr">
        <is>
          <t>ESMAP 2022 – base de données de 411 mini-réseaux</t>
        </is>
      </c>
      <c r="F99" t="inlineStr">
        <is>
          <t>capex_par_branchement_median</t>
        </is>
      </c>
      <c r="G99" t="n">
        <v>846</v>
      </c>
      <c r="H99" t="inlineStr">
        <is>
          <t>USD/client</t>
        </is>
      </c>
      <c r="I99" t="inlineStr">
        <is>
          <t>observée</t>
        </is>
      </c>
      <c r="J99" t="n">
        <v>2021</v>
      </c>
      <c r="K99" t="inlineStr">
        <is>
          <t>A</t>
        </is>
      </c>
      <c r="L99" t="inlineStr">
        <is>
          <t>inaccessible</t>
        </is>
      </c>
      <c r="M99" t="inlineStr">
        <is>
          <t>ESMAP / Banque mondiale</t>
        </is>
      </c>
      <c r="N99" t="inlineStr">
        <is>
          <t>Mini Grids for Half a Billion People: Market Outlook and Handbook for Decision Makers (2022)</t>
        </is>
      </c>
      <c r="O99" t="inlineStr">
        <is>
          <t>https://openknowledge.worldbank.org/bitstreams/dc000258-8524-594f-a2ee-e1ee7a256f6b/download</t>
        </is>
      </c>
      <c r="P99" t="inlineStr">
        <is>
          <t>2022</t>
        </is>
      </c>
      <c r="Q99" t="inlineStr">
        <is>
          <t>The median cost per customer for village mini grids was $846, with 25th and 75th percentile costs of $468 and $1,413, respectively.</t>
        </is>
      </c>
      <c r="R99" t="inlineStr">
        <is>
          <t>Échantillon mondial ; P25=468, P75=1 413.</t>
        </is>
      </c>
    </row>
    <row r="100">
      <c r="A100" t="inlineStr">
        <is>
          <t>a_revoir</t>
        </is>
      </c>
      <c r="B100" t="inlineStr">
        <is>
          <t>C_minireseaux</t>
        </is>
      </c>
      <c r="C100" t="inlineStr">
        <is>
          <t>C</t>
        </is>
      </c>
      <c r="D100" t="inlineStr">
        <is>
          <t>AFR</t>
        </is>
      </c>
      <c r="E100" t="inlineStr">
        <is>
          <t>ESMAP 2022 – mini-réseaux 'third generation'</t>
        </is>
      </c>
      <c r="F100" t="inlineStr">
        <is>
          <t>capex_par_branchement</t>
        </is>
      </c>
      <c r="G100" t="n">
        <v>750</v>
      </c>
      <c r="H100" t="inlineStr">
        <is>
          <t>USD/client</t>
        </is>
      </c>
      <c r="I100" t="inlineStr">
        <is>
          <t>observée</t>
        </is>
      </c>
      <c r="J100" t="n">
        <v>2021</v>
      </c>
      <c r="K100" t="inlineStr">
        <is>
          <t>A</t>
        </is>
      </c>
      <c r="L100" t="inlineStr">
        <is>
          <t>inaccessible</t>
        </is>
      </c>
      <c r="M100" t="inlineStr">
        <is>
          <t>ESMAP / Banque mondiale</t>
        </is>
      </c>
      <c r="N100" t="inlineStr">
        <is>
          <t>Mini Grids for Half a Billion People: Market Outlook and Handbook for Decision Makers (2022)</t>
        </is>
      </c>
      <c r="O100" t="inlineStr">
        <is>
          <t>https://openknowledge.worldbank.org/bitstreams/dc000258-8524-594f-a2ee-e1ee7a256f6b/download</t>
        </is>
      </c>
      <c r="P100" t="inlineStr">
        <is>
          <t>2022</t>
        </is>
      </c>
      <c r="Q100" t="inlineStr">
        <is>
          <t>Up-front investment costs per customer have also fell dramatically, from around $2,000 per connection just a few years ago to $700–$800 per customer in 2021 (AMDA 2021).</t>
        </is>
      </c>
      <c r="R100" t="inlineStr">
        <is>
          <t>Fourchette 700–800 USD (point médian retenu) ; source amont AMDA 2021 ; ~2 000 USD/branchement 'quelques années plus tôt'.</t>
        </is>
      </c>
    </row>
    <row r="101">
      <c r="A101" t="inlineStr">
        <is>
          <t>a_revoir</t>
        </is>
      </c>
      <c r="B101" t="inlineStr">
        <is>
          <t>C_minireseaux</t>
        </is>
      </c>
      <c r="C101" t="inlineStr">
        <is>
          <t>C</t>
        </is>
      </c>
      <c r="D101" t="inlineStr">
        <is>
          <t>AFR</t>
        </is>
      </c>
      <c r="E101" t="inlineStr">
        <is>
          <t>ESMAP 2022 – parc installé mondial</t>
        </is>
      </c>
      <c r="F101" t="inlineStr">
        <is>
          <t>capex_par_branchement_moyen</t>
        </is>
      </c>
      <c r="G101" t="n">
        <v>2100</v>
      </c>
      <c r="H101" t="inlineStr">
        <is>
          <t>USD/branchement</t>
        </is>
      </c>
      <c r="I101" t="inlineStr">
        <is>
          <t>observée</t>
        </is>
      </c>
      <c r="J101" t="n">
        <v>2021</v>
      </c>
      <c r="K101" t="inlineStr">
        <is>
          <t>A</t>
        </is>
      </c>
      <c r="L101" t="inlineStr">
        <is>
          <t>inaccessible</t>
        </is>
      </c>
      <c r="M101" t="inlineStr">
        <is>
          <t>ESMAP / Banque mondiale</t>
        </is>
      </c>
      <c r="N101" t="inlineStr">
        <is>
          <t>Mini Grids for Half a Billion People: Market Outlook and Handbook for Decision Makers (2022)</t>
        </is>
      </c>
      <c r="O101" t="inlineStr">
        <is>
          <t>https://openknowledge.worldbank.org/bitstreams/dc000258-8524-594f-a2ee-e1ee7a256f6b/download</t>
        </is>
      </c>
      <c r="P101" t="inlineStr">
        <is>
          <t>2022</t>
        </is>
      </c>
      <c r="Q101" t="inlineStr">
        <is>
          <t>The total $38 billion represents an average investment cost of around $2,100 per connection, though this is skewed higher by more costly systems serving fewer customers in high-income countries.</t>
        </is>
      </c>
      <c r="R101" t="inlineStr">
        <is>
          <t>Moyenne mondiale tous mini-réseaux (toutes technologies, y compris pays à revenu élevé).</t>
        </is>
      </c>
    </row>
    <row r="102">
      <c r="A102" t="inlineStr">
        <is>
          <t>a_revoir</t>
        </is>
      </c>
      <c r="B102" t="inlineStr">
        <is>
          <t>C_minireseaux</t>
        </is>
      </c>
      <c r="C102" t="inlineStr">
        <is>
          <t>C</t>
        </is>
      </c>
      <c r="D102" t="inlineStr">
        <is>
          <t>AFR</t>
        </is>
      </c>
      <c r="E102" t="inlineStr">
        <is>
          <t>ESMAP 2022 – mini-réseaux planifiés (monde)</t>
        </is>
      </c>
      <c r="F102" t="inlineStr">
        <is>
          <t>capex_par_branchement_moyen</t>
        </is>
      </c>
      <c r="G102" t="n">
        <v>1200</v>
      </c>
      <c r="H102" t="inlineStr">
        <is>
          <t>USD/branchement</t>
        </is>
      </c>
      <c r="I102" t="inlineStr">
        <is>
          <t>déclarée</t>
        </is>
      </c>
      <c r="J102" t="n">
        <v>2021</v>
      </c>
      <c r="K102" t="inlineStr">
        <is>
          <t>A</t>
        </is>
      </c>
      <c r="L102" t="inlineStr">
        <is>
          <t>inaccessible</t>
        </is>
      </c>
      <c r="M102" t="inlineStr">
        <is>
          <t>ESMAP / Banque mondiale</t>
        </is>
      </c>
      <c r="N102" t="inlineStr">
        <is>
          <t>Mini Grids for Half a Billion People: Market Outlook and Handbook for Decision Makers (2022)</t>
        </is>
      </c>
      <c r="O102" t="inlineStr">
        <is>
          <t>https://openknowledge.worldbank.org/bitstreams/dc000258-8524-594f-a2ee-e1ee7a256f6b/download</t>
        </is>
      </c>
      <c r="P102" t="inlineStr">
        <is>
          <t>2022</t>
        </is>
      </c>
      <c r="Q102" t="inlineStr">
        <is>
          <t>Planned mini grids are expected to be much less costly, with an average expected investment globally of around $1,200 per connection</t>
        </is>
      </c>
      <c r="R102" t="inlineStr">
        <is>
          <t>Projection pour mini-réseaux en projet.</t>
        </is>
      </c>
    </row>
    <row r="103">
      <c r="A103" t="inlineStr">
        <is>
          <t>a_revoir</t>
        </is>
      </c>
      <c r="B103" t="inlineStr">
        <is>
          <t>C_minireseaux</t>
        </is>
      </c>
      <c r="C103" t="inlineStr">
        <is>
          <t>C</t>
        </is>
      </c>
      <c r="D103" t="inlineStr">
        <is>
          <t>AFR</t>
        </is>
      </c>
      <c r="E103" t="inlineStr">
        <is>
          <t>ESMAP 2022 – composants</t>
        </is>
      </c>
      <c r="F103" t="inlineStr">
        <is>
          <t>capex_pv_median</t>
        </is>
      </c>
      <c r="G103" t="n">
        <v>413</v>
      </c>
      <c r="H103" t="inlineStr">
        <is>
          <t>USD/kWp</t>
        </is>
      </c>
      <c r="I103" t="inlineStr">
        <is>
          <t>observée</t>
        </is>
      </c>
      <c r="J103" t="n">
        <v>2021</v>
      </c>
      <c r="K103" t="inlineStr">
        <is>
          <t>A</t>
        </is>
      </c>
      <c r="L103" t="inlineStr">
        <is>
          <t>inaccessible</t>
        </is>
      </c>
      <c r="M103" t="inlineStr">
        <is>
          <t>ESMAP / Banque mondiale</t>
        </is>
      </c>
      <c r="N103" t="inlineStr">
        <is>
          <t>Mini Grids for Half a Billion People: Market Outlook and Handbook for Decision Makers (2022)</t>
        </is>
      </c>
      <c r="O103" t="inlineStr">
        <is>
          <t>https://openknowledge.worldbank.org/bitstreams/dc000258-8524-594f-a2ee-e1ee7a256f6b/download</t>
        </is>
      </c>
      <c r="P103" t="inlineStr">
        <is>
          <t>2022</t>
        </is>
      </c>
      <c r="Q103" t="inlineStr">
        <is>
          <t>Based on data from 278 projects built between 2019 and 2021, these more recent installations had a median cost of $413 per kWp, with a 25th percentile cost of $354 per kWp and a 75th percentile cost of $599 per kWp.</t>
        </is>
      </c>
      <c r="R103" t="inlineStr">
        <is>
          <t>Modules + onduleurs PV ; échantillon mondial.</t>
        </is>
      </c>
    </row>
    <row r="104">
      <c r="A104" t="inlineStr">
        <is>
          <t>a_revoir</t>
        </is>
      </c>
      <c r="B104" t="inlineStr">
        <is>
          <t>C_minireseaux</t>
        </is>
      </c>
      <c r="C104" t="inlineStr">
        <is>
          <t>C</t>
        </is>
      </c>
      <c r="D104" t="inlineStr">
        <is>
          <t>AFR</t>
        </is>
      </c>
      <c r="E104" t="inlineStr">
        <is>
          <t>ESMAP 2022 – composants</t>
        </is>
      </c>
      <c r="F104" t="inlineStr">
        <is>
          <t>capex_batterie_li_ion_median</t>
        </is>
      </c>
      <c r="G104" t="n">
        <v>314</v>
      </c>
      <c r="H104" t="inlineStr">
        <is>
          <t>USD/kWh</t>
        </is>
      </c>
      <c r="I104" t="inlineStr">
        <is>
          <t>observée</t>
        </is>
      </c>
      <c r="J104" t="n">
        <v>2021</v>
      </c>
      <c r="K104" t="inlineStr">
        <is>
          <t>A</t>
        </is>
      </c>
      <c r="L104" t="inlineStr">
        <is>
          <t>inaccessible</t>
        </is>
      </c>
      <c r="M104" t="inlineStr">
        <is>
          <t>ESMAP / Banque mondiale</t>
        </is>
      </c>
      <c r="N104" t="inlineStr">
        <is>
          <t>Mini Grids for Half a Billion People: Market Outlook and Handbook for Decision Makers (2022)</t>
        </is>
      </c>
      <c r="O104" t="inlineStr">
        <is>
          <t>https://openknowledge.worldbank.org/bitstreams/dc000258-8524-594f-a2ee-e1ee7a256f6b/download</t>
        </is>
      </c>
      <c r="P104" t="inlineStr">
        <is>
          <t>2022</t>
        </is>
      </c>
      <c r="Q104" t="inlineStr">
        <is>
          <t>Battery (Li-ion)          $/kWh           14.9        $314             $297</t>
        </is>
      </c>
      <c r="R104" t="inlineStr">
        <is>
          <t>Tableau 1.7 : part 14,9 % du capex, médiane enquête ESMAP 314 USD/kWh ; hypothèse best-in-class 2021 : 297 USD/kWh.</t>
        </is>
      </c>
    </row>
    <row r="105">
      <c r="A105" t="inlineStr">
        <is>
          <t>a_revoir</t>
        </is>
      </c>
      <c r="B105" t="inlineStr">
        <is>
          <t>C_minireseaux</t>
        </is>
      </c>
      <c r="C105" t="inlineStr">
        <is>
          <t>C</t>
        </is>
      </c>
      <c r="D105" t="inlineStr">
        <is>
          <t>AFR</t>
        </is>
      </c>
      <c r="E105" t="inlineStr">
        <is>
          <t>ESMAP 2022 – composants</t>
        </is>
      </c>
      <c r="F105" t="inlineStr">
        <is>
          <t>capex_batterie_plomb</t>
        </is>
      </c>
      <c r="G105" t="n">
        <v>200</v>
      </c>
      <c r="H105" t="inlineStr">
        <is>
          <t>USD/kWh</t>
        </is>
      </c>
      <c r="I105" t="inlineStr">
        <is>
          <t>observée</t>
        </is>
      </c>
      <c r="J105" t="n">
        <v>2021</v>
      </c>
      <c r="K105" t="inlineStr">
        <is>
          <t>A</t>
        </is>
      </c>
      <c r="L105" t="inlineStr">
        <is>
          <t>inaccessible</t>
        </is>
      </c>
      <c r="M105" t="inlineStr">
        <is>
          <t>ESMAP / Banque mondiale</t>
        </is>
      </c>
      <c r="N105" t="inlineStr">
        <is>
          <t>Mini Grids for Half a Billion People: Market Outlook and Handbook for Decision Makers (2022)</t>
        </is>
      </c>
      <c r="O105" t="inlineStr">
        <is>
          <t>https://openknowledge.worldbank.org/bitstreams/dc000258-8524-594f-a2ee-e1ee7a256f6b/download</t>
        </is>
      </c>
      <c r="P105" t="inlineStr">
        <is>
          <t>2022</t>
        </is>
      </c>
      <c r="Q105" t="inlineStr">
        <is>
          <t>lead-acid battery costs slightly increasing from our earliest project data in 2012 but holding roughly steady at about $200 per kWh.</t>
        </is>
      </c>
      <c r="R105" t="inlineStr"/>
    </row>
    <row r="106">
      <c r="A106" t="inlineStr">
        <is>
          <t>a_revoir</t>
        </is>
      </c>
      <c r="B106" t="inlineStr">
        <is>
          <t>C_minireseaux</t>
        </is>
      </c>
      <c r="C106" t="inlineStr">
        <is>
          <t>C</t>
        </is>
      </c>
      <c r="D106" t="inlineStr">
        <is>
          <t>AFR</t>
        </is>
      </c>
      <c r="E106" t="inlineStr">
        <is>
          <t>ESMAP 2022 – composants</t>
        </is>
      </c>
      <c r="F106" t="inlineStr">
        <is>
          <t>part_distribution_capex</t>
        </is>
      </c>
      <c r="G106" t="n">
        <v>26.6</v>
      </c>
      <c r="H106" t="inlineStr">
        <is>
          <t>%</t>
        </is>
      </c>
      <c r="I106" t="inlineStr">
        <is>
          <t>observée</t>
        </is>
      </c>
      <c r="J106" t="n">
        <v>2021</v>
      </c>
      <c r="K106" t="inlineStr">
        <is>
          <t>A</t>
        </is>
      </c>
      <c r="L106" t="inlineStr">
        <is>
          <t>inaccessible</t>
        </is>
      </c>
      <c r="M106" t="inlineStr">
        <is>
          <t>ESMAP / Banque mondiale</t>
        </is>
      </c>
      <c r="N106" t="inlineStr">
        <is>
          <t>Mini Grids for Half a Billion People: Market Outlook and Handbook for Decision Makers (2022)</t>
        </is>
      </c>
      <c r="O106" t="inlineStr">
        <is>
          <t>https://openknowledge.worldbank.org/bitstreams/dc000258-8524-594f-a2ee-e1ee7a256f6b/download</t>
        </is>
      </c>
      <c r="P106" t="inlineStr">
        <is>
          <t>2022</t>
        </is>
      </c>
      <c r="Q106" t="inlineStr">
        <is>
          <t>The largest cost components were the distribution grid (26.6 percent), batteries (14.9 percent), installation (11.3 percent)</t>
        </is>
      </c>
      <c r="R106" t="inlineStr">
        <is>
          <t>294 mini-réseaux.</t>
        </is>
      </c>
    </row>
    <row r="107">
      <c r="A107" t="inlineStr">
        <is>
          <t>a_revoir</t>
        </is>
      </c>
      <c r="B107" t="inlineStr">
        <is>
          <t>C_minireseaux</t>
        </is>
      </c>
      <c r="C107" t="inlineStr">
        <is>
          <t>C</t>
        </is>
      </c>
      <c r="D107" t="inlineStr">
        <is>
          <t>AFR</t>
        </is>
      </c>
      <c r="E107" t="inlineStr">
        <is>
          <t>ESMAP 2022 – parc installé Afrique</t>
        </is>
      </c>
      <c r="F107" t="inlineStr">
        <is>
          <t>nb_mini_reseaux</t>
        </is>
      </c>
      <c r="G107" t="n">
        <v>3174</v>
      </c>
      <c r="H107" t="inlineStr">
        <is>
          <t>mini-réseaux</t>
        </is>
      </c>
      <c r="I107" t="inlineStr">
        <is>
          <t>observée</t>
        </is>
      </c>
      <c r="J107" t="n">
        <v>2021</v>
      </c>
      <c r="K107" t="inlineStr">
        <is>
          <t>A</t>
        </is>
      </c>
      <c r="L107" t="inlineStr">
        <is>
          <t>inaccessible</t>
        </is>
      </c>
      <c r="M107" t="inlineStr">
        <is>
          <t>ESMAP / Banque mondiale</t>
        </is>
      </c>
      <c r="N107" t="inlineStr">
        <is>
          <t>Mini Grids for Half a Billion People: Market Outlook and Handbook for Decision Makers (2022)</t>
        </is>
      </c>
      <c r="O107" t="inlineStr">
        <is>
          <t>https://openknowledge.worldbank.org/bitstreams/dc000258-8524-594f-a2ee-e1ee7a256f6b/download</t>
        </is>
      </c>
      <c r="P107" t="inlineStr">
        <is>
          <t>2022</t>
        </is>
      </c>
      <c r="Q107" t="inlineStr">
        <is>
          <t>Africa                                                3,174                    6                 27               1,960                   7,238</t>
        </is>
      </c>
      <c r="R107" t="inlineStr">
        <is>
          <t>Tableau O.4 : Afrique = 3 174 mini-réseaux, 6 M branchements, 27 M personnes, 1 960 MW, 7 238 M USD (toutes technologies, pas uniquement solaire). Ratio implicite ~3 700 USD/kW, ~1 200 USD/branchement (calcul, non cité).</t>
        </is>
      </c>
    </row>
    <row r="108">
      <c r="A108" t="inlineStr">
        <is>
          <t>a_revoir</t>
        </is>
      </c>
      <c r="B108" t="inlineStr">
        <is>
          <t>C_minireseaux</t>
        </is>
      </c>
      <c r="C108" t="inlineStr">
        <is>
          <t>C</t>
        </is>
      </c>
      <c r="D108" t="inlineStr">
        <is>
          <t>AFR</t>
        </is>
      </c>
      <c r="E108" t="inlineStr">
        <is>
          <t>ESMAP 2022 – parc installé Afrique</t>
        </is>
      </c>
      <c r="F108" t="inlineStr">
        <is>
          <t>puissance_totale</t>
        </is>
      </c>
      <c r="G108" t="n">
        <v>1960</v>
      </c>
      <c r="H108" t="inlineStr">
        <is>
          <t>MW</t>
        </is>
      </c>
      <c r="I108" t="inlineStr">
        <is>
          <t>observée</t>
        </is>
      </c>
      <c r="J108" t="n">
        <v>2021</v>
      </c>
      <c r="K108" t="inlineStr">
        <is>
          <t>A</t>
        </is>
      </c>
      <c r="L108" t="inlineStr">
        <is>
          <t>inaccessible</t>
        </is>
      </c>
      <c r="M108" t="inlineStr">
        <is>
          <t>ESMAP / Banque mondiale</t>
        </is>
      </c>
      <c r="N108" t="inlineStr">
        <is>
          <t>Mini Grids for Half a Billion People: Market Outlook and Handbook for Decision Makers (2022)</t>
        </is>
      </c>
      <c r="O108" t="inlineStr">
        <is>
          <t>https://openknowledge.worldbank.org/bitstreams/dc000258-8524-594f-a2ee-e1ee7a256f6b/download</t>
        </is>
      </c>
      <c r="P108" t="inlineStr">
        <is>
          <t>2022</t>
        </is>
      </c>
      <c r="Q108" t="inlineStr">
        <is>
          <t>Africa                                                3,174                    6                 27               1,960                   7,238</t>
        </is>
      </c>
      <c r="R108" t="inlineStr">
        <is>
          <t>Toutes technologies (solaire, hydro, diesel).</t>
        </is>
      </c>
    </row>
    <row r="109">
      <c r="A109" t="inlineStr">
        <is>
          <t>a_revoir</t>
        </is>
      </c>
      <c r="B109" t="inlineStr">
        <is>
          <t>C_minireseaux</t>
        </is>
      </c>
      <c r="C109" t="inlineStr">
        <is>
          <t>C</t>
        </is>
      </c>
      <c r="D109" t="inlineStr">
        <is>
          <t>AFR</t>
        </is>
      </c>
      <c r="E109" t="inlineStr">
        <is>
          <t>ESMAP 2022 – parc installé Afrique</t>
        </is>
      </c>
      <c r="F109" t="inlineStr">
        <is>
          <t>investissement_total</t>
        </is>
      </c>
      <c r="G109" t="n">
        <v>7238</v>
      </c>
      <c r="H109" t="inlineStr">
        <is>
          <t>millions USD</t>
        </is>
      </c>
      <c r="I109" t="inlineStr">
        <is>
          <t>observée</t>
        </is>
      </c>
      <c r="J109" t="n">
        <v>2021</v>
      </c>
      <c r="K109" t="inlineStr">
        <is>
          <t>A</t>
        </is>
      </c>
      <c r="L109" t="inlineStr">
        <is>
          <t>inaccessible</t>
        </is>
      </c>
      <c r="M109" t="inlineStr">
        <is>
          <t>ESMAP / Banque mondiale</t>
        </is>
      </c>
      <c r="N109" t="inlineStr">
        <is>
          <t>Mini Grids for Half a Billion People: Market Outlook and Handbook for Decision Makers (2022)</t>
        </is>
      </c>
      <c r="O109" t="inlineStr">
        <is>
          <t>https://openknowledge.worldbank.org/bitstreams/dc000258-8524-594f-a2ee-e1ee7a256f6b/download</t>
        </is>
      </c>
      <c r="P109" t="inlineStr">
        <is>
          <t>2022</t>
        </is>
      </c>
      <c r="Q109" t="inlineStr">
        <is>
          <t>Africa                                                3,174                    6                 27               1,960                   7,238</t>
        </is>
      </c>
      <c r="R109" t="inlineStr">
        <is>
          <t>Toutes technologies.</t>
        </is>
      </c>
    </row>
    <row r="110">
      <c r="A110" t="inlineStr">
        <is>
          <t>a_revoir</t>
        </is>
      </c>
      <c r="B110" t="inlineStr">
        <is>
          <t>C_minireseaux</t>
        </is>
      </c>
      <c r="C110" t="inlineStr">
        <is>
          <t>C</t>
        </is>
      </c>
      <c r="D110" t="inlineStr">
        <is>
          <t>AFR</t>
        </is>
      </c>
      <c r="E110" t="inlineStr">
        <is>
          <t>ESMAP 2022 – rentabilité opérateurs</t>
        </is>
      </c>
      <c r="F110" t="inlineStr">
        <is>
          <t>tarif_moyen</t>
        </is>
      </c>
      <c r="G110" t="n">
        <v>0.41</v>
      </c>
      <c r="H110" t="inlineStr">
        <is>
          <t>USD/kWh</t>
        </is>
      </c>
      <c r="I110" t="inlineStr">
        <is>
          <t>modélisée</t>
        </is>
      </c>
      <c r="J110" t="n">
        <v>2022</v>
      </c>
      <c r="K110" t="inlineStr">
        <is>
          <t>A</t>
        </is>
      </c>
      <c r="L110" t="inlineStr">
        <is>
          <t>inaccessible</t>
        </is>
      </c>
      <c r="M110" t="inlineStr">
        <is>
          <t>ESMAP / Banque mondiale</t>
        </is>
      </c>
      <c r="N110" t="inlineStr">
        <is>
          <t>Mini Grids for Half a Billion People: Market Outlook and Handbook for Decision Makers (2022)</t>
        </is>
      </c>
      <c r="O110" t="inlineStr">
        <is>
          <t>https://openknowledge.worldbank.org/bitstreams/dc000258-8524-594f-a2ee-e1ee7a256f6b/download</t>
        </is>
      </c>
      <c r="P110" t="inlineStr">
        <is>
          <t>2022</t>
        </is>
      </c>
      <c r="Q110" t="inlineStr">
        <is>
          <t>Average tariff (US$/kWh)              0.41        0.23</t>
        </is>
      </c>
      <c r="R110" t="inlineStr">
        <is>
          <t>Tableau 5.4 ; 2030 : 0,23 USD/kWh.</t>
        </is>
      </c>
    </row>
    <row r="111">
      <c r="A111" t="inlineStr">
        <is>
          <t>a_revoir</t>
        </is>
      </c>
      <c r="B111" t="inlineStr">
        <is>
          <t>C_minireseaux</t>
        </is>
      </c>
      <c r="C111" t="inlineStr">
        <is>
          <t>C</t>
        </is>
      </c>
      <c r="D111" t="inlineStr">
        <is>
          <t>AFR</t>
        </is>
      </c>
      <c r="E111" t="inlineStr">
        <is>
          <t>ESMAP 2022 – rentabilité opérateurs</t>
        </is>
      </c>
      <c r="F111" t="inlineStr">
        <is>
          <t>cout_du_service</t>
        </is>
      </c>
      <c r="G111" t="n">
        <v>0.38</v>
      </c>
      <c r="H111" t="inlineStr">
        <is>
          <t>USD/kWh</t>
        </is>
      </c>
      <c r="I111" t="inlineStr">
        <is>
          <t>modélisée</t>
        </is>
      </c>
      <c r="J111" t="n">
        <v>2022</v>
      </c>
      <c r="K111" t="inlineStr">
        <is>
          <t>A</t>
        </is>
      </c>
      <c r="L111" t="inlineStr">
        <is>
          <t>inaccessible</t>
        </is>
      </c>
      <c r="M111" t="inlineStr">
        <is>
          <t>ESMAP / Banque mondiale</t>
        </is>
      </c>
      <c r="N111" t="inlineStr">
        <is>
          <t>Mini Grids for Half a Billion People: Market Outlook and Handbook for Decision Makers (2022)</t>
        </is>
      </c>
      <c r="O111" t="inlineStr">
        <is>
          <t>https://openknowledge.worldbank.org/bitstreams/dc000258-8524-594f-a2ee-e1ee7a256f6b/download</t>
        </is>
      </c>
      <c r="P111" t="inlineStr">
        <is>
          <t>2022</t>
        </is>
      </c>
      <c r="Q111" t="inlineStr">
        <is>
          <t>Cost of service (US$/kWh)             0.38        0.20</t>
        </is>
      </c>
      <c r="R111" t="inlineStr">
        <is>
          <t>Tableau 5.4 ; 2030 : 0,20.</t>
        </is>
      </c>
    </row>
    <row r="112">
      <c r="A112" t="inlineStr">
        <is>
          <t>a_revoir</t>
        </is>
      </c>
      <c r="B112" t="inlineStr">
        <is>
          <t>C_minireseaux</t>
        </is>
      </c>
      <c r="C112" t="inlineStr">
        <is>
          <t>C</t>
        </is>
      </c>
      <c r="D112" t="inlineStr">
        <is>
          <t>AFR</t>
        </is>
      </c>
      <c r="E112" t="inlineStr">
        <is>
          <t>ESMAP 2022 – subvention basée sur performance</t>
        </is>
      </c>
      <c r="F112" t="inlineStr">
        <is>
          <t>subvention_par_branchement</t>
        </is>
      </c>
      <c r="G112" t="n">
        <v>650</v>
      </c>
      <c r="H112" t="inlineStr">
        <is>
          <t>USD/branchement</t>
        </is>
      </c>
      <c r="I112" t="inlineStr">
        <is>
          <t>modélisée</t>
        </is>
      </c>
      <c r="J112" t="n">
        <v>2022</v>
      </c>
      <c r="K112" t="inlineStr">
        <is>
          <t>A</t>
        </is>
      </c>
      <c r="L112" t="inlineStr">
        <is>
          <t>inaccessible</t>
        </is>
      </c>
      <c r="M112" t="inlineStr">
        <is>
          <t>ESMAP / Banque mondiale</t>
        </is>
      </c>
      <c r="N112" t="inlineStr">
        <is>
          <t>Mini Grids for Half a Billion People: Market Outlook and Handbook for Decision Makers (2022)</t>
        </is>
      </c>
      <c r="O112" t="inlineStr">
        <is>
          <t>https://openknowledge.worldbank.org/bitstreams/dc000258-8524-594f-a2ee-e1ee7a256f6b/download</t>
        </is>
      </c>
      <c r="P112" t="inlineStr">
        <is>
          <t>2022</t>
        </is>
      </c>
      <c r="Q112" t="inlineStr">
        <is>
          <t>a performance-based grant equivalent to 40 percent of a typical third-generation mini grid developer's connection costs would be about $400–$900 per connection.</t>
        </is>
      </c>
      <c r="R112" t="inlineStr">
        <is>
          <t>Fourchette 400–900 (point médian). Comparé à des subventions implicites &gt;800 USD/branchement pour les utilities africaines.</t>
        </is>
      </c>
    </row>
    <row r="113">
      <c r="A113" t="inlineStr">
        <is>
          <t>a_revoir</t>
        </is>
      </c>
      <c r="B113" t="inlineStr">
        <is>
          <t>C_minireseaux</t>
        </is>
      </c>
      <c r="C113" t="inlineStr">
        <is>
          <t>C</t>
        </is>
      </c>
      <c r="D113" t="inlineStr">
        <is>
          <t>AFR</t>
        </is>
      </c>
      <c r="E113" t="inlineStr">
        <is>
          <t>ESMAP 2022 – comparaison utilities</t>
        </is>
      </c>
      <c r="F113" t="inlineStr">
        <is>
          <t>cout_utilities_afrique</t>
        </is>
      </c>
      <c r="G113" t="n">
        <v>0.27</v>
      </c>
      <c r="H113" t="inlineStr">
        <is>
          <t>USD/kWh</t>
        </is>
      </c>
      <c r="I113" t="inlineStr">
        <is>
          <t>observée</t>
        </is>
      </c>
      <c r="J113" t="n">
        <v>2021</v>
      </c>
      <c r="K113" t="inlineStr">
        <is>
          <t>A</t>
        </is>
      </c>
      <c r="L113" t="inlineStr">
        <is>
          <t>inaccessible</t>
        </is>
      </c>
      <c r="M113" t="inlineStr">
        <is>
          <t>ESMAP / Banque mondiale</t>
        </is>
      </c>
      <c r="N113" t="inlineStr">
        <is>
          <t>Mini Grids for Half a Billion People: Market Outlook and Handbook for Decision Makers (2022)</t>
        </is>
      </c>
      <c r="O113" t="inlineStr">
        <is>
          <t>https://openknowledge.worldbank.org/bitstreams/dc000258-8524-594f-a2ee-e1ee7a256f6b/download</t>
        </is>
      </c>
      <c r="P113" t="inlineStr">
        <is>
          <t>2022</t>
        </is>
      </c>
      <c r="Q113" t="inlineStr">
        <is>
          <t>Compared with utilities in Africa $0.27/kWh average across 39 utilities</t>
        </is>
      </c>
      <c r="R113" t="inlineStr">
        <is>
          <t>Benchmark réseau national (39 utilities), pour comparaison.</t>
        </is>
      </c>
    </row>
    <row r="114">
      <c r="A114" t="inlineStr">
        <is>
          <t>a_revoir</t>
        </is>
      </c>
      <c r="B114" t="inlineStr">
        <is>
          <t>C_minireseaux</t>
        </is>
      </c>
      <c r="C114" t="inlineStr">
        <is>
          <t>C</t>
        </is>
      </c>
      <c r="D114" t="inlineStr">
        <is>
          <t>ETH</t>
        </is>
      </c>
      <c r="E114" t="inlineStr">
        <is>
          <t>ADELE – composante 2 mini-réseaux (EEU)</t>
        </is>
      </c>
      <c r="F114" t="inlineStr">
        <is>
          <t>financement_programme</t>
        </is>
      </c>
      <c r="G114" t="n">
        <v>217</v>
      </c>
      <c r="H114" t="inlineStr">
        <is>
          <t>millions USD</t>
        </is>
      </c>
      <c r="I114" t="inlineStr">
        <is>
          <t>déclarée</t>
        </is>
      </c>
      <c r="J114" t="n">
        <v>2021</v>
      </c>
      <c r="K114" t="inlineStr">
        <is>
          <t>A</t>
        </is>
      </c>
      <c r="L114" t="inlineStr">
        <is>
          <t>inaccessible</t>
        </is>
      </c>
      <c r="M114" t="inlineStr">
        <is>
          <t>ESMAP / Banque mondiale</t>
        </is>
      </c>
      <c r="N114" t="inlineStr">
        <is>
          <t>Mini Grids for Half a Billion People: Market Outlook and Handbook for Decision Makers (2022)</t>
        </is>
      </c>
      <c r="O114" t="inlineStr">
        <is>
          <t>https://openknowledge.worldbank.org/bitstreams/dc000258-8524-594f-a2ee-e1ee7a256f6b/download</t>
        </is>
      </c>
      <c r="P114" t="inlineStr">
        <is>
          <t>2022</t>
        </is>
      </c>
      <c r="Q114" t="inlineStr">
        <is>
          <t>The component has earmarked $217 million for the scale-up of the utility-led mini grid model</t>
        </is>
      </c>
      <c r="R114" t="inlineStr">
        <is>
          <t>Composante 2 = 270 M USD ; 53 M USD pour un programme de subventions basées sur la performance (privé). Projet approuvé le 29/03/2021.</t>
        </is>
      </c>
    </row>
    <row r="115">
      <c r="A115" t="inlineStr">
        <is>
          <t>a_revoir</t>
        </is>
      </c>
      <c r="B115" t="inlineStr">
        <is>
          <t>C_minireseaux</t>
        </is>
      </c>
      <c r="C115" t="inlineStr">
        <is>
          <t>C</t>
        </is>
      </c>
      <c r="D115" t="inlineStr">
        <is>
          <t>ETH</t>
        </is>
      </c>
      <c r="E115" t="inlineStr">
        <is>
          <t>ADELE – programme de subventions privé</t>
        </is>
      </c>
      <c r="F115" t="inlineStr">
        <is>
          <t>subvention_programme</t>
        </is>
      </c>
      <c r="G115" t="n">
        <v>53</v>
      </c>
      <c r="H115" t="inlineStr">
        <is>
          <t>millions USD</t>
        </is>
      </c>
      <c r="I115" t="inlineStr">
        <is>
          <t>déclarée</t>
        </is>
      </c>
      <c r="J115" t="n">
        <v>2021</v>
      </c>
      <c r="K115" t="inlineStr">
        <is>
          <t>A</t>
        </is>
      </c>
      <c r="L115" t="inlineStr">
        <is>
          <t>inaccessible</t>
        </is>
      </c>
      <c r="M115" t="inlineStr">
        <is>
          <t>ESMAP / Banque mondiale</t>
        </is>
      </c>
      <c r="N115" t="inlineStr">
        <is>
          <t>Mini Grids for Half a Billion People: Market Outlook and Handbook for Decision Makers (2022)</t>
        </is>
      </c>
      <c r="O115" t="inlineStr">
        <is>
          <t>https://openknowledge.worldbank.org/bitstreams/dc000258-8524-594f-a2ee-e1ee7a256f6b/download</t>
        </is>
      </c>
      <c r="P115" t="inlineStr">
        <is>
          <t>2022</t>
        </is>
      </c>
      <c r="Q115" t="inlineStr">
        <is>
          <t>$53 million under the project is dedicated to the launch of a national-level performance-based grant program.</t>
        </is>
      </c>
      <c r="R115" t="inlineStr"/>
    </row>
    <row r="116">
      <c r="A116" t="inlineStr">
        <is>
          <t>a_revoir</t>
        </is>
      </c>
      <c r="B116" t="inlineStr">
        <is>
          <t>C_minireseaux</t>
        </is>
      </c>
      <c r="C116" t="inlineStr">
        <is>
          <t>C</t>
        </is>
      </c>
      <c r="D116" t="inlineStr">
        <is>
          <t>ETH</t>
        </is>
      </c>
      <c r="E116" t="inlineStr">
        <is>
          <t>Mini-réseaux EEU (ELEAP / BAD)</t>
        </is>
      </c>
      <c r="F116" t="inlineStr">
        <is>
          <t>nb_mini_reseaux</t>
        </is>
      </c>
      <c r="G116" t="n">
        <v>12</v>
      </c>
      <c r="H116" t="inlineStr">
        <is>
          <t>mini-réseaux</t>
        </is>
      </c>
      <c r="I116" t="inlineStr">
        <is>
          <t>observée</t>
        </is>
      </c>
      <c r="J116" t="n">
        <v>2021</v>
      </c>
      <c r="K116" t="inlineStr">
        <is>
          <t>A</t>
        </is>
      </c>
      <c r="L116" t="inlineStr">
        <is>
          <t>inaccessible</t>
        </is>
      </c>
      <c r="M116" t="inlineStr">
        <is>
          <t>ESMAP / Banque mondiale</t>
        </is>
      </c>
      <c r="N116" t="inlineStr">
        <is>
          <t>Mini Grids for Half a Billion People: Market Outlook and Handbook for Decision Makers (2022)</t>
        </is>
      </c>
      <c r="O116" t="inlineStr">
        <is>
          <t>https://openknowledge.worldbank.org/bitstreams/dc000258-8524-594f-a2ee-e1ee7a256f6b/download</t>
        </is>
      </c>
      <c r="P116" t="inlineStr">
        <is>
          <t>2022</t>
        </is>
      </c>
      <c r="Q116" t="inlineStr">
        <is>
          <t>such as the 12 mini grids deployed by the EEU with financing from the World Bank's Ethiopia Electrification Program (ELEAP), as well as the 25 systems currently under implementation by the utility with funding support from the African Development Bank.</t>
        </is>
      </c>
      <c r="R116" t="inlineStr">
        <is>
          <t>12 déployés (BM) + 25 en cours (BAD).</t>
        </is>
      </c>
    </row>
    <row r="117">
      <c r="A117" t="inlineStr">
        <is>
          <t>a_revoir</t>
        </is>
      </c>
      <c r="B117" t="inlineStr">
        <is>
          <t>C_minireseaux</t>
        </is>
      </c>
      <c r="C117" t="inlineStr">
        <is>
          <t>C</t>
        </is>
      </c>
      <c r="D117" t="inlineStr">
        <is>
          <t>KEN</t>
        </is>
      </c>
      <c r="E117" t="inlineStr">
        <is>
          <t>KOSAP – composante mini-réseaux</t>
        </is>
      </c>
      <c r="F117" t="inlineStr">
        <is>
          <t>financement_programme</t>
        </is>
      </c>
      <c r="G117" t="n">
        <v>80</v>
      </c>
      <c r="H117" t="inlineStr">
        <is>
          <t>millions USD</t>
        </is>
      </c>
      <c r="I117" t="inlineStr">
        <is>
          <t>déclarée</t>
        </is>
      </c>
      <c r="J117" t="n">
        <v>2022</v>
      </c>
      <c r="K117" t="inlineStr">
        <is>
          <t>A</t>
        </is>
      </c>
      <c r="L117" t="inlineStr">
        <is>
          <t>inaccessible</t>
        </is>
      </c>
      <c r="M117" t="inlineStr">
        <is>
          <t>ESMAP / Banque mondiale</t>
        </is>
      </c>
      <c r="N117" t="inlineStr">
        <is>
          <t>Mini Grids for Half a Billion People: Market Outlook and Handbook for Decision Makers (2022)</t>
        </is>
      </c>
      <c r="O117" t="inlineStr">
        <is>
          <t>https://openknowledge.worldbank.org/bitstreams/dc000258-8524-594f-a2ee-e1ee7a256f6b/download</t>
        </is>
      </c>
      <c r="P117" t="inlineStr">
        <is>
          <t>2022</t>
        </is>
      </c>
      <c r="Q117" t="inlineStr">
        <is>
          <t>In Kenya, up to $80 million financing of the Off-grid Solar Access Project for Underserved Counties program, is allocated for private-sector developers to bid on Engineering-Procurement-Construction contracts</t>
        </is>
      </c>
      <c r="R117" t="inlineStr">
        <is>
          <t>137 sites répartis en 13 lots dans 14 comtés (selon ce rapport).</t>
        </is>
      </c>
    </row>
    <row r="118">
      <c r="A118" t="inlineStr">
        <is>
          <t>a_revoir</t>
        </is>
      </c>
      <c r="B118" t="inlineStr">
        <is>
          <t>C_minireseaux</t>
        </is>
      </c>
      <c r="C118" t="inlineStr">
        <is>
          <t>C</t>
        </is>
      </c>
      <c r="D118" t="inlineStr">
        <is>
          <t>KEN</t>
        </is>
      </c>
      <c r="E118" t="inlineStr">
        <is>
          <t>KOSAP – composante mini-réseaux</t>
        </is>
      </c>
      <c r="F118" t="inlineStr">
        <is>
          <t>nb_mini_reseaux</t>
        </is>
      </c>
      <c r="G118" t="n">
        <v>137</v>
      </c>
      <c r="H118" t="inlineStr">
        <is>
          <t>sites</t>
        </is>
      </c>
      <c r="I118" t="inlineStr">
        <is>
          <t>déclarée</t>
        </is>
      </c>
      <c r="J118" t="n">
        <v>2022</v>
      </c>
      <c r="K118" t="inlineStr">
        <is>
          <t>A</t>
        </is>
      </c>
      <c r="L118" t="inlineStr">
        <is>
          <t>inaccessible</t>
        </is>
      </c>
      <c r="M118" t="inlineStr">
        <is>
          <t>ESMAP / Banque mondiale</t>
        </is>
      </c>
      <c r="N118" t="inlineStr">
        <is>
          <t>Mini Grids for Half a Billion People: Market Outlook and Handbook for Decision Makers (2022)</t>
        </is>
      </c>
      <c r="O118" t="inlineStr">
        <is>
          <t>https://openknowledge.worldbank.org/bitstreams/dc000258-8524-594f-a2ee-e1ee7a256f6b/download</t>
        </is>
      </c>
      <c r="P118" t="inlineStr">
        <is>
          <t>2022</t>
        </is>
      </c>
      <c r="Q118" t="inlineStr">
        <is>
          <t>The 137 sites are divided over thirteen lots in 14 low-income counties.</t>
        </is>
      </c>
      <c r="R118" t="inlineStr">
        <is>
          <t>Voir conflit avec 114 / 120 sites (presse 2026).</t>
        </is>
      </c>
    </row>
    <row r="119">
      <c r="A119" t="inlineStr">
        <is>
          <t>a_revoir</t>
        </is>
      </c>
      <c r="B119" t="inlineStr">
        <is>
          <t>C_minireseaux</t>
        </is>
      </c>
      <c r="C119" t="inlineStr">
        <is>
          <t>C</t>
        </is>
      </c>
      <c r="D119" t="inlineStr">
        <is>
          <t>AFR</t>
        </is>
      </c>
      <c r="E119" t="inlineStr">
        <is>
          <t>Power for All 2019 (synthèse BM/RMI/IRENA/WoodMac)</t>
        </is>
      </c>
      <c r="F119" t="inlineStr">
        <is>
          <t>capex_par_branchement</t>
        </is>
      </c>
      <c r="G119" t="n">
        <v>1300</v>
      </c>
      <c r="H119" t="inlineStr">
        <is>
          <t>USD/branchement</t>
        </is>
      </c>
      <c r="I119" t="inlineStr">
        <is>
          <t>observée</t>
        </is>
      </c>
      <c r="J119" t="n">
        <v>2019</v>
      </c>
      <c r="K119" t="inlineStr">
        <is>
          <t>C</t>
        </is>
      </c>
      <c r="L119" t="inlineStr">
        <is>
          <t>valeur_absente_de_citation</t>
        </is>
      </c>
      <c r="M119" t="inlineStr">
        <is>
          <t>Power for All</t>
        </is>
      </c>
      <c r="N119" t="inlineStr">
        <is>
          <t>Fact Sheet: Mini-grids costs can be reduced by 60% by 2030</t>
        </is>
      </c>
      <c r="O119" t="inlineStr">
        <is>
          <t>https://www.powerforall.org/application/files/4415/6700/7650/FS__Mini-grids_costs_can_be_reduced_by_60_by_2030.pdf</t>
        </is>
      </c>
      <c r="P119" t="inlineStr">
        <is>
          <t>2019-08</t>
        </is>
      </c>
      <c r="Q119" t="inlineStr">
        <is>
          <t>Upfront cost per connection for mini-grids is around US$500–2,100, similar to the unsubsidized cost for traditional grid connections.</t>
        </is>
      </c>
      <c r="R119" t="inlineStr">
        <is>
          <t>Fourchette 500–2 100 (point médian retenu).</t>
        </is>
      </c>
    </row>
    <row r="120">
      <c r="A120" t="inlineStr">
        <is>
          <t>a_revoir</t>
        </is>
      </c>
      <c r="B120" t="inlineStr">
        <is>
          <t>C_minireseaux</t>
        </is>
      </c>
      <c r="C120" t="inlineStr">
        <is>
          <t>C</t>
        </is>
      </c>
      <c r="D120" t="inlineStr">
        <is>
          <t>AFR</t>
        </is>
      </c>
      <c r="E120" t="inlineStr">
        <is>
          <t>Power for All 2019 (synthèse BM/RMI/IRENA/WoodMac)</t>
        </is>
      </c>
      <c r="F120" t="inlineStr">
        <is>
          <t>lcoe</t>
        </is>
      </c>
      <c r="G120" t="n">
        <v>0.575</v>
      </c>
      <c r="H120" t="inlineStr">
        <is>
          <t>USD/kWh</t>
        </is>
      </c>
      <c r="I120" t="inlineStr">
        <is>
          <t>modélisée</t>
        </is>
      </c>
      <c r="J120" t="n">
        <v>2019</v>
      </c>
      <c r="K120" t="inlineStr">
        <is>
          <t>C</t>
        </is>
      </c>
      <c r="L120" t="inlineStr">
        <is>
          <t>valeur_absente_de_citation</t>
        </is>
      </c>
      <c r="M120" t="inlineStr">
        <is>
          <t>Power for All</t>
        </is>
      </c>
      <c r="N120" t="inlineStr">
        <is>
          <t>Fact Sheet: Mini-grids costs can be reduced by 60% by 2030</t>
        </is>
      </c>
      <c r="O120" t="inlineStr">
        <is>
          <t>https://www.powerforall.org/application/files/4415/6700/7650/FS__Mini-grids_costs_can_be_reduced_by_60_by_2030.pdf</t>
        </is>
      </c>
      <c r="P120" t="inlineStr">
        <is>
          <t>2019-08</t>
        </is>
      </c>
      <c r="Q120" t="inlineStr">
        <is>
          <t>the best-run unsubsidized solar-hybrid mini-grids have a levelized cost of energy (LCOE) of US$0.55–0.60/kWh.</t>
        </is>
      </c>
      <c r="R120" t="inlineStr">
        <is>
          <t>Fourchette 0,55–0,60.</t>
        </is>
      </c>
    </row>
    <row r="121">
      <c r="A121" t="inlineStr">
        <is>
          <t>a_revoir</t>
        </is>
      </c>
      <c r="B121" t="inlineStr">
        <is>
          <t>C_minireseaux</t>
        </is>
      </c>
      <c r="C121" t="inlineStr">
        <is>
          <t>C</t>
        </is>
      </c>
      <c r="D121" t="inlineStr">
        <is>
          <t>KEN</t>
        </is>
      </c>
      <c r="E121" t="inlineStr">
        <is>
          <t>KOSAP – Kipsing (Isiolo)</t>
        </is>
      </c>
      <c r="F121" t="inlineStr">
        <is>
          <t>nb_clients</t>
        </is>
      </c>
      <c r="G121" t="n">
        <v>334</v>
      </c>
      <c r="H121" t="inlineStr">
        <is>
          <t>clients</t>
        </is>
      </c>
      <c r="I121" t="inlineStr">
        <is>
          <t>déclarée</t>
        </is>
      </c>
      <c r="J121" t="n">
        <v>2026</v>
      </c>
      <c r="K121" t="inlineStr">
        <is>
          <t>C</t>
        </is>
      </c>
      <c r="L121" t="inlineStr">
        <is>
          <t>valeur_absente_de_citation</t>
        </is>
      </c>
      <c r="M121" t="inlineStr">
        <is>
          <t>The Standard (presse)</t>
        </is>
      </c>
      <c r="N121" t="inlineStr">
        <is>
          <t>Government launches construction of 114 solar mini-grids in 14 counties</t>
        </is>
      </c>
      <c r="O121" t="inlineStr">
        <is>
          <t>https://www.standardmedia.co.ke/business/business/article/2001548045/government-launches-construction-of-114-solar-mini-grids-in-14-counties</t>
        </is>
      </c>
      <c r="P121" t="inlineStr">
        <is>
          <t>2026-05</t>
        </is>
      </c>
      <c r="Q121" t="inlineStr">
        <is>
          <t>expected to provide electricity to about 327 households and seven non-residential consumers</t>
        </is>
      </c>
      <c r="R121" t="inlineStr">
        <is>
          <t>327 ménages + 7 non résidentiels.</t>
        </is>
      </c>
    </row>
    <row r="122">
      <c r="A122" t="inlineStr">
        <is>
          <t>a_revoir</t>
        </is>
      </c>
      <c r="B122" t="inlineStr">
        <is>
          <t>C_minireseaux</t>
        </is>
      </c>
      <c r="C122" t="inlineStr">
        <is>
          <t>C</t>
        </is>
      </c>
      <c r="D122" t="inlineStr">
        <is>
          <t>CMR</t>
        </is>
      </c>
      <c r="E122" t="inlineStr">
        <is>
          <t>Programme 1000 localités (MINEE/Huawei) – phase 3, 87 localités</t>
        </is>
      </c>
      <c r="F122" t="inlineStr">
        <is>
          <t>capex_total</t>
        </is>
      </c>
      <c r="G122" t="n">
        <v>34.76</v>
      </c>
      <c r="H122" t="inlineStr">
        <is>
          <t>milliards XOF</t>
        </is>
      </c>
      <c r="I122" t="inlineStr">
        <is>
          <t>déclarée</t>
        </is>
      </c>
      <c r="J122" t="n">
        <v>2023</v>
      </c>
      <c r="K122" t="inlineStr">
        <is>
          <t>C</t>
        </is>
      </c>
      <c r="L122" t="inlineStr">
        <is>
          <t>inaccessible</t>
        </is>
      </c>
      <c r="M122" t="inlineStr">
        <is>
          <t>Journal du Cameroun (presse)</t>
        </is>
      </c>
      <c r="N122" t="inlineStr">
        <is>
          <t>Cameroun-Électrification : 35 milliards de FCFA pour électrifier 87 villages</t>
        </is>
      </c>
      <c r="O122" t="inlineStr">
        <is>
          <t>https://fr.journalducameroun.com/cameroun-electrification-35-milliards-de-fcfa-pour-electrifier-87-villages/</t>
        </is>
      </c>
      <c r="P122" t="inlineStr">
        <is>
          <t>2023-11-20</t>
        </is>
      </c>
      <c r="Q122" t="inlineStr">
        <is>
          <t>pour une enveloppe globale de 34,76 milliards de FCFA</t>
        </is>
      </c>
      <c r="R122" t="inlineStr">
        <is>
          <t>Crédit acheteur Huawei ; ≥10 000 ménages (≈ 3,5 M FCFA/ménage, calcul).</t>
        </is>
      </c>
    </row>
    <row r="123">
      <c r="A123" t="inlineStr">
        <is>
          <t>a_revoir</t>
        </is>
      </c>
      <c r="B123" t="inlineStr">
        <is>
          <t>C_minireseaux</t>
        </is>
      </c>
      <c r="C123" t="inlineStr">
        <is>
          <t>C</t>
        </is>
      </c>
      <c r="D123" t="inlineStr">
        <is>
          <t>CMR</t>
        </is>
      </c>
      <c r="E123" t="inlineStr">
        <is>
          <t>Programme 1000 localités (MINEE/Huawei) – phase 3, 87 localités</t>
        </is>
      </c>
      <c r="F123" t="inlineStr">
        <is>
          <t>puissance_kwp</t>
        </is>
      </c>
      <c r="G123" t="n">
        <v>183.6</v>
      </c>
      <c r="H123" t="inlineStr">
        <is>
          <t>kWc (max par site)</t>
        </is>
      </c>
      <c r="I123" t="inlineStr">
        <is>
          <t>déclarée</t>
        </is>
      </c>
      <c r="J123" t="n">
        <v>2023</v>
      </c>
      <c r="K123" t="inlineStr">
        <is>
          <t>C</t>
        </is>
      </c>
      <c r="L123" t="inlineStr">
        <is>
          <t>inaccessible</t>
        </is>
      </c>
      <c r="M123" t="inlineStr">
        <is>
          <t>Journal du Cameroun (presse)</t>
        </is>
      </c>
      <c r="N123" t="inlineStr">
        <is>
          <t>Cameroun-Électrification : 35 milliards de FCFA pour électrifier 87 villages</t>
        </is>
      </c>
      <c r="O123" t="inlineStr">
        <is>
          <t>https://fr.journalducameroun.com/cameroun-electrification-35-milliards-de-fcfa-pour-electrifier-87-villages/</t>
        </is>
      </c>
      <c r="P123" t="inlineStr">
        <is>
          <t>2023-11-20</t>
        </is>
      </c>
      <c r="Q123" t="inlineStr">
        <is>
          <t>varient de 21,6 à 183,6 kilowatt-crêtes</t>
        </is>
      </c>
      <c r="R123" t="inlineStr">
        <is>
          <t>Plage 21,6–183,6 kWc ; batteries lithium.</t>
        </is>
      </c>
    </row>
    <row r="124">
      <c r="A124" t="inlineStr">
        <is>
          <t>a_revoir</t>
        </is>
      </c>
      <c r="B124" t="inlineStr">
        <is>
          <t>C_minireseaux</t>
        </is>
      </c>
      <c r="C124" t="inlineStr">
        <is>
          <t>C</t>
        </is>
      </c>
      <c r="D124" t="inlineStr">
        <is>
          <t>CMR</t>
        </is>
      </c>
      <c r="E124" t="inlineStr">
        <is>
          <t>Programme 1000 localités (MINEE/Huawei) – phase 3, 87 localités</t>
        </is>
      </c>
      <c r="F124" t="inlineStr">
        <is>
          <t>nb_clients</t>
        </is>
      </c>
      <c r="G124" t="n">
        <v>10000</v>
      </c>
      <c r="H124" t="inlineStr">
        <is>
          <t>ménages</t>
        </is>
      </c>
      <c r="I124" t="inlineStr">
        <is>
          <t>déclarée</t>
        </is>
      </c>
      <c r="J124" t="n">
        <v>2023</v>
      </c>
      <c r="K124" t="inlineStr">
        <is>
          <t>C</t>
        </is>
      </c>
      <c r="L124" t="inlineStr">
        <is>
          <t>inaccessible</t>
        </is>
      </c>
      <c r="M124" t="inlineStr">
        <is>
          <t>Journal du Cameroun (presse)</t>
        </is>
      </c>
      <c r="N124" t="inlineStr">
        <is>
          <t>Cameroun-Électrification : 35 milliards de FCFA pour électrifier 87 villages</t>
        </is>
      </c>
      <c r="O124" t="inlineStr">
        <is>
          <t>https://fr.journalducameroun.com/cameroun-electrification-35-milliards-de-fcfa-pour-electrifier-87-villages/</t>
        </is>
      </c>
      <c r="P124" t="inlineStr">
        <is>
          <t>2023-11-20</t>
        </is>
      </c>
      <c r="Q124" t="inlineStr">
        <is>
          <t>le branchement d'au moins 10 000 nouveaux ménages en zones rurales</t>
        </is>
      </c>
      <c r="R124" t="inlineStr"/>
    </row>
    <row r="125">
      <c r="A125" t="inlineStr">
        <is>
          <t>a_revoir</t>
        </is>
      </c>
      <c r="B125" t="inlineStr">
        <is>
          <t>C_minireseaux</t>
        </is>
      </c>
      <c r="C125" t="inlineStr">
        <is>
          <t>C</t>
        </is>
      </c>
      <c r="D125" t="inlineStr">
        <is>
          <t>CMR</t>
        </is>
      </c>
      <c r="E125" t="inlineStr">
        <is>
          <t>Programme 1000 localités – phases 1-2 (350 centrales)</t>
        </is>
      </c>
      <c r="F125" t="inlineStr">
        <is>
          <t>nb_clients</t>
        </is>
      </c>
      <c r="G125" t="n">
        <v>27400</v>
      </c>
      <c r="H125" t="inlineStr">
        <is>
          <t>ménages</t>
        </is>
      </c>
      <c r="I125" t="inlineStr">
        <is>
          <t>observée</t>
        </is>
      </c>
      <c r="J125" t="n">
        <v>2023</v>
      </c>
      <c r="K125" t="inlineStr">
        <is>
          <t>C</t>
        </is>
      </c>
      <c r="L125" t="inlineStr">
        <is>
          <t>inaccessible</t>
        </is>
      </c>
      <c r="M125" t="inlineStr">
        <is>
          <t>Journal du Cameroun (presse)</t>
        </is>
      </c>
      <c r="N125" t="inlineStr">
        <is>
          <t>Cameroun-Électrification : 35 milliards de FCFA pour électrifier 87 villages</t>
        </is>
      </c>
      <c r="O125" t="inlineStr">
        <is>
          <t>https://fr.journalducameroun.com/cameroun-electrification-35-milliards-de-fcfa-pour-electrifier-87-villages/</t>
        </is>
      </c>
      <c r="P125" t="inlineStr">
        <is>
          <t>2023-11-20</t>
        </is>
      </c>
      <c r="Q125" t="inlineStr">
        <is>
          <t>ce qui a permis d'électrifier 27 400 ménages</t>
        </is>
      </c>
      <c r="R125" t="inlineStr">
        <is>
          <t>350 centrales solaires construites avec réseaux.</t>
        </is>
      </c>
    </row>
    <row r="126">
      <c r="A126" t="inlineStr">
        <is>
          <t>a_revoir</t>
        </is>
      </c>
      <c r="B126" t="inlineStr">
        <is>
          <t>C_minireseaux</t>
        </is>
      </c>
      <c r="C126" t="inlineStr">
        <is>
          <t>C</t>
        </is>
      </c>
      <c r="D126" t="inlineStr">
        <is>
          <t>ZWE</t>
        </is>
      </c>
      <c r="E126" t="inlineStr">
        <is>
          <t>Mashaba (Gwanda) – Practical Action/SNV</t>
        </is>
      </c>
      <c r="F126" t="inlineStr">
        <is>
          <t>tarif_client</t>
        </is>
      </c>
      <c r="G126" t="n">
        <v>0</v>
      </c>
      <c r="H126" t="inlineStr">
        <is>
          <t>USD/kWh</t>
        </is>
      </c>
      <c r="I126" t="inlineStr">
        <is>
          <t>observée</t>
        </is>
      </c>
      <c r="J126" t="n">
        <v>2017</v>
      </c>
      <c r="K126" t="inlineStr">
        <is>
          <t>C</t>
        </is>
      </c>
      <c r="L126" t="inlineStr">
        <is>
          <t>valeur_absente_de_citation</t>
        </is>
      </c>
      <c r="M126" t="inlineStr">
        <is>
          <t>Thomson Reuters Foundation via climatechange.ie (presse)</t>
        </is>
      </c>
      <c r="N126" t="inlineStr">
        <is>
          <t>Solar grid keeps harvests high, hospitals lit in parched rural Zimbabwe</t>
        </is>
      </c>
      <c r="O126" t="inlineStr">
        <is>
          <t>https://www.climatechange.ie/solar-grid-keeps-harvests-high-hospitals-lit-in-parched-rural-zimbabwe/</t>
        </is>
      </c>
      <c r="P126" t="inlineStr">
        <is>
          <t>2017-09-11</t>
        </is>
      </c>
      <c r="Q126" t="inlineStr">
        <is>
          <t>At present, community members do not pay for electricity while they await a determination on the tariff to be charged.</t>
        </is>
      </c>
      <c r="R126" t="inlineStr">
        <is>
          <t>Pas de tarif fixé en 2017.</t>
        </is>
      </c>
    </row>
  </sheetData>
  <autoFilter ref="A2:R12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5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0" customWidth="1" min="3" max="3"/>
  </cols>
  <sheetData>
    <row r="1">
      <c r="A1" s="2" t="inlineStr">
        <is>
          <t>type</t>
        </is>
      </c>
      <c r="B1" s="2" t="inlineStr">
        <is>
          <t>tranche</t>
        </is>
      </c>
      <c r="C1" s="2" t="inlineStr">
        <is>
          <t>description</t>
        </is>
      </c>
    </row>
    <row r="2">
      <c r="A2" t="inlineStr">
        <is>
          <t>conflit</t>
        </is>
      </c>
      <c r="B2" t="inlineStr">
        <is>
          <t>A_australe</t>
        </is>
      </c>
      <c r="C2" t="inlineStr">
        <is>
          <t>ZAF BW5 tarif moyen PV: R428.79/MWh (SAPVIA, nov. 2021) vs R454.23 (statement DMRE, déc. 2022) - base de prix/périmètre différents probables, non expliqué.</t>
        </is>
      </c>
    </row>
    <row r="3">
      <c r="A3" t="inlineStr">
        <is>
          <t>conflit</t>
        </is>
      </c>
      <c r="B3" t="inlineStr">
        <is>
          <t>A_australe</t>
        </is>
      </c>
      <c r="C3" t="inlineStr">
        <is>
          <t>ZAF moyennes BW1-BW4 PV: DoE 2016 (R3.65/2.18/1.17/0.91 par kWh, base non précisée) vs CSIR (R3.84/2.29/1.23/0.96 en Rands avr.-2017) - écart dû à l'année de base de l'indexation CPI.</t>
        </is>
      </c>
    </row>
    <row r="4">
      <c r="A4" t="inlineStr">
        <is>
          <t>conflit</t>
        </is>
      </c>
      <c r="B4" t="inlineStr">
        <is>
          <t>A_australe</t>
        </is>
      </c>
      <c r="C4" t="inlineStr">
        <is>
          <t>ZAF Grootfontein PV 1-3: 273 MW (Scatec) vs 3 x 75 = 225 MW contractés (ministère) - vraisemblablement MWp vs MWac, non confirmé.</t>
        </is>
      </c>
    </row>
    <row r="5">
      <c r="A5" t="inlineStr">
        <is>
          <t>conflit</t>
        </is>
      </c>
      <c r="B5" t="inlineStr">
        <is>
          <t>A_australe</t>
        </is>
      </c>
      <c r="C5" t="inlineStr">
        <is>
          <t>ZMB Bangweulu capacité: 54.3 MWp (Neoen 2017), 55 MWp (IFC SII), ~55 MW DC (OPIC), 47.5 MW AC (UCT/IFC), 54 MW (presse à l'inauguration). Aucune source consultée ne donne 56 MW: la valeur '56 MW' n'est pas étayée. Résolution: ~54-55 MWp DC / 47.5 MWac.</t>
        </is>
      </c>
    </row>
    <row r="6">
      <c r="A6" t="inlineStr">
        <is>
          <t>conflit</t>
        </is>
      </c>
      <c r="B6" t="inlineStr">
        <is>
          <t>A_australe</t>
        </is>
      </c>
      <c r="C6" t="inlineStr">
        <is>
          <t>ZMB Bangweulu actionnariat: Neoen 55%/First Solar 25%/IDC 20% (IFC, 2017) vs Neoen 67%/First Solar 13%/IDC 20% (UCT, 2019).</t>
        </is>
      </c>
    </row>
    <row r="7">
      <c r="A7" t="inlineStr">
        <is>
          <t>conflit</t>
        </is>
      </c>
      <c r="B7" t="inlineStr">
        <is>
          <t>A_australe</t>
        </is>
      </c>
      <c r="C7" t="inlineStr">
        <is>
          <t>ZMB Bangweulu prêt IFC A: jusqu'à 14 M USD (IFC SII) vs 12 M USD (UCT tableau 13); capex 59 M (IFC) vs 60 M USD (Neoen, OPIC).</t>
        </is>
      </c>
    </row>
    <row r="8">
      <c r="A8" t="inlineStr">
        <is>
          <t>conflit</t>
        </is>
      </c>
      <c r="B8" t="inlineStr">
        <is>
          <t>A_australe</t>
        </is>
      </c>
      <c r="C8" t="inlineStr">
        <is>
          <t>ZMB Ngonye tarif 7.84 (IDC) vs 7.83 US c/kWh (UCT); capex ~40 M (Enel) vs 45 M USD (UCT).</t>
        </is>
      </c>
    </row>
    <row r="9">
      <c r="A9" t="inlineStr">
        <is>
          <t>conflit</t>
        </is>
      </c>
      <c r="B9" t="inlineStr">
        <is>
          <t>A_australe</t>
        </is>
      </c>
      <c r="C9" t="inlineStr">
        <is>
          <t>ZMB Chisamba phase I: 2 x 30 M USD de fonds propres sur 100 M, mais prêt Stanbic décrit comme couvrant 'the remaining 70%' (incohérence interne de la source).</t>
        </is>
      </c>
    </row>
    <row r="10">
      <c r="A10" t="inlineStr">
        <is>
          <t>conflit</t>
        </is>
      </c>
      <c r="B10" t="inlineStr">
        <is>
          <t>A_australe</t>
        </is>
      </c>
      <c r="C10" t="inlineStr">
        <is>
          <t>NAM Hardap: 45.5 MWp (Alten) vs 45 MWp (UCT); date de financial close 2017 (UCT) vs avril 2018 (presse); capex prévu 45 M USD (Alten) vs 70 M USD (presse, non vérifié).</t>
        </is>
      </c>
    </row>
    <row r="11">
      <c r="A11" t="inlineStr">
        <is>
          <t>conflit</t>
        </is>
      </c>
      <c r="B11" t="inlineStr">
        <is>
          <t>A_australe</t>
        </is>
      </c>
      <c r="C11" t="inlineStr">
        <is>
          <t>NAM Omburu 20 MW: budget initial N$420 M (The Namibian) vs N$500 M (The Brief); coût réalisé N$317 M concordant.</t>
        </is>
      </c>
    </row>
    <row r="12">
      <c r="A12" t="inlineStr">
        <is>
          <t>conflit</t>
        </is>
      </c>
      <c r="B12" t="inlineStr">
        <is>
          <t>A_centre_est</t>
        </is>
      </c>
      <c r="C12" t="inlineStr">
        <is>
          <t>UGA Soroti/Tororo : tarif moyen 16,37 USc/kWh (Banque mondiale) vs 16,38 USc/kWh dont 5,38 de prime (The Observer 2025) ; prime donateurs 5,37 (BM).</t>
        </is>
      </c>
    </row>
    <row r="13">
      <c r="A13" t="inlineStr">
        <is>
          <t>conflit</t>
        </is>
      </c>
      <c r="B13" t="inlineStr">
        <is>
          <t>A_centre_est</t>
        </is>
      </c>
      <c r="C13" t="inlineStr">
        <is>
          <t>UGA Soroti : prime GET FiT annoncée à 8,7 M EUR par une source et 9,26 M USD par une autre (résultats de recherche, non ouverts) ; financement FMO 5,35 M USD (fiche FMO) vs prêt total FMO 10,7 M USD (EAIF).</t>
        </is>
      </c>
    </row>
    <row r="14">
      <c r="A14" t="inlineStr">
        <is>
          <t>conflit</t>
        </is>
      </c>
      <c r="B14" t="inlineStr">
        <is>
          <t>A_centre_est</t>
        </is>
      </c>
      <c r="C14" t="inlineStr">
        <is>
          <t>UGA Nkonge/Kabulasoke : The Observer (2024) situe Nkonge 'in Kabulasoke' alors que Kabulasoke (Gomba, Xsabo, 2019) est un projet distinct ; date de mise en service de Kabulasoke-Gomba contradictoire (janv. 2019 vs 27 sept.).</t>
        </is>
      </c>
    </row>
    <row r="15">
      <c r="A15" t="inlineStr">
        <is>
          <t>conflit</t>
        </is>
      </c>
      <c r="B15" t="inlineStr">
        <is>
          <t>A_centre_est</t>
        </is>
      </c>
      <c r="C15" t="inlineStr">
        <is>
          <t>KEN Garissa : tarif initial 12 vs 5,49 après réduction (2018) ; unité 'cents' (Ecofin) vs 'Sh' (Green Building Africa) ; une source (Nation, non ouverte) cite 7,4 KES/kWh facturés par REREC ; capacité 50 vs 54,66 MW ; date de mise en service 2018 vs déc. 2019.</t>
        </is>
      </c>
    </row>
    <row r="16">
      <c r="A16" t="inlineStr">
        <is>
          <t>conflit</t>
        </is>
      </c>
      <c r="B16" t="inlineStr">
        <is>
          <t>A_centre_est</t>
        </is>
      </c>
      <c r="C16" t="inlineStr">
        <is>
          <t>KEN Kesses : 40 MW (corps) vs 44 MW (titre) vs 55,6 MWp (GEM wiki, non ouvert).</t>
        </is>
      </c>
    </row>
    <row r="17">
      <c r="A17" t="inlineStr">
        <is>
          <t>conflit</t>
        </is>
      </c>
      <c r="B17" t="inlineStr">
        <is>
          <t>A_centre_est</t>
        </is>
      </c>
      <c r="C17" t="inlineStr">
        <is>
          <t>KEN Malindi : mise en service prévue mi-2020 vs effective 14/12/2021.</t>
        </is>
      </c>
    </row>
    <row r="18">
      <c r="A18" t="inlineStr">
        <is>
          <t>conflit</t>
        </is>
      </c>
      <c r="B18" t="inlineStr">
        <is>
          <t>A_centre_est</t>
        </is>
      </c>
      <c r="C18" t="inlineStr">
        <is>
          <t>ETH Metehara : tarif non divulgué ; ESMAP/RISE (non ouvert, 403) donnerait 5,85 USc/kWh ; aucune source ouverte ne le confirme.</t>
        </is>
      </c>
    </row>
    <row r="19">
      <c r="A19" t="inlineStr">
        <is>
          <t>conflit</t>
        </is>
      </c>
      <c r="B19" t="inlineStr">
        <is>
          <t>A_centre_est</t>
        </is>
      </c>
      <c r="C19" t="inlineStr">
        <is>
          <t>ETH Gad/Dicheto : 'round two' (PV Tech) vs 'first round' (autres).</t>
        </is>
      </c>
    </row>
    <row r="20">
      <c r="A20" t="inlineStr">
        <is>
          <t>conflit</t>
        </is>
      </c>
      <c r="B20" t="inlineStr">
        <is>
          <t>A_centre_est</t>
        </is>
      </c>
      <c r="C20" t="inlineStr">
        <is>
          <t>CMR Maroua/Guider : 25 MWc / 14 Mds FCFA (2019) vs 36 MW (2021-23) vs 35,8 MWp (2025) ; pv magazine 2023 : titre 30 MW vs corps 36 MW ; investissement 17 Mds FCFA cité par un résultat de recherche non ouvert.</t>
        </is>
      </c>
    </row>
    <row r="21">
      <c r="A21" t="inlineStr">
        <is>
          <t>conflit</t>
        </is>
      </c>
      <c r="B21" t="inlineStr">
        <is>
          <t>A_centre_est</t>
        </is>
      </c>
      <c r="C21" t="inlineStr">
        <is>
          <t>GAB Ayémé Plaine : 120 MWc (accord-cadre 2022) vs 60 MW en 2 phases (2026) ; 11 MW inaugurés (2024) vs 30 MW phase I ; contrepartie PPA État gabonais vs SEEG.</t>
        </is>
      </c>
    </row>
    <row r="22">
      <c r="A22" t="inlineStr">
        <is>
          <t>conflit</t>
        </is>
      </c>
      <c r="B22" t="inlineStr">
        <is>
          <t>A_nord</t>
        </is>
      </c>
      <c r="C22" t="inlineStr">
        <is>
          <t>EGY Benban Scatec : EBRD PSD 47972 indique un prêt de 40,5 MUSD ; le procès-verbal du Board EBRD (7/6/2017) indique 41 MUSD par projet Scatec.</t>
        </is>
      </c>
    </row>
    <row r="23">
      <c r="A23" t="inlineStr">
        <is>
          <t>conflit</t>
        </is>
      </c>
      <c r="B23" t="inlineStr">
        <is>
          <t>A_nord</t>
        </is>
      </c>
      <c r="C23" t="inlineStr">
        <is>
          <t>EGY ACWA Benban PV III : PSD EBRD incohérente en interne (30,8 MUSD dans la description vs 30,3 MUSD dans le Finance Summary).</t>
        </is>
      </c>
    </row>
    <row r="24">
      <c r="A24" t="inlineStr">
        <is>
          <t>conflit</t>
        </is>
      </c>
      <c r="B24" t="inlineStr">
        <is>
          <t>A_nord</t>
        </is>
      </c>
      <c r="C24" t="inlineStr">
        <is>
          <t>EGY Scatec Benban : 6 x 65 MW (communiqué Scatec, probablement MWp) vs 6 x 50 MW (EBRD, probablement MWac) – différence DC/AC non explicitée.</t>
        </is>
      </c>
    </row>
    <row r="25">
      <c r="A25" t="inlineStr">
        <is>
          <t>conflit</t>
        </is>
      </c>
      <c r="B25" t="inlineStr">
        <is>
          <t>A_nord</t>
        </is>
      </c>
      <c r="C25" t="inlineStr">
        <is>
          <t>EGY Scatec Benban : garantie MIGA 76,43 MUSD (texte) vs 52,35 MUSD (champ résumé de la même page MIGA).</t>
        </is>
      </c>
    </row>
    <row r="26">
      <c r="A26" t="inlineStr">
        <is>
          <t>conflit</t>
        </is>
      </c>
      <c r="B26" t="inlineStr">
        <is>
          <t>A_nord</t>
        </is>
      </c>
      <c r="C26" t="inlineStr">
        <is>
          <t>EGY tarif FiT R2 : 8,4 USc/kWh nominal (Clifford Chance) vs 7,35 USc/kWh 'levelized' (MIGA, portefeuille Scatec) ; presse (non consultée en primaire) cite 7,8/7,88 USc pour la tranche &lt;20 MW.</t>
        </is>
      </c>
    </row>
    <row r="27">
      <c r="A27" t="inlineStr">
        <is>
          <t>conflit</t>
        </is>
      </c>
      <c r="B27" t="inlineStr">
        <is>
          <t>A_nord</t>
        </is>
      </c>
      <c r="C27" t="inlineStr">
        <is>
          <t>EGY Kom Ombo : tarif 2,47 USc/kWh (ACWA) vs ~2,75 USc/kWh cité par la presse (non ouverte) ; durée PPA 25 ans (ACWA) vs 20 ans selon un article secondaire (non ouvert) ; capex 163 MUSD (ACWA) vs 156,4 MUSD (AfDB selon presse, non vérifié).</t>
        </is>
      </c>
    </row>
    <row r="28">
      <c r="A28" t="inlineStr">
        <is>
          <t>conflit</t>
        </is>
      </c>
      <c r="B28" t="inlineStr">
        <is>
          <t>A_nord</t>
        </is>
      </c>
      <c r="C28" t="inlineStr">
        <is>
          <t>MAR Noor Ouarzazate IV : 70 MW (Masen 2016) vs 72 MW (Masen 2017, ACWA) vs 55 MWe (ACWA key facts).</t>
        </is>
      </c>
    </row>
    <row r="29">
      <c r="A29" t="inlineStr">
        <is>
          <t>conflit</t>
        </is>
      </c>
      <c r="B29" t="inlineStr">
        <is>
          <t>A_nord</t>
        </is>
      </c>
      <c r="C29" t="inlineStr">
        <is>
          <t>MAR Noor Laâyoune : 80 MW (Masen 2016) vs 85 MW / 65 MWe (ACWA).</t>
        </is>
      </c>
    </row>
    <row r="30">
      <c r="A30" t="inlineStr">
        <is>
          <t>conflit</t>
        </is>
      </c>
      <c r="B30" t="inlineStr">
        <is>
          <t>A_nord</t>
        </is>
      </c>
      <c r="C30" t="inlineStr">
        <is>
          <t>MAR NOOR PV I : KfW 60 M€ (Masen 2016) vs 659 MMAD (Masen 2017) – cohérent en ordre de grandeur, devises différentes.</t>
        </is>
      </c>
    </row>
    <row r="31">
      <c r="A31" t="inlineStr">
        <is>
          <t>conflit</t>
        </is>
      </c>
      <c r="B31" t="inlineStr">
        <is>
          <t>A_nord</t>
        </is>
      </c>
      <c r="C31" t="inlineStr">
        <is>
          <t>MAR NOOR PV I tarif : 0,46 MAD = 4,22 c€ (Masen) ; ACWA 4,6 MADc = 4,8 USc ; PV Tech convertit à tort 0,46 MAD = 0,046 USD (non enregistré).</t>
        </is>
      </c>
    </row>
    <row r="32">
      <c r="A32" t="inlineStr">
        <is>
          <t>conflit</t>
        </is>
      </c>
      <c r="B32" t="inlineStr">
        <is>
          <t>A_nord</t>
        </is>
      </c>
      <c r="C32" t="inlineStr">
        <is>
          <t>TUN Kairouan : offre préliminaire 84,1 millimes/kWh (0,0286 USD, pv magazine 2019) vs 97,92 TND/MWh rapporté par des extraits de presse non ouverts ; tarif final contractuel non trouvé.</t>
        </is>
      </c>
    </row>
    <row r="33">
      <c r="A33" t="inlineStr">
        <is>
          <t>conflit</t>
        </is>
      </c>
      <c r="B33" t="inlineStr">
        <is>
          <t>A_nord</t>
        </is>
      </c>
      <c r="C33" t="inlineStr">
        <is>
          <t>TUN Kairouan : coût ~100 MUSD (IFC SII 2022) vs 86 MUSD (communiqué AfDB 2023, page inaccessible 403).</t>
        </is>
      </c>
    </row>
    <row r="34">
      <c r="A34" t="inlineStr">
        <is>
          <t>conflit</t>
        </is>
      </c>
      <c r="B34" t="inlineStr">
        <is>
          <t>A_nord</t>
        </is>
      </c>
      <c r="C34" t="inlineStr">
        <is>
          <t>TUN Sidi Bouzid/Tozeur : lots de 50 MW dans l'AO 2019 (pv magazine) vs 2 x 60 MW au bouclage 2024 (PV Tech/Scatec) ; Tataouine 200 MW vs ~240 MW.</t>
        </is>
      </c>
    </row>
    <row r="35">
      <c r="A35" t="inlineStr">
        <is>
          <t>conflit</t>
        </is>
      </c>
      <c r="B35" t="inlineStr">
        <is>
          <t>A_nord</t>
        </is>
      </c>
      <c r="C35" t="inlineStr">
        <is>
          <t>DZA El Oued : AO 2023 liste Nakhla 200 MW et Taleb Larbi 80 MW, le ministère cite 'El Foulia 300 MW' en 2026 – correspondance non établie.</t>
        </is>
      </c>
    </row>
    <row r="36">
      <c r="A36" t="inlineStr">
        <is>
          <t>conflit</t>
        </is>
      </c>
      <c r="B36" t="inlineStr">
        <is>
          <t>A_ouest</t>
        </is>
      </c>
      <c r="C36" t="inlineStr">
        <is>
          <t>Kahone/Kael (SEN) – puissance DC : IFC ESRS &amp; MIGA = Kahone 44 MWp/35 MWac, Kael 35 MWp/25 MWac ; reGlobal (2021) = Kahone 35 MWp, Kael 25 MWp (probable confusion MWac/MWp).</t>
        </is>
      </c>
    </row>
    <row r="37">
      <c r="A37" t="inlineStr">
        <is>
          <t>conflit</t>
        </is>
      </c>
      <c r="B37" t="inlineStr">
        <is>
          <t>A_ouest</t>
        </is>
      </c>
      <c r="C37" t="inlineStr">
        <is>
          <t>Kahone/Kael (SEN) – coût total : IFC ESRS 'up to EUR48 million' (26+22) vs BEI 'EUR 47 million' ; dette 38 M EUR (IFC+Finland-IFC+BEI+Proparco), dont IFC ≤14 M EUR et BEI 12,5 M EUR.</t>
        </is>
      </c>
    </row>
    <row r="38">
      <c r="A38" t="inlineStr">
        <is>
          <t>conflit</t>
        </is>
      </c>
      <c r="B38" t="inlineStr">
        <is>
          <t>A_ouest</t>
        </is>
      </c>
      <c r="C38" t="inlineStr">
        <is>
          <t>Kahone/Kael (SEN) – nom du 2e site : IFC/BEI 'Touba' vs MIGA/IFC PPP brief 'Kael' (même projet, près de Touba).</t>
        </is>
      </c>
    </row>
    <row r="39">
      <c r="A39" t="inlineStr">
        <is>
          <t>conflit</t>
        </is>
      </c>
      <c r="B39" t="inlineStr">
        <is>
          <t>A_ouest</t>
        </is>
      </c>
      <c r="C39" t="inlineStr">
        <is>
          <t>Santhiou Mékhé (SEN) – structure de financement : pv magazine 53 % Meridiam+Proparco / 15 % Senergy PV / 32 % FONSIS vs Taiyang News 80 % Proparco (34,5 M EUR) – le second non ouvert ; possible confusion avec Ten Merina (34,4 M EUR de dette).</t>
        </is>
      </c>
    </row>
    <row r="40">
      <c r="A40" t="inlineStr">
        <is>
          <t>conflit</t>
        </is>
      </c>
      <c r="B40" t="inlineStr">
        <is>
          <t>A_ouest</t>
        </is>
      </c>
      <c r="C40" t="inlineStr">
        <is>
          <t>Bokhol (SEN) – coût : 17 Md FCFA (Financial Afrik 2016) vs ~25 M EUR / 16 Md FCFA (autre presse, non ouverte).</t>
        </is>
      </c>
    </row>
    <row r="41">
      <c r="A41" t="inlineStr">
        <is>
          <t>conflit</t>
        </is>
      </c>
      <c r="B41" t="inlineStr">
        <is>
          <t>A_ouest</t>
        </is>
      </c>
      <c r="C41" t="inlineStr">
        <is>
          <t>Boundiali (CIV) – coût : 75,6 M EUR (pv magazine) vs budget 37 M EUR (fiche UE Global Gateway) ; stockage 10 MW/MWh (UE) vs 13,8 MWh Saft (Afrik21, non ouvert).</t>
        </is>
      </c>
    </row>
    <row r="42">
      <c r="A42" t="inlineStr">
        <is>
          <t>conflit</t>
        </is>
      </c>
      <c r="B42" t="inlineStr">
        <is>
          <t>A_ouest</t>
        </is>
      </c>
      <c r="C42" t="inlineStr">
        <is>
          <t>Bui (GHA) – 50 MWp au sol mis en service T1 2021 (Africa Energy) vs 50 MWp 'en construction, fin 2023' (GNA 2023) : probablement deux tranches distinctes.</t>
        </is>
      </c>
    </row>
    <row r="43">
      <c r="A43" t="inlineStr">
        <is>
          <t>conflit</t>
        </is>
      </c>
      <c r="B43" t="inlineStr">
        <is>
          <t>A_ouest</t>
        </is>
      </c>
      <c r="C43" t="inlineStr">
        <is>
          <t>Zagtouli 1 (BFA) – financeurs : évaluation AFD = AFD 22,5 M EUR + UE (25 M EUR) uniquement vs pv-tech 2014 = prêt BEI 23 M EUR pour Zagtouli.</t>
        </is>
      </c>
    </row>
    <row r="44">
      <c r="A44" t="inlineStr">
        <is>
          <t>conflit</t>
        </is>
      </c>
      <c r="B44" t="inlineStr">
        <is>
          <t>A_ouest</t>
        </is>
      </c>
      <c r="C44" t="inlineStr">
        <is>
          <t>Nagréongo (BFA) – garantie MIGA : 6,0 M USD (fiche projet) vs 4,5 M EUR (communiqué MIGA 2020, vu en recherche seulement).</t>
        </is>
      </c>
    </row>
    <row r="45">
      <c r="A45" t="inlineStr">
        <is>
          <t>conflit</t>
        </is>
      </c>
      <c r="B45" t="inlineStr">
        <is>
          <t>A_ouest</t>
        </is>
      </c>
      <c r="C45" t="inlineStr">
        <is>
          <t>Kita (MLI) – PPA 28 ans (EAIF) vs 30 ans (SolarQuarter) ; coût 78 M EUR (EAIF, au closing) vs 80,7 M EUR / 53 Md FCFA (2021).</t>
        </is>
      </c>
    </row>
    <row r="46">
      <c r="A46" t="inlineStr">
        <is>
          <t>conflit</t>
        </is>
      </c>
      <c r="B46" t="inlineStr">
        <is>
          <t>A_ouest</t>
        </is>
      </c>
      <c r="C46" t="inlineStr">
        <is>
          <t>Gorou Banda (NER) – capacité 20 MW (2018) → 30-60 MWp (2020) → 30 MW construits (2023) ; coût 70 M USD estimé (2020) vs 30 M EUR mobilisés (2023).</t>
        </is>
      </c>
    </row>
    <row r="47">
      <c r="A47" t="inlineStr">
        <is>
          <t>conflit</t>
        </is>
      </c>
      <c r="B47" t="inlineStr">
        <is>
          <t>A_ouest</t>
        </is>
      </c>
      <c r="C47" t="inlineStr">
        <is>
          <t>Ségou (MLI) – coût 50,2 M EUR (IFC, provisoire) vs 52 M EUR (presse 2015, non ouverte).</t>
        </is>
      </c>
    </row>
    <row r="48">
      <c r="A48" t="inlineStr">
        <is>
          <t>conflit</t>
        </is>
      </c>
      <c r="B48" t="inlineStr">
        <is>
          <t>B_captif</t>
        </is>
      </c>
      <c r="C48" t="inlineStr">
        <is>
          <t>Fekola phase 1 (MLI) – stockage : 13,5 MWh (MD&amp;A Q3 2019, 6-K) vs 15,4 MWh (AIF 2019 et presse 2021) ; le total 27,7 MWh – 12,7 MWh d'extension implique 15,0 MWh.</t>
        </is>
      </c>
    </row>
    <row r="49">
      <c r="A49" t="inlineStr">
        <is>
          <t>conflit</t>
        </is>
      </c>
      <c r="B49" t="inlineStr">
        <is>
          <t>B_captif</t>
        </is>
      </c>
      <c r="C49" t="inlineStr">
        <is>
          <t>Fekola phase 1 (MLI) – capex : budget 38 M USD (2019) ; aucun coût final publié ; achèvement retardé à juillet 2021 (COVID, incendie, 2 M USD de panneaux radiés) – coût final probablement différent du budget.</t>
        </is>
      </c>
    </row>
    <row r="50">
      <c r="A50" t="inlineStr">
        <is>
          <t>conflit</t>
        </is>
      </c>
      <c r="B50" t="inlineStr">
        <is>
          <t>B_captif</t>
        </is>
      </c>
      <c r="C50" t="inlineStr">
        <is>
          <t>Fekola phase 2 (MLI) – économies HFO : 7,6 M L/an (annonce 2023, extension seule) vs 20 M L/an (2025, centrale étendue totale) – différence de périmètre, pas contradiction.</t>
        </is>
      </c>
    </row>
    <row r="51">
      <c r="A51" t="inlineStr">
        <is>
          <t>conflit</t>
        </is>
      </c>
      <c r="B51" t="inlineStr">
        <is>
          <t>B_captif</t>
        </is>
      </c>
      <c r="C51" t="inlineStr">
        <is>
          <t>Otjikoto (NAM) – puissance : 7 MW (communiqué 2018), 6 MW (AIF 2021), 5,8 MWac (communiqué 2023) – probablement DC vs AC.</t>
        </is>
      </c>
    </row>
    <row r="52">
      <c r="A52" t="inlineStr">
        <is>
          <t>conflit</t>
        </is>
      </c>
      <c r="B52" t="inlineStr">
        <is>
          <t>B_captif</t>
        </is>
      </c>
      <c r="C52" t="inlineStr">
        <is>
          <t>Otjikoto (NAM) – économies HFO : 2,3 M L attendus vs ~2,4 M L réalisés en 2018.</t>
        </is>
      </c>
    </row>
    <row r="53">
      <c r="A53" t="inlineStr">
        <is>
          <t>conflit</t>
        </is>
      </c>
      <c r="B53" t="inlineStr">
        <is>
          <t>B_captif</t>
        </is>
      </c>
      <c r="C53" t="inlineStr">
        <is>
          <t>Tasiast (MRT) – part solaire : 20 % déclarés (2022, NI 43-101) vs 17 % observés en 2024 ; capex : budget 55 M USD vs 'under budget' (circulaire 2024) sans montant final.</t>
        </is>
      </c>
    </row>
    <row r="54">
      <c r="A54" t="inlineStr">
        <is>
          <t>conflit</t>
        </is>
      </c>
      <c r="B54" t="inlineStr">
        <is>
          <t>B_captif</t>
        </is>
      </c>
      <c r="C54" t="inlineStr">
        <is>
          <t>Sukari (EGY) – économies : 9–13 M USD/an (mai 2021) vs jusqu'à 20 M USD/an (oct. 2022), écart lié au prix du diesel (0,52 USD/L en 2021 → 0,88 USD/L en 2022).</t>
        </is>
      </c>
    </row>
    <row r="55">
      <c r="A55" t="inlineStr">
        <is>
          <t>conflit</t>
        </is>
      </c>
      <c r="B55" t="inlineStr">
        <is>
          <t>B_captif</t>
        </is>
      </c>
      <c r="C55" t="inlineStr">
        <is>
          <t>Blanket (ZWE) – couverture : ~27 % (début 2023) vs ~20 % (2024) ; économie : 37 USD/once attendu vs 47 USD/once observé en 2024.</t>
        </is>
      </c>
    </row>
    <row r="56">
      <c r="A56" t="inlineStr">
        <is>
          <t>conflit</t>
        </is>
      </c>
      <c r="B56" t="inlineStr">
        <is>
          <t>B_captif</t>
        </is>
      </c>
      <c r="C56" t="inlineStr">
        <is>
          <t>South Deep (ZAF) – couverture : 24 % annoncés (2022) vs 15 % observés (2023), 23 % attendus à pleine capacité ; mise en service 'H2 2022' vs 'first year of production in 2023'.</t>
        </is>
      </c>
    </row>
    <row r="57">
      <c r="A57" t="inlineStr">
        <is>
          <t>conflit</t>
        </is>
      </c>
      <c r="B57" t="inlineStr">
        <is>
          <t>B_captif</t>
        </is>
      </c>
      <c r="C57" t="inlineStr">
        <is>
          <t>Harmony phase 1 (ZAF) – production : 70 GWh/an attendus vs 64 GWh observés (FY2024).</t>
        </is>
      </c>
    </row>
    <row r="58">
      <c r="A58" t="inlineStr">
        <is>
          <t>conflit</t>
        </is>
      </c>
      <c r="B58" t="inlineStr">
        <is>
          <t>C_minireseaux</t>
        </is>
      </c>
      <c r="C58" t="inlineStr">
        <is>
          <t>LCOE 'best-in-class' 0,38 USD/kWh : le rapport ESMAP 2022 le date tantôt 2021 ('In 2021, the LCOE ... was $0.38/kWh'), tantôt 2020 ('$0.38/kWh in 2020'), et le communiqué BM du 27/09/2022 dit 'today'. Valeur unique, millésime incertain (2020 ou 2021). Il s'agit d'un LCOE modélisé pour un mini-réseau de référence mondial, pas d'une moyenne observée en Afrique.</t>
        </is>
      </c>
    </row>
    <row r="59">
      <c r="A59" t="inlineStr">
        <is>
          <t>conflit</t>
        </is>
      </c>
      <c r="B59" t="inlineStr">
        <is>
          <t>C_minireseaux</t>
        </is>
      </c>
      <c r="C59" t="inlineStr">
        <is>
          <t>CAPEX par branchement (Afrique/monde) : ESMAP 2022 (citant AMDA 2021) 700–800 USD en 2021 ; AMDA BAM 2022 930 USD en 2020 ; SEforALL SOTM 2024 1 250 USD en 2020 → 707 USD en 2024 ; AMDA BAM 2024 1 948 USD (Afrique Est/australe) et 1 046 USD (Ouest/centrale) en moyenne 2021–2024 ; ESMAP médiane mondiale 846 USD ; Power for All 2019 500–2 100 USD. Les périmètres (échantillons, inclusion de la distribution, années) diffèrent.</t>
        </is>
      </c>
    </row>
    <row r="60">
      <c r="A60" t="inlineStr">
        <is>
          <t>conflit</t>
        </is>
      </c>
      <c r="B60" t="inlineStr">
        <is>
          <t>C_minireseaux</t>
        </is>
      </c>
      <c r="C60" t="inlineStr">
        <is>
          <t>CAPEX par kWp : SEforALL SOTM 2024 ~3 000 USD/kWp (2021–2023) et ~2 200 USD/kWp en 2024 (monde) vs AMDA ~8 500 USD/kWp en 2020, 7 330 (moyenne 3 ans) et 6 807–6 824 USD/kWp (moyenne 2021–2024, membres africains, distribution incluse) vs ESMAP 3 659 USD/kWfirm (best-in-class) / 5 084 USD/kWfirm (médiane) vs Power for All 3 908 USD/kW. Écart d'un facteur ~3 entre SEforALL et AMDA.</t>
        </is>
      </c>
    </row>
    <row r="61">
      <c r="A61" t="inlineStr">
        <is>
          <t>conflit</t>
        </is>
      </c>
      <c r="B61" t="inlineStr">
        <is>
          <t>C_minireseaux</t>
        </is>
      </c>
      <c r="C61" t="inlineStr">
        <is>
          <t>AMDA BAM 2024 incohérences internes : moyenne 4 ans 6 807 USD/kWp (chapitre Coûts) vs 6 824 USD/kWp (résumé) ; Afrique Ouest/centrale 7 209 (texte) vs 7 216 (figure 12) ; le texte dit le CAPEX/branchement de l'Est/austral '46% higher' alors que la figure donne 1 948 vs 1 046 USD (+86 %).</t>
        </is>
      </c>
    </row>
    <row r="62">
      <c r="A62" t="inlineStr">
        <is>
          <t>conflit</t>
        </is>
      </c>
      <c r="B62" t="inlineStr">
        <is>
          <t>C_minireseaux</t>
        </is>
      </c>
      <c r="C62" t="inlineStr">
        <is>
          <t>Prix des batteries Li-ion : ESMAP 2022 médiane mini-réseaux 314 USD/kWh (best-in-class 297) vs SEforALL SOTM 2024 ~123 USD/kWh (prix moyen de marché 2021).</t>
        </is>
      </c>
    </row>
    <row r="63">
      <c r="A63" t="inlineStr">
        <is>
          <t>conflit</t>
        </is>
      </c>
      <c r="B63" t="inlineStr">
        <is>
          <t>C_minireseaux</t>
        </is>
      </c>
      <c r="C63" t="inlineStr">
        <is>
          <t>SEforALL CAPEX/OPEX 2024, Burkina Faso : CAPEX moyen 1 526 USD/branchement annoncé alors que les composantes citées (158 + 39 + 74 + 1,2 USD) totalisent ~272 USD ; données d'une seule entreprise.</t>
        </is>
      </c>
    </row>
    <row r="64">
      <c r="A64" t="inlineStr">
        <is>
          <t>conflit</t>
        </is>
      </c>
      <c r="B64" t="inlineStr">
        <is>
          <t>C_minireseaux</t>
        </is>
      </c>
      <c r="C64" t="inlineStr">
        <is>
          <t>KOSAP Kenya, nombre de mini-réseaux : 137 sites (ESMAP 2022) vs 114 (The Standard, mai 2026, titre) vs 31 REREC + 89 KPLC = 120 (même article) vs 120 (Citizen Digital, août 2026).</t>
        </is>
      </c>
    </row>
    <row r="65">
      <c r="A65" t="inlineStr">
        <is>
          <t>conflit</t>
        </is>
      </c>
      <c r="B65" t="inlineStr">
        <is>
          <t>C_minireseaux</t>
        </is>
      </c>
      <c r="C65" t="inlineStr">
        <is>
          <t>Nuru (RDC) : garantie MIGA proposée en 2021 jusqu'à 145,54 M USD pour jusqu'à 39 MW vs garantie émise en 2023 de 32,9 M USD (Goma 2, Kindu, Bunia, ~11,7 MW + Goma 1).</t>
        </is>
      </c>
    </row>
    <row r="66">
      <c r="A66" t="inlineStr">
        <is>
          <t>conflit</t>
        </is>
      </c>
      <c r="B66" t="inlineStr">
        <is>
          <t>C_minireseaux</t>
        </is>
      </c>
      <c r="C66" t="inlineStr">
        <is>
          <t>Winch Energy Lamwo (Ouganda) : subvention UE/GIZ de 18 milliards UGX (4,44 M EUR) supérieure au 'total project cost' de 4 M USD cité dans le même article.</t>
        </is>
      </c>
    </row>
    <row r="67">
      <c r="A67" t="inlineStr">
        <is>
          <t>conflit</t>
        </is>
      </c>
      <c r="B67" t="inlineStr">
        <is>
          <t>C_minireseaux</t>
        </is>
      </c>
      <c r="C67" t="inlineStr">
        <is>
          <t>SHER Mali : 5,63 MW de capacité renouvelable (BM, sept. 2021, 36 centrales sur 45) vs 5,9 MWp + 26,3 MWh (Artelia, projet 2020–2022). Probablement des dates et périmètres différents (réalisé vs total prévu).</t>
        </is>
      </c>
    </row>
    <row r="68">
      <c r="A68" t="inlineStr">
        <is>
          <t>conflit</t>
        </is>
      </c>
      <c r="B68" t="inlineStr">
        <is>
          <t>C_minireseaux</t>
        </is>
      </c>
      <c r="C68" t="inlineStr">
        <is>
          <t>EWURA (Tanzanie) : 'Mini Grids produce 7,570,000MWh' pour 3,76 MW installés, ce qui est physiquement impossible (sans doute kWh).</t>
        </is>
      </c>
    </row>
    <row r="69">
      <c r="A69" t="inlineStr">
        <is>
          <t>conflit</t>
        </is>
      </c>
      <c r="B69" t="inlineStr">
        <is>
          <t>C_minireseaux</t>
        </is>
      </c>
      <c r="C69" t="inlineStr">
        <is>
          <t>Côte d'Ivoire ECLER : 17 communes (description) vs 30 communes (interview) pour 16 mini-centrales.</t>
        </is>
      </c>
    </row>
    <row r="70">
      <c r="A70" t="inlineStr">
        <is>
          <t>conflit</t>
        </is>
      </c>
      <c r="B70" t="inlineStr">
        <is>
          <t>C_minireseaux</t>
        </is>
      </c>
      <c r="C70" t="inlineStr">
        <is>
          <t>Cameroun, phases 1–2 du programme solaire : 27 400 ménages (Journal du Cameroun, 2023) ; un document CNUCED vu seulement dans un extrait de recherche (non ouvert, donc non enregistré) indique 23 804 ménages.</t>
        </is>
      </c>
    </row>
    <row r="71">
      <c r="A71" t="inlineStr">
        <is>
          <t>conflit</t>
        </is>
      </c>
      <c r="B71" t="inlineStr">
        <is>
          <t>C_minireseaux</t>
        </is>
      </c>
      <c r="C71" t="inlineStr">
        <is>
          <t>Sénégal (Le Soleil, 2026) : mise en service des 15 villages datée des 20–21 août puis des 21–22 août dans le même article.</t>
        </is>
      </c>
    </row>
    <row r="72">
      <c r="A72" t="inlineStr">
        <is>
          <t>non trouvé</t>
        </is>
      </c>
      <c r="B72" t="inlineStr">
        <is>
          <t>A_australe</t>
        </is>
      </c>
      <c r="C72" t="inlineStr">
        <is>
          <t>Rapports trimestriels IPP Office 'IPPPP - An Overview' (tableau officiel des tarifs moyens par BW en Rands indexés): liens sur ipp-projects.co.za/Publications renvoient 404; miroir ESMAP RISE bloqué (403).</t>
        </is>
      </c>
    </row>
    <row r="73">
      <c r="A73" t="inlineStr">
        <is>
          <t>non trouvé</t>
        </is>
      </c>
      <c r="B73" t="inlineStr">
        <is>
          <t>A_australe</t>
        </is>
      </c>
      <c r="C73" t="inlineStr">
        <is>
          <t>Tarifs individuels par projet pour BW1-BW5 (aucun document primaire listant les prix par projet trouvé; seuls BW6 et BW7 publiés par projet).</t>
        </is>
      </c>
    </row>
    <row r="74">
      <c r="A74" t="inlineStr">
        <is>
          <t>non trouvé</t>
        </is>
      </c>
      <c r="B74" t="inlineStr">
        <is>
          <t>A_australe</t>
        </is>
      </c>
      <c r="C74" t="inlineStr">
        <is>
          <t>Tarif BW5 des projets Grootfontein PV 1-3 (Scatec) et production annuelle attendue.</t>
        </is>
      </c>
    </row>
    <row r="75">
      <c r="A75" t="inlineStr">
        <is>
          <t>non trouvé</t>
        </is>
      </c>
      <c r="B75" t="inlineStr">
        <is>
          <t>A_australe</t>
        </is>
      </c>
      <c r="C75" t="inlineStr">
        <is>
          <t>Prix par projet RMIPPPP (Kenhardt 1-3, Umoyilanga); seul le prix moyen pondéré toutes technologies (R1 575/MWh) a été trouvé.</t>
        </is>
      </c>
    </row>
    <row r="76">
      <c r="A76" t="inlineStr">
        <is>
          <t>non trouvé</t>
        </is>
      </c>
      <c r="B76" t="inlineStr">
        <is>
          <t>A_australe</t>
        </is>
      </c>
      <c r="C76" t="inlineStr">
        <is>
          <t>Données NERSA (licences/tarifs) non consultées faute de documents accessibles.</t>
        </is>
      </c>
    </row>
    <row r="77">
      <c r="A77" t="inlineStr">
        <is>
          <t>non trouvé</t>
        </is>
      </c>
      <c r="B77" t="inlineStr">
        <is>
          <t>A_australe</t>
        </is>
      </c>
      <c r="C77" t="inlineStr">
        <is>
          <t>Taux d'intérêt effectifs des dettes (Grootfontein, Kenhardt, Hardap, Bangweulu tranche commerciale IFC) non publiés.</t>
        </is>
      </c>
    </row>
    <row r="78">
      <c r="A78" t="inlineStr">
        <is>
          <t>non trouvé</t>
        </is>
      </c>
      <c r="B78" t="inlineStr">
        <is>
          <t>A_australe</t>
        </is>
      </c>
      <c r="C78" t="inlineStr">
        <is>
          <t>OPEX: aucune donnée d'OPEX publiée trouvée pour aucun projet.</t>
        </is>
      </c>
    </row>
    <row r="79">
      <c r="A79" t="inlineStr">
        <is>
          <t>non trouvé</t>
        </is>
      </c>
      <c r="B79" t="inlineStr">
        <is>
          <t>A_australe</t>
        </is>
      </c>
      <c r="C79" t="inlineStr">
        <is>
          <t>Communiqué IFC (pressroom.ifc.org) sur le FC de Bangweulu/Ngonye: serveur indisponible (503/connexion réinitialisée).</t>
        </is>
      </c>
    </row>
    <row r="80">
      <c r="A80" t="inlineStr">
        <is>
          <t>non trouvé</t>
        </is>
      </c>
      <c r="B80" t="inlineStr">
        <is>
          <t>A_australe</t>
        </is>
      </c>
      <c r="C80" t="inlineStr">
        <is>
          <t>Statut 2022-2026 des 6 projets GET FiT Zambia (Bulemu, Aurora Sola, Garneton): pas de preuve de financial close ni de mise en service.</t>
        </is>
      </c>
    </row>
    <row r="81">
      <c r="A81" t="inlineStr">
        <is>
          <t>non trouvé</t>
        </is>
      </c>
      <c r="B81" t="inlineStr">
        <is>
          <t>A_australe</t>
        </is>
      </c>
      <c r="C81" t="inlineStr">
        <is>
          <t>Tarif et acheteur de Chisamba (PPA ZESCO/GreenCo) non vérifiés auprès d'une source primaire.</t>
        </is>
      </c>
    </row>
    <row r="82">
      <c r="A82" t="inlineStr">
        <is>
          <t>non trouvé</t>
        </is>
      </c>
      <c r="B82" t="inlineStr">
        <is>
          <t>A_australe</t>
        </is>
      </c>
      <c r="C82" t="inlineStr">
        <is>
          <t>Namibie: tarifs ECB officiels et rapport annuel NamPower non consultés; mise en service effective de Khan Solar non confirmée; détails du projet NamPower 70 MW (Anixas) non trouvés.</t>
        </is>
      </c>
    </row>
    <row r="83">
      <c r="A83" t="inlineStr">
        <is>
          <t>non trouvé</t>
        </is>
      </c>
      <c r="B83" t="inlineStr">
        <is>
          <t>A_australe</t>
        </is>
      </c>
      <c r="C83" t="inlineStr">
        <is>
          <t>Zimbabwe: aucun tarif PPA (ZETDC) ni document ZERA trouvé; Harava Solar Park (Seke, 20-22 MW annoncés) - capacité/mise en service non vérifiées (sources contradictoires: 20, 22 et 120 MW); 'Riverside/Kariba' au Zimbabwe: aucun projet PV de ce nom trouvé (Riverside est la centrale CEC de Kitwe en Zambie); projets ZPC (Insukamini 100 MW) au stade de demande de licence.</t>
        </is>
      </c>
    </row>
    <row r="84">
      <c r="A84" t="inlineStr">
        <is>
          <t>non trouvé</t>
        </is>
      </c>
      <c r="B84" t="inlineStr">
        <is>
          <t>A_centre_est</t>
        </is>
      </c>
      <c r="C84" t="inlineStr">
        <is>
          <t>Tarifs individuels de Soroti et de Tororo (seule la moyenne 16,37 USc/kWh est disponible) ; durée PPA explicite (20 ans cité pour la prime) ; taux et durée des prêts FMO/EAIF.</t>
        </is>
      </c>
    </row>
    <row r="85">
      <c r="A85" t="inlineStr">
        <is>
          <t>non trouvé</t>
        </is>
      </c>
      <c r="B85" t="inlineStr">
        <is>
          <t>A_centre_est</t>
        </is>
      </c>
      <c r="C85" t="inlineStr">
        <is>
          <t>Pages getfit-uganda.org (503) et EAIF Tororo (404) inaccessibles ; tarifs ERA par projet non trouvés.</t>
        </is>
      </c>
    </row>
    <row r="86">
      <c r="A86" t="inlineStr">
        <is>
          <t>non trouvé</t>
        </is>
      </c>
      <c r="B86" t="inlineStr">
        <is>
          <t>A_centre_est</t>
        </is>
      </c>
      <c r="C86" t="inlineStr">
        <is>
          <t>Kabulasoke-Gomba (Xsabo 20 MW, 2019) : coût (24,5 M USD cité en recherche) et tarif non vérifiés (The EastAfrican 403).</t>
        </is>
      </c>
    </row>
    <row r="87">
      <c r="A87" t="inlineStr">
        <is>
          <t>non trouvé</t>
        </is>
      </c>
      <c r="B87" t="inlineStr">
        <is>
          <t>A_centre_est</t>
        </is>
      </c>
      <c r="C87" t="inlineStr">
        <is>
          <t>Kenya : tarifs individuels par projet issus de documents EPRA/Kenya Power non trouvés ; Malindi : tarif exact non trouvé dans une source primaire ; Eldosol/Radiant : années de mise en service non vérifiées ; Kopere : mise en service non confirmée ; Selenkei/Cedate et Rumuruti non documentés ; taux/durées de dette des IPP non trouvés (sauf mention EAIF 15 ans pour Kesses, non ouverte).</t>
        </is>
      </c>
    </row>
    <row r="88">
      <c r="A88" t="inlineStr">
        <is>
          <t>non trouvé</t>
        </is>
      </c>
      <c r="B88" t="inlineStr">
        <is>
          <t>A_centre_est</t>
        </is>
      </c>
      <c r="C88" t="inlineStr">
        <is>
          <t>Garissa : production annuelle et tarif final non vérifiés dans une source primaire (Nation.africa 403).</t>
        </is>
      </c>
    </row>
    <row r="89">
      <c r="A89" t="inlineStr">
        <is>
          <t>non trouvé</t>
        </is>
      </c>
      <c r="B89" t="inlineStr">
        <is>
          <t>A_centre_est</t>
        </is>
      </c>
      <c r="C89" t="inlineStr">
        <is>
          <t>Éthiopie : communiqué Enel (PDF joint non ouvert), tarif Metehara ; statut actuel de Gad/Dicheto (pas de preuve de construction/financement) ; autres projets Scaling Solar.</t>
        </is>
      </c>
    </row>
    <row r="90">
      <c r="A90" t="inlineStr">
        <is>
          <t>non trouvé</t>
        </is>
      </c>
      <c r="B90" t="inlineStr">
        <is>
          <t>A_centre_est</t>
        </is>
      </c>
      <c r="C90" t="inlineStr">
        <is>
          <t>Rwanda : aucune centrale PV réseau ≥ 5 MW mise en service ou attribuée en 2016–2026 trouvée ; Rwamagana (Gigawatt Global, 8,5 MW, ~25 USc/kWh selon BM 2015) est antérieure à 2016 (mise en service 2014), hors périmètre.</t>
        </is>
      </c>
    </row>
    <row r="91">
      <c r="A91" t="inlineStr">
        <is>
          <t>non trouvé</t>
        </is>
      </c>
      <c r="B91" t="inlineStr">
        <is>
          <t>A_centre_est</t>
        </is>
      </c>
      <c r="C91" t="inlineStr">
        <is>
          <t>Tanzanie : aucun autre projet ≥ 5 MW raccordé trouvé ; tarif de cession de Kishapu (EPC public) non applicable/non trouvé.</t>
        </is>
      </c>
    </row>
    <row r="92">
      <c r="A92" t="inlineStr">
        <is>
          <t>non trouvé</t>
        </is>
      </c>
      <c r="B92" t="inlineStr">
        <is>
          <t>A_centre_est</t>
        </is>
      </c>
      <c r="C92" t="inlineStr">
        <is>
          <t>Cameroun : tarif/loyer du contrat Release avec ENEO et durée du bail non trouvés ; autres projets (ex. Nachtigal = hydro, hors champ) ; Scatec communiqué primaire non ouvert.</t>
        </is>
      </c>
    </row>
    <row r="93">
      <c r="A93" t="inlineStr">
        <is>
          <t>non trouvé</t>
        </is>
      </c>
      <c r="B93" t="inlineStr">
        <is>
          <t>A_centre_est</t>
        </is>
      </c>
      <c r="C93" t="inlineStr">
        <is>
          <t>Tchad : tarif Djermaya non publié ; aucune preuve de mise en service de Djermaya ni de Komé ; financement BAD 18 M EUR + PRG cité en recherche mais page BAD non ouverte.</t>
        </is>
      </c>
    </row>
    <row r="94">
      <c r="A94" t="inlineStr">
        <is>
          <t>non trouvé</t>
        </is>
      </c>
      <c r="B94" t="inlineStr">
        <is>
          <t>A_centre_est</t>
        </is>
      </c>
      <c r="C94" t="inlineStr">
        <is>
          <t>Gabon : tarif SEEG/État non trouvé ; coût total non trouvé.</t>
        </is>
      </c>
    </row>
    <row r="95">
      <c r="A95" t="inlineStr">
        <is>
          <t>non trouvé</t>
        </is>
      </c>
      <c r="B95" t="inlineStr">
        <is>
          <t>A_centre_est</t>
        </is>
      </c>
      <c r="C95" t="inlineStr">
        <is>
          <t>Congo (Brazzaville) : aucune centrale PV réseau ≥ 5 MW trouvée (recherche limitée).</t>
        </is>
      </c>
    </row>
    <row r="96">
      <c r="A96" t="inlineStr">
        <is>
          <t>non trouvé</t>
        </is>
      </c>
      <c r="B96" t="inlineStr">
        <is>
          <t>A_centre_est</t>
        </is>
      </c>
      <c r="C96" t="inlineStr">
        <is>
          <t>RDC : aucune centrale PV raccordée au réseau interconnecté ≥ 5 MW en service confirmée ; SkyPower 1 000 MW et Soleos/Melci 200 MW (Fipango) seulement annoncés ; Manono (mini-réseau isolé) hors champ.</t>
        </is>
      </c>
    </row>
    <row r="97">
      <c r="A97" t="inlineStr">
        <is>
          <t>non trouvé</t>
        </is>
      </c>
      <c r="B97" t="inlineStr">
        <is>
          <t>A_centre_est</t>
        </is>
      </c>
      <c r="C97" t="inlineStr">
        <is>
          <t>OPEX non trouvé pour aucun projet.</t>
        </is>
      </c>
    </row>
    <row r="98">
      <c r="A98" t="inlineStr">
        <is>
          <t>non trouvé</t>
        </is>
      </c>
      <c r="B98" t="inlineStr">
        <is>
          <t>A_nord</t>
        </is>
      </c>
      <c r="C98" t="inlineStr">
        <is>
          <t>EGY : grille tarifaire officielle EgyptERA FiT R2 (bandes &lt;20 MW / 20-50 MW, part payée en EGP, indexation) – document primaire non trouvé ; IEA policy DB inaccessible (403).</t>
        </is>
      </c>
    </row>
    <row r="99">
      <c r="A99" t="inlineStr">
        <is>
          <t>non trouvé</t>
        </is>
      </c>
      <c r="B99" t="inlineStr">
        <is>
          <t>A_nord</t>
        </is>
      </c>
      <c r="C99" t="inlineStr">
        <is>
          <t>EGY : tarif par centrale Benban, OPEX, taux d'intérêt de la dette, production réalisée (mesurée) – non trouvés dans ESRS/PSD.</t>
        </is>
      </c>
    </row>
    <row r="100">
      <c r="A100" t="inlineStr">
        <is>
          <t>non trouvé</t>
        </is>
      </c>
      <c r="B100" t="inlineStr">
        <is>
          <t>A_nord</t>
        </is>
      </c>
      <c r="C100" t="inlineStr">
        <is>
          <t>EGY : Abydos (AMEA, 1 GW+BESS) et autres projets récents non recherchés faute de budget.</t>
        </is>
      </c>
    </row>
    <row r="101">
      <c r="A101" t="inlineStr">
        <is>
          <t>non trouvé</t>
        </is>
      </c>
      <c r="B101" t="inlineStr">
        <is>
          <t>A_nord</t>
        </is>
      </c>
      <c r="C101" t="inlineStr">
        <is>
          <t>EGY Kom Ombo : document AfDB (PAR/ESIA) non accessible ; taux et maturité des prêts non trouvés.</t>
        </is>
      </c>
    </row>
    <row r="102">
      <c r="A102" t="inlineStr">
        <is>
          <t>non trouvé</t>
        </is>
      </c>
      <c r="B102" t="inlineStr">
        <is>
          <t>A_nord</t>
        </is>
      </c>
      <c r="C102" t="inlineStr">
        <is>
          <t>MAR : coûts et dates de mise en service réelles par site pour Laâyoune et Boujdour ; production annuelle Noor PV I ; tarifs et capex Noor PV II (non publiés) ; Noor Atlas non couvert.</t>
        </is>
      </c>
    </row>
    <row r="103">
      <c r="A103" t="inlineStr">
        <is>
          <t>non trouvé</t>
        </is>
      </c>
      <c r="B103" t="inlineStr">
        <is>
          <t>A_nord</t>
        </is>
      </c>
      <c r="C103" t="inlineStr">
        <is>
          <t>TUN : tarifs contractuels finaux (PPA) des lauréats 2019 ; statut Tataouine (pas de bouclage trouvé) ; Gafsa (Engie/Nareva ?) non vérifié ; tarifs de l'AO 2024 non publiés ; pages AfDB Kairouan inaccessibles (403).</t>
        </is>
      </c>
    </row>
    <row r="104">
      <c r="A104" t="inlineStr">
        <is>
          <t>non trouvé</t>
        </is>
      </c>
      <c r="B104" t="inlineStr">
        <is>
          <t>A_nord</t>
        </is>
      </c>
      <c r="C104" t="inlineStr">
        <is>
          <t>TUN : résultats de l'AO 2017 (lots 10 MW) non trouvés.</t>
        </is>
      </c>
    </row>
    <row r="105">
      <c r="A105" t="inlineStr">
        <is>
          <t>non trouvé</t>
        </is>
      </c>
      <c r="B105" t="inlineStr">
        <is>
          <t>A_nord</t>
        </is>
      </c>
      <c r="C105" t="inlineStr">
        <is>
          <t>DZA : coûts EPC par centrale, constructeurs (CSCEC non confirmé), production attendue, mode de financement du programme 2000/3000 MW ; ancien programme 'Solar 1000' (2021) non documenté.</t>
        </is>
      </c>
    </row>
    <row r="106">
      <c r="A106" t="inlineStr">
        <is>
          <t>non trouvé</t>
        </is>
      </c>
      <c r="B106" t="inlineStr">
        <is>
          <t>A_nord</t>
        </is>
      </c>
      <c r="C106" t="inlineStr">
        <is>
          <t>MRT : Sheikh Zayed (15 MW, Masdar) hors fenêtre (mise en service 2013) ; programme rural Masdar 16,6 MW (8 sites, centrales &lt; 5 MW pour la plupart) exclu ; Kiffa (centrale hybride AFD, puissance PV non trouvée ; projet 50 MW + 35 MW/70 MWh lié à l'interconnexion Mauritanie-Mali – page inaccessible 403) ; Zouerate : aucune centrale PV trouvée ; projet hybride 60 MW/370 MWh (Iwa Green Energy) vu uniquement en extrait non ouvert.</t>
        </is>
      </c>
    </row>
    <row r="107">
      <c r="A107" t="inlineStr">
        <is>
          <t>non trouvé</t>
        </is>
      </c>
      <c r="B107" t="inlineStr">
        <is>
          <t>A_nord</t>
        </is>
      </c>
      <c r="C107" t="inlineStr">
        <is>
          <t>Général : OPEX et taux de la dette introuvables pour tous les projets dans les sources ouvertes.</t>
        </is>
      </c>
    </row>
    <row r="108">
      <c r="A108" t="inlineStr">
        <is>
          <t>non trouvé</t>
        </is>
      </c>
      <c r="B108" t="inlineStr">
        <is>
          <t>A_ouest</t>
        </is>
      </c>
      <c r="C108" t="inlineStr">
        <is>
          <t>Tarifs (prix d'achat) des centrales sénégalaises de 1re génération (Bokhol, Santhiou Mékhé, Ten Merina, Malicounda) : aucun document CRSE/Senelec trouvé ; seule une moyenne 'coût moyen de 65 F CFA/kWh' (presse 2018) et le 'plus bas 10 c€/kWh' (IFC) sont disponibles.</t>
        </is>
      </c>
    </row>
    <row r="109">
      <c r="A109" t="inlineStr">
        <is>
          <t>non trouvé</t>
        </is>
      </c>
      <c r="B109" t="inlineStr">
        <is>
          <t>A_ouest</t>
        </is>
      </c>
      <c r="C109" t="inlineStr">
        <is>
          <t>Indexation des tarifs Kahone/Kael (EUR, indexation éventuelle) : non précisée dans les sources IFC/MIGA/BEI ouvertes.</t>
        </is>
      </c>
    </row>
    <row r="110">
      <c r="A110" t="inlineStr">
        <is>
          <t>non trouvé</t>
        </is>
      </c>
      <c r="B110" t="inlineStr">
        <is>
          <t>A_ouest</t>
        </is>
      </c>
      <c r="C110" t="inlineStr">
        <is>
          <t>Taux d'intérêt de la dette : aucun taux trouvé pour aucun projet (IFC, BEI, FMO, EAIF ne publient pas les taux).</t>
        </is>
      </c>
    </row>
    <row r="111">
      <c r="A111" t="inlineStr">
        <is>
          <t>non trouvé</t>
        </is>
      </c>
      <c r="B111" t="inlineStr">
        <is>
          <t>A_ouest</t>
        </is>
      </c>
      <c r="C111" t="inlineStr">
        <is>
          <t>Production annuelle Kahone/Kael (GWh) : non publiée (seulement 89 000 tCO2/an évitées).</t>
        </is>
      </c>
    </row>
    <row r="112">
      <c r="A112" t="inlineStr">
        <is>
          <t>non trouvé</t>
        </is>
      </c>
      <c r="B112" t="inlineStr">
        <is>
          <t>A_ouest</t>
        </is>
      </c>
      <c r="C112" t="inlineStr">
        <is>
          <t>OPEX : aucune donnée trouvée pour aucun projet.</t>
        </is>
      </c>
    </row>
    <row r="113">
      <c r="A113" t="inlineStr">
        <is>
          <t>non trouvé</t>
        </is>
      </c>
      <c r="B113" t="inlineStr">
        <is>
          <t>A_ouest</t>
        </is>
      </c>
      <c r="C113" t="inlineStr">
        <is>
          <t>Tarifs Kodeni, Nagréongo, Kita, Kong, Ferké Solar : non publiés dans les sources consultées (FMO, MIGA, EAIF, PIDG, AIP).</t>
        </is>
      </c>
    </row>
    <row r="114">
      <c r="A114" t="inlineStr">
        <is>
          <t>non trouvé</t>
        </is>
      </c>
      <c r="B114" t="inlineStr">
        <is>
          <t>A_ouest</t>
        </is>
      </c>
      <c r="C114" t="inlineStr">
        <is>
          <t>Capex total Kodeni, Nagréongo, Kong : non trouvés (seuls les montants de dette FMO pour Kodeni/Nagréongo).</t>
        </is>
      </c>
    </row>
    <row r="115">
      <c r="A115" t="inlineStr">
        <is>
          <t>non trouvé</t>
        </is>
      </c>
      <c r="B115" t="inlineStr">
        <is>
          <t>A_ouest</t>
        </is>
      </c>
      <c r="C115" t="inlineStr">
        <is>
          <t>Zagtouli 2 : coût total, date de mise en service effective et fiche BEI non trouvés.</t>
        </is>
      </c>
    </row>
    <row r="116">
      <c r="A116" t="inlineStr">
        <is>
          <t>non trouvé</t>
        </is>
      </c>
      <c r="B116" t="inlineStr">
        <is>
          <t>A_ouest</t>
        </is>
      </c>
      <c r="C116" t="inlineStr">
        <is>
          <t>Boundiali : nom de l'EPC, production annuelle (GWh) non trouvés ; achèvement phase 2 non confirmé.</t>
        </is>
      </c>
    </row>
    <row r="117">
      <c r="A117" t="inlineStr">
        <is>
          <t>non trouvé</t>
        </is>
      </c>
      <c r="B117" t="inlineStr">
        <is>
          <t>A_ouest</t>
        </is>
      </c>
      <c r="C117" t="inlineStr">
        <is>
          <t>Agadez (NER) : fiches AFD inaccessibles (redirection) ; montant AFD, date de mise en service non vérifiés.</t>
        </is>
      </c>
    </row>
    <row r="118">
      <c r="A118" t="inlineStr">
        <is>
          <t>non trouvé</t>
        </is>
      </c>
      <c r="B118" t="inlineStr">
        <is>
          <t>A_ouest</t>
        </is>
      </c>
      <c r="C118" t="inlineStr">
        <is>
          <t>Kael/Kahone : application effective d'une PRG Banque mondiale non confirmée (seulement proposée dans le package Scaling Solar).</t>
        </is>
      </c>
    </row>
    <row r="119">
      <c r="A119" t="inlineStr">
        <is>
          <t>non trouvé</t>
        </is>
      </c>
      <c r="B119" t="inlineStr">
        <is>
          <t>A_ouest</t>
        </is>
      </c>
      <c r="C119" t="inlineStr">
        <is>
          <t>Ghana : tarif/PPA inapplicables (Bui et Kaleo sont des actifs publics BPA/VRA) ; capex de l'extension FPV 4 MW non trouvé ; autres IPP PV ghanéens (ex. Meinergy Gomoa Onyaadze 20 MW) non recherchés faute de budget.</t>
        </is>
      </c>
    </row>
    <row r="120">
      <c r="A120" t="inlineStr">
        <is>
          <t>non trouvé</t>
        </is>
      </c>
      <c r="B120" t="inlineStr">
        <is>
          <t>A_ouest</t>
        </is>
      </c>
      <c r="C120" t="inlineStr">
        <is>
          <t>Ségou Solaire : aucune trace de mise en service ; statut IFC 'Hold' depuis 2022 (probablement abandonné/suspendu, non confirmé).</t>
        </is>
      </c>
    </row>
    <row r="121">
      <c r="A121" t="inlineStr">
        <is>
          <t>non trouvé</t>
        </is>
      </c>
      <c r="B121" t="inlineStr">
        <is>
          <t>A_ouest</t>
        </is>
      </c>
      <c r="C121" t="inlineStr">
        <is>
          <t>Pages inaccessibles : IFC pressroom 2019 (503), Africa Energy Portal (403), Afrik21 (503), BuiPower.com (500), AFD fiches projets Niger (contenu erroné).</t>
        </is>
      </c>
    </row>
    <row r="122">
      <c r="A122" t="inlineStr">
        <is>
          <t>non trouvé</t>
        </is>
      </c>
      <c r="B122" t="inlineStr">
        <is>
          <t>B_captif</t>
        </is>
      </c>
      <c r="C122" t="inlineStr">
        <is>
          <t>Fekola phase 1 : coût final consolidé (seuls budget 38 M USD et dépenses partielles publiés) ; TRI ; prix du HFO sur site.</t>
        </is>
      </c>
    </row>
    <row r="123">
      <c r="A123" t="inlineStr">
        <is>
          <t>non trouvé</t>
        </is>
      </c>
      <c r="B123" t="inlineStr">
        <is>
          <t>B_captif</t>
        </is>
      </c>
      <c r="C123" t="inlineStr">
        <is>
          <t>Fekola phase 2 : budget initial de l'extension (seules les dépenses annuelles 2023-2024 trouvées).</t>
        </is>
      </c>
    </row>
    <row r="124">
      <c r="A124" t="inlineStr">
        <is>
          <t>non trouvé</t>
        </is>
      </c>
      <c r="B124" t="inlineStr">
        <is>
          <t>B_captif</t>
        </is>
      </c>
      <c r="C124" t="inlineStr">
        <is>
          <t>Tasiast : coût final chiffré (seulement 'under budget'), capacité batterie en MWh, prix du carburant sur site.</t>
        </is>
      </c>
    </row>
    <row r="125">
      <c r="A125" t="inlineStr">
        <is>
          <t>non trouvé</t>
        </is>
      </c>
      <c r="B125" t="inlineStr">
        <is>
          <t>B_captif</t>
        </is>
      </c>
      <c r="C125" t="inlineStr">
        <is>
          <t>Sukari : coût final isolé du solaire (inclus dans capex Sukari 2022 de 224 M USD), capacité batterie en MWh, économies réalisées mesurées ; contenu des articles Mining Weekly/Engineering News (403).</t>
        </is>
      </c>
    </row>
    <row r="126">
      <c r="A126" t="inlineStr">
        <is>
          <t>non trouvé</t>
        </is>
      </c>
      <c r="B126" t="inlineStr">
        <is>
          <t>B_captif</t>
        </is>
      </c>
      <c r="C126" t="inlineStr">
        <is>
          <t>Essakane : CAPEX (20 M USD cité par Mining.com / Engineering News mais pages inaccessibles, 403 – non enregistré) ; tarif du PPA de 15 ans avec Essakane Solar SAS ; économies réalisées.</t>
        </is>
      </c>
    </row>
    <row r="127">
      <c r="A127" t="inlineStr">
        <is>
          <t>non trouvé</t>
        </is>
      </c>
      <c r="B127" t="inlineStr">
        <is>
          <t>B_captif</t>
        </is>
      </c>
      <c r="C127" t="inlineStr">
        <is>
          <t>Sabodala-Massawa : TRI avant impôt de 15 % cité par la presse (Mining Weekly, 403) – non vérifié sur page ouverte ; capacité batterie en MWh ; coût final chiffré.</t>
        </is>
      </c>
    </row>
    <row r="128">
      <c r="A128" t="inlineStr">
        <is>
          <t>non trouvé</t>
        </is>
      </c>
      <c r="B128" t="inlineStr">
        <is>
          <t>B_captif</t>
        </is>
      </c>
      <c r="C128" t="inlineStr">
        <is>
          <t>Kamoto/KCC, Tenke, Mopani, Kansanshi, Lumwana : aucune centrale solaire captive 0,1–50 MW mise en service trouvée ; Kansanshi (430 MW) et Kamoa-Kakula/CrossBoundary (≈233 MWc, 30 MW en base) hors périmètre de taille, non vérifiés.</t>
        </is>
      </c>
    </row>
    <row r="129">
      <c r="A129" t="inlineStr">
        <is>
          <t>non trouvé</t>
        </is>
      </c>
      <c r="B129" t="inlineStr">
        <is>
          <t>B_captif</t>
        </is>
      </c>
      <c r="C129" t="inlineStr">
        <is>
          <t>DRDGOLD Ergo (ZAF) : 60 MW + BESS – hors périmètre (&gt; 50 MW), non enregistré.</t>
        </is>
      </c>
    </row>
    <row r="130">
      <c r="A130" t="inlineStr">
        <is>
          <t>non trouvé</t>
        </is>
      </c>
      <c r="B130" t="inlineStr">
        <is>
          <t>B_captif</t>
        </is>
      </c>
      <c r="C130" t="inlineStr">
        <is>
          <t>Industries forestières Gabon/Congo/Cameroun : aucune centrale solaire captive industrielle documentée trouvée (seulement des mini-réseaux publics Engie/Ausar–CDC au Gabon, hors volet B).</t>
        </is>
      </c>
    </row>
    <row r="131">
      <c r="A131" t="inlineStr">
        <is>
          <t>non trouvé</t>
        </is>
      </c>
      <c r="B131" t="inlineStr">
        <is>
          <t>B_captif</t>
        </is>
      </c>
      <c r="C131" t="inlineStr">
        <is>
          <t>Maroc, Algérie, Tunisie : aucun projet d'autoproduction industrielle documenté avec coût trouvé dans le budget de recherche (résultats = centrales IPP réseau).</t>
        </is>
      </c>
    </row>
    <row r="132">
      <c r="A132" t="inlineStr">
        <is>
          <t>non trouvé</t>
        </is>
      </c>
      <c r="B132" t="inlineStr">
        <is>
          <t>B_captif</t>
        </is>
      </c>
      <c r="C132" t="inlineStr">
        <is>
          <t>Éthiopie, Ouganda, Tanzanie, Tchad, Niger, Congo, RDC, Zambie : aucun projet captif documenté avec données chiffrées trouvé.</t>
        </is>
      </c>
    </row>
    <row r="133">
      <c r="A133" t="inlineStr">
        <is>
          <t>non trouvé</t>
        </is>
      </c>
      <c r="B133" t="inlineStr">
        <is>
          <t>B_captif</t>
        </is>
      </c>
      <c r="C133" t="inlineStr">
        <is>
          <t>Tarifs de PPA C&amp;I publiés (CrossBoundary, CBEA, Engie Equatorial, SolarizEgypt, Equator Energy, MOMNAI/Frontier) : non trouvés ; seul l'équivalent leasing Starsight (6–8 USc/kWh, FMO) trouvé.</t>
        </is>
      </c>
    </row>
    <row r="134">
      <c r="A134" t="inlineStr">
        <is>
          <t>non trouvé</t>
        </is>
      </c>
      <c r="B134" t="inlineStr">
        <is>
          <t>B_captif</t>
        </is>
      </c>
      <c r="C134" t="inlineStr">
        <is>
          <t>Bamburi Cement : confirmation de mise en service ; Mombasa Cement Vipingo et Daystar SCCI : coût d'investissement.</t>
        </is>
      </c>
    </row>
    <row r="135">
      <c r="A135" t="inlineStr">
        <is>
          <t>non trouvé</t>
        </is>
      </c>
      <c r="B135" t="inlineStr">
        <is>
          <t>B_captif</t>
        </is>
      </c>
      <c r="C135" t="inlineStr">
        <is>
          <t>Harmony phase 1 : tarif du PPA de 15 ans et coût d'investissement de l'IPP.</t>
        </is>
      </c>
    </row>
    <row r="136">
      <c r="A136" t="inlineStr">
        <is>
          <t>non trouvé</t>
        </is>
      </c>
      <c r="B136" t="inlineStr">
        <is>
          <t>B_captif</t>
        </is>
      </c>
      <c r="C136" t="inlineStr">
        <is>
          <t>Ghana (Gold Fields Tarkwa/Damang), Côte d'Ivoire (Perseus, Fortuna), Burkina (Orezone Bomboré – 14 MWc annoncés en 2021 par Genser, statut non vérifié) : pas de données chiffrées vérifiées.</t>
        </is>
      </c>
    </row>
    <row r="137">
      <c r="A137" t="inlineStr">
        <is>
          <t>non trouvé</t>
        </is>
      </c>
      <c r="B137" t="inlineStr">
        <is>
          <t>C_minireseaux</t>
        </is>
      </c>
      <c r="C137" t="inlineStr">
        <is>
          <t>Pages ESMAP (esmap.org) inaccessibles (HTTP 403) : communiqué du rapport et fiche TEDAP SPP. Les chiffres ESMAP proviennent du PDF complet de l'édition 2022 (Open Knowledge Repository).</t>
        </is>
      </c>
    </row>
    <row r="138">
      <c r="A138" t="inlineStr">
        <is>
          <t>non trouvé</t>
        </is>
      </c>
      <c r="B138" t="inlineStr">
        <is>
          <t>C_minireseaux</t>
        </is>
      </c>
      <c r="C138" t="inlineStr">
        <is>
          <t>Rapport ESMAP 2019 complet non ouvert : les valeurs 2018 (0,55 USD/kWh) ne sont enregistrées que via les citations de l'édition 2022. Les chiffres 2019 relayés par Power for All (3 908 USD/kW, 500–2 100 USD/branchement) sont enregistrés en fiabilité C.</t>
        </is>
      </c>
    </row>
    <row r="139">
      <c r="A139" t="inlineStr">
        <is>
          <t>non trouvé</t>
        </is>
      </c>
      <c r="B139" t="inlineStr">
        <is>
          <t>C_minireseaux</t>
        </is>
      </c>
      <c r="C139" t="inlineStr">
        <is>
          <t>BNEF (mini-réseaux, Afrique) : aucune donnée publique ouverte.</t>
        </is>
      </c>
    </row>
    <row r="140">
      <c r="A140" t="inlineStr">
        <is>
          <t>non trouvé</t>
        </is>
      </c>
      <c r="B140" t="inlineStr">
        <is>
          <t>C_minireseaux</t>
        </is>
      </c>
      <c r="C140" t="inlineStr">
        <is>
          <t>Tanzanie, REA RBF (500 USD/branchement pour un mini-réseau isolé, 600 USD pour un mini-réseau connecté) : vu seulement dans un extrait de recherche, la page source étant bloquée (403). Non enregistré.</t>
        </is>
      </c>
    </row>
    <row r="141">
      <c r="A141" t="inlineStr">
        <is>
          <t>non trouvé</t>
        </is>
      </c>
      <c r="B141" t="inlineStr">
        <is>
          <t>C_minireseaux</t>
        </is>
      </c>
      <c r="C141" t="inlineStr">
        <is>
          <t>Kenya EPRA : aucun tarif approuvé d'un mini-réseau privé (Renewvia, PowerGen, Powerhive) trouvé dans une source ouverte.</t>
        </is>
      </c>
    </row>
    <row r="142">
      <c r="A142" t="inlineStr">
        <is>
          <t>non trouvé</t>
        </is>
      </c>
      <c r="B142" t="inlineStr">
        <is>
          <t>C_minireseaux</t>
        </is>
      </c>
      <c r="C142" t="inlineStr">
        <is>
          <t>Ouganda ERA : aucun tarif de mini-réseau en UGX/kWh trouvé ; tarif de Lolwe (Engie) non publié.</t>
        </is>
      </c>
    </row>
    <row r="143">
      <c r="A143" t="inlineStr">
        <is>
          <t>non trouvé</t>
        </is>
      </c>
      <c r="B143" t="inlineStr">
        <is>
          <t>C_minireseaux</t>
        </is>
      </c>
      <c r="C143" t="inlineStr">
        <is>
          <t>Nuru Goma : nombre de clients, tarif, coût d'investissement de Goma 1 et stockage non publiés dans les sources ouvertes (MIGA, GEAPP, pv-tech).</t>
        </is>
      </c>
    </row>
    <row r="144">
      <c r="A144" t="inlineStr">
        <is>
          <t>non trouvé</t>
        </is>
      </c>
      <c r="B144" t="inlineStr">
        <is>
          <t>C_minireseaux</t>
        </is>
      </c>
      <c r="C144" t="inlineStr">
        <is>
          <t>Rwanda : subvention RBF par branchement (BRD Renewable Energy Fund, EnDev) et données de projet RVE.SOL ou Mesh Power non trouvées.</t>
        </is>
      </c>
    </row>
    <row r="145">
      <c r="A145" t="inlineStr">
        <is>
          <t>non trouvé</t>
        </is>
      </c>
      <c r="B145" t="inlineStr">
        <is>
          <t>C_minireseaux</t>
        </is>
      </c>
      <c r="C145" t="inlineStr">
        <is>
          <t>Éthiopie : aucun résultat observé des mini-réseaux ADELE ou BAD (nombre en service, kW, clients, coût) ; seulement des appels d'offres et des enveloppes.</t>
        </is>
      </c>
    </row>
    <row r="146">
      <c r="A146" t="inlineStr">
        <is>
          <t>non trouvé</t>
        </is>
      </c>
      <c r="B146" t="inlineStr">
        <is>
          <t>C_minireseaux</t>
        </is>
      </c>
      <c r="C146" t="inlineStr">
        <is>
          <t>Sénégal ERIL/ASER : aucun coût par branchement ni tarif FCFA/kWh des mini-réseaux trouvé.</t>
        </is>
      </c>
    </row>
    <row r="147">
      <c r="A147" t="inlineStr">
        <is>
          <t>non trouvé</t>
        </is>
      </c>
      <c r="B147" t="inlineStr">
        <is>
          <t>C_minireseaux</t>
        </is>
      </c>
      <c r="C147" t="inlineStr">
        <is>
          <t>Mali AMADER : tarifs des mini-réseaux et coût par branchement non trouvés.</t>
        </is>
      </c>
    </row>
    <row r="148">
      <c r="A148" t="inlineStr">
        <is>
          <t>non trouvé</t>
        </is>
      </c>
      <c r="B148" t="inlineStr">
        <is>
          <t>C_minireseaux</t>
        </is>
      </c>
      <c r="C148" t="inlineStr">
        <is>
          <t>Burkina Faso ABER : aucun kWc, nombre de ménages ou coût des programmes de mini-centrales solaires (en dehors de l'étude SEforALL).</t>
        </is>
      </c>
    </row>
    <row r="149">
      <c r="A149" t="inlineStr">
        <is>
          <t>non trouvé</t>
        </is>
      </c>
      <c r="B149" t="inlineStr">
        <is>
          <t>C_minireseaux</t>
        </is>
      </c>
      <c r="C149" t="inlineStr">
        <is>
          <t>Zambie : aucune donnée chiffrée sur les mini-réseaux Engie Energy Access ou REA (pages 404 ou sans chiffres) ; seuls les agrégats AMDA par pays sont disponibles.</t>
        </is>
      </c>
    </row>
    <row r="150">
      <c r="A150" t="inlineStr">
        <is>
          <t>non trouvé</t>
        </is>
      </c>
      <c r="B150" t="inlineStr">
        <is>
          <t>C_minireseaux</t>
        </is>
      </c>
      <c r="C150" t="inlineStr">
        <is>
          <t>Namibie : puissances, nombre de clients et tarifs de Gam et Tsumkwe non trouvés (seules les enveloppes de mise à niveau sont connues).</t>
        </is>
      </c>
    </row>
    <row r="151">
      <c r="A151" t="inlineStr">
        <is>
          <t>non trouvé</t>
        </is>
      </c>
      <c r="B151" t="inlineStr">
        <is>
          <t>C_minireseaux</t>
        </is>
      </c>
      <c r="C151" t="inlineStr">
        <is>
          <t>Maroc, Tunisie, Algérie, Congo, Tchad, Gabon, Niger, Afrique du Sud : aucun mini-réseau solaire de 10 kW à 5 MW documenté avec des coûts trouvé dans la limite de recherches.</t>
        </is>
      </c>
    </row>
    <row r="152">
      <c r="A152" t="inlineStr">
        <is>
          <t>non trouvé</t>
        </is>
      </c>
      <c r="B152" t="inlineStr">
        <is>
          <t>C_minireseaux</t>
        </is>
      </c>
      <c r="C152" t="inlineStr">
        <is>
          <t>PowerGen, Husk Power (activités africaines surtout au Nigeria, hors périmètre), RVE.SOL : pas de CAPEX par site publié.</t>
        </is>
      </c>
    </row>
    <row r="153">
      <c r="A153" t="inlineStr">
        <is>
          <t>non trouvé</t>
        </is>
      </c>
      <c r="B153" t="inlineStr">
        <is>
          <t>C_minireseaux</t>
        </is>
      </c>
      <c r="C153" t="inlineStr">
        <is>
          <t>Valeur de 0,38 USD/kWh pour 2021 : trouvée et confirmée dans le rapport ESMAP 2022, avec le conflit de millésime signalé dans la liste des conflits.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34" customWidth="1" min="2" max="2"/>
  </cols>
  <sheetData>
    <row r="1">
      <c r="A1" s="4" t="inlineStr">
        <is>
          <t>Synthèse par volet : chaque statistique est calculée à l'intérieur d'un seul volet.</t>
        </is>
      </c>
    </row>
    <row r="2">
      <c r="A2" s="3" t="inlineStr">
        <is>
          <t>Les moyennes ne portent que sur les projets « en service » renseignés. Avec si peu de projets, elles ne sont pas représentatives.</t>
        </is>
      </c>
    </row>
    <row r="4">
      <c r="A4" s="5" t="inlineStr">
        <is>
          <t>volet</t>
        </is>
      </c>
      <c r="B4" s="5" t="inlineStr">
        <is>
          <t>indicateur</t>
        </is>
      </c>
      <c r="C4" s="5" t="inlineStr">
        <is>
          <t>en service</t>
        </is>
      </c>
      <c r="D4" s="5" t="inlineStr">
        <is>
          <t>en construction</t>
        </is>
      </c>
      <c r="E4" s="5" t="inlineStr">
        <is>
          <t>attribué</t>
        </is>
      </c>
      <c r="F4" s="5" t="inlineStr">
        <is>
          <t>annoncé</t>
        </is>
      </c>
      <c r="G4" s="5" t="inlineStr">
        <is>
          <t>à vérifier</t>
        </is>
      </c>
      <c r="H4" s="5" t="inlineStr">
        <is>
          <t>abandonné</t>
        </is>
      </c>
    </row>
    <row r="5">
      <c r="A5" t="inlineStr">
        <is>
          <t>A</t>
        </is>
      </c>
      <c r="B5" t="inlineStr">
        <is>
          <t>nombre de projets</t>
        </is>
      </c>
      <c r="C5">
        <f>COUNTIF(Volet_A!F:F,"en service")</f>
        <v/>
      </c>
      <c r="D5">
        <f>COUNTIF(Volet_A!F:F,"en construction")</f>
        <v/>
      </c>
      <c r="E5">
        <f>COUNTIF(Volet_A!F:F,"attribué")</f>
        <v/>
      </c>
      <c r="F5">
        <f>COUNTIF(Volet_A!F:F,"annoncé")</f>
        <v/>
      </c>
      <c r="G5">
        <f>COUNTIF(Volet_A!F:F,"à vérifier")</f>
        <v/>
      </c>
      <c r="H5">
        <f>COUNTIF(Volet_A!F:F,"abandonné")</f>
        <v/>
      </c>
    </row>
    <row r="6">
      <c r="A6" t="inlineStr">
        <is>
          <t>B</t>
        </is>
      </c>
      <c r="B6" t="inlineStr">
        <is>
          <t>nombre de projets</t>
        </is>
      </c>
      <c r="C6">
        <f>COUNTIF(Volet_B!F:F,"en service")</f>
        <v/>
      </c>
      <c r="D6">
        <f>COUNTIF(Volet_B!F:F,"en construction")</f>
        <v/>
      </c>
      <c r="E6">
        <f>COUNTIF(Volet_B!F:F,"attribué")</f>
        <v/>
      </c>
      <c r="F6">
        <f>COUNTIF(Volet_B!F:F,"annoncé")</f>
        <v/>
      </c>
      <c r="G6">
        <f>COUNTIF(Volet_B!F:F,"à vérifier")</f>
        <v/>
      </c>
      <c r="H6">
        <f>COUNTIF(Volet_B!F:F,"abandonné")</f>
        <v/>
      </c>
    </row>
    <row r="7">
      <c r="A7" t="inlineStr">
        <is>
          <t>C</t>
        </is>
      </c>
      <c r="B7" t="inlineStr">
        <is>
          <t>nombre de projets</t>
        </is>
      </c>
      <c r="C7">
        <f>COUNTIF(Volet_C!F:F,"en service")</f>
        <v/>
      </c>
      <c r="D7">
        <f>COUNTIF(Volet_C!F:F,"en construction")</f>
        <v/>
      </c>
      <c r="E7">
        <f>COUNTIF(Volet_C!F:F,"attribué")</f>
        <v/>
      </c>
      <c r="F7">
        <f>COUNTIF(Volet_C!F:F,"annoncé")</f>
        <v/>
      </c>
      <c r="G7">
        <f>COUNTIF(Volet_C!F:F,"à vérifier")</f>
        <v/>
      </c>
      <c r="H7">
        <f>COUNTIF(Volet_C!F:F,"abandonné")</f>
        <v/>
      </c>
    </row>
    <row r="9">
      <c r="A9" s="5" t="inlineStr">
        <is>
          <t>volet</t>
        </is>
      </c>
      <c r="B9" s="5" t="inlineStr">
        <is>
          <t>indicateur (projets en service)</t>
        </is>
      </c>
      <c r="C9" s="5" t="inlineStr">
        <is>
          <t>n</t>
        </is>
      </c>
      <c r="D9" s="5" t="inlineStr">
        <is>
          <t>moyenne</t>
        </is>
      </c>
      <c r="E9" s="5" t="inlineStr">
        <is>
          <t>min</t>
        </is>
      </c>
      <c r="F9" s="5" t="inlineStr">
        <is>
          <t>max</t>
        </is>
      </c>
    </row>
    <row r="10">
      <c r="A10" t="inlineStr">
        <is>
          <t>A</t>
        </is>
      </c>
      <c r="B10" t="inlineStr">
        <is>
          <t>capex_usd_kwac</t>
        </is>
      </c>
      <c r="C10">
        <f>COUNTIFS(Volet_A!F2:F2000,"en service",Volet_A!Q2:Q2000,"&lt;&gt;")</f>
        <v/>
      </c>
      <c r="D10">
        <f>IFERROR(AVERAGEIFS(Volet_A!Q2:Q2000,Volet_A!F2:F2000,"en service"),"")</f>
        <v/>
      </c>
      <c r="E10">
        <f>IF(C10=0,"",MINIFS(Volet_A!Q2:Q2000,Volet_A!F2:F2000,"en service"))</f>
        <v/>
      </c>
      <c r="F10">
        <f>IF(C10=0,"",MAXIFS(Volet_A!Q2:Q2000,Volet_A!F2:F2000,"en service"))</f>
        <v/>
      </c>
    </row>
    <row r="11">
      <c r="A11" t="inlineStr">
        <is>
          <t>A</t>
        </is>
      </c>
      <c r="B11" t="inlineStr">
        <is>
          <t>lcoe_usd_mwh</t>
        </is>
      </c>
      <c r="C11">
        <f>COUNTIFS(Volet_A!F2:F2000,"en service",Volet_A!AE2:AE2000,"&lt;&gt;")</f>
        <v/>
      </c>
      <c r="D11">
        <f>IFERROR(AVERAGEIFS(Volet_A!AE2:AE2000,Volet_A!F2:F2000,"en service"),"")</f>
        <v/>
      </c>
      <c r="E11">
        <f>IF(C11=0,"",MINIFS(Volet_A!AE2:AE2000,Volet_A!F2:F2000,"en service"))</f>
        <v/>
      </c>
      <c r="F11">
        <f>IF(C11=0,"",MAXIFS(Volet_A!AE2:AE2000,Volet_A!F2:F2000,"en service"))</f>
        <v/>
      </c>
    </row>
    <row r="12">
      <c r="A12" t="inlineStr">
        <is>
          <t>A</t>
        </is>
      </c>
      <c r="B12" t="inlineStr">
        <is>
          <t>facteur_charge_ac</t>
        </is>
      </c>
      <c r="C12">
        <f>COUNTIFS(Volet_A!F2:F2000,"en service",Volet_A!S2:S2000,"&lt;&gt;")</f>
        <v/>
      </c>
      <c r="D12">
        <f>IFERROR(AVERAGEIFS(Volet_A!S2:S2000,Volet_A!F2:F2000,"en service"),"")</f>
        <v/>
      </c>
      <c r="E12">
        <f>IF(C12=0,"",MINIFS(Volet_A!S2:S2000,Volet_A!F2:F2000,"en service"))</f>
        <v/>
      </c>
      <c r="F12">
        <f>IF(C12=0,"",MAXIFS(Volet_A!S2:S2000,Volet_A!F2:F2000,"en service"))</f>
        <v/>
      </c>
    </row>
    <row r="13">
      <c r="A13" t="inlineStr">
        <is>
          <t>B</t>
        </is>
      </c>
      <c r="B13" t="inlineStr">
        <is>
          <t>capex_usd_kwp</t>
        </is>
      </c>
      <c r="C13">
        <f>COUNTIFS(Volet_B!F2:F2000,"en service",Volet_B!P2:P2000,"&lt;&gt;")</f>
        <v/>
      </c>
      <c r="D13">
        <f>IFERROR(AVERAGEIFS(Volet_B!P2:P2000,Volet_B!F2:F2000,"en service"),"")</f>
        <v/>
      </c>
      <c r="E13">
        <f>IF(C13=0,"",MINIFS(Volet_B!P2:P2000,Volet_B!F2:F2000,"en service"))</f>
        <v/>
      </c>
      <c r="F13">
        <f>IF(C13=0,"",MAXIFS(Volet_B!P2:P2000,Volet_B!F2:F2000,"en service"))</f>
        <v/>
      </c>
    </row>
    <row r="14">
      <c r="A14" t="inlineStr">
        <is>
          <t>B</t>
        </is>
      </c>
      <c r="B14" t="inlineStr">
        <is>
          <t>cout_diesel_evite_usd_mwh</t>
        </is>
      </c>
      <c r="C14">
        <f>COUNTIFS(Volet_B!F2:F2000,"en service",Volet_B!AK2:AK2000,"&lt;&gt;")</f>
        <v/>
      </c>
      <c r="D14">
        <f>IFERROR(AVERAGEIFS(Volet_B!AK2:AK2000,Volet_B!F2:F2000,"en service"),"")</f>
        <v/>
      </c>
      <c r="E14">
        <f>IF(C14=0,"",MINIFS(Volet_B!AK2:AK2000,Volet_B!F2:F2000,"en service"))</f>
        <v/>
      </c>
      <c r="F14">
        <f>IF(C14=0,"",MAXIFS(Volet_B!AK2:AK2000,Volet_B!F2:F2000,"en service"))</f>
        <v/>
      </c>
    </row>
    <row r="15">
      <c r="A15" t="inlineStr">
        <is>
          <t>B</t>
        </is>
      </c>
      <c r="B15" t="inlineStr">
        <is>
          <t>tri_projet</t>
        </is>
      </c>
      <c r="C15">
        <f>COUNTIFS(Volet_B!F2:F2000,"en service",Volet_B!AM2:AM2000,"&lt;&gt;")</f>
        <v/>
      </c>
      <c r="D15">
        <f>IFERROR(AVERAGEIFS(Volet_B!AM2:AM2000,Volet_B!F2:F2000,"en service"),"")</f>
        <v/>
      </c>
      <c r="E15">
        <f>IF(C15=0,"",MINIFS(Volet_B!AM2:AM2000,Volet_B!F2:F2000,"en service"))</f>
        <v/>
      </c>
      <c r="F15">
        <f>IF(C15=0,"",MAXIFS(Volet_B!AM2:AM2000,Volet_B!F2:F2000,"en service"))</f>
        <v/>
      </c>
    </row>
    <row r="16">
      <c r="A16" t="inlineStr">
        <is>
          <t>C</t>
        </is>
      </c>
      <c r="B16" t="inlineStr">
        <is>
          <t>capex_usd_kwp</t>
        </is>
      </c>
      <c r="C16">
        <f>COUNTIFS(Volet_C!F2:F2000,"en service",Volet_C!P2:P2000,"&lt;&gt;")</f>
        <v/>
      </c>
      <c r="D16">
        <f>IFERROR(AVERAGEIFS(Volet_C!P2:P2000,Volet_C!F2:F2000,"en service"),"")</f>
        <v/>
      </c>
      <c r="E16">
        <f>IF(C16=0,"",MINIFS(Volet_C!P2:P2000,Volet_C!F2:F2000,"en service"))</f>
        <v/>
      </c>
      <c r="F16">
        <f>IF(C16=0,"",MAXIFS(Volet_C!P2:P2000,Volet_C!F2:F2000,"en service"))</f>
        <v/>
      </c>
    </row>
    <row r="17">
      <c r="A17" t="inlineStr">
        <is>
          <t>C</t>
        </is>
      </c>
      <c r="B17" t="inlineStr">
        <is>
          <t>tarif_client</t>
        </is>
      </c>
      <c r="C17">
        <f>COUNTIFS(Volet_C!F2:F2000,"en service",Volet_C!AL2:AL2000,"&lt;&gt;")</f>
        <v/>
      </c>
      <c r="D17">
        <f>IFERROR(AVERAGEIFS(Volet_C!AL2:AL2000,Volet_C!F2:F2000,"en service"),"")</f>
        <v/>
      </c>
      <c r="E17">
        <f>IF(C17=0,"",MINIFS(Volet_C!AL2:AL2000,Volet_C!F2:F2000,"en service"))</f>
        <v/>
      </c>
      <c r="F17">
        <f>IF(C17=0,"",MAXIFS(Volet_C!AL2:AL2000,Volet_C!F2:F2000,"en service"))</f>
        <v/>
      </c>
    </row>
    <row r="18">
      <c r="A18" t="inlineStr">
        <is>
          <t>C</t>
        </is>
      </c>
      <c r="B18" t="inlineStr">
        <is>
          <t>subvention_usd</t>
        </is>
      </c>
      <c r="C18">
        <f>COUNTIFS(Volet_C!F2:F2000,"en service",Volet_C!AM2:AM2000,"&lt;&gt;")</f>
        <v/>
      </c>
      <c r="D18">
        <f>IFERROR(AVERAGEIFS(Volet_C!AM2:AM2000,Volet_C!F2:F2000,"en service"),"")</f>
        <v/>
      </c>
      <c r="E18">
        <f>IF(C18=0,"",MINIFS(Volet_C!AM2:AM2000,Volet_C!F2:F2000,"en service"))</f>
        <v/>
      </c>
      <c r="F18">
        <f>IF(C18=0,"",MAXIFS(Volet_C!AM2:AM2000,Volet_C!F2:F2000,"en service"))</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43"/>
  <sheetViews>
    <sheetView workbookViewId="0">
      <selection activeCell="A1" sqref="A1"/>
    </sheetView>
  </sheetViews>
  <sheetFormatPr baseColWidth="8" defaultRowHeight="15"/>
  <cols>
    <col width="30" customWidth="1" min="1" max="1"/>
    <col width="16" customWidth="1" min="5" max="5"/>
    <col width="16" customWidth="1" min="6" max="6"/>
    <col width="16" customWidth="1" min="7" max="7"/>
    <col width="16" customWidth="1" min="8" max="8"/>
    <col width="12" customWidth="1" min="10" max="10"/>
    <col width="16" customWidth="1" min="11" max="11"/>
  </cols>
  <sheetData>
    <row r="1">
      <c r="A1" s="4" t="inlineStr">
        <is>
          <t>Modèle LCOE — cellules jaunes modifiables. Investissement en année 0, flux en années 1..n.</t>
        </is>
      </c>
    </row>
    <row r="3">
      <c r="A3" t="inlineStr">
        <is>
          <t>Puissance</t>
        </is>
      </c>
      <c r="B3" s="6" t="n">
        <v>50</v>
      </c>
      <c r="C3" t="inlineStr">
        <is>
          <t>MWp</t>
        </is>
      </c>
      <c r="E3" s="4" t="inlineStr">
        <is>
          <t>année</t>
        </is>
      </c>
      <c r="F3" s="4" t="inlineStr">
        <is>
          <t>OPEX (USD)</t>
        </is>
      </c>
      <c r="G3" s="4" t="inlineStr">
        <is>
          <t>production (MWh)</t>
        </is>
      </c>
      <c r="H3" s="4" t="inlineStr">
        <is>
          <t>facteur d'actualisation</t>
        </is>
      </c>
      <c r="J3" s="4" t="inlineStr">
        <is>
          <t>Sensibilité au WACC (sans dégradation ni indexation : (CAPEX x CRF + OPEX) / E)</t>
        </is>
      </c>
    </row>
    <row r="4">
      <c r="A4" t="inlineStr">
        <is>
          <t>CAPEX spécifique</t>
        </is>
      </c>
      <c r="B4" s="6" t="n">
        <v>1000</v>
      </c>
      <c r="C4" t="inlineStr">
        <is>
          <t>USD/kWp</t>
        </is>
      </c>
      <c r="E4" t="n">
        <v>1</v>
      </c>
      <c r="F4">
        <f>IF(E4&lt;=$B$9,$B$20*(1+$B$7)^(E4-1),0)</f>
        <v/>
      </c>
      <c r="G4">
        <f>IF(E4&lt;=$B$9,$B$19*(1-$B$8)^(E4-1),0)</f>
        <v/>
      </c>
      <c r="H4">
        <f>1/(1+$B$17)^E4</f>
        <v/>
      </c>
      <c r="J4" t="inlineStr">
        <is>
          <t>WACC</t>
        </is>
      </c>
      <c r="K4" t="inlineStr">
        <is>
          <t>LCOE (USD/MWh)</t>
        </is>
      </c>
      <c r="L4" t="inlineStr">
        <is>
          <t>écart vs 4 %</t>
        </is>
      </c>
    </row>
    <row r="5">
      <c r="A5" t="inlineStr">
        <is>
          <t>Production spécifique année 1</t>
        </is>
      </c>
      <c r="B5" s="6" t="n">
        <v>1800</v>
      </c>
      <c r="C5" t="inlineStr">
        <is>
          <t>kWh/kWp/an</t>
        </is>
      </c>
      <c r="E5" t="n">
        <v>2</v>
      </c>
      <c r="F5">
        <f>IF(E5&lt;=$B$9,$B$20*(1+$B$7)^(E5-1),0)</f>
        <v/>
      </c>
      <c r="G5">
        <f>IF(E5&lt;=$B$9,$B$19*(1-$B$8)^(E5-1),0)</f>
        <v/>
      </c>
      <c r="H5">
        <f>1/(1+$B$17)^E5</f>
        <v/>
      </c>
      <c r="J5" s="7" t="n">
        <v>0.04</v>
      </c>
      <c r="K5" s="8">
        <f>($B$18*J5*(1+J5)^$B$9/((1+J5)^$B$9-1)+$B$20)/$B$19</f>
        <v/>
      </c>
      <c r="L5" s="9">
        <f>K5/$K$5-1</f>
        <v/>
      </c>
    </row>
    <row r="6">
      <c r="A6" t="inlineStr">
        <is>
          <t>OPEX année 1</t>
        </is>
      </c>
      <c r="B6" s="6" t="n">
        <v>15</v>
      </c>
      <c r="C6" t="inlineStr">
        <is>
          <t>USD/kWp/an</t>
        </is>
      </c>
      <c r="E6" t="n">
        <v>3</v>
      </c>
      <c r="F6">
        <f>IF(E6&lt;=$B$9,$B$20*(1+$B$7)^(E6-1),0)</f>
        <v/>
      </c>
      <c r="G6">
        <f>IF(E6&lt;=$B$9,$B$19*(1-$B$8)^(E6-1),0)</f>
        <v/>
      </c>
      <c r="H6">
        <f>1/(1+$B$17)^E6</f>
        <v/>
      </c>
      <c r="J6" s="7" t="n">
        <v>0.06</v>
      </c>
      <c r="K6" s="8">
        <f>($B$18*J6*(1+J6)^$B$9/((1+J6)^$B$9-1)+$B$20)/$B$19</f>
        <v/>
      </c>
      <c r="L6" s="9">
        <f>K6/$K$5-1</f>
        <v/>
      </c>
    </row>
    <row r="7">
      <c r="A7" t="inlineStr">
        <is>
          <t>Indexation OPEX</t>
        </is>
      </c>
      <c r="B7" s="10" t="n">
        <v>0</v>
      </c>
      <c r="C7" t="inlineStr">
        <is>
          <t>%/an</t>
        </is>
      </c>
      <c r="E7" t="n">
        <v>4</v>
      </c>
      <c r="F7">
        <f>IF(E7&lt;=$B$9,$B$20*(1+$B$7)^(E7-1),0)</f>
        <v/>
      </c>
      <c r="G7">
        <f>IF(E7&lt;=$B$9,$B$19*(1-$B$8)^(E7-1),0)</f>
        <v/>
      </c>
      <c r="H7">
        <f>1/(1+$B$17)^E7</f>
        <v/>
      </c>
      <c r="J7" s="7" t="n">
        <v>0.08</v>
      </c>
      <c r="K7" s="8">
        <f>($B$18*J7*(1+J7)^$B$9/((1+J7)^$B$9-1)+$B$20)/$B$19</f>
        <v/>
      </c>
      <c r="L7" s="9">
        <f>K7/$K$5-1</f>
        <v/>
      </c>
    </row>
    <row r="8">
      <c r="A8" t="inlineStr">
        <is>
          <t>Dégradation</t>
        </is>
      </c>
      <c r="B8" s="10" t="n">
        <v>0</v>
      </c>
      <c r="C8" t="inlineStr">
        <is>
          <t>%/an</t>
        </is>
      </c>
      <c r="E8" t="n">
        <v>5</v>
      </c>
      <c r="F8">
        <f>IF(E8&lt;=$B$9,$B$20*(1+$B$7)^(E8-1),0)</f>
        <v/>
      </c>
      <c r="G8">
        <f>IF(E8&lt;=$B$9,$B$19*(1-$B$8)^(E8-1),0)</f>
        <v/>
      </c>
      <c r="H8">
        <f>1/(1+$B$17)^E8</f>
        <v/>
      </c>
      <c r="J8" s="7" t="n">
        <v>0.1</v>
      </c>
      <c r="K8" s="8">
        <f>($B$18*J8*(1+J8)^$B$9/((1+J8)^$B$9-1)+$B$20)/$B$19</f>
        <v/>
      </c>
      <c r="L8" s="9">
        <f>K8/$K$5-1</f>
        <v/>
      </c>
    </row>
    <row r="9">
      <c r="A9" t="inlineStr">
        <is>
          <t>Durée de vie</t>
        </is>
      </c>
      <c r="B9" s="6" t="n">
        <v>25</v>
      </c>
      <c r="C9" t="inlineStr">
        <is>
          <t>années (max 40)</t>
        </is>
      </c>
      <c r="E9" t="n">
        <v>6</v>
      </c>
      <c r="F9">
        <f>IF(E9&lt;=$B$9,$B$20*(1+$B$7)^(E9-1),0)</f>
        <v/>
      </c>
      <c r="G9">
        <f>IF(E9&lt;=$B$9,$B$19*(1-$B$8)^(E9-1),0)</f>
        <v/>
      </c>
      <c r="H9">
        <f>1/(1+$B$17)^E9</f>
        <v/>
      </c>
      <c r="J9" s="7" t="n">
        <v>0.12</v>
      </c>
      <c r="K9" s="8">
        <f>($B$18*J9*(1+J9)^$B$9/((1+J9)^$B$9-1)+$B$20)/$B$19</f>
        <v/>
      </c>
      <c r="L9" s="9">
        <f>K9/$K$5-1</f>
        <v/>
      </c>
    </row>
    <row r="10">
      <c r="A10" t="inlineStr">
        <is>
          <t>Part de la dette</t>
        </is>
      </c>
      <c r="B10" s="10" t="n">
        <v>0.7</v>
      </c>
      <c r="C10" t="inlineStr">
        <is>
          <t>%</t>
        </is>
      </c>
      <c r="E10" t="n">
        <v>7</v>
      </c>
      <c r="F10">
        <f>IF(E10&lt;=$B$9,$B$20*(1+$B$7)^(E10-1),0)</f>
        <v/>
      </c>
      <c r="G10">
        <f>IF(E10&lt;=$B$9,$B$19*(1-$B$8)^(E10-1),0)</f>
        <v/>
      </c>
      <c r="H10">
        <f>1/(1+$B$17)^E10</f>
        <v/>
      </c>
      <c r="J10" s="7" t="n">
        <v>0.14</v>
      </c>
      <c r="K10" s="8">
        <f>($B$18*J10*(1+J10)^$B$9/((1+J10)^$B$9-1)+$B$20)/$B$19</f>
        <v/>
      </c>
      <c r="L10" s="9">
        <f>K10/$K$5-1</f>
        <v/>
      </c>
    </row>
    <row r="11">
      <c r="A11" t="inlineStr">
        <is>
          <t>Coût de la dette</t>
        </is>
      </c>
      <c r="B11" s="10" t="n">
        <v>0.08</v>
      </c>
      <c r="C11" t="inlineStr">
        <is>
          <t>%</t>
        </is>
      </c>
      <c r="E11" t="n">
        <v>8</v>
      </c>
      <c r="F11">
        <f>IF(E11&lt;=$B$9,$B$20*(1+$B$7)^(E11-1),0)</f>
        <v/>
      </c>
      <c r="G11">
        <f>IF(E11&lt;=$B$9,$B$19*(1-$B$8)^(E11-1),0)</f>
        <v/>
      </c>
      <c r="H11">
        <f>1/(1+$B$17)^E11</f>
        <v/>
      </c>
    </row>
    <row r="12">
      <c r="A12" t="inlineStr">
        <is>
          <t>Coût des fonds propres</t>
        </is>
      </c>
      <c r="B12" s="10" t="n">
        <v>0.15</v>
      </c>
      <c r="C12" t="inlineStr">
        <is>
          <t>%</t>
        </is>
      </c>
      <c r="E12" t="n">
        <v>9</v>
      </c>
      <c r="F12">
        <f>IF(E12&lt;=$B$9,$B$20*(1+$B$7)^(E12-1),0)</f>
        <v/>
      </c>
      <c r="G12">
        <f>IF(E12&lt;=$B$9,$B$19*(1-$B$8)^(E12-1),0)</f>
        <v/>
      </c>
      <c r="H12">
        <f>1/(1+$B$17)^E12</f>
        <v/>
      </c>
      <c r="J12" s="3" t="inlineStr">
        <is>
          <t>Valeurs par défaut = cas illustratif de la proposition (50 MWp, 50 M USD, 90 GWh, 0,75 M USD/an, 25 ans). Résultats illustratifs, pas des coûts observés.</t>
        </is>
      </c>
    </row>
    <row r="13">
      <c r="A13" t="inlineStr">
        <is>
          <t>Taux d'impôt</t>
        </is>
      </c>
      <c r="B13" s="10" t="n">
        <v>0</v>
      </c>
      <c r="C13" t="inlineStr">
        <is>
          <t>%</t>
        </is>
      </c>
      <c r="E13" t="n">
        <v>10</v>
      </c>
      <c r="F13">
        <f>IF(E13&lt;=$B$9,$B$20*(1+$B$7)^(E13-1),0)</f>
        <v/>
      </c>
      <c r="G13">
        <f>IF(E13&lt;=$B$9,$B$19*(1-$B$8)^(E13-1),0)</f>
        <v/>
      </c>
      <c r="H13">
        <f>1/(1+$B$17)^E13</f>
        <v/>
      </c>
    </row>
    <row r="14">
      <c r="A14" t="inlineStr">
        <is>
          <t>WACC calculé</t>
        </is>
      </c>
      <c r="B14" s="9">
        <f>B10*B11*(1-B13)+(1-B10)*B12</f>
        <v/>
      </c>
      <c r="C14" t="inlineStr">
        <is>
          <t>%</t>
        </is>
      </c>
      <c r="E14" t="n">
        <v>11</v>
      </c>
      <c r="F14">
        <f>IF(E14&lt;=$B$9,$B$20*(1+$B$7)^(E14-1),0)</f>
        <v/>
      </c>
      <c r="G14">
        <f>IF(E14&lt;=$B$9,$B$19*(1-$B$8)^(E14-1),0)</f>
        <v/>
      </c>
      <c r="H14">
        <f>1/(1+$B$17)^E14</f>
        <v/>
      </c>
    </row>
    <row r="15">
      <c r="A15" t="inlineStr">
        <is>
          <t>WACC retenu (vide = calculé)</t>
        </is>
      </c>
      <c r="B15" s="10" t="n"/>
      <c r="C15" t="inlineStr">
        <is>
          <t>%</t>
        </is>
      </c>
      <c r="E15" t="n">
        <v>12</v>
      </c>
      <c r="F15">
        <f>IF(E15&lt;=$B$9,$B$20*(1+$B$7)^(E15-1),0)</f>
        <v/>
      </c>
      <c r="G15">
        <f>IF(E15&lt;=$B$9,$B$19*(1-$B$8)^(E15-1),0)</f>
        <v/>
      </c>
      <c r="H15">
        <f>1/(1+$B$17)^E15</f>
        <v/>
      </c>
    </row>
    <row r="16">
      <c r="E16" t="n">
        <v>13</v>
      </c>
      <c r="F16">
        <f>IF(E16&lt;=$B$9,$B$20*(1+$B$7)^(E16-1),0)</f>
        <v/>
      </c>
      <c r="G16">
        <f>IF(E16&lt;=$B$9,$B$19*(1-$B$8)^(E16-1),0)</f>
        <v/>
      </c>
      <c r="H16">
        <f>1/(1+$B$17)^E16</f>
        <v/>
      </c>
    </row>
    <row r="17">
      <c r="A17" t="inlineStr">
        <is>
          <t>Taux d'actualisation</t>
        </is>
      </c>
      <c r="B17" s="9">
        <f>IF(ISBLANK(B15),B14,B15)</f>
        <v/>
      </c>
      <c r="E17" t="n">
        <v>14</v>
      </c>
      <c r="F17">
        <f>IF(E17&lt;=$B$9,$B$20*(1+$B$7)^(E17-1),0)</f>
        <v/>
      </c>
      <c r="G17">
        <f>IF(E17&lt;=$B$9,$B$19*(1-$B$8)^(E17-1),0)</f>
        <v/>
      </c>
      <c r="H17">
        <f>1/(1+$B$17)^E17</f>
        <v/>
      </c>
    </row>
    <row r="18">
      <c r="A18" t="inlineStr">
        <is>
          <t>CAPEX total (USD)</t>
        </is>
      </c>
      <c r="B18">
        <f>B3*1000*B4</f>
        <v/>
      </c>
      <c r="E18" t="n">
        <v>15</v>
      </c>
      <c r="F18">
        <f>IF(E18&lt;=$B$9,$B$20*(1+$B$7)^(E18-1),0)</f>
        <v/>
      </c>
      <c r="G18">
        <f>IF(E18&lt;=$B$9,$B$19*(1-$B$8)^(E18-1),0)</f>
        <v/>
      </c>
      <c r="H18">
        <f>1/(1+$B$17)^E18</f>
        <v/>
      </c>
    </row>
    <row r="19">
      <c r="A19" t="inlineStr">
        <is>
          <t>Production année 1 (MWh)</t>
        </is>
      </c>
      <c r="B19">
        <f>B3*B5</f>
        <v/>
      </c>
      <c r="E19" t="n">
        <v>16</v>
      </c>
      <c r="F19">
        <f>IF(E19&lt;=$B$9,$B$20*(1+$B$7)^(E19-1),0)</f>
        <v/>
      </c>
      <c r="G19">
        <f>IF(E19&lt;=$B$9,$B$19*(1-$B$8)^(E19-1),0)</f>
        <v/>
      </c>
      <c r="H19">
        <f>1/(1+$B$17)^E19</f>
        <v/>
      </c>
    </row>
    <row r="20">
      <c r="A20" t="inlineStr">
        <is>
          <t>OPEX année 1 (USD)</t>
        </is>
      </c>
      <c r="B20">
        <f>B3*1000*B6</f>
        <v/>
      </c>
      <c r="E20" t="n">
        <v>17</v>
      </c>
      <c r="F20">
        <f>IF(E20&lt;=$B$9,$B$20*(1+$B$7)^(E20-1),0)</f>
        <v/>
      </c>
      <c r="G20">
        <f>IF(E20&lt;=$B$9,$B$19*(1-$B$8)^(E20-1),0)</f>
        <v/>
      </c>
      <c r="H20">
        <f>1/(1+$B$17)^E20</f>
        <v/>
      </c>
    </row>
    <row r="21">
      <c r="A21" t="inlineStr">
        <is>
          <t>Coûts actualisés (USD)</t>
        </is>
      </c>
      <c r="B21">
        <f>B18+SUMPRODUCT(F4:F43,H4:H43)</f>
        <v/>
      </c>
      <c r="E21" t="n">
        <v>18</v>
      </c>
      <c r="F21">
        <f>IF(E21&lt;=$B$9,$B$20*(1+$B$7)^(E21-1),0)</f>
        <v/>
      </c>
      <c r="G21">
        <f>IF(E21&lt;=$B$9,$B$19*(1-$B$8)^(E21-1),0)</f>
        <v/>
      </c>
      <c r="H21">
        <f>1/(1+$B$17)^E21</f>
        <v/>
      </c>
    </row>
    <row r="22">
      <c r="A22" t="inlineStr">
        <is>
          <t>Production actualisée (MWh)</t>
        </is>
      </c>
      <c r="B22">
        <f>SUMPRODUCT(G4:G43,H4:H43)</f>
        <v/>
      </c>
      <c r="E22" t="n">
        <v>19</v>
      </c>
      <c r="F22">
        <f>IF(E22&lt;=$B$9,$B$20*(1+$B$7)^(E22-1),0)</f>
        <v/>
      </c>
      <c r="G22">
        <f>IF(E22&lt;=$B$9,$B$19*(1-$B$8)^(E22-1),0)</f>
        <v/>
      </c>
      <c r="H22">
        <f>1/(1+$B$17)^E22</f>
        <v/>
      </c>
    </row>
    <row r="23">
      <c r="A23" s="4" t="inlineStr">
        <is>
          <t>LCOE (USD/MWh)</t>
        </is>
      </c>
      <c r="B23" s="11">
        <f>B21/B22</f>
        <v/>
      </c>
      <c r="E23" t="n">
        <v>20</v>
      </c>
      <c r="F23">
        <f>IF(E23&lt;=$B$9,$B$20*(1+$B$7)^(E23-1),0)</f>
        <v/>
      </c>
      <c r="G23">
        <f>IF(E23&lt;=$B$9,$B$19*(1-$B$8)^(E23-1),0)</f>
        <v/>
      </c>
      <c r="H23">
        <f>1/(1+$B$17)^E23</f>
        <v/>
      </c>
    </row>
    <row r="24">
      <c r="A24" t="inlineStr">
        <is>
          <t>Facteur de charge DC</t>
        </is>
      </c>
      <c r="B24" s="9">
        <f>B5/8760</f>
        <v/>
      </c>
      <c r="E24" t="n">
        <v>21</v>
      </c>
      <c r="F24">
        <f>IF(E24&lt;=$B$9,$B$20*(1+$B$7)^(E24-1),0)</f>
        <v/>
      </c>
      <c r="G24">
        <f>IF(E24&lt;=$B$9,$B$19*(1-$B$8)^(E24-1),0)</f>
        <v/>
      </c>
      <c r="H24">
        <f>1/(1+$B$17)^E24</f>
        <v/>
      </c>
    </row>
    <row r="25">
      <c r="E25" t="n">
        <v>22</v>
      </c>
      <c r="F25">
        <f>IF(E25&lt;=$B$9,$B$20*(1+$B$7)^(E25-1),0)</f>
        <v/>
      </c>
      <c r="G25">
        <f>IF(E25&lt;=$B$9,$B$19*(1-$B$8)^(E25-1),0)</f>
        <v/>
      </c>
      <c r="H25">
        <f>1/(1+$B$17)^E25</f>
        <v/>
      </c>
    </row>
    <row r="26">
      <c r="E26" t="n">
        <v>23</v>
      </c>
      <c r="F26">
        <f>IF(E26&lt;=$B$9,$B$20*(1+$B$7)^(E26-1),0)</f>
        <v/>
      </c>
      <c r="G26">
        <f>IF(E26&lt;=$B$9,$B$19*(1-$B$8)^(E26-1),0)</f>
        <v/>
      </c>
      <c r="H26">
        <f>1/(1+$B$17)^E26</f>
        <v/>
      </c>
    </row>
    <row r="27">
      <c r="E27" t="n">
        <v>24</v>
      </c>
      <c r="F27">
        <f>IF(E27&lt;=$B$9,$B$20*(1+$B$7)^(E27-1),0)</f>
        <v/>
      </c>
      <c r="G27">
        <f>IF(E27&lt;=$B$9,$B$19*(1-$B$8)^(E27-1),0)</f>
        <v/>
      </c>
      <c r="H27">
        <f>1/(1+$B$17)^E27</f>
        <v/>
      </c>
    </row>
    <row r="28">
      <c r="E28" t="n">
        <v>25</v>
      </c>
      <c r="F28">
        <f>IF(E28&lt;=$B$9,$B$20*(1+$B$7)^(E28-1),0)</f>
        <v/>
      </c>
      <c r="G28">
        <f>IF(E28&lt;=$B$9,$B$19*(1-$B$8)^(E28-1),0)</f>
        <v/>
      </c>
      <c r="H28">
        <f>1/(1+$B$17)^E28</f>
        <v/>
      </c>
    </row>
    <row r="29">
      <c r="E29" t="n">
        <v>26</v>
      </c>
      <c r="F29">
        <f>IF(E29&lt;=$B$9,$B$20*(1+$B$7)^(E29-1),0)</f>
        <v/>
      </c>
      <c r="G29">
        <f>IF(E29&lt;=$B$9,$B$19*(1-$B$8)^(E29-1),0)</f>
        <v/>
      </c>
      <c r="H29">
        <f>1/(1+$B$17)^E29</f>
        <v/>
      </c>
    </row>
    <row r="30">
      <c r="E30" t="n">
        <v>27</v>
      </c>
      <c r="F30">
        <f>IF(E30&lt;=$B$9,$B$20*(1+$B$7)^(E30-1),0)</f>
        <v/>
      </c>
      <c r="G30">
        <f>IF(E30&lt;=$B$9,$B$19*(1-$B$8)^(E30-1),0)</f>
        <v/>
      </c>
      <c r="H30">
        <f>1/(1+$B$17)^E30</f>
        <v/>
      </c>
    </row>
    <row r="31">
      <c r="E31" t="n">
        <v>28</v>
      </c>
      <c r="F31">
        <f>IF(E31&lt;=$B$9,$B$20*(1+$B$7)^(E31-1),0)</f>
        <v/>
      </c>
      <c r="G31">
        <f>IF(E31&lt;=$B$9,$B$19*(1-$B$8)^(E31-1),0)</f>
        <v/>
      </c>
      <c r="H31">
        <f>1/(1+$B$17)^E31</f>
        <v/>
      </c>
    </row>
    <row r="32">
      <c r="E32" t="n">
        <v>29</v>
      </c>
      <c r="F32">
        <f>IF(E32&lt;=$B$9,$B$20*(1+$B$7)^(E32-1),0)</f>
        <v/>
      </c>
      <c r="G32">
        <f>IF(E32&lt;=$B$9,$B$19*(1-$B$8)^(E32-1),0)</f>
        <v/>
      </c>
      <c r="H32">
        <f>1/(1+$B$17)^E32</f>
        <v/>
      </c>
    </row>
    <row r="33">
      <c r="E33" t="n">
        <v>30</v>
      </c>
      <c r="F33">
        <f>IF(E33&lt;=$B$9,$B$20*(1+$B$7)^(E33-1),0)</f>
        <v/>
      </c>
      <c r="G33">
        <f>IF(E33&lt;=$B$9,$B$19*(1-$B$8)^(E33-1),0)</f>
        <v/>
      </c>
      <c r="H33">
        <f>1/(1+$B$17)^E33</f>
        <v/>
      </c>
    </row>
    <row r="34">
      <c r="E34" t="n">
        <v>31</v>
      </c>
      <c r="F34">
        <f>IF(E34&lt;=$B$9,$B$20*(1+$B$7)^(E34-1),0)</f>
        <v/>
      </c>
      <c r="G34">
        <f>IF(E34&lt;=$B$9,$B$19*(1-$B$8)^(E34-1),0)</f>
        <v/>
      </c>
      <c r="H34">
        <f>1/(1+$B$17)^E34</f>
        <v/>
      </c>
    </row>
    <row r="35">
      <c r="E35" t="n">
        <v>32</v>
      </c>
      <c r="F35">
        <f>IF(E35&lt;=$B$9,$B$20*(1+$B$7)^(E35-1),0)</f>
        <v/>
      </c>
      <c r="G35">
        <f>IF(E35&lt;=$B$9,$B$19*(1-$B$8)^(E35-1),0)</f>
        <v/>
      </c>
      <c r="H35">
        <f>1/(1+$B$17)^E35</f>
        <v/>
      </c>
    </row>
    <row r="36">
      <c r="E36" t="n">
        <v>33</v>
      </c>
      <c r="F36">
        <f>IF(E36&lt;=$B$9,$B$20*(1+$B$7)^(E36-1),0)</f>
        <v/>
      </c>
      <c r="G36">
        <f>IF(E36&lt;=$B$9,$B$19*(1-$B$8)^(E36-1),0)</f>
        <v/>
      </c>
      <c r="H36">
        <f>1/(1+$B$17)^E36</f>
        <v/>
      </c>
    </row>
    <row r="37">
      <c r="E37" t="n">
        <v>34</v>
      </c>
      <c r="F37">
        <f>IF(E37&lt;=$B$9,$B$20*(1+$B$7)^(E37-1),0)</f>
        <v/>
      </c>
      <c r="G37">
        <f>IF(E37&lt;=$B$9,$B$19*(1-$B$8)^(E37-1),0)</f>
        <v/>
      </c>
      <c r="H37">
        <f>1/(1+$B$17)^E37</f>
        <v/>
      </c>
    </row>
    <row r="38">
      <c r="E38" t="n">
        <v>35</v>
      </c>
      <c r="F38">
        <f>IF(E38&lt;=$B$9,$B$20*(1+$B$7)^(E38-1),0)</f>
        <v/>
      </c>
      <c r="G38">
        <f>IF(E38&lt;=$B$9,$B$19*(1-$B$8)^(E38-1),0)</f>
        <v/>
      </c>
      <c r="H38">
        <f>1/(1+$B$17)^E38</f>
        <v/>
      </c>
    </row>
    <row r="39">
      <c r="E39" t="n">
        <v>36</v>
      </c>
      <c r="F39">
        <f>IF(E39&lt;=$B$9,$B$20*(1+$B$7)^(E39-1),0)</f>
        <v/>
      </c>
      <c r="G39">
        <f>IF(E39&lt;=$B$9,$B$19*(1-$B$8)^(E39-1),0)</f>
        <v/>
      </c>
      <c r="H39">
        <f>1/(1+$B$17)^E39</f>
        <v/>
      </c>
    </row>
    <row r="40">
      <c r="E40" t="n">
        <v>37</v>
      </c>
      <c r="F40">
        <f>IF(E40&lt;=$B$9,$B$20*(1+$B$7)^(E40-1),0)</f>
        <v/>
      </c>
      <c r="G40">
        <f>IF(E40&lt;=$B$9,$B$19*(1-$B$8)^(E40-1),0)</f>
        <v/>
      </c>
      <c r="H40">
        <f>1/(1+$B$17)^E40</f>
        <v/>
      </c>
    </row>
    <row r="41">
      <c r="E41" t="n">
        <v>38</v>
      </c>
      <c r="F41">
        <f>IF(E41&lt;=$B$9,$B$20*(1+$B$7)^(E41-1),0)</f>
        <v/>
      </c>
      <c r="G41">
        <f>IF(E41&lt;=$B$9,$B$19*(1-$B$8)^(E41-1),0)</f>
        <v/>
      </c>
      <c r="H41">
        <f>1/(1+$B$17)^E41</f>
        <v/>
      </c>
    </row>
    <row r="42">
      <c r="E42" t="n">
        <v>39</v>
      </c>
      <c r="F42">
        <f>IF(E42&lt;=$B$9,$B$20*(1+$B$7)^(E42-1),0)</f>
        <v/>
      </c>
      <c r="G42">
        <f>IF(E42&lt;=$B$9,$B$19*(1-$B$8)^(E42-1),0)</f>
        <v/>
      </c>
      <c r="H42">
        <f>1/(1+$B$17)^E42</f>
        <v/>
      </c>
    </row>
    <row r="43">
      <c r="E43" t="n">
        <v>40</v>
      </c>
      <c r="F43">
        <f>IF(E43&lt;=$B$9,$B$20*(1+$B$7)^(E43-1),0)</f>
        <v/>
      </c>
      <c r="G43">
        <f>IF(E43&lt;=$B$9,$B$19*(1-$B$8)^(E43-1),0)</f>
        <v/>
      </c>
      <c r="H43">
        <f>1/(1+$B$17)^E43</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42" customWidth="1" min="1" max="1"/>
    <col width="18" customWidth="1" min="3" max="3"/>
  </cols>
  <sheetData>
    <row r="1">
      <c r="A1" s="4" t="inlineStr">
        <is>
          <t>Volet B — solaire captif contre diesel/HFO, du point de vue de l'industriel. Valeurs par défaut illustratives, à remplacer par celles du site.</t>
        </is>
      </c>
    </row>
    <row r="3">
      <c r="A3" t="inlineStr">
        <is>
          <t>Puissance PV</t>
        </is>
      </c>
      <c r="B3" s="6" t="n">
        <v>10</v>
      </c>
      <c r="C3" s="4" t="inlineStr">
        <is>
          <t>énergie utile (MWh)</t>
        </is>
      </c>
      <c r="D3" s="4" t="inlineStr">
        <is>
          <t>OPEX (USD)</t>
        </is>
      </c>
      <c r="E3" s="4" t="inlineStr">
        <is>
          <t>année</t>
        </is>
      </c>
      <c r="F3" s="4" t="inlineStr">
        <is>
          <t>flux net (USD)</t>
        </is>
      </c>
      <c r="G3" s="4" t="inlineStr">
        <is>
          <t>économie carburant (USD)</t>
        </is>
      </c>
      <c r="H3" s="4" t="inlineStr">
        <is>
          <t>actualisation</t>
        </is>
      </c>
    </row>
    <row r="4">
      <c r="A4" t="inlineStr">
        <is>
          <t>CAPEX spécifique (PV + stockage éventuel)</t>
        </is>
      </c>
      <c r="B4" s="6" t="n">
        <v>900</v>
      </c>
      <c r="C4" t="inlineStr">
        <is>
          <t>USD/kWp</t>
        </is>
      </c>
      <c r="E4" t="n">
        <v>0</v>
      </c>
      <c r="F4">
        <f>-B16</f>
        <v/>
      </c>
    </row>
    <row r="5">
      <c r="A5" t="inlineStr">
        <is>
          <t>Production spécifique année 1</t>
        </is>
      </c>
      <c r="B5" s="6" t="n">
        <v>1700</v>
      </c>
      <c r="C5">
        <f>IF(E5&lt;=$B$13,$B$17*(1-$B$12)^(E5-1),0)</f>
        <v/>
      </c>
      <c r="D5">
        <f>IF(E5&lt;=$B$13,$B$19,0)</f>
        <v/>
      </c>
      <c r="E5" t="n">
        <v>1</v>
      </c>
      <c r="F5">
        <f>G5-D5</f>
        <v/>
      </c>
      <c r="G5">
        <f>C5*$B$18*(1+$B$11)^(E5-1)</f>
        <v/>
      </c>
      <c r="H5">
        <f>1/(1+$B$14)^E5</f>
        <v/>
      </c>
    </row>
    <row r="6">
      <c r="A6" t="inlineStr">
        <is>
          <t>Part de la production solaire consommée</t>
        </is>
      </c>
      <c r="B6" s="10" t="n">
        <v>0.95</v>
      </c>
      <c r="C6">
        <f>IF(E6&lt;=$B$13,$B$17*(1-$B$12)^(E6-1),0)</f>
        <v/>
      </c>
      <c r="D6">
        <f>IF(E6&lt;=$B$13,$B$19,0)</f>
        <v/>
      </c>
      <c r="E6" t="n">
        <v>2</v>
      </c>
      <c r="F6">
        <f>G6-D6</f>
        <v/>
      </c>
      <c r="G6">
        <f>C6*$B$18*(1+$B$11)^(E6-1)</f>
        <v/>
      </c>
      <c r="H6">
        <f>1/(1+$B$14)^E6</f>
        <v/>
      </c>
    </row>
    <row r="7">
      <c r="A7" t="inlineStr">
        <is>
          <t>OPEX solaire</t>
        </is>
      </c>
      <c r="B7" s="6" t="n">
        <v>15</v>
      </c>
      <c r="C7">
        <f>IF(E7&lt;=$B$13,$B$17*(1-$B$12)^(E7-1),0)</f>
        <v/>
      </c>
      <c r="D7">
        <f>IF(E7&lt;=$B$13,$B$19,0)</f>
        <v/>
      </c>
      <c r="E7" t="n">
        <v>3</v>
      </c>
      <c r="F7">
        <f>G7-D7</f>
        <v/>
      </c>
      <c r="G7">
        <f>C7*$B$18*(1+$B$11)^(E7-1)</f>
        <v/>
      </c>
      <c r="H7">
        <f>1/(1+$B$14)^E7</f>
        <v/>
      </c>
    </row>
    <row r="8">
      <c r="A8" t="inlineStr">
        <is>
          <t>Prix du carburant livré sur site</t>
        </is>
      </c>
      <c r="B8" s="6" t="n">
        <v>1.1</v>
      </c>
      <c r="C8">
        <f>IF(E8&lt;=$B$13,$B$17*(1-$B$12)^(E8-1),0)</f>
        <v/>
      </c>
      <c r="D8">
        <f>IF(E8&lt;=$B$13,$B$19,0)</f>
        <v/>
      </c>
      <c r="E8" t="n">
        <v>4</v>
      </c>
      <c r="F8">
        <f>G8-D8</f>
        <v/>
      </c>
      <c r="G8">
        <f>C8*$B$18*(1+$B$11)^(E8-1)</f>
        <v/>
      </c>
      <c r="H8">
        <f>1/(1+$B$14)^E8</f>
        <v/>
      </c>
    </row>
    <row r="9">
      <c r="A9" t="inlineStr">
        <is>
          <t>Consommation spécifique du groupe</t>
        </is>
      </c>
      <c r="B9" s="6" t="n">
        <v>0.27</v>
      </c>
      <c r="C9">
        <f>IF(E9&lt;=$B$13,$B$17*(1-$B$12)^(E9-1),0)</f>
        <v/>
      </c>
      <c r="D9">
        <f>IF(E9&lt;=$B$13,$B$19,0)</f>
        <v/>
      </c>
      <c r="E9" t="n">
        <v>5</v>
      </c>
      <c r="F9">
        <f>G9-D9</f>
        <v/>
      </c>
      <c r="G9">
        <f>C9*$B$18*(1+$B$11)^(E9-1)</f>
        <v/>
      </c>
      <c r="H9">
        <f>1/(1+$B$14)^E9</f>
        <v/>
      </c>
    </row>
    <row r="10">
      <c r="A10" t="inlineStr">
        <is>
          <t>O&amp;M variable du groupe</t>
        </is>
      </c>
      <c r="B10" s="6" t="n">
        <v>25</v>
      </c>
      <c r="C10">
        <f>IF(E10&lt;=$B$13,$B$17*(1-$B$12)^(E10-1),0)</f>
        <v/>
      </c>
      <c r="D10">
        <f>IF(E10&lt;=$B$13,$B$19,0)</f>
        <v/>
      </c>
      <c r="E10" t="n">
        <v>6</v>
      </c>
      <c r="F10">
        <f>G10-D10</f>
        <v/>
      </c>
      <c r="G10">
        <f>C10*$B$18*(1+$B$11)^(E10-1)</f>
        <v/>
      </c>
      <c r="H10">
        <f>1/(1+$B$14)^E10</f>
        <v/>
      </c>
    </row>
    <row r="11">
      <c r="A11" t="inlineStr">
        <is>
          <t>Indexation du prix du carburant</t>
        </is>
      </c>
      <c r="B11" s="10" t="n">
        <v>0.02</v>
      </c>
      <c r="C11">
        <f>IF(E11&lt;=$B$13,$B$17*(1-$B$12)^(E11-1),0)</f>
        <v/>
      </c>
      <c r="D11">
        <f>IF(E11&lt;=$B$13,$B$19,0)</f>
        <v/>
      </c>
      <c r="E11" t="n">
        <v>7</v>
      </c>
      <c r="F11">
        <f>G11-D11</f>
        <v/>
      </c>
      <c r="G11">
        <f>C11*$B$18*(1+$B$11)^(E11-1)</f>
        <v/>
      </c>
      <c r="H11">
        <f>1/(1+$B$14)^E11</f>
        <v/>
      </c>
    </row>
    <row r="12">
      <c r="A12" t="inlineStr">
        <is>
          <t>Dégradation PV</t>
        </is>
      </c>
      <c r="B12" s="10" t="n">
        <v>0.005</v>
      </c>
      <c r="C12">
        <f>IF(E12&lt;=$B$13,$B$17*(1-$B$12)^(E12-1),0)</f>
        <v/>
      </c>
      <c r="D12">
        <f>IF(E12&lt;=$B$13,$B$19,0)</f>
        <v/>
      </c>
      <c r="E12" t="n">
        <v>8</v>
      </c>
      <c r="F12">
        <f>G12-D12</f>
        <v/>
      </c>
      <c r="G12">
        <f>C12*$B$18*(1+$B$11)^(E12-1)</f>
        <v/>
      </c>
      <c r="H12">
        <f>1/(1+$B$14)^E12</f>
        <v/>
      </c>
    </row>
    <row r="13">
      <c r="A13" t="inlineStr">
        <is>
          <t>Durée d'analyse</t>
        </is>
      </c>
      <c r="B13" s="6" t="n">
        <v>20</v>
      </c>
      <c r="C13">
        <f>IF(E13&lt;=$B$13,$B$17*(1-$B$12)^(E13-1),0)</f>
        <v/>
      </c>
      <c r="D13">
        <f>IF(E13&lt;=$B$13,$B$19,0)</f>
        <v/>
      </c>
      <c r="E13" t="n">
        <v>9</v>
      </c>
      <c r="F13">
        <f>G13-D13</f>
        <v/>
      </c>
      <c r="G13">
        <f>C13*$B$18*(1+$B$11)^(E13-1)</f>
        <v/>
      </c>
      <c r="H13">
        <f>1/(1+$B$14)^E13</f>
        <v/>
      </c>
    </row>
    <row r="14">
      <c r="A14" t="inlineStr">
        <is>
          <t>Taux d'actualisation de l'industriel</t>
        </is>
      </c>
      <c r="B14" s="10" t="n">
        <v>0.12</v>
      </c>
      <c r="C14">
        <f>IF(E14&lt;=$B$13,$B$17*(1-$B$12)^(E14-1),0)</f>
        <v/>
      </c>
      <c r="D14">
        <f>IF(E14&lt;=$B$13,$B$19,0)</f>
        <v/>
      </c>
      <c r="E14" t="n">
        <v>10</v>
      </c>
      <c r="F14">
        <f>G14-D14</f>
        <v/>
      </c>
      <c r="G14">
        <f>C14*$B$18*(1+$B$11)^(E14-1)</f>
        <v/>
      </c>
      <c r="H14">
        <f>1/(1+$B$14)^E14</f>
        <v/>
      </c>
    </row>
    <row r="15">
      <c r="C15">
        <f>IF(E15&lt;=$B$13,$B$17*(1-$B$12)^(E15-1),0)</f>
        <v/>
      </c>
      <c r="D15">
        <f>IF(E15&lt;=$B$13,$B$19,0)</f>
        <v/>
      </c>
      <c r="E15" t="n">
        <v>11</v>
      </c>
      <c r="F15">
        <f>G15-D15</f>
        <v/>
      </c>
      <c r="G15">
        <f>C15*$B$18*(1+$B$11)^(E15-1)</f>
        <v/>
      </c>
      <c r="H15">
        <f>1/(1+$B$14)^E15</f>
        <v/>
      </c>
    </row>
    <row r="16">
      <c r="A16" t="inlineStr">
        <is>
          <t>CAPEX total (USD)</t>
        </is>
      </c>
      <c r="B16" s="12">
        <f>B3*1000*B4</f>
        <v/>
      </c>
      <c r="C16">
        <f>IF(E16&lt;=$B$13,$B$17*(1-$B$12)^(E16-1),0)</f>
        <v/>
      </c>
      <c r="D16">
        <f>IF(E16&lt;=$B$13,$B$19,0)</f>
        <v/>
      </c>
      <c r="E16" t="n">
        <v>12</v>
      </c>
      <c r="F16">
        <f>G16-D16</f>
        <v/>
      </c>
      <c r="G16">
        <f>C16*$B$18*(1+$B$11)^(E16-1)</f>
        <v/>
      </c>
      <c r="H16">
        <f>1/(1+$B$14)^E16</f>
        <v/>
      </c>
    </row>
    <row r="17">
      <c r="A17" t="inlineStr">
        <is>
          <t>Énergie solaire utile année 1 (MWh)</t>
        </is>
      </c>
      <c r="B17">
        <f>B3*B5*B6</f>
        <v/>
      </c>
      <c r="C17">
        <f>IF(E17&lt;=$B$13,$B$17*(1-$B$12)^(E17-1),0)</f>
        <v/>
      </c>
      <c r="D17">
        <f>IF(E17&lt;=$B$13,$B$19,0)</f>
        <v/>
      </c>
      <c r="E17" t="n">
        <v>13</v>
      </c>
      <c r="F17">
        <f>G17-D17</f>
        <v/>
      </c>
      <c r="G17">
        <f>C17*$B$18*(1+$B$11)^(E17-1)</f>
        <v/>
      </c>
      <c r="H17">
        <f>1/(1+$B$14)^E17</f>
        <v/>
      </c>
    </row>
    <row r="18">
      <c r="A18" t="inlineStr">
        <is>
          <t>Coût diesel évité (USD/MWh)</t>
        </is>
      </c>
      <c r="B18" s="8">
        <f>B8*B9*1000+B10</f>
        <v/>
      </c>
      <c r="C18">
        <f>IF(E18&lt;=$B$13,$B$17*(1-$B$12)^(E18-1),0)</f>
        <v/>
      </c>
      <c r="D18">
        <f>IF(E18&lt;=$B$13,$B$19,0)</f>
        <v/>
      </c>
      <c r="E18" t="n">
        <v>14</v>
      </c>
      <c r="F18">
        <f>G18-D18</f>
        <v/>
      </c>
      <c r="G18">
        <f>C18*$B$18*(1+$B$11)^(E18-1)</f>
        <v/>
      </c>
      <c r="H18">
        <f>1/(1+$B$14)^E18</f>
        <v/>
      </c>
    </row>
    <row r="19">
      <c r="A19" t="inlineStr">
        <is>
          <t>OPEX solaire (USD/an)</t>
        </is>
      </c>
      <c r="B19">
        <f>B3*1000*B7</f>
        <v/>
      </c>
      <c r="C19">
        <f>IF(E19&lt;=$B$13,$B$17*(1-$B$12)^(E19-1),0)</f>
        <v/>
      </c>
      <c r="D19">
        <f>IF(E19&lt;=$B$13,$B$19,0)</f>
        <v/>
      </c>
      <c r="E19" t="n">
        <v>15</v>
      </c>
      <c r="F19">
        <f>G19-D19</f>
        <v/>
      </c>
      <c r="G19">
        <f>C19*$B$18*(1+$B$11)^(E19-1)</f>
        <v/>
      </c>
      <c r="H19">
        <f>1/(1+$B$14)^E19</f>
        <v/>
      </c>
    </row>
    <row r="20">
      <c r="A20" t="inlineStr">
        <is>
          <t>Économie nette année 1 (USD)</t>
        </is>
      </c>
      <c r="B20" s="12">
        <f>B17*B18-B19</f>
        <v/>
      </c>
      <c r="C20">
        <f>IF(E20&lt;=$B$13,$B$17*(1-$B$12)^(E20-1),0)</f>
        <v/>
      </c>
      <c r="D20">
        <f>IF(E20&lt;=$B$13,$B$19,0)</f>
        <v/>
      </c>
      <c r="E20" t="n">
        <v>16</v>
      </c>
      <c r="F20">
        <f>G20-D20</f>
        <v/>
      </c>
      <c r="G20">
        <f>C20*$B$18*(1+$B$11)^(E20-1)</f>
        <v/>
      </c>
      <c r="H20">
        <f>1/(1+$B$14)^E20</f>
        <v/>
      </c>
    </row>
    <row r="21">
      <c r="A21" t="inlineStr">
        <is>
          <t>Temps de retour simple (années)</t>
        </is>
      </c>
      <c r="B21" s="8">
        <f>IF(B20&lt;=0,"jamais",B16/B20)</f>
        <v/>
      </c>
      <c r="C21">
        <f>IF(E21&lt;=$B$13,$B$17*(1-$B$12)^(E21-1),0)</f>
        <v/>
      </c>
      <c r="D21">
        <f>IF(E21&lt;=$B$13,$B$19,0)</f>
        <v/>
      </c>
      <c r="E21" t="n">
        <v>17</v>
      </c>
      <c r="F21">
        <f>G21-D21</f>
        <v/>
      </c>
      <c r="G21">
        <f>C21*$B$18*(1+$B$11)^(E21-1)</f>
        <v/>
      </c>
      <c r="H21">
        <f>1/(1+$B$14)^E21</f>
        <v/>
      </c>
    </row>
    <row r="22">
      <c r="A22" t="inlineStr">
        <is>
          <t>VAN (USD)</t>
        </is>
      </c>
      <c r="B22" s="12">
        <f>NPV(B14,F5:F34)+F4</f>
        <v/>
      </c>
      <c r="C22">
        <f>IF(E22&lt;=$B$13,$B$17*(1-$B$12)^(E22-1),0)</f>
        <v/>
      </c>
      <c r="D22">
        <f>IF(E22&lt;=$B$13,$B$19,0)</f>
        <v/>
      </c>
      <c r="E22" t="n">
        <v>18</v>
      </c>
      <c r="F22">
        <f>G22-D22</f>
        <v/>
      </c>
      <c r="G22">
        <f>C22*$B$18*(1+$B$11)^(E22-1)</f>
        <v/>
      </c>
      <c r="H22">
        <f>1/(1+$B$14)^E22</f>
        <v/>
      </c>
    </row>
    <row r="23">
      <c r="A23" t="inlineStr">
        <is>
          <t>TRI</t>
        </is>
      </c>
      <c r="B23" s="9">
        <f>IFERROR(IRR(F4:F34),"n.d.")</f>
        <v/>
      </c>
      <c r="C23">
        <f>IF(E23&lt;=$B$13,$B$17*(1-$B$12)^(E23-1),0)</f>
        <v/>
      </c>
      <c r="D23">
        <f>IF(E23&lt;=$B$13,$B$19,0)</f>
        <v/>
      </c>
      <c r="E23" t="n">
        <v>19</v>
      </c>
      <c r="F23">
        <f>G23-D23</f>
        <v/>
      </c>
      <c r="G23">
        <f>C23*$B$18*(1+$B$11)^(E23-1)</f>
        <v/>
      </c>
      <c r="H23">
        <f>1/(1+$B$14)^E23</f>
        <v/>
      </c>
    </row>
    <row r="24">
      <c r="A24" t="inlineStr">
        <is>
          <t>LCOE solaire (USD/MWh utile)</t>
        </is>
      </c>
      <c r="B24" s="8">
        <f>(B16+SUMPRODUCT(D5:D34,H5:H34))/SUMPRODUCT(C5:C34,H5:H34)</f>
        <v/>
      </c>
      <c r="C24">
        <f>IF(E24&lt;=$B$13,$B$17*(1-$B$12)^(E24-1),0)</f>
        <v/>
      </c>
      <c r="D24">
        <f>IF(E24&lt;=$B$13,$B$19,0)</f>
        <v/>
      </c>
      <c r="E24" t="n">
        <v>20</v>
      </c>
      <c r="F24">
        <f>G24-D24</f>
        <v/>
      </c>
      <c r="G24">
        <f>C24*$B$18*(1+$B$11)^(E24-1)</f>
        <v/>
      </c>
      <c r="H24">
        <f>1/(1+$B$14)^E24</f>
        <v/>
      </c>
    </row>
    <row r="25">
      <c r="C25">
        <f>IF(E25&lt;=$B$13,$B$17*(1-$B$12)^(E25-1),0)</f>
        <v/>
      </c>
      <c r="D25">
        <f>IF(E25&lt;=$B$13,$B$19,0)</f>
        <v/>
      </c>
      <c r="E25" t="n">
        <v>21</v>
      </c>
      <c r="F25">
        <f>G25-D25</f>
        <v/>
      </c>
      <c r="G25">
        <f>C25*$B$18*(1+$B$11)^(E25-1)</f>
        <v/>
      </c>
      <c r="H25">
        <f>1/(1+$B$14)^E25</f>
        <v/>
      </c>
    </row>
    <row r="26">
      <c r="A26" s="3" t="inlineStr">
        <is>
          <t>Limites : pas de coût de stockage spécifique, pas de valeur de la continuité de service ni d'investissement évité dans les groupes ; à ajouter projet par projet. Le TRI élevé obtenu par défaut n'est pas calibré : la presse évoque 3 à 7 ans de retour pour Fekola (PV + stockage), contre moins de 2 ans ici.</t>
        </is>
      </c>
      <c r="C26">
        <f>IF(E26&lt;=$B$13,$B$17*(1-$B$12)^(E26-1),0)</f>
        <v/>
      </c>
      <c r="D26">
        <f>IF(E26&lt;=$B$13,$B$19,0)</f>
        <v/>
      </c>
      <c r="E26" t="n">
        <v>22</v>
      </c>
      <c r="F26">
        <f>G26-D26</f>
        <v/>
      </c>
      <c r="G26">
        <f>C26*$B$18*(1+$B$11)^(E26-1)</f>
        <v/>
      </c>
      <c r="H26">
        <f>1/(1+$B$14)^E26</f>
        <v/>
      </c>
    </row>
    <row r="27">
      <c r="C27">
        <f>IF(E27&lt;=$B$13,$B$17*(1-$B$12)^(E27-1),0)</f>
        <v/>
      </c>
      <c r="D27">
        <f>IF(E27&lt;=$B$13,$B$19,0)</f>
        <v/>
      </c>
      <c r="E27" t="n">
        <v>23</v>
      </c>
      <c r="F27">
        <f>G27-D27</f>
        <v/>
      </c>
      <c r="G27">
        <f>C27*$B$18*(1+$B$11)^(E27-1)</f>
        <v/>
      </c>
      <c r="H27">
        <f>1/(1+$B$14)^E27</f>
        <v/>
      </c>
    </row>
    <row r="28">
      <c r="C28">
        <f>IF(E28&lt;=$B$13,$B$17*(1-$B$12)^(E28-1),0)</f>
        <v/>
      </c>
      <c r="D28">
        <f>IF(E28&lt;=$B$13,$B$19,0)</f>
        <v/>
      </c>
      <c r="E28" t="n">
        <v>24</v>
      </c>
      <c r="F28">
        <f>G28-D28</f>
        <v/>
      </c>
      <c r="G28">
        <f>C28*$B$18*(1+$B$11)^(E28-1)</f>
        <v/>
      </c>
      <c r="H28">
        <f>1/(1+$B$14)^E28</f>
        <v/>
      </c>
    </row>
    <row r="29">
      <c r="C29">
        <f>IF(E29&lt;=$B$13,$B$17*(1-$B$12)^(E29-1),0)</f>
        <v/>
      </c>
      <c r="D29">
        <f>IF(E29&lt;=$B$13,$B$19,0)</f>
        <v/>
      </c>
      <c r="E29" t="n">
        <v>25</v>
      </c>
      <c r="F29">
        <f>G29-D29</f>
        <v/>
      </c>
      <c r="G29">
        <f>C29*$B$18*(1+$B$11)^(E29-1)</f>
        <v/>
      </c>
      <c r="H29">
        <f>1/(1+$B$14)^E29</f>
        <v/>
      </c>
    </row>
    <row r="30">
      <c r="C30">
        <f>IF(E30&lt;=$B$13,$B$17*(1-$B$12)^(E30-1),0)</f>
        <v/>
      </c>
      <c r="D30">
        <f>IF(E30&lt;=$B$13,$B$19,0)</f>
        <v/>
      </c>
      <c r="E30" t="n">
        <v>26</v>
      </c>
      <c r="F30">
        <f>G30-D30</f>
        <v/>
      </c>
      <c r="G30">
        <f>C30*$B$18*(1+$B$11)^(E30-1)</f>
        <v/>
      </c>
      <c r="H30">
        <f>1/(1+$B$14)^E30</f>
        <v/>
      </c>
    </row>
    <row r="31">
      <c r="C31">
        <f>IF(E31&lt;=$B$13,$B$17*(1-$B$12)^(E31-1),0)</f>
        <v/>
      </c>
      <c r="D31">
        <f>IF(E31&lt;=$B$13,$B$19,0)</f>
        <v/>
      </c>
      <c r="E31" t="n">
        <v>27</v>
      </c>
      <c r="F31">
        <f>G31-D31</f>
        <v/>
      </c>
      <c r="G31">
        <f>C31*$B$18*(1+$B$11)^(E31-1)</f>
        <v/>
      </c>
      <c r="H31">
        <f>1/(1+$B$14)^E31</f>
        <v/>
      </c>
    </row>
    <row r="32">
      <c r="C32">
        <f>IF(E32&lt;=$B$13,$B$17*(1-$B$12)^(E32-1),0)</f>
        <v/>
      </c>
      <c r="D32">
        <f>IF(E32&lt;=$B$13,$B$19,0)</f>
        <v/>
      </c>
      <c r="E32" t="n">
        <v>28</v>
      </c>
      <c r="F32">
        <f>G32-D32</f>
        <v/>
      </c>
      <c r="G32">
        <f>C32*$B$18*(1+$B$11)^(E32-1)</f>
        <v/>
      </c>
      <c r="H32">
        <f>1/(1+$B$14)^E32</f>
        <v/>
      </c>
    </row>
    <row r="33">
      <c r="C33">
        <f>IF(E33&lt;=$B$13,$B$17*(1-$B$12)^(E33-1),0)</f>
        <v/>
      </c>
      <c r="D33">
        <f>IF(E33&lt;=$B$13,$B$19,0)</f>
        <v/>
      </c>
      <c r="E33" t="n">
        <v>29</v>
      </c>
      <c r="F33">
        <f>G33-D33</f>
        <v/>
      </c>
      <c r="G33">
        <f>C33*$B$18*(1+$B$11)^(E33-1)</f>
        <v/>
      </c>
      <c r="H33">
        <f>1/(1+$B$14)^E33</f>
        <v/>
      </c>
    </row>
    <row r="34">
      <c r="C34">
        <f>IF(E34&lt;=$B$13,$B$17*(1-$B$12)^(E34-1),0)</f>
        <v/>
      </c>
      <c r="D34">
        <f>IF(E34&lt;=$B$13,$B$19,0)</f>
        <v/>
      </c>
      <c r="E34" t="n">
        <v>30</v>
      </c>
      <c r="F34">
        <f>G34-D34</f>
        <v/>
      </c>
      <c r="G34">
        <f>C34*$B$18*(1+$B$11)^(E34-1)</f>
        <v/>
      </c>
      <c r="H34">
        <f>1/(1+$B$14)^E34</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42" customWidth="1" min="1" max="1"/>
    <col width="18" customWidth="1" min="3" max="3"/>
  </cols>
  <sheetData>
    <row r="1">
      <c r="A1" s="4" t="inlineStr">
        <is>
          <t>Volet C — coût complet du service d'un mini-réseau (production, distribution, gestion commerciale) et subvention nécessaire. Valeurs par défaut illustratives.</t>
        </is>
      </c>
    </row>
    <row r="3">
      <c r="A3" t="inlineStr">
        <is>
          <t>Puissance PV</t>
        </is>
      </c>
      <c r="B3" s="6" t="n">
        <v>100</v>
      </c>
      <c r="C3" t="inlineStr">
        <is>
          <t>kWp</t>
        </is>
      </c>
    </row>
    <row r="4">
      <c r="A4" t="inlineStr">
        <is>
          <t>CAPEX production (PV, batteries, groupe)</t>
        </is>
      </c>
      <c r="B4" s="6" t="n">
        <v>2500</v>
      </c>
      <c r="C4" t="inlineStr">
        <is>
          <t>USD/kWp</t>
        </is>
      </c>
    </row>
    <row r="5">
      <c r="A5" t="inlineStr">
        <is>
          <t>Production utile année 1</t>
        </is>
      </c>
      <c r="B5" s="6" t="n">
        <v>1400</v>
      </c>
      <c r="C5" t="inlineStr">
        <is>
          <t>kWh/kWp/an</t>
        </is>
      </c>
    </row>
    <row r="6">
      <c r="A6" t="inlineStr">
        <is>
          <t>Nombre de clients</t>
        </is>
      </c>
      <c r="B6" s="6" t="n">
        <v>500</v>
      </c>
      <c r="C6" t="inlineStr">
        <is>
          <t>branchements</t>
        </is>
      </c>
    </row>
    <row r="7">
      <c r="A7" t="inlineStr">
        <is>
          <t>CAPEX distribution par client</t>
        </is>
      </c>
      <c r="B7" s="6" t="n">
        <v>400</v>
      </c>
      <c r="C7" t="inlineStr">
        <is>
          <t>USD/client</t>
        </is>
      </c>
    </row>
    <row r="8">
      <c r="A8" t="inlineStr">
        <is>
          <t>OPEX technique (y c. annuité de remplacement des batteries)</t>
        </is>
      </c>
      <c r="B8" s="6" t="n">
        <v>60</v>
      </c>
      <c r="C8" t="inlineStr">
        <is>
          <t>USD/kWp/an</t>
        </is>
      </c>
    </row>
    <row r="9">
      <c r="A9" t="inlineStr">
        <is>
          <t>Coût de gestion commerciale par client</t>
        </is>
      </c>
      <c r="B9" s="6" t="n">
        <v>12</v>
      </c>
      <c r="C9" t="inlineStr">
        <is>
          <t>USD/client/an</t>
        </is>
      </c>
    </row>
    <row r="10">
      <c r="A10" t="inlineStr">
        <is>
          <t>Pertes et impayés</t>
        </is>
      </c>
      <c r="B10" s="10" t="n">
        <v>0.15</v>
      </c>
      <c r="C10" t="inlineStr">
        <is>
          <t>% de la production</t>
        </is>
      </c>
    </row>
    <row r="11">
      <c r="A11" t="inlineStr">
        <is>
          <t>Taux d'actualisation</t>
        </is>
      </c>
      <c r="B11" s="10" t="n">
        <v>0.1</v>
      </c>
      <c r="C11" t="inlineStr">
        <is>
          <t>%</t>
        </is>
      </c>
    </row>
    <row r="12">
      <c r="A12" t="inlineStr">
        <is>
          <t>Durée d'analyse</t>
        </is>
      </c>
      <c r="B12" s="6" t="n">
        <v>20</v>
      </c>
      <c r="C12" t="inlineStr">
        <is>
          <t>années</t>
        </is>
      </c>
    </row>
    <row r="13">
      <c r="A13" t="inlineStr">
        <is>
          <t>Tarif autorisé</t>
        </is>
      </c>
      <c r="B13" s="6" t="n">
        <v>0.25</v>
      </c>
      <c r="C13" t="inlineStr">
        <is>
          <t>USD/kWh</t>
        </is>
      </c>
    </row>
    <row r="15">
      <c r="A15" t="inlineStr">
        <is>
          <t>CRF</t>
        </is>
      </c>
      <c r="B15" s="13">
        <f>B11*(1+B11)^B12/((1+B11)^B12-1)</f>
        <v/>
      </c>
    </row>
    <row r="16">
      <c r="A16" t="inlineStr">
        <is>
          <t>Énergie vendue (MWh/an)</t>
        </is>
      </c>
      <c r="B16" s="8">
        <f>B3*B5*(1-B10)/1000</f>
        <v/>
      </c>
    </row>
    <row r="17">
      <c r="A17" t="inlineStr">
        <is>
          <t>Consommation par client (kWh/mois)</t>
        </is>
      </c>
      <c r="B17" s="8">
        <f>B16*1000/B6/12</f>
        <v/>
      </c>
    </row>
    <row r="18">
      <c r="A18" t="inlineStr">
        <is>
          <t>Coût de production (USD/MWh vendu)</t>
        </is>
      </c>
      <c r="B18" s="8">
        <f>(B3*B4*B15+B3*B8)/B16</f>
        <v/>
      </c>
    </row>
    <row r="19">
      <c r="A19" t="inlineStr">
        <is>
          <t>Coût de distribution (USD/MWh vendu)</t>
        </is>
      </c>
      <c r="B19" s="8">
        <f>B6*B7*B15/B16</f>
        <v/>
      </c>
    </row>
    <row r="20">
      <c r="A20" t="inlineStr">
        <is>
          <t>Coût commercial (USD/MWh vendu)</t>
        </is>
      </c>
      <c r="B20" s="8">
        <f>B6*B9/B16</f>
        <v/>
      </c>
    </row>
    <row r="21">
      <c r="A21" s="4" t="inlineStr">
        <is>
          <t>Coût complet du service (USD/MWh)</t>
        </is>
      </c>
      <c r="B21" s="11">
        <f>B18+B19+B20</f>
        <v/>
      </c>
    </row>
    <row r="22">
      <c r="A22" t="inlineStr">
        <is>
          <t>Subvention d'investissement nécessaire (USD)</t>
        </is>
      </c>
      <c r="B22" s="12">
        <f>MAX(0,B21-B13*1000)*B16/B15</f>
        <v/>
      </c>
    </row>
    <row r="23">
      <c r="A23" t="inlineStr">
        <is>
          <t>Subvention par branchement (USD)</t>
        </is>
      </c>
      <c r="B23" s="12">
        <f>B22/B6</f>
        <v/>
      </c>
    </row>
    <row r="25">
      <c r="A25" s="3" t="inlineStr">
        <is>
          <t>La consommation par client (B17) pèse sur le coût de distribution et le coût commercial : c'est le principal levier de la question économique du volet C.</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55" customWidth="1" min="1" max="1"/>
    <col width="12" customWidth="1" min="2" max="2"/>
    <col width="80" customWidth="1" min="3" max="3"/>
    <col width="12" customWidth="1" min="4" max="4"/>
  </cols>
  <sheetData>
    <row r="1">
      <c r="A1" s="2" t="inlineStr">
        <is>
          <t>affirmation de la proposition</t>
        </is>
      </c>
      <c r="B1" s="2" t="inlineStr">
        <is>
          <t>statut</t>
        </is>
      </c>
      <c r="C1" s="2" t="inlineStr">
        <is>
          <t>constat</t>
        </is>
      </c>
      <c r="D1" s="2" t="inlineStr">
        <is>
          <t>source</t>
        </is>
      </c>
    </row>
    <row r="2">
      <c r="A2" t="inlineStr">
        <is>
          <t>WACC jusqu'à 12 % en Afrique dans l'analyse IRENA 2024</t>
        </is>
      </c>
      <c r="B2" t="inlineStr">
        <is>
          <t>confirmé</t>
        </is>
      </c>
      <c r="C2" t="inlineStr">
        <is>
          <t>IRENA : hypothèses de WACC de 3,8 % (Europe) à 12 % (Afrique), conditions 2023</t>
        </is>
      </c>
      <c r="D2" t="inlineStr">
        <is>
          <t>S01</t>
        </is>
      </c>
    </row>
    <row r="3">
      <c r="A3" t="inlineStr">
        <is>
          <t>LCOE solaire mondial 2024 : 43 USD/MWh</t>
        </is>
      </c>
      <c r="B3" t="inlineStr">
        <is>
          <t>confirmé</t>
        </is>
      </c>
      <c r="C3" t="inlineStr">
        <is>
          <t>0,043 USD/kWh</t>
        </is>
      </c>
      <c r="D3" t="inlineStr">
        <is>
          <t>S01;S02</t>
        </is>
      </c>
    </row>
    <row r="4">
      <c r="A4" t="inlineStr">
        <is>
          <t>CAPEX Afrique 2024 : 1 093 USD/kW</t>
        </is>
      </c>
      <c r="B4" t="inlineStr">
        <is>
          <t>confirmé</t>
        </is>
      </c>
      <c r="C4" t="inlineStr">
        <is>
          <t>Rapport complet IRENA 2024, Table 3.1 p. 95</t>
        </is>
      </c>
      <c r="D4" t="inlineStr">
        <is>
          <t>S15</t>
        </is>
      </c>
    </row>
    <row r="5">
      <c r="A5" t="inlineStr">
        <is>
          <t>LCOE Afrique 2024 : 74 USD/MWh</t>
        </is>
      </c>
      <c r="B5" t="inlineStr">
        <is>
          <t>confirmé</t>
        </is>
      </c>
      <c r="C5" t="inlineStr">
        <is>
          <t>Rapport complet IRENA 2024, Table 3.3 p. 106</t>
        </is>
      </c>
      <c r="D5" t="inlineStr">
        <is>
          <t>S15</t>
        </is>
      </c>
    </row>
    <row r="6">
      <c r="A6" t="inlineStr">
        <is>
          <t>CAPEX Afrique 2015 : 3 437 USD/kW ; LCOE 2015 : 225 USD/MWh</t>
        </is>
      </c>
      <c r="B6" t="inlineStr">
        <is>
          <t>confirmé</t>
        </is>
      </c>
      <c r="C6" t="inlineStr">
        <is>
          <t>Rapport complet IRENA 2024 (USD 2024). L'édition 2025 donne 3 520 USD/kW et 222 USD/MWh pour 2015 en USD 2025 : ne pas mélanger les éditions</t>
        </is>
      </c>
      <c r="D6" t="inlineStr">
        <is>
          <t>S15;S16</t>
        </is>
      </c>
    </row>
    <row r="7">
      <c r="A7" t="inlineStr">
        <is>
          <t>(nouveau) Afrique 2025 : 837 USD/kW et 52 USD/MWh</t>
        </is>
      </c>
      <c r="B7" t="inlineStr">
        <is>
          <t>confirmé</t>
        </is>
      </c>
      <c r="C7" t="inlineStr">
        <is>
          <t>Rapport complet IRENA 2025, Tables 3.1 et 3.2 ; -76 % et -77 % depuis 2015</t>
        </is>
      </c>
      <c r="D7" t="inlineStr">
        <is>
          <t>S16</t>
        </is>
      </c>
    </row>
    <row r="8">
      <c r="A8" t="inlineStr">
        <is>
          <t>Tableau WACC 4–14 % (43,9 à 89,3 USD/MWh)</t>
        </is>
      </c>
      <c r="B8" t="inlineStr">
        <is>
          <t>confirmé (calcul)</t>
        </is>
      </c>
      <c r="C8" t="inlineStr">
        <is>
          <t>Reproduit : 43,9 / 51,8 / 60,4 / 69,5 / 79,2 / 89,2 ; écarts d'arrondi ≤ 0,1</t>
        </is>
      </c>
      <c r="D8" t="inlineStr">
        <is>
          <t>lcoe.py</t>
        </is>
      </c>
    </row>
    <row r="9">
      <c r="A9" t="inlineStr">
        <is>
          <t>+80 % de LCOE entre WACC 4 % et 12 %</t>
        </is>
      </c>
      <c r="B9" t="inlineStr">
        <is>
          <t>confirmé (calcul)</t>
        </is>
      </c>
      <c r="C9" t="inlineStr">
        <is>
          <t>+80,4 %</t>
        </is>
      </c>
      <c r="D9" t="inlineStr">
        <is>
          <t>lcoe.py</t>
        </is>
      </c>
    </row>
    <row r="10">
      <c r="A10" t="inlineStr">
        <is>
          <t>Ngonye / Bangweulu</t>
        </is>
      </c>
      <c r="B10" t="inlineStr">
        <is>
          <t>précisé</t>
        </is>
      </c>
      <c r="C10" t="inlineStr">
        <is>
          <t>Bangweulu = 6,015 USc/kWh (Neoen/First Solar) ; Ngonye = 7,84 USc/kWh (Enel)</t>
        </is>
      </c>
      <c r="D10" t="inlineStr">
        <is>
          <t>S04;S05</t>
        </is>
      </c>
    </row>
    <row r="11">
      <c r="A11" t="inlineStr">
        <is>
          <t>Kael et Kahone</t>
        </is>
      </c>
      <c r="B11" t="inlineStr">
        <is>
          <t>confirmé</t>
        </is>
      </c>
      <c r="C11" t="inlineStr">
        <is>
          <t>3,98 et 3,80 c EUR/kWh, mise en service mai 2021</t>
        </is>
      </c>
      <c r="D11" t="inlineStr">
        <is>
          <t>S06;S07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2026-10-17T18:53:13Z</dcterms:created>
  <dcterms:modified xmlns:dcterms="http://purl.org/dc/terms/" xmlns:xsi="http://www.w3.org/2001/XMLSchema-instance" xsi:type="dcterms:W3CDTF">2026-10-17T18:53:13Z</dcterms:modified>
</cp:coreProperties>
</file>