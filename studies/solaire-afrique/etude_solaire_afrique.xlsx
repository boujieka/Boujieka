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ictionnaire" sheetId="2" state="visible" r:id="rId2"/>
    <sheet xmlns:r="http://schemas.openxmlformats.org/officeDocument/2006/relationships" name="Pays" sheetId="3" state="visible" r:id="rId3"/>
    <sheet xmlns:r="http://schemas.openxmlformats.org/officeDocument/2006/relationships" name="Volet_A" sheetId="4" state="visible" r:id="rId4"/>
    <sheet xmlns:r="http://schemas.openxmlformats.org/officeDocument/2006/relationships" name="Volet_B" sheetId="5" state="visible" r:id="rId5"/>
    <sheet xmlns:r="http://schemas.openxmlformats.org/officeDocument/2006/relationships" name="Volet_C" sheetId="6" state="visible" r:id="rId6"/>
    <sheet xmlns:r="http://schemas.openxmlformats.org/officeDocument/2006/relationships" name="Observation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Modele_LCOE" sheetId="9" state="visible" r:id="rId9"/>
    <sheet xmlns:r="http://schemas.openxmlformats.org/officeDocument/2006/relationships" name="Verif_propos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9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4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 coût de l'électricité solaire en Afrique (2016–2026) — base de données et modèle</t>
        </is>
      </c>
    </row>
    <row r="2">
      <c r="A2" t="inlineStr">
        <is>
          <t>Version gabarit générée le 2026-10-17 par build_workbook.py. Date d'arrêt de l'étude : 17 octobre 2026.</t>
        </is>
      </c>
    </row>
    <row r="3">
      <c r="A3" t="inlineStr"/>
    </row>
    <row r="4">
      <c r="A4" t="inlineStr">
        <is>
          <t>Règles :</t>
        </is>
      </c>
    </row>
    <row r="5">
      <c r="A5" t="inlineStr">
        <is>
          <t>1. Aucune valeur sans source : chaque chiffre est consigné dans Observations avec type, source et note.</t>
        </is>
      </c>
    </row>
    <row r="6">
      <c r="A6" t="inlineStr">
        <is>
          <t>2. Types de donnée : observée (contrat, mesure), déclarée (annonce), modélisée (calcul), non disponible.</t>
        </is>
      </c>
    </row>
    <row r="7">
      <c r="A7" t="inlineStr">
        <is>
          <t>3. Ne jamais mélanger USD/kWp (DC) et USD/kWac (AC). Conserver devise et année d'origine.</t>
        </is>
      </c>
    </row>
    <row r="8">
      <c r="A8" t="inlineStr">
        <is>
          <t>4. Les projets en construction ou attribués restent hors des statistiques « en service ».</t>
        </is>
      </c>
    </row>
    <row r="9">
      <c r="A9" t="inlineStr">
        <is>
          <t>5. PV+stockage et solaire thermodynamique (CSP) sont analysés à part.</t>
        </is>
      </c>
    </row>
    <row r="10">
      <c r="A10" t="inlineStr">
        <is>
          <t>6. Le LCOE est toujours calculé (Modele_LCOE), jamais saisi comme donnée observée.</t>
        </is>
      </c>
    </row>
    <row r="11">
      <c r="A11" t="inlineStr"/>
    </row>
    <row r="12">
      <c r="A12" t="inlineStr">
        <is>
          <t>État actuel : 4 projets partiellement renseignés (Zambie, Sénégal) ; les autres lignes sont des</t>
        </is>
      </c>
    </row>
    <row r="13">
      <c r="A13" t="inlineStr">
        <is>
          <t>candidats issus de la proposition, marqués « à vérifier », sans chiffres.</t>
        </is>
      </c>
    </row>
    <row r="14">
      <c r="A14" t="inlineStr">
        <is>
          <t>Les cibles de 100 / 75 / 125 projets sont des objectifs de collecte, pas des projets identifiés.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70" customWidth="1" min="4" max="4"/>
  </cols>
  <sheetData>
    <row r="1">
      <c r="A1" s="2" t="inlineStr">
        <is>
          <t>volet</t>
        </is>
      </c>
      <c r="B1" s="2" t="inlineStr">
        <is>
          <t>champ</t>
        </is>
      </c>
      <c r="C1" s="2" t="inlineStr">
        <is>
          <t>unité</t>
        </is>
      </c>
      <c r="D1" s="2" t="inlineStr">
        <is>
          <t>description</t>
        </is>
      </c>
    </row>
    <row r="2">
      <c r="A2" t="inlineStr">
        <is>
          <t>commun</t>
        </is>
      </c>
      <c r="B2" t="inlineStr">
        <is>
          <t>projet_id</t>
        </is>
      </c>
      <c r="C2" t="inlineStr"/>
      <c r="D2" t="inlineStr">
        <is>
          <t>Identifiant unique (ex. A-ZMB-001)</t>
        </is>
      </c>
    </row>
    <row r="3">
      <c r="A3" t="inlineStr">
        <is>
          <t>commun</t>
        </is>
      </c>
      <c r="B3" t="inlineStr">
        <is>
          <t>pays_iso3</t>
        </is>
      </c>
      <c r="C3" t="inlineStr"/>
      <c r="D3" t="inlineStr">
        <is>
          <t>Code ISO 3166-1 alpha-3</t>
        </is>
      </c>
    </row>
    <row r="4">
      <c r="A4" t="inlineStr">
        <is>
          <t>commun</t>
        </is>
      </c>
      <c r="B4" t="inlineStr">
        <is>
          <t>nom</t>
        </is>
      </c>
      <c r="C4" t="inlineStr"/>
      <c r="D4" t="inlineStr">
        <is>
          <t>Nom de la centrale</t>
        </is>
      </c>
    </row>
    <row r="5">
      <c r="A5" t="inlineStr">
        <is>
          <t>commun</t>
        </is>
      </c>
      <c r="B5" t="inlineStr">
        <is>
          <t>localisation</t>
        </is>
      </c>
      <c r="C5" t="inlineStr"/>
      <c r="D5" t="inlineStr">
        <is>
          <t>Ville / région / coordonnées</t>
        </is>
      </c>
    </row>
    <row r="6">
      <c r="A6" t="inlineStr">
        <is>
          <t>commun</t>
        </is>
      </c>
      <c r="B6" t="inlineStr">
        <is>
          <t>developpeur</t>
        </is>
      </c>
      <c r="C6" t="inlineStr"/>
      <c r="D6" t="inlineStr">
        <is>
          <t>Développeur ou sponsor principal</t>
        </is>
      </c>
    </row>
    <row r="7">
      <c r="A7" t="inlineStr">
        <is>
          <t>commun</t>
        </is>
      </c>
      <c r="B7" t="inlineStr">
        <is>
          <t>statut</t>
        </is>
      </c>
      <c r="C7" t="inlineStr"/>
      <c r="D7" t="inlineStr">
        <is>
          <t>Voir liste : en service, en construction, attribué, annoncé, à vérifier, abandonné</t>
        </is>
      </c>
    </row>
    <row r="8">
      <c r="A8" t="inlineStr">
        <is>
          <t>commun</t>
        </is>
      </c>
      <c r="B8" t="inlineStr">
        <is>
          <t>annee_attribution</t>
        </is>
      </c>
      <c r="C8" t="inlineStr">
        <is>
          <t>année</t>
        </is>
      </c>
      <c r="D8" t="inlineStr"/>
    </row>
    <row r="9">
      <c r="A9" t="inlineStr">
        <is>
          <t>commun</t>
        </is>
      </c>
      <c r="B9" t="inlineStr">
        <is>
          <t>annee_mise_en_service</t>
        </is>
      </c>
      <c r="C9" t="inlineStr">
        <is>
          <t>année</t>
        </is>
      </c>
      <c r="D9" t="inlineStr">
        <is>
          <t>Date de mise en service commerciale (COD)</t>
        </is>
      </c>
    </row>
    <row r="10">
      <c r="A10" t="inlineStr">
        <is>
          <t>commun</t>
        </is>
      </c>
      <c r="B10" t="inlineStr">
        <is>
          <t>puissance_mwp</t>
        </is>
      </c>
      <c r="C10" t="inlineStr">
        <is>
          <t>MWp</t>
        </is>
      </c>
      <c r="D10" t="inlineStr">
        <is>
          <t>Puissance crête DC</t>
        </is>
      </c>
    </row>
    <row r="11">
      <c r="A11" t="inlineStr">
        <is>
          <t>commun</t>
        </is>
      </c>
      <c r="B11" t="inlineStr">
        <is>
          <t>puissance_mwac</t>
        </is>
      </c>
      <c r="C11" t="inlineStr">
        <is>
          <t>MWac</t>
        </is>
      </c>
      <c r="D11" t="inlineStr">
        <is>
          <t>Puissance AC (onduleurs / point d'injection)</t>
        </is>
      </c>
    </row>
    <row r="12">
      <c r="A12" t="inlineStr">
        <is>
          <t>commun</t>
        </is>
      </c>
      <c r="B12" t="inlineStr">
        <is>
          <t>stockage_mwh</t>
        </is>
      </c>
      <c r="C12" t="inlineStr">
        <is>
          <t>MWh</t>
        </is>
      </c>
      <c r="D12" t="inlineStr">
        <is>
          <t>Capacité utile de stockage (0 si aucune)</t>
        </is>
      </c>
    </row>
    <row r="13">
      <c r="A13" t="inlineStr">
        <is>
          <t>commun</t>
        </is>
      </c>
      <c r="B13" t="inlineStr">
        <is>
          <t>technologie</t>
        </is>
      </c>
      <c r="C13" t="inlineStr"/>
      <c r="D13" t="inlineStr">
        <is>
          <t>Modules, onduleurs, fixe / tracker</t>
        </is>
      </c>
    </row>
    <row r="14">
      <c r="A14" t="inlineStr">
        <is>
          <t>commun</t>
        </is>
      </c>
      <c r="B14" t="inlineStr">
        <is>
          <t>capex_total</t>
        </is>
      </c>
      <c r="C14" t="inlineStr">
        <is>
          <t>devise d'origine</t>
        </is>
      </c>
      <c r="D14" t="inlineStr">
        <is>
          <t>Investissement total</t>
        </is>
      </c>
    </row>
    <row r="15">
      <c r="A15" t="inlineStr">
        <is>
          <t>commun</t>
        </is>
      </c>
      <c r="B15" t="inlineStr">
        <is>
          <t>capex_devise</t>
        </is>
      </c>
      <c r="C15" t="inlineStr">
        <is>
          <t>ISO 4217</t>
        </is>
      </c>
      <c r="D15" t="inlineStr">
        <is>
          <t>Devise du CAPEX</t>
        </is>
      </c>
    </row>
    <row r="16">
      <c r="A16" t="inlineStr">
        <is>
          <t>commun</t>
        </is>
      </c>
      <c r="B16" t="inlineStr">
        <is>
          <t>capex_annee_prix</t>
        </is>
      </c>
      <c r="C16" t="inlineStr">
        <is>
          <t>année</t>
        </is>
      </c>
      <c r="D16" t="inlineStr">
        <is>
          <t>Année de valeur du CAPEX</t>
        </is>
      </c>
    </row>
    <row r="17">
      <c r="A17" t="inlineStr">
        <is>
          <t>commun</t>
        </is>
      </c>
      <c r="B17" t="inlineStr">
        <is>
          <t>capex_usd_kwp</t>
        </is>
      </c>
      <c r="C17" t="inlineStr">
        <is>
          <t>USD/kWp</t>
        </is>
      </c>
      <c r="D17" t="inlineStr">
        <is>
          <t>Calculé, USD courants</t>
        </is>
      </c>
    </row>
    <row r="18">
      <c r="A18" t="inlineStr">
        <is>
          <t>commun</t>
        </is>
      </c>
      <c r="B18" t="inlineStr">
        <is>
          <t>capex_usd_kwac</t>
        </is>
      </c>
      <c r="C18" t="inlineStr">
        <is>
          <t>USD/kWac</t>
        </is>
      </c>
      <c r="D18" t="inlineStr">
        <is>
          <t>Calculé, USD courants</t>
        </is>
      </c>
    </row>
    <row r="19">
      <c r="A19" t="inlineStr">
        <is>
          <t>commun</t>
        </is>
      </c>
      <c r="B19" t="inlineStr">
        <is>
          <t>production_gwh_an</t>
        </is>
      </c>
      <c r="C19" t="inlineStr">
        <is>
          <t>GWh/an</t>
        </is>
      </c>
      <c r="D19" t="inlineStr">
        <is>
          <t>Production annuelle (préciser P50 attendue ou mesurée)</t>
        </is>
      </c>
    </row>
    <row r="20">
      <c r="A20" t="inlineStr">
        <is>
          <t>commun</t>
        </is>
      </c>
      <c r="B20" t="inlineStr">
        <is>
          <t>facteur_charge_ac</t>
        </is>
      </c>
      <c r="C20" t="inlineStr">
        <is>
          <t>%</t>
        </is>
      </c>
      <c r="D20" t="inlineStr">
        <is>
          <t>Production / (MWac x 8 760 h)</t>
        </is>
      </c>
    </row>
    <row r="21">
      <c r="A21" t="inlineStr">
        <is>
          <t>commun</t>
        </is>
      </c>
      <c r="B21" t="inlineStr">
        <is>
          <t>opex_usd_kw_an</t>
        </is>
      </c>
      <c r="C21" t="inlineStr">
        <is>
          <t>USD/kW/an</t>
        </is>
      </c>
      <c r="D21" t="inlineStr"/>
    </row>
    <row r="22">
      <c r="A22" t="inlineStr">
        <is>
          <t>commun</t>
        </is>
      </c>
      <c r="B22" t="inlineStr">
        <is>
          <t>dette_part</t>
        </is>
      </c>
      <c r="C22" t="inlineStr">
        <is>
          <t>%</t>
        </is>
      </c>
      <c r="D22" t="inlineStr">
        <is>
          <t>Part de la dette dans le financement</t>
        </is>
      </c>
    </row>
    <row r="23">
      <c r="A23" t="inlineStr">
        <is>
          <t>commun</t>
        </is>
      </c>
      <c r="B23" t="inlineStr">
        <is>
          <t>dette_taux</t>
        </is>
      </c>
      <c r="C23" t="inlineStr">
        <is>
          <t>%</t>
        </is>
      </c>
      <c r="D23" t="inlineStr">
        <is>
          <t>Taux d'intérêt (ou marge + référence)</t>
        </is>
      </c>
    </row>
    <row r="24">
      <c r="A24" t="inlineStr">
        <is>
          <t>commun</t>
        </is>
      </c>
      <c r="B24" t="inlineStr">
        <is>
          <t>dette_duree</t>
        </is>
      </c>
      <c r="C24" t="inlineStr">
        <is>
          <t>années</t>
        </is>
      </c>
      <c r="D24" t="inlineStr"/>
    </row>
    <row r="25">
      <c r="A25" t="inlineStr">
        <is>
          <t>commun</t>
        </is>
      </c>
      <c r="B25" t="inlineStr">
        <is>
          <t>wacc</t>
        </is>
      </c>
      <c r="C25" t="inlineStr">
        <is>
          <t>%</t>
        </is>
      </c>
      <c r="D25" t="inlineStr">
        <is>
          <t>Observé ou modélisé (préciser)</t>
        </is>
      </c>
    </row>
    <row r="26">
      <c r="A26" t="inlineStr">
        <is>
          <t>commun</t>
        </is>
      </c>
      <c r="B26" t="inlineStr">
        <is>
          <t>tarif</t>
        </is>
      </c>
      <c r="C26" t="inlineStr">
        <is>
          <t>devise/kWh</t>
        </is>
      </c>
      <c r="D26" t="inlineStr">
        <is>
          <t>Tarif contractuel année 1</t>
        </is>
      </c>
    </row>
    <row r="27">
      <c r="A27" t="inlineStr">
        <is>
          <t>commun</t>
        </is>
      </c>
      <c r="B27" t="inlineStr">
        <is>
          <t>tarif_devise</t>
        </is>
      </c>
      <c r="C27" t="inlineStr">
        <is>
          <t>ISO 4217</t>
        </is>
      </c>
      <c r="D27" t="inlineStr"/>
    </row>
    <row r="28">
      <c r="A28" t="inlineStr">
        <is>
          <t>commun</t>
        </is>
      </c>
      <c r="B28" t="inlineStr">
        <is>
          <t>tarif_indexation</t>
        </is>
      </c>
      <c r="C28" t="inlineStr"/>
      <c r="D28" t="inlineStr">
        <is>
          <t>Fixe, indexé inflation, part indexée, etc.</t>
        </is>
      </c>
    </row>
    <row r="29">
      <c r="A29" t="inlineStr">
        <is>
          <t>commun</t>
        </is>
      </c>
      <c r="B29" t="inlineStr">
        <is>
          <t>ppa_duree</t>
        </is>
      </c>
      <c r="C29" t="inlineStr">
        <is>
          <t>années</t>
        </is>
      </c>
      <c r="D29" t="inlineStr"/>
    </row>
    <row r="30">
      <c r="A30" t="inlineStr">
        <is>
          <t>commun</t>
        </is>
      </c>
      <c r="B30" t="inlineStr">
        <is>
          <t>procedure</t>
        </is>
      </c>
      <c r="C30" t="inlineStr"/>
      <c r="D30" t="inlineStr">
        <is>
          <t>Appel d'offres concurrentiel, FiT, négociation directe, EPC public</t>
        </is>
      </c>
    </row>
    <row r="31">
      <c r="A31" t="inlineStr">
        <is>
          <t>commun</t>
        </is>
      </c>
      <c r="B31" t="inlineStr">
        <is>
          <t>garanties</t>
        </is>
      </c>
      <c r="C31" t="inlineStr"/>
      <c r="D31" t="inlineStr">
        <is>
          <t>Garantie souveraine, IDA/MIGA, lettre de crédit, etc.</t>
        </is>
      </c>
    </row>
    <row r="32">
      <c r="A32" t="inlineStr">
        <is>
          <t>commun</t>
        </is>
      </c>
      <c r="B32" t="inlineStr">
        <is>
          <t>lcoe_usd_mwh</t>
        </is>
      </c>
      <c r="C32" t="inlineStr">
        <is>
          <t>USD/MWh</t>
        </is>
      </c>
      <c r="D32" t="inlineStr">
        <is>
          <t>Calculé par le modèle (jamais saisi comme observé)</t>
        </is>
      </c>
    </row>
    <row r="33">
      <c r="A33" t="inlineStr">
        <is>
          <t>commun</t>
        </is>
      </c>
      <c r="B33" t="inlineStr">
        <is>
          <t>sources</t>
        </is>
      </c>
      <c r="C33" t="inlineStr"/>
      <c r="D33" t="inlineStr">
        <is>
          <t>Identifiants du registre Sources, séparés par ;</t>
        </is>
      </c>
    </row>
    <row r="34">
      <c r="A34" t="inlineStr">
        <is>
          <t>commun</t>
        </is>
      </c>
      <c r="B34" t="inlineStr">
        <is>
          <t>fiabilite_globale</t>
        </is>
      </c>
      <c r="C34" t="inlineStr"/>
      <c r="D34" t="inlineStr">
        <is>
          <t>Voir liste</t>
        </is>
      </c>
    </row>
    <row r="35">
      <c r="A35" t="inlineStr">
        <is>
          <t>commun</t>
        </is>
      </c>
      <c r="B35" t="inlineStr">
        <is>
          <t>notes</t>
        </is>
      </c>
      <c r="C35" t="inlineStr"/>
      <c r="D35" t="inlineStr">
        <is>
          <t>Contradictions entre sources, hypothèses</t>
        </is>
      </c>
    </row>
    <row r="36">
      <c r="A36" t="inlineStr">
        <is>
          <t>A</t>
        </is>
      </c>
      <c r="B36" t="inlineStr">
        <is>
          <t>acheteur</t>
        </is>
      </c>
      <c r="C36" t="inlineStr"/>
      <c r="D36" t="inlineStr">
        <is>
          <t>Compagnie nationale ou acheteur</t>
        </is>
      </c>
    </row>
    <row r="37">
      <c r="A37" t="inlineStr">
        <is>
          <t>A</t>
        </is>
      </c>
      <c r="B37" t="inlineStr">
        <is>
          <t>raccordement_inclus_capex</t>
        </is>
      </c>
      <c r="C37" t="inlineStr">
        <is>
          <t>oui/non/inconnu</t>
        </is>
      </c>
      <c r="D37" t="inlineStr">
        <is>
          <t>Le CAPEX inclut-il ligne et poste ?</t>
        </is>
      </c>
    </row>
    <row r="38">
      <c r="A38" t="inlineStr">
        <is>
          <t>B</t>
        </is>
      </c>
      <c r="B38" t="inlineStr">
        <is>
          <t>secteur</t>
        </is>
      </c>
      <c r="C38" t="inlineStr"/>
      <c r="D38" t="inlineStr">
        <is>
          <t>Mines, forêt, agro-industrie, ciment, ZES, etc.</t>
        </is>
      </c>
    </row>
    <row r="39">
      <c r="A39" t="inlineStr">
        <is>
          <t>B</t>
        </is>
      </c>
      <c r="B39" t="inlineStr">
        <is>
          <t>modele_commercial</t>
        </is>
      </c>
      <c r="C39" t="inlineStr"/>
      <c r="D39" t="inlineStr">
        <is>
          <t>Autoproduction, leasing, PPA privé, ESCO</t>
        </is>
      </c>
    </row>
    <row r="40">
      <c r="A40" t="inlineStr">
        <is>
          <t>B</t>
        </is>
      </c>
      <c r="B40" t="inlineStr">
        <is>
          <t>cout_diesel_evite_usd_mwh</t>
        </is>
      </c>
      <c r="C40" t="inlineStr">
        <is>
          <t>USD/MWh</t>
        </is>
      </c>
      <c r="D40" t="inlineStr"/>
    </row>
    <row r="41">
      <c r="A41" t="inlineStr">
        <is>
          <t>B</t>
        </is>
      </c>
      <c r="B41" t="inlineStr">
        <is>
          <t>taux_couverture_solaire</t>
        </is>
      </c>
      <c r="C41" t="inlineStr">
        <is>
          <t>%</t>
        </is>
      </c>
      <c r="D41" t="inlineStr">
        <is>
          <t>Part de la consommation couverte par le solaire</t>
        </is>
      </c>
    </row>
    <row r="42">
      <c r="A42" t="inlineStr">
        <is>
          <t>B</t>
        </is>
      </c>
      <c r="B42" t="inlineStr">
        <is>
          <t>tri_projet</t>
        </is>
      </c>
      <c r="C42" t="inlineStr">
        <is>
          <t>%</t>
        </is>
      </c>
      <c r="D42" t="inlineStr"/>
    </row>
    <row r="43">
      <c r="A43" t="inlineStr">
        <is>
          <t>C</t>
        </is>
      </c>
      <c r="B43" t="inlineStr">
        <is>
          <t>nb_clients</t>
        </is>
      </c>
      <c r="C43" t="inlineStr"/>
      <c r="D43" t="inlineStr">
        <is>
          <t>Raccordements actifs</t>
        </is>
      </c>
    </row>
    <row r="44">
      <c r="A44" t="inlineStr">
        <is>
          <t>C</t>
        </is>
      </c>
      <c r="B44" t="inlineStr">
        <is>
          <t>conso_moyenne_kwh_client_mois</t>
        </is>
      </c>
      <c r="C44" t="inlineStr">
        <is>
          <t>kWh/mois</t>
        </is>
      </c>
      <c r="D44" t="inlineStr"/>
    </row>
    <row r="45">
      <c r="A45" t="inlineStr">
        <is>
          <t>C</t>
        </is>
      </c>
      <c r="B45" t="inlineStr">
        <is>
          <t>cout_distribution_usd</t>
        </is>
      </c>
      <c r="C45" t="inlineStr">
        <is>
          <t>USD</t>
        </is>
      </c>
      <c r="D45" t="inlineStr">
        <is>
          <t>Réseau BT, branchements, compteurs</t>
        </is>
      </c>
    </row>
    <row r="46">
      <c r="A46" t="inlineStr">
        <is>
          <t>C</t>
        </is>
      </c>
      <c r="B46" t="inlineStr">
        <is>
          <t>tarif_client</t>
        </is>
      </c>
      <c r="C46" t="inlineStr">
        <is>
          <t>devise/kWh</t>
        </is>
      </c>
      <c r="D46" t="inlineStr">
        <is>
          <t>Ou forfait, préciser</t>
        </is>
      </c>
    </row>
    <row r="47">
      <c r="A47" t="inlineStr">
        <is>
          <t>C</t>
        </is>
      </c>
      <c r="B47" t="inlineStr">
        <is>
          <t>subvention_usd</t>
        </is>
      </c>
      <c r="C47" t="inlineStr">
        <is>
          <t>USD</t>
        </is>
      </c>
      <c r="D47" t="inlineStr">
        <is>
          <t>Subvention d'investissement ou par branchement</t>
        </is>
      </c>
    </row>
    <row r="48">
      <c r="A48" t="inlineStr">
        <is>
          <t>C</t>
        </is>
      </c>
      <c r="B48" t="inlineStr">
        <is>
          <t>operateur</t>
        </is>
      </c>
      <c r="C48" t="inlineStr"/>
      <c r="D48" t="inlineStr">
        <is>
          <t>Privé, public, communautaire</t>
        </is>
      </c>
    </row>
    <row r="49">
      <c r="A49" t="inlineStr">
        <is>
          <t>C</t>
        </is>
      </c>
      <c r="B49" t="inlineStr">
        <is>
          <t>client_ancrage</t>
        </is>
      </c>
      <c r="C49" t="inlineStr">
        <is>
          <t>oui/non</t>
        </is>
      </c>
      <c r="D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region</t>
        </is>
      </c>
      <c r="B1" s="2" t="inlineStr">
        <is>
          <t>iso3</t>
        </is>
      </c>
      <c r="C1" s="2" t="inlineStr">
        <is>
          <t>pays</t>
        </is>
      </c>
      <c r="D1" s="2" t="inlineStr">
        <is>
          <t>nb_projets_A</t>
        </is>
      </c>
      <c r="E1" s="2" t="inlineStr">
        <is>
          <t>nb_projets_B</t>
        </is>
      </c>
      <c r="F1" s="2" t="inlineStr">
        <is>
          <t>nb_projets_C</t>
        </is>
      </c>
    </row>
    <row r="2">
      <c r="A2" t="inlineStr">
        <is>
          <t>Afrique du Nord</t>
        </is>
      </c>
      <c r="B2" t="inlineStr">
        <is>
          <t>MAR</t>
        </is>
      </c>
      <c r="C2" t="inlineStr">
        <is>
          <t>Maroc</t>
        </is>
      </c>
      <c r="D2">
        <f>COUNTIF(Volet_A!B:B,B2)</f>
        <v/>
      </c>
      <c r="E2">
        <f>COUNTIF(Volet_B!B:B,B2)</f>
        <v/>
      </c>
      <c r="F2">
        <f>COUNTIF(Volet_C!B:B,B2)</f>
        <v/>
      </c>
    </row>
    <row r="3">
      <c r="A3" t="inlineStr">
        <is>
          <t>Afrique du Nord</t>
        </is>
      </c>
      <c r="B3" t="inlineStr">
        <is>
          <t>EGY</t>
        </is>
      </c>
      <c r="C3" t="inlineStr">
        <is>
          <t>Égypte</t>
        </is>
      </c>
      <c r="D3">
        <f>COUNTIF(Volet_A!B:B,B3)</f>
        <v/>
      </c>
      <c r="E3">
        <f>COUNTIF(Volet_B!B:B,B3)</f>
        <v/>
      </c>
      <c r="F3">
        <f>COUNTIF(Volet_C!B:B,B3)</f>
        <v/>
      </c>
    </row>
    <row r="4">
      <c r="A4" t="inlineStr">
        <is>
          <t>Afrique du Nord</t>
        </is>
      </c>
      <c r="B4" t="inlineStr">
        <is>
          <t>TUN</t>
        </is>
      </c>
      <c r="C4" t="inlineStr">
        <is>
          <t>Tunisie</t>
        </is>
      </c>
      <c r="D4">
        <f>COUNTIF(Volet_A!B:B,B4)</f>
        <v/>
      </c>
      <c r="E4">
        <f>COUNTIF(Volet_B!B:B,B4)</f>
        <v/>
      </c>
      <c r="F4">
        <f>COUNTIF(Volet_C!B:B,B4)</f>
        <v/>
      </c>
    </row>
    <row r="5">
      <c r="A5" t="inlineStr">
        <is>
          <t>Afrique du Nord</t>
        </is>
      </c>
      <c r="B5" t="inlineStr">
        <is>
          <t>DZA</t>
        </is>
      </c>
      <c r="C5" t="inlineStr">
        <is>
          <t>Algérie</t>
        </is>
      </c>
      <c r="D5">
        <f>COUNTIF(Volet_A!B:B,B5)</f>
        <v/>
      </c>
      <c r="E5">
        <f>COUNTIF(Volet_B!B:B,B5)</f>
        <v/>
      </c>
      <c r="F5">
        <f>COUNTIF(Volet_C!B:B,B5)</f>
        <v/>
      </c>
    </row>
    <row r="6">
      <c r="A6" t="inlineStr">
        <is>
          <t>Afrique du Nord</t>
        </is>
      </c>
      <c r="B6" t="inlineStr">
        <is>
          <t>MRT</t>
        </is>
      </c>
      <c r="C6" t="inlineStr">
        <is>
          <t>Mauritanie</t>
        </is>
      </c>
      <c r="D6">
        <f>COUNTIF(Volet_A!B:B,B6)</f>
        <v/>
      </c>
      <c r="E6">
        <f>COUNTIF(Volet_B!B:B,B6)</f>
        <v/>
      </c>
      <c r="F6">
        <f>COUNTIF(Volet_C!B:B,B6)</f>
        <v/>
      </c>
    </row>
    <row r="7">
      <c r="A7" t="inlineStr">
        <is>
          <t>Afrique de l'Ouest</t>
        </is>
      </c>
      <c r="B7" t="inlineStr">
        <is>
          <t>SEN</t>
        </is>
      </c>
      <c r="C7" t="inlineStr">
        <is>
          <t>Sénégal</t>
        </is>
      </c>
      <c r="D7">
        <f>COUNTIF(Volet_A!B:B,B7)</f>
        <v/>
      </c>
      <c r="E7">
        <f>COUNTIF(Volet_B!B:B,B7)</f>
        <v/>
      </c>
      <c r="F7">
        <f>COUNTIF(Volet_C!B:B,B7)</f>
        <v/>
      </c>
    </row>
    <row r="8">
      <c r="A8" t="inlineStr">
        <is>
          <t>Afrique de l'Ouest</t>
        </is>
      </c>
      <c r="B8" t="inlineStr">
        <is>
          <t>CIV</t>
        </is>
      </c>
      <c r="C8" t="inlineStr">
        <is>
          <t>Côte d'Ivoire</t>
        </is>
      </c>
      <c r="D8">
        <f>COUNTIF(Volet_A!B:B,B8)</f>
        <v/>
      </c>
      <c r="E8">
        <f>COUNTIF(Volet_B!B:B,B8)</f>
        <v/>
      </c>
      <c r="F8">
        <f>COUNTIF(Volet_C!B:B,B8)</f>
        <v/>
      </c>
    </row>
    <row r="9">
      <c r="A9" t="inlineStr">
        <is>
          <t>Afrique de l'Ouest</t>
        </is>
      </c>
      <c r="B9" t="inlineStr">
        <is>
          <t>GHA</t>
        </is>
      </c>
      <c r="C9" t="inlineStr">
        <is>
          <t>Ghana</t>
        </is>
      </c>
      <c r="D9">
        <f>COUNTIF(Volet_A!B:B,B9)</f>
        <v/>
      </c>
      <c r="E9">
        <f>COUNTIF(Volet_B!B:B,B9)</f>
        <v/>
      </c>
      <c r="F9">
        <f>COUNTIF(Volet_C!B:B,B9)</f>
        <v/>
      </c>
    </row>
    <row r="10">
      <c r="A10" t="inlineStr">
        <is>
          <t>Afrique de l'Ouest</t>
        </is>
      </c>
      <c r="B10" t="inlineStr">
        <is>
          <t>BFA</t>
        </is>
      </c>
      <c r="C10" t="inlineStr">
        <is>
          <t>Burkina Faso</t>
        </is>
      </c>
      <c r="D10">
        <f>COUNTIF(Volet_A!B:B,B10)</f>
        <v/>
      </c>
      <c r="E10">
        <f>COUNTIF(Volet_B!B:B,B10)</f>
        <v/>
      </c>
      <c r="F10">
        <f>COUNTIF(Volet_C!B:B,B10)</f>
        <v/>
      </c>
    </row>
    <row r="11">
      <c r="A11" t="inlineStr">
        <is>
          <t>Afrique de l'Ouest</t>
        </is>
      </c>
      <c r="B11" t="inlineStr">
        <is>
          <t>MLI</t>
        </is>
      </c>
      <c r="C11" t="inlineStr">
        <is>
          <t>Mali</t>
        </is>
      </c>
      <c r="D11">
        <f>COUNTIF(Volet_A!B:B,B11)</f>
        <v/>
      </c>
      <c r="E11">
        <f>COUNTIF(Volet_B!B:B,B11)</f>
        <v/>
      </c>
      <c r="F11">
        <f>COUNTIF(Volet_C!B:B,B11)</f>
        <v/>
      </c>
    </row>
    <row r="12">
      <c r="A12" t="inlineStr">
        <is>
          <t>Afrique de l'Ouest</t>
        </is>
      </c>
      <c r="B12" t="inlineStr">
        <is>
          <t>NER</t>
        </is>
      </c>
      <c r="C12" t="inlineStr">
        <is>
          <t>Niger</t>
        </is>
      </c>
      <c r="D12">
        <f>COUNTIF(Volet_A!B:B,B12)</f>
        <v/>
      </c>
      <c r="E12">
        <f>COUNTIF(Volet_B!B:B,B12)</f>
        <v/>
      </c>
      <c r="F12">
        <f>COUNTIF(Volet_C!B:B,B12)</f>
        <v/>
      </c>
    </row>
    <row r="13">
      <c r="A13" t="inlineStr">
        <is>
          <t>Afrique centrale</t>
        </is>
      </c>
      <c r="B13" t="inlineStr">
        <is>
          <t>CMR</t>
        </is>
      </c>
      <c r="C13" t="inlineStr">
        <is>
          <t>Cameroun</t>
        </is>
      </c>
      <c r="D13">
        <f>COUNTIF(Volet_A!B:B,B13)</f>
        <v/>
      </c>
      <c r="E13">
        <f>COUNTIF(Volet_B!B:B,B13)</f>
        <v/>
      </c>
      <c r="F13">
        <f>COUNTIF(Volet_C!B:B,B13)</f>
        <v/>
      </c>
    </row>
    <row r="14">
      <c r="A14" t="inlineStr">
        <is>
          <t>Afrique centrale</t>
        </is>
      </c>
      <c r="B14" t="inlineStr">
        <is>
          <t>COG</t>
        </is>
      </c>
      <c r="C14" t="inlineStr">
        <is>
          <t>Congo</t>
        </is>
      </c>
      <c r="D14">
        <f>COUNTIF(Volet_A!B:B,B14)</f>
        <v/>
      </c>
      <c r="E14">
        <f>COUNTIF(Volet_B!B:B,B14)</f>
        <v/>
      </c>
      <c r="F14">
        <f>COUNTIF(Volet_C!B:B,B14)</f>
        <v/>
      </c>
    </row>
    <row r="15">
      <c r="A15" t="inlineStr">
        <is>
          <t>Afrique centrale</t>
        </is>
      </c>
      <c r="B15" t="inlineStr">
        <is>
          <t>TCD</t>
        </is>
      </c>
      <c r="C15" t="inlineStr">
        <is>
          <t>Tchad</t>
        </is>
      </c>
      <c r="D15">
        <f>COUNTIF(Volet_A!B:B,B15)</f>
        <v/>
      </c>
      <c r="E15">
        <f>COUNTIF(Volet_B!B:B,B15)</f>
        <v/>
      </c>
      <c r="F15">
        <f>COUNTIF(Volet_C!B:B,B15)</f>
        <v/>
      </c>
    </row>
    <row r="16">
      <c r="A16" t="inlineStr">
        <is>
          <t>Afrique centrale</t>
        </is>
      </c>
      <c r="B16" t="inlineStr">
        <is>
          <t>GAB</t>
        </is>
      </c>
      <c r="C16" t="inlineStr">
        <is>
          <t>Gabon</t>
        </is>
      </c>
      <c r="D16">
        <f>COUNTIF(Volet_A!B:B,B16)</f>
        <v/>
      </c>
      <c r="E16">
        <f>COUNTIF(Volet_B!B:B,B16)</f>
        <v/>
      </c>
      <c r="F16">
        <f>COUNTIF(Volet_C!B:B,B16)</f>
        <v/>
      </c>
    </row>
    <row r="17">
      <c r="A17" t="inlineStr">
        <is>
          <t>Afrique centrale</t>
        </is>
      </c>
      <c r="B17" t="inlineStr">
        <is>
          <t>COD</t>
        </is>
      </c>
      <c r="C17" t="inlineStr">
        <is>
          <t>RDC</t>
        </is>
      </c>
      <c r="D17">
        <f>COUNTIF(Volet_A!B:B,B17)</f>
        <v/>
      </c>
      <c r="E17">
        <f>COUNTIF(Volet_B!B:B,B17)</f>
        <v/>
      </c>
      <c r="F17">
        <f>COUNTIF(Volet_C!B:B,B17)</f>
        <v/>
      </c>
    </row>
    <row r="18">
      <c r="A18" t="inlineStr">
        <is>
          <t>Afrique de l'Est</t>
        </is>
      </c>
      <c r="B18" t="inlineStr">
        <is>
          <t>KEN</t>
        </is>
      </c>
      <c r="C18" t="inlineStr">
        <is>
          <t>Kenya</t>
        </is>
      </c>
      <c r="D18">
        <f>COUNTIF(Volet_A!B:B,B18)</f>
        <v/>
      </c>
      <c r="E18">
        <f>COUNTIF(Volet_B!B:B,B18)</f>
        <v/>
      </c>
      <c r="F18">
        <f>COUNTIF(Volet_C!B:B,B18)</f>
        <v/>
      </c>
    </row>
    <row r="19">
      <c r="A19" t="inlineStr">
        <is>
          <t>Afrique de l'Est</t>
        </is>
      </c>
      <c r="B19" t="inlineStr">
        <is>
          <t>ETH</t>
        </is>
      </c>
      <c r="C19" t="inlineStr">
        <is>
          <t>Éthiopie</t>
        </is>
      </c>
      <c r="D19">
        <f>COUNTIF(Volet_A!B:B,B19)</f>
        <v/>
      </c>
      <c r="E19">
        <f>COUNTIF(Volet_B!B:B,B19)</f>
        <v/>
      </c>
      <c r="F19">
        <f>COUNTIF(Volet_C!B:B,B19)</f>
        <v/>
      </c>
    </row>
    <row r="20">
      <c r="A20" t="inlineStr">
        <is>
          <t>Afrique de l'Est</t>
        </is>
      </c>
      <c r="B20" t="inlineStr">
        <is>
          <t>UGA</t>
        </is>
      </c>
      <c r="C20" t="inlineStr">
        <is>
          <t>Ouganda</t>
        </is>
      </c>
      <c r="D20">
        <f>COUNTIF(Volet_A!B:B,B20)</f>
        <v/>
      </c>
      <c r="E20">
        <f>COUNTIF(Volet_B!B:B,B20)</f>
        <v/>
      </c>
      <c r="F20">
        <f>COUNTIF(Volet_C!B:B,B20)</f>
        <v/>
      </c>
    </row>
    <row r="21">
      <c r="A21" t="inlineStr">
        <is>
          <t>Afrique de l'Est</t>
        </is>
      </c>
      <c r="B21" t="inlineStr">
        <is>
          <t>RWA</t>
        </is>
      </c>
      <c r="C21" t="inlineStr">
        <is>
          <t>Rwanda</t>
        </is>
      </c>
      <c r="D21">
        <f>COUNTIF(Volet_A!B:B,B21)</f>
        <v/>
      </c>
      <c r="E21">
        <f>COUNTIF(Volet_B!B:B,B21)</f>
        <v/>
      </c>
      <c r="F21">
        <f>COUNTIF(Volet_C!B:B,B21)</f>
        <v/>
      </c>
    </row>
    <row r="22">
      <c r="A22" t="inlineStr">
        <is>
          <t>Afrique de l'Est</t>
        </is>
      </c>
      <c r="B22" t="inlineStr">
        <is>
          <t>TZA</t>
        </is>
      </c>
      <c r="C22" t="inlineStr">
        <is>
          <t>Tanzanie</t>
        </is>
      </c>
      <c r="D22">
        <f>COUNTIF(Volet_A!B:B,B22)</f>
        <v/>
      </c>
      <c r="E22">
        <f>COUNTIF(Volet_B!B:B,B22)</f>
        <v/>
      </c>
      <c r="F22">
        <f>COUNTIF(Volet_C!B:B,B22)</f>
        <v/>
      </c>
    </row>
    <row r="23">
      <c r="A23" t="inlineStr">
        <is>
          <t>Afrique australe</t>
        </is>
      </c>
      <c r="B23" t="inlineStr">
        <is>
          <t>ZAF</t>
        </is>
      </c>
      <c r="C23" t="inlineStr">
        <is>
          <t>Afrique du Sud</t>
        </is>
      </c>
      <c r="D23">
        <f>COUNTIF(Volet_A!B:B,B23)</f>
        <v/>
      </c>
      <c r="E23">
        <f>COUNTIF(Volet_B!B:B,B23)</f>
        <v/>
      </c>
      <c r="F23">
        <f>COUNTIF(Volet_C!B:B,B23)</f>
        <v/>
      </c>
    </row>
    <row r="24">
      <c r="A24" t="inlineStr">
        <is>
          <t>Afrique australe</t>
        </is>
      </c>
      <c r="B24" t="inlineStr">
        <is>
          <t>ZMB</t>
        </is>
      </c>
      <c r="C24" t="inlineStr">
        <is>
          <t>Zambie</t>
        </is>
      </c>
      <c r="D24">
        <f>COUNTIF(Volet_A!B:B,B24)</f>
        <v/>
      </c>
      <c r="E24">
        <f>COUNTIF(Volet_B!B:B,B24)</f>
        <v/>
      </c>
      <c r="F24">
        <f>COUNTIF(Volet_C!B:B,B24)</f>
        <v/>
      </c>
    </row>
    <row r="25">
      <c r="A25" t="inlineStr">
        <is>
          <t>Afrique australe</t>
        </is>
      </c>
      <c r="B25" t="inlineStr">
        <is>
          <t>NAM</t>
        </is>
      </c>
      <c r="C25" t="inlineStr">
        <is>
          <t>Namibie</t>
        </is>
      </c>
      <c r="D25">
        <f>COUNTIF(Volet_A!B:B,B25)</f>
        <v/>
      </c>
      <c r="E25">
        <f>COUNTIF(Volet_B!B:B,B25)</f>
        <v/>
      </c>
      <c r="F25">
        <f>COUNTIF(Volet_C!B:B,B25)</f>
        <v/>
      </c>
    </row>
    <row r="26">
      <c r="A26" t="inlineStr">
        <is>
          <t>Afrique australe</t>
        </is>
      </c>
      <c r="B26" t="inlineStr">
        <is>
          <t>ZWE</t>
        </is>
      </c>
      <c r="C26" t="inlineStr">
        <is>
          <t>Zimbabwe</t>
        </is>
      </c>
      <c r="D26">
        <f>COUNTIF(Volet_A!B:B,B26)</f>
        <v/>
      </c>
      <c r="E26">
        <f>COUNTIF(Volet_B!B:B,B26)</f>
        <v/>
      </c>
      <c r="F26">
        <f>COUNTIF(Volet_C!B:B,B26)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5" customWidth="1" min="5" max="5"/>
    <col width="12" customWidth="1" min="6" max="6"/>
    <col width="21" customWidth="1" min="7" max="7"/>
    <col width="25" customWidth="1" min="8" max="8"/>
    <col width="17" customWidth="1" min="9" max="9"/>
    <col width="18" customWidth="1" min="10" max="10"/>
    <col width="16" customWidth="1" min="11" max="11"/>
    <col width="15" customWidth="1" min="12" max="12"/>
    <col width="15" customWidth="1" min="13" max="13"/>
    <col width="16" customWidth="1" min="14" max="14"/>
    <col width="20" customWidth="1" min="15" max="15"/>
    <col width="17" customWidth="1" min="16" max="16"/>
    <col width="18" customWidth="1" min="17" max="17"/>
    <col width="21" customWidth="1" min="18" max="18"/>
    <col width="21" customWidth="1" min="19" max="19"/>
    <col width="18" customWidth="1" min="20" max="20"/>
    <col width="14" customWidth="1" min="21" max="21"/>
    <col width="14" customWidth="1" min="22" max="22"/>
    <col width="15" customWidth="1" min="23" max="23"/>
    <col width="12" customWidth="1" min="24" max="24"/>
    <col width="12" customWidth="1" min="25" max="25"/>
    <col width="16" customWidth="1" min="26" max="26"/>
    <col width="20" customWidth="1" min="27" max="27"/>
    <col width="13" customWidth="1" min="28" max="28"/>
    <col width="13" customWidth="1" min="29" max="29"/>
    <col width="13" customWidth="1" min="30" max="30"/>
    <col width="16" customWidth="1" min="31" max="31"/>
    <col width="12" customWidth="1" min="32" max="32"/>
    <col width="21" customWidth="1" min="33" max="33"/>
    <col width="12" customWidth="1" min="34" max="34"/>
    <col width="12" customWidth="1" min="35" max="35"/>
    <col width="29" customWidth="1" min="36" max="36"/>
  </cols>
  <sheetData>
    <row r="1">
      <c r="A1" s="2" t="inlineStr">
        <is>
          <t>projet_id</t>
        </is>
      </c>
      <c r="B1" s="2" t="inlineStr">
        <is>
          <t>pays_iso3</t>
        </is>
      </c>
      <c r="C1" s="2" t="inlineStr">
        <is>
          <t>nom</t>
        </is>
      </c>
      <c r="D1" s="2" t="inlineStr">
        <is>
          <t>localisation</t>
        </is>
      </c>
      <c r="E1" s="2" t="inlineStr">
        <is>
          <t>developpeur</t>
        </is>
      </c>
      <c r="F1" s="2" t="inlineStr">
        <is>
          <t>statut</t>
        </is>
      </c>
      <c r="G1" s="2" t="inlineStr">
        <is>
          <t>annee_attribution</t>
        </is>
      </c>
      <c r="H1" s="2" t="inlineStr">
        <is>
          <t>annee_mise_en_service</t>
        </is>
      </c>
      <c r="I1" s="2" t="inlineStr">
        <is>
          <t>puissance_mwp</t>
        </is>
      </c>
      <c r="J1" s="2" t="inlineStr">
        <is>
          <t>puissance_mwac</t>
        </is>
      </c>
      <c r="K1" s="2" t="inlineStr">
        <is>
          <t>stockage_mwh</t>
        </is>
      </c>
      <c r="L1" s="2" t="inlineStr">
        <is>
          <t>technologie</t>
        </is>
      </c>
      <c r="M1" s="2" t="inlineStr">
        <is>
          <t>capex_total</t>
        </is>
      </c>
      <c r="N1" s="2" t="inlineStr">
        <is>
          <t>capex_devise</t>
        </is>
      </c>
      <c r="O1" s="2" t="inlineStr">
        <is>
          <t>capex_annee_prix</t>
        </is>
      </c>
      <c r="P1" s="2" t="inlineStr">
        <is>
          <t>capex_usd_kwp</t>
        </is>
      </c>
      <c r="Q1" s="2" t="inlineStr">
        <is>
          <t>capex_usd_kwac</t>
        </is>
      </c>
      <c r="R1" s="2" t="inlineStr">
        <is>
          <t>production_gwh_an</t>
        </is>
      </c>
      <c r="S1" s="2" t="inlineStr">
        <is>
          <t>facteur_charge_ac</t>
        </is>
      </c>
      <c r="T1" s="2" t="inlineStr">
        <is>
          <t>opex_usd_kw_an</t>
        </is>
      </c>
      <c r="U1" s="2" t="inlineStr">
        <is>
          <t>dette_part</t>
        </is>
      </c>
      <c r="V1" s="2" t="inlineStr">
        <is>
          <t>dette_taux</t>
        </is>
      </c>
      <c r="W1" s="2" t="inlineStr">
        <is>
          <t>dette_duree</t>
        </is>
      </c>
      <c r="X1" s="2" t="inlineStr">
        <is>
          <t>wacc</t>
        </is>
      </c>
      <c r="Y1" s="2" t="inlineStr">
        <is>
          <t>tarif</t>
        </is>
      </c>
      <c r="Z1" s="2" t="inlineStr">
        <is>
          <t>tarif_devise</t>
        </is>
      </c>
      <c r="AA1" s="2" t="inlineStr">
        <is>
          <t>tarif_indexation</t>
        </is>
      </c>
      <c r="AB1" s="2" t="inlineStr">
        <is>
          <t>ppa_duree</t>
        </is>
      </c>
      <c r="AC1" s="2" t="inlineStr">
        <is>
          <t>procedure</t>
        </is>
      </c>
      <c r="AD1" s="2" t="inlineStr">
        <is>
          <t>garanties</t>
        </is>
      </c>
      <c r="AE1" s="2" t="inlineStr">
        <is>
          <t>lcoe_usd_mwh</t>
        </is>
      </c>
      <c r="AF1" s="2" t="inlineStr">
        <is>
          <t>sources</t>
        </is>
      </c>
      <c r="AG1" s="2" t="inlineStr">
        <is>
          <t>fiabilite_globale</t>
        </is>
      </c>
      <c r="AH1" s="2" t="inlineStr">
        <is>
          <t>notes</t>
        </is>
      </c>
      <c r="AI1" s="2" t="inlineStr">
        <is>
          <t>acheteur</t>
        </is>
      </c>
      <c r="AJ1" s="2" t="inlineStr">
        <is>
          <t>raccordement_inclus_capex</t>
        </is>
      </c>
    </row>
    <row r="2">
      <c r="A2" t="inlineStr">
        <is>
          <t>A-ZMB-001</t>
        </is>
      </c>
      <c r="B2" t="inlineStr">
        <is>
          <t>ZMB</t>
        </is>
      </c>
      <c r="C2" t="inlineStr">
        <is>
          <t>Bangweulu (Scaling Solar)</t>
        </is>
      </c>
      <c r="E2" t="inlineStr">
        <is>
          <t>Neoen / First Solar</t>
        </is>
      </c>
      <c r="F2" t="inlineStr">
        <is>
          <t>en service</t>
        </is>
      </c>
      <c r="G2" t="n">
        <v>2016</v>
      </c>
      <c r="H2" t="n">
        <v>2019</v>
      </c>
      <c r="J2" t="n">
        <v>54</v>
      </c>
      <c r="Y2" t="n">
        <v>0.06015</v>
      </c>
      <c r="Z2" t="inlineStr">
        <is>
          <t>USD</t>
        </is>
      </c>
      <c r="AC2" t="inlineStr">
        <is>
          <t>Appel d'offres concurrentiel</t>
        </is>
      </c>
      <c r="AF2" t="inlineStr">
        <is>
          <t>S03;S04;S05</t>
        </is>
      </c>
      <c r="AH2" t="inlineStr">
        <is>
          <t>Capacité 54 MW (S03) vs 56 MW (S05)</t>
        </is>
      </c>
    </row>
    <row r="3">
      <c r="A3" t="inlineStr">
        <is>
          <t>A-ZMB-002</t>
        </is>
      </c>
      <c r="B3" t="inlineStr">
        <is>
          <t>ZMB</t>
        </is>
      </c>
      <c r="C3" t="inlineStr">
        <is>
          <t>Ngonye (Scaling Solar)</t>
        </is>
      </c>
      <c r="E3" t="inlineStr">
        <is>
          <t>Enel</t>
        </is>
      </c>
      <c r="F3" t="inlineStr">
        <is>
          <t>en service</t>
        </is>
      </c>
      <c r="G3" t="n">
        <v>2016</v>
      </c>
      <c r="H3" t="n">
        <v>2019</v>
      </c>
      <c r="J3" t="n">
        <v>34</v>
      </c>
      <c r="Y3" t="n">
        <v>0.0784</v>
      </c>
      <c r="Z3" t="inlineStr">
        <is>
          <t>USD</t>
        </is>
      </c>
      <c r="AC3" t="inlineStr">
        <is>
          <t>Appel d'offres concurrentiel</t>
        </is>
      </c>
      <c r="AF3" t="inlineStr">
        <is>
          <t>S04;S05</t>
        </is>
      </c>
      <c r="AH3" t="inlineStr"/>
    </row>
    <row r="4">
      <c r="A4" t="inlineStr">
        <is>
          <t>A-SEN-001</t>
        </is>
      </c>
      <c r="B4" t="inlineStr">
        <is>
          <t>SEN</t>
        </is>
      </c>
      <c r="C4" t="inlineStr">
        <is>
          <t>Kael (Scaling Solar)</t>
        </is>
      </c>
      <c r="E4" t="inlineStr">
        <is>
          <t>Engie / Meridiam / FONSIS</t>
        </is>
      </c>
      <c r="F4" t="inlineStr">
        <is>
          <t>en service</t>
        </is>
      </c>
      <c r="G4" t="n">
        <v>2018</v>
      </c>
      <c r="H4" t="n">
        <v>2021</v>
      </c>
      <c r="Y4" t="n">
        <v>0.0398</v>
      </c>
      <c r="Z4" t="inlineStr">
        <is>
          <t>EUR</t>
        </is>
      </c>
      <c r="AC4" t="inlineStr">
        <is>
          <t>Appel d'offres concurrentiel</t>
        </is>
      </c>
      <c r="AF4" t="inlineStr">
        <is>
          <t>S06;S07</t>
        </is>
      </c>
      <c r="AH4" t="inlineStr">
        <is>
          <t>Une source (AE-Africa) place ce tarif à Touba : erreur probable</t>
        </is>
      </c>
    </row>
    <row r="5">
      <c r="A5" t="inlineStr">
        <is>
          <t>A-SEN-002</t>
        </is>
      </c>
      <c r="B5" t="inlineStr">
        <is>
          <t>SEN</t>
        </is>
      </c>
      <c r="C5" t="inlineStr">
        <is>
          <t>Kahone (Scaling Solar)</t>
        </is>
      </c>
      <c r="E5" t="inlineStr">
        <is>
          <t>Engie / Meridiam / FONSIS</t>
        </is>
      </c>
      <c r="F5" t="inlineStr">
        <is>
          <t>en service</t>
        </is>
      </c>
      <c r="G5" t="n">
        <v>2018</v>
      </c>
      <c r="H5" t="n">
        <v>2021</v>
      </c>
      <c r="Y5" t="n">
        <v>0.038</v>
      </c>
      <c r="Z5" t="inlineStr">
        <is>
          <t>EUR</t>
        </is>
      </c>
      <c r="AC5" t="inlineStr">
        <is>
          <t>Appel d'offres concurrentiel</t>
        </is>
      </c>
      <c r="AF5" t="inlineStr">
        <is>
          <t>S06;S07</t>
        </is>
      </c>
      <c r="AH5" t="inlineStr">
        <is>
          <t>Kael + Kahone = 60 MWac au total (S07)</t>
        </is>
      </c>
    </row>
    <row r="6">
      <c r="A6" t="inlineStr">
        <is>
          <t>A-EGY-001</t>
        </is>
      </c>
      <c r="B6" t="inlineStr">
        <is>
          <t>EGY</t>
        </is>
      </c>
      <c r="C6" t="inlineStr">
        <is>
          <t>Benban Solar Park (32 centrales)</t>
        </is>
      </c>
      <c r="E6" t="inlineStr">
        <is>
          <t>Multiples</t>
        </is>
      </c>
      <c r="F6" t="inlineStr">
        <is>
          <t>à vérifier</t>
        </is>
      </c>
      <c r="AC6" t="inlineStr">
        <is>
          <t>Tarif d'achat garanti (FiT) rounds 1 et 2</t>
        </is>
      </c>
      <c r="AF6" t="inlineStr"/>
      <c r="AH6" t="inlineStr">
        <is>
          <t>1 465 MW et ~1,9 Md USD selon presse égyptienne ; tarif round 2 non vérifié. À éclater en une ligne par centrale</t>
        </is>
      </c>
    </row>
    <row r="7">
      <c r="A7" t="inlineStr">
        <is>
          <t>A-MAR-001</t>
        </is>
      </c>
      <c r="B7" t="inlineStr">
        <is>
          <t>MAR</t>
        </is>
      </c>
      <c r="C7" t="inlineStr">
        <is>
          <t>Noor Ouarzazate IV (PV)</t>
        </is>
      </c>
      <c r="E7" t="inlineStr"/>
      <c r="F7" t="inlineStr">
        <is>
          <t>à vérifier</t>
        </is>
      </c>
      <c r="AC7" t="inlineStr"/>
      <c r="AF7" t="inlineStr"/>
      <c r="AH7" t="inlineStr"/>
    </row>
    <row r="8">
      <c r="A8" t="inlineStr">
        <is>
          <t>A-BFA-001</t>
        </is>
      </c>
      <c r="B8" t="inlineStr">
        <is>
          <t>BFA</t>
        </is>
      </c>
      <c r="C8" t="inlineStr">
        <is>
          <t>Zagtouli</t>
        </is>
      </c>
      <c r="E8" t="inlineStr"/>
      <c r="F8" t="inlineStr">
        <is>
          <t>à vérifier</t>
        </is>
      </c>
      <c r="AC8" t="inlineStr"/>
      <c r="AF8" t="inlineStr"/>
      <c r="AH8" t="inlineStr"/>
    </row>
    <row r="9">
      <c r="A9" t="inlineStr">
        <is>
          <t>A-ZAF-001</t>
        </is>
      </c>
      <c r="B9" t="inlineStr">
        <is>
          <t>ZAF</t>
        </is>
      </c>
      <c r="C9" t="inlineStr">
        <is>
          <t>REIPPPP — projets PV (par fenêtre)</t>
        </is>
      </c>
      <c r="E9" t="inlineStr">
        <is>
          <t>Multiples</t>
        </is>
      </c>
      <c r="F9" t="inlineStr">
        <is>
          <t>à vérifier</t>
        </is>
      </c>
      <c r="AC9" t="inlineStr">
        <is>
          <t>Appel d'offres concurrentiel</t>
        </is>
      </c>
      <c r="AF9" t="inlineStr"/>
      <c r="AH9" t="inlineStr">
        <is>
          <t>À éclater en une ligne par projet à partir des documents du DMRE/IPP Office</t>
        </is>
      </c>
    </row>
  </sheetData>
  <dataValidations count="2">
    <dataValidation sqref="F2:F2000" showDropDown="0" showInputMessage="0" showErrorMessage="0" allowBlank="1" type="list">
      <formula1>"en service,en construction,attribué,annoncé,à vérifier,abandonné"</formula1>
    </dataValidation>
    <dataValidation sqref="AG2:AG2000" showDropDown="0" showInputMessage="0" showErrorMessage="0" allowBlank="1" type="list">
      <formula1>"A - document primaire,B - institution/développeur,C - presse spécialisée,D - source secondaire non recoupée"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5" customWidth="1" min="5" max="5"/>
    <col width="12" customWidth="1" min="6" max="6"/>
    <col width="21" customWidth="1" min="7" max="7"/>
    <col width="25" customWidth="1" min="8" max="8"/>
    <col width="17" customWidth="1" min="9" max="9"/>
    <col width="18" customWidth="1" min="10" max="10"/>
    <col width="16" customWidth="1" min="11" max="11"/>
    <col width="15" customWidth="1" min="12" max="12"/>
    <col width="15" customWidth="1" min="13" max="13"/>
    <col width="16" customWidth="1" min="14" max="14"/>
    <col width="20" customWidth="1" min="15" max="15"/>
    <col width="17" customWidth="1" min="16" max="16"/>
    <col width="18" customWidth="1" min="17" max="17"/>
    <col width="21" customWidth="1" min="18" max="18"/>
    <col width="21" customWidth="1" min="19" max="19"/>
    <col width="18" customWidth="1" min="20" max="20"/>
    <col width="14" customWidth="1" min="21" max="21"/>
    <col width="14" customWidth="1" min="22" max="22"/>
    <col width="15" customWidth="1" min="23" max="23"/>
    <col width="12" customWidth="1" min="24" max="24"/>
    <col width="12" customWidth="1" min="25" max="25"/>
    <col width="16" customWidth="1" min="26" max="26"/>
    <col width="20" customWidth="1" min="27" max="27"/>
    <col width="13" customWidth="1" min="28" max="28"/>
    <col width="13" customWidth="1" min="29" max="29"/>
    <col width="13" customWidth="1" min="30" max="30"/>
    <col width="16" customWidth="1" min="31" max="31"/>
    <col width="12" customWidth="1" min="32" max="32"/>
    <col width="21" customWidth="1" min="33" max="33"/>
    <col width="12" customWidth="1" min="34" max="34"/>
    <col width="12" customWidth="1" min="35" max="35"/>
    <col width="21" customWidth="1" min="36" max="36"/>
    <col width="29" customWidth="1" min="37" max="37"/>
    <col width="27" customWidth="1" min="38" max="38"/>
    <col width="14" customWidth="1" min="39" max="39"/>
  </cols>
  <sheetData>
    <row r="1">
      <c r="A1" s="2" t="inlineStr">
        <is>
          <t>projet_id</t>
        </is>
      </c>
      <c r="B1" s="2" t="inlineStr">
        <is>
          <t>pays_iso3</t>
        </is>
      </c>
      <c r="C1" s="2" t="inlineStr">
        <is>
          <t>nom</t>
        </is>
      </c>
      <c r="D1" s="2" t="inlineStr">
        <is>
          <t>localisation</t>
        </is>
      </c>
      <c r="E1" s="2" t="inlineStr">
        <is>
          <t>developpeur</t>
        </is>
      </c>
      <c r="F1" s="2" t="inlineStr">
        <is>
          <t>statut</t>
        </is>
      </c>
      <c r="G1" s="2" t="inlineStr">
        <is>
          <t>annee_attribution</t>
        </is>
      </c>
      <c r="H1" s="2" t="inlineStr">
        <is>
          <t>annee_mise_en_service</t>
        </is>
      </c>
      <c r="I1" s="2" t="inlineStr">
        <is>
          <t>puissance_mwp</t>
        </is>
      </c>
      <c r="J1" s="2" t="inlineStr">
        <is>
          <t>puissance_mwac</t>
        </is>
      </c>
      <c r="K1" s="2" t="inlineStr">
        <is>
          <t>stockage_mwh</t>
        </is>
      </c>
      <c r="L1" s="2" t="inlineStr">
        <is>
          <t>technologie</t>
        </is>
      </c>
      <c r="M1" s="2" t="inlineStr">
        <is>
          <t>capex_total</t>
        </is>
      </c>
      <c r="N1" s="2" t="inlineStr">
        <is>
          <t>capex_devise</t>
        </is>
      </c>
      <c r="O1" s="2" t="inlineStr">
        <is>
          <t>capex_annee_prix</t>
        </is>
      </c>
      <c r="P1" s="2" t="inlineStr">
        <is>
          <t>capex_usd_kwp</t>
        </is>
      </c>
      <c r="Q1" s="2" t="inlineStr">
        <is>
          <t>capex_usd_kwac</t>
        </is>
      </c>
      <c r="R1" s="2" t="inlineStr">
        <is>
          <t>production_gwh_an</t>
        </is>
      </c>
      <c r="S1" s="2" t="inlineStr">
        <is>
          <t>facteur_charge_ac</t>
        </is>
      </c>
      <c r="T1" s="2" t="inlineStr">
        <is>
          <t>opex_usd_kw_an</t>
        </is>
      </c>
      <c r="U1" s="2" t="inlineStr">
        <is>
          <t>dette_part</t>
        </is>
      </c>
      <c r="V1" s="2" t="inlineStr">
        <is>
          <t>dette_taux</t>
        </is>
      </c>
      <c r="W1" s="2" t="inlineStr">
        <is>
          <t>dette_duree</t>
        </is>
      </c>
      <c r="X1" s="2" t="inlineStr">
        <is>
          <t>wacc</t>
        </is>
      </c>
      <c r="Y1" s="2" t="inlineStr">
        <is>
          <t>tarif</t>
        </is>
      </c>
      <c r="Z1" s="2" t="inlineStr">
        <is>
          <t>tarif_devise</t>
        </is>
      </c>
      <c r="AA1" s="2" t="inlineStr">
        <is>
          <t>tarif_indexation</t>
        </is>
      </c>
      <c r="AB1" s="2" t="inlineStr">
        <is>
          <t>ppa_duree</t>
        </is>
      </c>
      <c r="AC1" s="2" t="inlineStr">
        <is>
          <t>procedure</t>
        </is>
      </c>
      <c r="AD1" s="2" t="inlineStr">
        <is>
          <t>garanties</t>
        </is>
      </c>
      <c r="AE1" s="2" t="inlineStr">
        <is>
          <t>lcoe_usd_mwh</t>
        </is>
      </c>
      <c r="AF1" s="2" t="inlineStr">
        <is>
          <t>sources</t>
        </is>
      </c>
      <c r="AG1" s="2" t="inlineStr">
        <is>
          <t>fiabilite_globale</t>
        </is>
      </c>
      <c r="AH1" s="2" t="inlineStr">
        <is>
          <t>notes</t>
        </is>
      </c>
      <c r="AI1" s="2" t="inlineStr">
        <is>
          <t>secteur</t>
        </is>
      </c>
      <c r="AJ1" s="2" t="inlineStr">
        <is>
          <t>modele_commercial</t>
        </is>
      </c>
      <c r="AK1" s="2" t="inlineStr">
        <is>
          <t>cout_diesel_evite_usd_mwh</t>
        </is>
      </c>
      <c r="AL1" s="2" t="inlineStr">
        <is>
          <t>taux_couverture_solaire</t>
        </is>
      </c>
      <c r="AM1" s="2" t="inlineStr">
        <is>
          <t>tri_projet</t>
        </is>
      </c>
    </row>
  </sheetData>
  <dataValidations count="2">
    <dataValidation sqref="F2:F2000" showDropDown="0" showInputMessage="0" showErrorMessage="0" allowBlank="1" type="list">
      <formula1>"en service,en construction,attribué,annoncé,à vérifier,abandonné"</formula1>
    </dataValidation>
    <dataValidation sqref="AG2:AG2000" showDropDown="0" showInputMessage="0" showErrorMessage="0" allowBlank="1" type="list">
      <formula1>"A - document primaire,B - institution/développeur,C - presse spécialisée,D - source secondaire non recoupée"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5" customWidth="1" min="5" max="5"/>
    <col width="12" customWidth="1" min="6" max="6"/>
    <col width="21" customWidth="1" min="7" max="7"/>
    <col width="25" customWidth="1" min="8" max="8"/>
    <col width="17" customWidth="1" min="9" max="9"/>
    <col width="18" customWidth="1" min="10" max="10"/>
    <col width="16" customWidth="1" min="11" max="11"/>
    <col width="15" customWidth="1" min="12" max="12"/>
    <col width="15" customWidth="1" min="13" max="13"/>
    <col width="16" customWidth="1" min="14" max="14"/>
    <col width="20" customWidth="1" min="15" max="15"/>
    <col width="17" customWidth="1" min="16" max="16"/>
    <col width="18" customWidth="1" min="17" max="17"/>
    <col width="21" customWidth="1" min="18" max="18"/>
    <col width="21" customWidth="1" min="19" max="19"/>
    <col width="18" customWidth="1" min="20" max="20"/>
    <col width="14" customWidth="1" min="21" max="21"/>
    <col width="14" customWidth="1" min="22" max="22"/>
    <col width="15" customWidth="1" min="23" max="23"/>
    <col width="12" customWidth="1" min="24" max="24"/>
    <col width="12" customWidth="1" min="25" max="25"/>
    <col width="16" customWidth="1" min="26" max="26"/>
    <col width="20" customWidth="1" min="27" max="27"/>
    <col width="13" customWidth="1" min="28" max="28"/>
    <col width="13" customWidth="1" min="29" max="29"/>
    <col width="13" customWidth="1" min="30" max="30"/>
    <col width="16" customWidth="1" min="31" max="31"/>
    <col width="12" customWidth="1" min="32" max="32"/>
    <col width="21" customWidth="1" min="33" max="33"/>
    <col width="12" customWidth="1" min="34" max="34"/>
    <col width="14" customWidth="1" min="35" max="35"/>
    <col width="33" customWidth="1" min="36" max="36"/>
    <col width="25" customWidth="1" min="37" max="37"/>
    <col width="16" customWidth="1" min="38" max="38"/>
    <col width="18" customWidth="1" min="39" max="39"/>
    <col width="13" customWidth="1" min="40" max="40"/>
    <col width="18" customWidth="1" min="41" max="41"/>
  </cols>
  <sheetData>
    <row r="1">
      <c r="A1" s="2" t="inlineStr">
        <is>
          <t>projet_id</t>
        </is>
      </c>
      <c r="B1" s="2" t="inlineStr">
        <is>
          <t>pays_iso3</t>
        </is>
      </c>
      <c r="C1" s="2" t="inlineStr">
        <is>
          <t>nom</t>
        </is>
      </c>
      <c r="D1" s="2" t="inlineStr">
        <is>
          <t>localisation</t>
        </is>
      </c>
      <c r="E1" s="2" t="inlineStr">
        <is>
          <t>developpeur</t>
        </is>
      </c>
      <c r="F1" s="2" t="inlineStr">
        <is>
          <t>statut</t>
        </is>
      </c>
      <c r="G1" s="2" t="inlineStr">
        <is>
          <t>annee_attribution</t>
        </is>
      </c>
      <c r="H1" s="2" t="inlineStr">
        <is>
          <t>annee_mise_en_service</t>
        </is>
      </c>
      <c r="I1" s="2" t="inlineStr">
        <is>
          <t>puissance_mwp</t>
        </is>
      </c>
      <c r="J1" s="2" t="inlineStr">
        <is>
          <t>puissance_mwac</t>
        </is>
      </c>
      <c r="K1" s="2" t="inlineStr">
        <is>
          <t>stockage_mwh</t>
        </is>
      </c>
      <c r="L1" s="2" t="inlineStr">
        <is>
          <t>technologie</t>
        </is>
      </c>
      <c r="M1" s="2" t="inlineStr">
        <is>
          <t>capex_total</t>
        </is>
      </c>
      <c r="N1" s="2" t="inlineStr">
        <is>
          <t>capex_devise</t>
        </is>
      </c>
      <c r="O1" s="2" t="inlineStr">
        <is>
          <t>capex_annee_prix</t>
        </is>
      </c>
      <c r="P1" s="2" t="inlineStr">
        <is>
          <t>capex_usd_kwp</t>
        </is>
      </c>
      <c r="Q1" s="2" t="inlineStr">
        <is>
          <t>capex_usd_kwac</t>
        </is>
      </c>
      <c r="R1" s="2" t="inlineStr">
        <is>
          <t>production_gwh_an</t>
        </is>
      </c>
      <c r="S1" s="2" t="inlineStr">
        <is>
          <t>facteur_charge_ac</t>
        </is>
      </c>
      <c r="T1" s="2" t="inlineStr">
        <is>
          <t>opex_usd_kw_an</t>
        </is>
      </c>
      <c r="U1" s="2" t="inlineStr">
        <is>
          <t>dette_part</t>
        </is>
      </c>
      <c r="V1" s="2" t="inlineStr">
        <is>
          <t>dette_taux</t>
        </is>
      </c>
      <c r="W1" s="2" t="inlineStr">
        <is>
          <t>dette_duree</t>
        </is>
      </c>
      <c r="X1" s="2" t="inlineStr">
        <is>
          <t>wacc</t>
        </is>
      </c>
      <c r="Y1" s="2" t="inlineStr">
        <is>
          <t>tarif</t>
        </is>
      </c>
      <c r="Z1" s="2" t="inlineStr">
        <is>
          <t>tarif_devise</t>
        </is>
      </c>
      <c r="AA1" s="2" t="inlineStr">
        <is>
          <t>tarif_indexation</t>
        </is>
      </c>
      <c r="AB1" s="2" t="inlineStr">
        <is>
          <t>ppa_duree</t>
        </is>
      </c>
      <c r="AC1" s="2" t="inlineStr">
        <is>
          <t>procedure</t>
        </is>
      </c>
      <c r="AD1" s="2" t="inlineStr">
        <is>
          <t>garanties</t>
        </is>
      </c>
      <c r="AE1" s="2" t="inlineStr">
        <is>
          <t>lcoe_usd_mwh</t>
        </is>
      </c>
      <c r="AF1" s="2" t="inlineStr">
        <is>
          <t>sources</t>
        </is>
      </c>
      <c r="AG1" s="2" t="inlineStr">
        <is>
          <t>fiabilite_globale</t>
        </is>
      </c>
      <c r="AH1" s="2" t="inlineStr">
        <is>
          <t>notes</t>
        </is>
      </c>
      <c r="AI1" s="2" t="inlineStr">
        <is>
          <t>nb_clients</t>
        </is>
      </c>
      <c r="AJ1" s="2" t="inlineStr">
        <is>
          <t>conso_moyenne_kwh_client_mois</t>
        </is>
      </c>
      <c r="AK1" s="2" t="inlineStr">
        <is>
          <t>cout_distribution_usd</t>
        </is>
      </c>
      <c r="AL1" s="2" t="inlineStr">
        <is>
          <t>tarif_client</t>
        </is>
      </c>
      <c r="AM1" s="2" t="inlineStr">
        <is>
          <t>subvention_usd</t>
        </is>
      </c>
      <c r="AN1" s="2" t="inlineStr">
        <is>
          <t>operateur</t>
        </is>
      </c>
      <c r="AO1" s="2" t="inlineStr">
        <is>
          <t>client_ancrage</t>
        </is>
      </c>
    </row>
  </sheetData>
  <dataValidations count="2">
    <dataValidation sqref="F2:F2000" showDropDown="0" showInputMessage="0" showErrorMessage="0" allowBlank="1" type="list">
      <formula1>"en service,en construction,attribué,annoncé,à vérifier,abandonné"</formula1>
    </dataValidation>
    <dataValidation sqref="AG2:AG2000" showDropDown="0" showInputMessage="0" showErrorMessage="0" allowBlank="1" type="list">
      <formula1>"A - document primaire,B - institution/développeur,C - presse spécialisée,D - source secondaire non recoupée"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</cols>
  <sheetData>
    <row r="1">
      <c r="A1" s="2" t="inlineStr">
        <is>
          <t>projet_id</t>
        </is>
      </c>
      <c r="B1" s="2" t="inlineStr">
        <is>
          <t>champ</t>
        </is>
      </c>
      <c r="C1" s="2" t="inlineStr">
        <is>
          <t>valeur</t>
        </is>
      </c>
      <c r="D1" s="2" t="inlineStr">
        <is>
          <t>unité</t>
        </is>
      </c>
      <c r="E1" s="2" t="inlineStr">
        <is>
          <t>type_donnee</t>
        </is>
      </c>
      <c r="F1" s="2" t="inlineStr">
        <is>
          <t>source_id</t>
        </is>
      </c>
      <c r="G1" s="2" t="inlineStr">
        <is>
          <t>note</t>
        </is>
      </c>
    </row>
    <row r="2">
      <c r="A2" t="inlineStr">
        <is>
          <t>A-ZMB-001</t>
        </is>
      </c>
      <c r="B2" t="inlineStr">
        <is>
          <t>tarif</t>
        </is>
      </c>
      <c r="C2" t="n">
        <v>0.06015</v>
      </c>
      <c r="D2" t="inlineStr">
        <is>
          <t>USD/kWh</t>
        </is>
      </c>
      <c r="E2" t="inlineStr">
        <is>
          <t>observée</t>
        </is>
      </c>
      <c r="F2" t="inlineStr">
        <is>
          <t>S04</t>
        </is>
      </c>
      <c r="G2" t="inlineStr">
        <is>
          <t>Tarif fixe 25 ans (Neoen/First Solar)</t>
        </is>
      </c>
    </row>
    <row r="3">
      <c r="A3" t="inlineStr">
        <is>
          <t>A-ZMB-001</t>
        </is>
      </c>
      <c r="B3" t="inlineStr">
        <is>
          <t>puissance_mwac</t>
        </is>
      </c>
      <c r="C3" t="n">
        <v>54</v>
      </c>
      <c r="D3" t="inlineStr">
        <is>
          <t>MW</t>
        </is>
      </c>
      <c r="E3" t="inlineStr">
        <is>
          <t>déclarée</t>
        </is>
      </c>
      <c r="F3" t="inlineStr">
        <is>
          <t>S03</t>
        </is>
      </c>
      <c r="G3" t="inlineStr">
        <is>
          <t>S05 indique 56 MW : à réconcilier</t>
        </is>
      </c>
    </row>
    <row r="4">
      <c r="A4" t="inlineStr">
        <is>
          <t>A-ZMB-001</t>
        </is>
      </c>
      <c r="B4" t="inlineStr">
        <is>
          <t>annee_mise_en_service</t>
        </is>
      </c>
      <c r="C4" t="n">
        <v>2019</v>
      </c>
      <c r="D4" t="inlineStr">
        <is>
          <t>année</t>
        </is>
      </c>
      <c r="E4" t="inlineStr">
        <is>
          <t>déclarée</t>
        </is>
      </c>
      <c r="F4" t="inlineStr">
        <is>
          <t>S05</t>
        </is>
      </c>
      <c r="G4" t="inlineStr"/>
    </row>
    <row r="5">
      <c r="A5" t="inlineStr">
        <is>
          <t>A-ZMB-002</t>
        </is>
      </c>
      <c r="B5" t="inlineStr">
        <is>
          <t>tarif</t>
        </is>
      </c>
      <c r="C5" t="n">
        <v>0.0784</v>
      </c>
      <c r="D5" t="inlineStr">
        <is>
          <t>USD/kWh</t>
        </is>
      </c>
      <c r="E5" t="inlineStr">
        <is>
          <t>observée</t>
        </is>
      </c>
      <c r="F5" t="inlineStr">
        <is>
          <t>S04</t>
        </is>
      </c>
      <c r="G5" t="inlineStr">
        <is>
          <t>Enel</t>
        </is>
      </c>
    </row>
    <row r="6">
      <c r="A6" t="inlineStr">
        <is>
          <t>A-ZMB-002</t>
        </is>
      </c>
      <c r="B6" t="inlineStr">
        <is>
          <t>puissance_mwac</t>
        </is>
      </c>
      <c r="C6" t="n">
        <v>34</v>
      </c>
      <c r="D6" t="inlineStr">
        <is>
          <t>MW</t>
        </is>
      </c>
      <c r="E6" t="inlineStr">
        <is>
          <t>déclarée</t>
        </is>
      </c>
      <c r="F6" t="inlineStr">
        <is>
          <t>S05</t>
        </is>
      </c>
      <c r="G6" t="inlineStr">
        <is>
          <t>AC ou DC non précisé</t>
        </is>
      </c>
    </row>
    <row r="7">
      <c r="A7" t="inlineStr">
        <is>
          <t>A-ZMB-002</t>
        </is>
      </c>
      <c r="B7" t="inlineStr">
        <is>
          <t>annee_mise_en_service</t>
        </is>
      </c>
      <c r="C7" t="n">
        <v>2019</v>
      </c>
      <c r="D7" t="inlineStr">
        <is>
          <t>année</t>
        </is>
      </c>
      <c r="E7" t="inlineStr">
        <is>
          <t>déclarée</t>
        </is>
      </c>
      <c r="F7" t="inlineStr">
        <is>
          <t>S05</t>
        </is>
      </c>
      <c r="G7" t="inlineStr"/>
    </row>
    <row r="8">
      <c r="A8" t="inlineStr">
        <is>
          <t>A-SEN-001</t>
        </is>
      </c>
      <c r="B8" t="inlineStr">
        <is>
          <t>tarif</t>
        </is>
      </c>
      <c r="C8" t="n">
        <v>0.0398</v>
      </c>
      <c r="D8" t="inlineStr">
        <is>
          <t>EUR/kWh</t>
        </is>
      </c>
      <c r="E8" t="inlineStr">
        <is>
          <t>observée</t>
        </is>
      </c>
      <c r="F8" t="inlineStr">
        <is>
          <t>S06</t>
        </is>
      </c>
      <c r="G8" t="inlineStr">
        <is>
          <t>Engie/Meridiam/FONSIS</t>
        </is>
      </c>
    </row>
    <row r="9">
      <c r="A9" t="inlineStr">
        <is>
          <t>A-SEN-001</t>
        </is>
      </c>
      <c r="B9" t="inlineStr">
        <is>
          <t>annee_mise_en_service</t>
        </is>
      </c>
      <c r="C9" t="n">
        <v>2021</v>
      </c>
      <c r="D9" t="inlineStr">
        <is>
          <t>année</t>
        </is>
      </c>
      <c r="E9" t="inlineStr">
        <is>
          <t>déclarée</t>
        </is>
      </c>
      <c r="F9" t="inlineStr">
        <is>
          <t>S07</t>
        </is>
      </c>
      <c r="G9" t="inlineStr"/>
    </row>
    <row r="10">
      <c r="A10" t="inlineStr">
        <is>
          <t>A-SEN-002</t>
        </is>
      </c>
      <c r="B10" t="inlineStr">
        <is>
          <t>tarif</t>
        </is>
      </c>
      <c r="C10" t="n">
        <v>0.038</v>
      </c>
      <c r="D10" t="inlineStr">
        <is>
          <t>EUR/kWh</t>
        </is>
      </c>
      <c r="E10" t="inlineStr">
        <is>
          <t>observée</t>
        </is>
      </c>
      <c r="F10" t="inlineStr">
        <is>
          <t>S06</t>
        </is>
      </c>
      <c r="G10" t="inlineStr"/>
    </row>
    <row r="11">
      <c r="A11" t="inlineStr">
        <is>
          <t>A-SEN-002</t>
        </is>
      </c>
      <c r="B11" t="inlineStr">
        <is>
          <t>annee_mise_en_service</t>
        </is>
      </c>
      <c r="C11" t="n">
        <v>2021</v>
      </c>
      <c r="D11" t="inlineStr">
        <is>
          <t>année</t>
        </is>
      </c>
      <c r="E11" t="inlineStr">
        <is>
          <t>déclarée</t>
        </is>
      </c>
      <c r="F11" t="inlineStr">
        <is>
          <t>S07</t>
        </is>
      </c>
      <c r="G11" t="inlineStr"/>
    </row>
  </sheetData>
  <dataValidations count="1">
    <dataValidation sqref="E2:E2000" showDropDown="0" showInputMessage="0" showErrorMessage="0" allowBlank="1" type="list">
      <formula1>"observée,déclarée,modélisée,non disponible"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60" customWidth="1" min="5" max="5"/>
    <col width="13" customWidth="1" min="6" max="6"/>
    <col width="60" customWidth="1" min="7" max="7"/>
  </cols>
  <sheetData>
    <row r="1">
      <c r="A1" s="2" t="inlineStr">
        <is>
          <t>source_id</t>
        </is>
      </c>
      <c r="B1" s="2" t="inlineStr">
        <is>
          <t>organisme</t>
        </is>
      </c>
      <c r="C1" s="2" t="inlineStr">
        <is>
          <t>titre</t>
        </is>
      </c>
      <c r="D1" s="2" t="inlineStr">
        <is>
          <t>année</t>
        </is>
      </c>
      <c r="E1" s="2" t="inlineStr">
        <is>
          <t>url</t>
        </is>
      </c>
      <c r="F1" s="2" t="inlineStr">
        <is>
          <t>fiabilité</t>
        </is>
      </c>
      <c r="G1" s="2" t="inlineStr">
        <is>
          <t>contenu utilisé</t>
        </is>
      </c>
    </row>
    <row r="2">
      <c r="A2" t="inlineStr">
        <is>
          <t>S01</t>
        </is>
      </c>
      <c r="B2" t="inlineStr">
        <is>
          <t>IRENA</t>
        </is>
      </c>
      <c r="C2" t="inlineStr">
        <is>
          <t>Renewable Power Generation Costs in 2024 — Summary</t>
        </is>
      </c>
      <c r="D2" t="n">
        <v>2025</v>
      </c>
      <c r="E2" t="inlineStr">
        <is>
          <t>https://www.irena.org/-/media/Files/IRENA/Agency/Publication/2025/Jul/IRENA_TEC_RPGC_in_2024_Summary_2025.pdf</t>
        </is>
      </c>
      <c r="F2" t="inlineStr">
        <is>
          <t>A</t>
        </is>
      </c>
      <c r="G2" t="inlineStr">
        <is>
          <t>WACC supposé 3,8 % (Europe) à 12 % (Afrique) ; LCOE solaire mondial 0,043 USD/kWh</t>
        </is>
      </c>
    </row>
    <row r="3">
      <c r="A3" t="inlineStr">
        <is>
          <t>S02</t>
        </is>
      </c>
      <c r="B3" t="inlineStr">
        <is>
          <t>pv magazine</t>
        </is>
      </c>
      <c r="C3" t="inlineStr">
        <is>
          <t>Global average solar LCOE stood at $0.043/kWh in 2024, says IRENA</t>
        </is>
      </c>
      <c r="D3" t="n">
        <v>2025</v>
      </c>
      <c r="E3" t="inlineStr">
        <is>
          <t>https://www.pv-magazine.com/2025/07/23/global-average-solar-lcoe-stood-at-0-043-kwh-in-2024-says-irena/</t>
        </is>
      </c>
      <c r="F3" t="inlineStr">
        <is>
          <t>C</t>
        </is>
      </c>
      <c r="G3" t="inlineStr">
        <is>
          <t>Coût d'installation moyen Afrique 2024 : 1 093 USD/kW (cite IRENA)</t>
        </is>
      </c>
    </row>
    <row r="4">
      <c r="A4" t="inlineStr">
        <is>
          <t>S03</t>
        </is>
      </c>
      <c r="B4" t="inlineStr">
        <is>
          <t>Banque mondiale</t>
        </is>
      </c>
      <c r="C4" t="inlineStr">
        <is>
          <t>Unlocking low-cost, large-scale solar power in Zambia</t>
        </is>
      </c>
      <c r="D4" t="n">
        <v>2019</v>
      </c>
      <c r="E4" t="inlineStr">
        <is>
          <t>https://www.worldbank.org/en/news/feature/2019/05/14/unlocking-low-cost-large-scale-solar-power-in-zambia</t>
        </is>
      </c>
      <c r="F4" t="inlineStr">
        <is>
          <t>B</t>
        </is>
      </c>
      <c r="G4" t="inlineStr">
        <is>
          <t>Bangweulu 54 MW selon cette source</t>
        </is>
      </c>
    </row>
    <row r="5">
      <c r="A5" t="inlineStr">
        <is>
          <t>S04</t>
        </is>
      </c>
      <c r="B5" t="inlineStr">
        <is>
          <t>pv-tech</t>
        </is>
      </c>
      <c r="C5" t="inlineStr">
        <is>
          <t>IFC Zambia solar auction sees record-low 6¢ price benchmark</t>
        </is>
      </c>
      <c r="D5" t="n">
        <v>2016</v>
      </c>
      <c r="E5" t="inlineStr">
        <is>
          <t>https://www.pv-tech.org/news/ifc-zambia-solar-auction-sees-record-low-6-price-benchmark</t>
        </is>
      </c>
      <c r="F5" t="inlineStr">
        <is>
          <t>C</t>
        </is>
      </c>
      <c r="G5" t="inlineStr">
        <is>
          <t>Tarifs 6,015 et 7,84 USc/kWh</t>
        </is>
      </c>
    </row>
    <row r="6">
      <c r="A6" t="inlineStr">
        <is>
          <t>S05</t>
        </is>
      </c>
      <c r="B6" t="inlineStr">
        <is>
          <t>BloombergNEF Climatescope</t>
        </is>
      </c>
      <c r="C6" t="inlineStr">
        <is>
          <t>Zambia market profile</t>
        </is>
      </c>
      <c r="D6" t="n">
        <v>2022</v>
      </c>
      <c r="E6" t="inlineStr">
        <is>
          <t>https://2022.global-climatescope.org/markets/zm/</t>
        </is>
      </c>
      <c r="F6" t="inlineStr">
        <is>
          <t>C</t>
        </is>
      </c>
      <c r="G6" t="inlineStr">
        <is>
          <t>Ngonye 34 MW, Bangweulu 56 MW, mise en service 2019</t>
        </is>
      </c>
    </row>
    <row r="7">
      <c r="A7" t="inlineStr">
        <is>
          <t>S06</t>
        </is>
      </c>
      <c r="B7" t="inlineStr">
        <is>
          <t>IFC</t>
        </is>
      </c>
      <c r="C7" t="inlineStr">
        <is>
          <t>Senegal Scaling Solar PPP brief</t>
        </is>
      </c>
      <c r="D7" t="n">
        <v>2021</v>
      </c>
      <c r="E7" t="inlineStr">
        <is>
          <t>https://www.ifc.org/content/dam/ifc/doc/2021/2021-senegal-scaling-solar-ppp-brief.pdf</t>
        </is>
      </c>
      <c r="F7" t="inlineStr">
        <is>
          <t>B</t>
        </is>
      </c>
      <c r="G7" t="inlineStr">
        <is>
          <t>Kahone 3,80 et Kael 3,98 c EUR/kWh, appel d'offres avril 2018</t>
        </is>
      </c>
    </row>
    <row r="8">
      <c r="A8" t="inlineStr">
        <is>
          <t>S07</t>
        </is>
      </c>
      <c r="B8" t="inlineStr">
        <is>
          <t>IFC</t>
        </is>
      </c>
      <c r="C8" t="inlineStr">
        <is>
          <t>Scaling Solar: two PV plants bring clean energy to more than 500,000 in Senegal</t>
        </is>
      </c>
      <c r="D8" t="n">
        <v>2021</v>
      </c>
      <c r="E8" t="inlineStr">
        <is>
          <t>https://www.ifc.org/en/pressroom/2021/scaling-solar-two-pv-plants-bring-clean-energy-to-more-than-500000-in-senegal</t>
        </is>
      </c>
      <c r="F8" t="inlineStr">
        <is>
          <t>B</t>
        </is>
      </c>
      <c r="G8" t="inlineStr">
        <is>
          <t>Mise en service mai 2021, 60 MWac au total, Engie/Meridiam/FONSIS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5" max="5"/>
    <col width="16" customWidth="1" min="6" max="6"/>
    <col width="16" customWidth="1" min="7" max="7"/>
    <col width="16" customWidth="1" min="8" max="8"/>
    <col width="12" customWidth="1" min="10" max="10"/>
    <col width="16" customWidth="1" min="11" max="11"/>
  </cols>
  <sheetData>
    <row r="1">
      <c r="A1" s="3" t="inlineStr">
        <is>
          <t>Modèle LCOE — cellules jaunes modifiables. Investissement en année 0, flux en années 1..n.</t>
        </is>
      </c>
    </row>
    <row r="3">
      <c r="A3" t="inlineStr">
        <is>
          <t>Puissance</t>
        </is>
      </c>
      <c r="B3" s="4" t="n">
        <v>50</v>
      </c>
      <c r="C3" t="inlineStr">
        <is>
          <t>MWp</t>
        </is>
      </c>
      <c r="E3" s="3" t="inlineStr">
        <is>
          <t>année</t>
        </is>
      </c>
      <c r="F3" s="3" t="inlineStr">
        <is>
          <t>OPEX (USD)</t>
        </is>
      </c>
      <c r="G3" s="3" t="inlineStr">
        <is>
          <t>production (MWh)</t>
        </is>
      </c>
      <c r="H3" s="3" t="inlineStr">
        <is>
          <t>facteur d'actualisation</t>
        </is>
      </c>
      <c r="J3" s="3" t="inlineStr">
        <is>
          <t>Sensibilité au WACC (sans dégradation ni indexation : (CAPEX x CRF + OPEX) / E)</t>
        </is>
      </c>
    </row>
    <row r="4">
      <c r="A4" t="inlineStr">
        <is>
          <t>CAPEX spécifique</t>
        </is>
      </c>
      <c r="B4" s="4" t="n">
        <v>1000</v>
      </c>
      <c r="C4" t="inlineStr">
        <is>
          <t>USD/kWp</t>
        </is>
      </c>
      <c r="E4" t="n">
        <v>1</v>
      </c>
      <c r="F4">
        <f>IF(E4&lt;=$B$9,$B$20*(1+$B$7)^(E4-1),0)</f>
        <v/>
      </c>
      <c r="G4">
        <f>IF(E4&lt;=$B$9,$B$19*(1-$B$8)^(E4-1),0)</f>
        <v/>
      </c>
      <c r="H4">
        <f>1/(1+$B$17)^E4</f>
        <v/>
      </c>
      <c r="J4" t="inlineStr">
        <is>
          <t>WACC</t>
        </is>
      </c>
      <c r="K4" t="inlineStr">
        <is>
          <t>LCOE (USD/MWh)</t>
        </is>
      </c>
      <c r="L4" t="inlineStr">
        <is>
          <t>écart vs 4 %</t>
        </is>
      </c>
    </row>
    <row r="5">
      <c r="A5" t="inlineStr">
        <is>
          <t>Production spécifique année 1</t>
        </is>
      </c>
      <c r="B5" s="4" t="n">
        <v>1800</v>
      </c>
      <c r="C5" t="inlineStr">
        <is>
          <t>kWh/kWp/an</t>
        </is>
      </c>
      <c r="E5" t="n">
        <v>2</v>
      </c>
      <c r="F5">
        <f>IF(E5&lt;=$B$9,$B$20*(1+$B$7)^(E5-1),0)</f>
        <v/>
      </c>
      <c r="G5">
        <f>IF(E5&lt;=$B$9,$B$19*(1-$B$8)^(E5-1),0)</f>
        <v/>
      </c>
      <c r="H5">
        <f>1/(1+$B$17)^E5</f>
        <v/>
      </c>
      <c r="J5" s="5" t="n">
        <v>0.04</v>
      </c>
      <c r="K5" s="6">
        <f>($B$18*J5*(1+J5)^$B$9/((1+J5)^$B$9-1)+$B$20)/$B$19</f>
        <v/>
      </c>
      <c r="L5" s="7">
        <f>K5/$K$5-1</f>
        <v/>
      </c>
    </row>
    <row r="6">
      <c r="A6" t="inlineStr">
        <is>
          <t>OPEX année 1</t>
        </is>
      </c>
      <c r="B6" s="4" t="n">
        <v>15</v>
      </c>
      <c r="C6" t="inlineStr">
        <is>
          <t>USD/kWp/an</t>
        </is>
      </c>
      <c r="E6" t="n">
        <v>3</v>
      </c>
      <c r="F6">
        <f>IF(E6&lt;=$B$9,$B$20*(1+$B$7)^(E6-1),0)</f>
        <v/>
      </c>
      <c r="G6">
        <f>IF(E6&lt;=$B$9,$B$19*(1-$B$8)^(E6-1),0)</f>
        <v/>
      </c>
      <c r="H6">
        <f>1/(1+$B$17)^E6</f>
        <v/>
      </c>
      <c r="J6" s="5" t="n">
        <v>0.06</v>
      </c>
      <c r="K6" s="6">
        <f>($B$18*J6*(1+J6)^$B$9/((1+J6)^$B$9-1)+$B$20)/$B$19</f>
        <v/>
      </c>
      <c r="L6" s="7">
        <f>K6/$K$5-1</f>
        <v/>
      </c>
    </row>
    <row r="7">
      <c r="A7" t="inlineStr">
        <is>
          <t>Indexation OPEX</t>
        </is>
      </c>
      <c r="B7" s="8" t="n">
        <v>0</v>
      </c>
      <c r="C7" t="inlineStr">
        <is>
          <t>%/an</t>
        </is>
      </c>
      <c r="E7" t="n">
        <v>4</v>
      </c>
      <c r="F7">
        <f>IF(E7&lt;=$B$9,$B$20*(1+$B$7)^(E7-1),0)</f>
        <v/>
      </c>
      <c r="G7">
        <f>IF(E7&lt;=$B$9,$B$19*(1-$B$8)^(E7-1),0)</f>
        <v/>
      </c>
      <c r="H7">
        <f>1/(1+$B$17)^E7</f>
        <v/>
      </c>
      <c r="J7" s="5" t="n">
        <v>0.08</v>
      </c>
      <c r="K7" s="6">
        <f>($B$18*J7*(1+J7)^$B$9/((1+J7)^$B$9-1)+$B$20)/$B$19</f>
        <v/>
      </c>
      <c r="L7" s="7">
        <f>K7/$K$5-1</f>
        <v/>
      </c>
    </row>
    <row r="8">
      <c r="A8" t="inlineStr">
        <is>
          <t>Dégradation</t>
        </is>
      </c>
      <c r="B8" s="8" t="n">
        <v>0</v>
      </c>
      <c r="C8" t="inlineStr">
        <is>
          <t>%/an</t>
        </is>
      </c>
      <c r="E8" t="n">
        <v>5</v>
      </c>
      <c r="F8">
        <f>IF(E8&lt;=$B$9,$B$20*(1+$B$7)^(E8-1),0)</f>
        <v/>
      </c>
      <c r="G8">
        <f>IF(E8&lt;=$B$9,$B$19*(1-$B$8)^(E8-1),0)</f>
        <v/>
      </c>
      <c r="H8">
        <f>1/(1+$B$17)^E8</f>
        <v/>
      </c>
      <c r="J8" s="5" t="n">
        <v>0.1</v>
      </c>
      <c r="K8" s="6">
        <f>($B$18*J8*(1+J8)^$B$9/((1+J8)^$B$9-1)+$B$20)/$B$19</f>
        <v/>
      </c>
      <c r="L8" s="7">
        <f>K8/$K$5-1</f>
        <v/>
      </c>
    </row>
    <row r="9">
      <c r="A9" t="inlineStr">
        <is>
          <t>Durée de vie</t>
        </is>
      </c>
      <c r="B9" s="4" t="n">
        <v>25</v>
      </c>
      <c r="C9" t="inlineStr">
        <is>
          <t>années (max 40)</t>
        </is>
      </c>
      <c r="E9" t="n">
        <v>6</v>
      </c>
      <c r="F9">
        <f>IF(E9&lt;=$B$9,$B$20*(1+$B$7)^(E9-1),0)</f>
        <v/>
      </c>
      <c r="G9">
        <f>IF(E9&lt;=$B$9,$B$19*(1-$B$8)^(E9-1),0)</f>
        <v/>
      </c>
      <c r="H9">
        <f>1/(1+$B$17)^E9</f>
        <v/>
      </c>
      <c r="J9" s="5" t="n">
        <v>0.12</v>
      </c>
      <c r="K9" s="6">
        <f>($B$18*J9*(1+J9)^$B$9/((1+J9)^$B$9-1)+$B$20)/$B$19</f>
        <v/>
      </c>
      <c r="L9" s="7">
        <f>K9/$K$5-1</f>
        <v/>
      </c>
    </row>
    <row r="10">
      <c r="A10" t="inlineStr">
        <is>
          <t>Part de la dette</t>
        </is>
      </c>
      <c r="B10" s="8" t="n">
        <v>0.7</v>
      </c>
      <c r="C10" t="inlineStr">
        <is>
          <t>%</t>
        </is>
      </c>
      <c r="E10" t="n">
        <v>7</v>
      </c>
      <c r="F10">
        <f>IF(E10&lt;=$B$9,$B$20*(1+$B$7)^(E10-1),0)</f>
        <v/>
      </c>
      <c r="G10">
        <f>IF(E10&lt;=$B$9,$B$19*(1-$B$8)^(E10-1),0)</f>
        <v/>
      </c>
      <c r="H10">
        <f>1/(1+$B$17)^E10</f>
        <v/>
      </c>
      <c r="J10" s="5" t="n">
        <v>0.14</v>
      </c>
      <c r="K10" s="6">
        <f>($B$18*J10*(1+J10)^$B$9/((1+J10)^$B$9-1)+$B$20)/$B$19</f>
        <v/>
      </c>
      <c r="L10" s="7">
        <f>K10/$K$5-1</f>
        <v/>
      </c>
    </row>
    <row r="11">
      <c r="A11" t="inlineStr">
        <is>
          <t>Coût de la dette</t>
        </is>
      </c>
      <c r="B11" s="8" t="n">
        <v>0.08</v>
      </c>
      <c r="C11" t="inlineStr">
        <is>
          <t>%</t>
        </is>
      </c>
      <c r="E11" t="n">
        <v>8</v>
      </c>
      <c r="F11">
        <f>IF(E11&lt;=$B$9,$B$20*(1+$B$7)^(E11-1),0)</f>
        <v/>
      </c>
      <c r="G11">
        <f>IF(E11&lt;=$B$9,$B$19*(1-$B$8)^(E11-1),0)</f>
        <v/>
      </c>
      <c r="H11">
        <f>1/(1+$B$17)^E11</f>
        <v/>
      </c>
    </row>
    <row r="12">
      <c r="A12" t="inlineStr">
        <is>
          <t>Coût des fonds propres</t>
        </is>
      </c>
      <c r="B12" s="8" t="n">
        <v>0.15</v>
      </c>
      <c r="C12" t="inlineStr">
        <is>
          <t>%</t>
        </is>
      </c>
      <c r="E12" t="n">
        <v>9</v>
      </c>
      <c r="F12">
        <f>IF(E12&lt;=$B$9,$B$20*(1+$B$7)^(E12-1),0)</f>
        <v/>
      </c>
      <c r="G12">
        <f>IF(E12&lt;=$B$9,$B$19*(1-$B$8)^(E12-1),0)</f>
        <v/>
      </c>
      <c r="H12">
        <f>1/(1+$B$17)^E12</f>
        <v/>
      </c>
      <c r="J12" s="9" t="inlineStr">
        <is>
          <t>Valeurs par défaut = cas illustratif de la proposition (50 MWp, 50 M USD, 90 GWh, 0,75 M USD/an, 25 ans). Résultats illustratifs, pas des coûts observés.</t>
        </is>
      </c>
    </row>
    <row r="13">
      <c r="A13" t="inlineStr">
        <is>
          <t>Taux d'impôt</t>
        </is>
      </c>
      <c r="B13" s="8" t="n">
        <v>0</v>
      </c>
      <c r="C13" t="inlineStr">
        <is>
          <t>%</t>
        </is>
      </c>
      <c r="E13" t="n">
        <v>10</v>
      </c>
      <c r="F13">
        <f>IF(E13&lt;=$B$9,$B$20*(1+$B$7)^(E13-1),0)</f>
        <v/>
      </c>
      <c r="G13">
        <f>IF(E13&lt;=$B$9,$B$19*(1-$B$8)^(E13-1),0)</f>
        <v/>
      </c>
      <c r="H13">
        <f>1/(1+$B$17)^E13</f>
        <v/>
      </c>
    </row>
    <row r="14">
      <c r="A14" t="inlineStr">
        <is>
          <t>WACC calculé</t>
        </is>
      </c>
      <c r="B14" s="7">
        <f>B10*B11*(1-B13)+(1-B10)*B12</f>
        <v/>
      </c>
      <c r="C14" t="inlineStr">
        <is>
          <t>%</t>
        </is>
      </c>
      <c r="E14" t="n">
        <v>11</v>
      </c>
      <c r="F14">
        <f>IF(E14&lt;=$B$9,$B$20*(1+$B$7)^(E14-1),0)</f>
        <v/>
      </c>
      <c r="G14">
        <f>IF(E14&lt;=$B$9,$B$19*(1-$B$8)^(E14-1),0)</f>
        <v/>
      </c>
      <c r="H14">
        <f>1/(1+$B$17)^E14</f>
        <v/>
      </c>
    </row>
    <row r="15">
      <c r="A15" t="inlineStr">
        <is>
          <t>WACC retenu (vide = calculé)</t>
        </is>
      </c>
      <c r="B15" s="8" t="n"/>
      <c r="C15" t="inlineStr">
        <is>
          <t>%</t>
        </is>
      </c>
      <c r="E15" t="n">
        <v>12</v>
      </c>
      <c r="F15">
        <f>IF(E15&lt;=$B$9,$B$20*(1+$B$7)^(E15-1),0)</f>
        <v/>
      </c>
      <c r="G15">
        <f>IF(E15&lt;=$B$9,$B$19*(1-$B$8)^(E15-1),0)</f>
        <v/>
      </c>
      <c r="H15">
        <f>1/(1+$B$17)^E15</f>
        <v/>
      </c>
    </row>
    <row r="16">
      <c r="E16" t="n">
        <v>13</v>
      </c>
      <c r="F16">
        <f>IF(E16&lt;=$B$9,$B$20*(1+$B$7)^(E16-1),0)</f>
        <v/>
      </c>
      <c r="G16">
        <f>IF(E16&lt;=$B$9,$B$19*(1-$B$8)^(E16-1),0)</f>
        <v/>
      </c>
      <c r="H16">
        <f>1/(1+$B$17)^E16</f>
        <v/>
      </c>
    </row>
    <row r="17">
      <c r="A17" t="inlineStr">
        <is>
          <t>Taux d'actualisation</t>
        </is>
      </c>
      <c r="B17" s="7">
        <f>IF(ISBLANK(B15),B14,B15)</f>
        <v/>
      </c>
      <c r="E17" t="n">
        <v>14</v>
      </c>
      <c r="F17">
        <f>IF(E17&lt;=$B$9,$B$20*(1+$B$7)^(E17-1),0)</f>
        <v/>
      </c>
      <c r="G17">
        <f>IF(E17&lt;=$B$9,$B$19*(1-$B$8)^(E17-1),0)</f>
        <v/>
      </c>
      <c r="H17">
        <f>1/(1+$B$17)^E17</f>
        <v/>
      </c>
    </row>
    <row r="18">
      <c r="A18" t="inlineStr">
        <is>
          <t>CAPEX total (USD)</t>
        </is>
      </c>
      <c r="B18">
        <f>B3*1000*B4</f>
        <v/>
      </c>
      <c r="E18" t="n">
        <v>15</v>
      </c>
      <c r="F18">
        <f>IF(E18&lt;=$B$9,$B$20*(1+$B$7)^(E18-1),0)</f>
        <v/>
      </c>
      <c r="G18">
        <f>IF(E18&lt;=$B$9,$B$19*(1-$B$8)^(E18-1),0)</f>
        <v/>
      </c>
      <c r="H18">
        <f>1/(1+$B$17)^E18</f>
        <v/>
      </c>
    </row>
    <row r="19">
      <c r="A19" t="inlineStr">
        <is>
          <t>Production année 1 (MWh)</t>
        </is>
      </c>
      <c r="B19">
        <f>B3*B5</f>
        <v/>
      </c>
      <c r="E19" t="n">
        <v>16</v>
      </c>
      <c r="F19">
        <f>IF(E19&lt;=$B$9,$B$20*(1+$B$7)^(E19-1),0)</f>
        <v/>
      </c>
      <c r="G19">
        <f>IF(E19&lt;=$B$9,$B$19*(1-$B$8)^(E19-1),0)</f>
        <v/>
      </c>
      <c r="H19">
        <f>1/(1+$B$17)^E19</f>
        <v/>
      </c>
    </row>
    <row r="20">
      <c r="A20" t="inlineStr">
        <is>
          <t>OPEX année 1 (USD)</t>
        </is>
      </c>
      <c r="B20">
        <f>B3*1000*B6</f>
        <v/>
      </c>
      <c r="E20" t="n">
        <v>17</v>
      </c>
      <c r="F20">
        <f>IF(E20&lt;=$B$9,$B$20*(1+$B$7)^(E20-1),0)</f>
        <v/>
      </c>
      <c r="G20">
        <f>IF(E20&lt;=$B$9,$B$19*(1-$B$8)^(E20-1),0)</f>
        <v/>
      </c>
      <c r="H20">
        <f>1/(1+$B$17)^E20</f>
        <v/>
      </c>
    </row>
    <row r="21">
      <c r="A21" t="inlineStr">
        <is>
          <t>Coûts actualisés (USD)</t>
        </is>
      </c>
      <c r="B21">
        <f>B18+SUMPRODUCT(F4:F43,H4:H43)</f>
        <v/>
      </c>
      <c r="E21" t="n">
        <v>18</v>
      </c>
      <c r="F21">
        <f>IF(E21&lt;=$B$9,$B$20*(1+$B$7)^(E21-1),0)</f>
        <v/>
      </c>
      <c r="G21">
        <f>IF(E21&lt;=$B$9,$B$19*(1-$B$8)^(E21-1),0)</f>
        <v/>
      </c>
      <c r="H21">
        <f>1/(1+$B$17)^E21</f>
        <v/>
      </c>
    </row>
    <row r="22">
      <c r="A22" t="inlineStr">
        <is>
          <t>Production actualisée (MWh)</t>
        </is>
      </c>
      <c r="B22">
        <f>SUMPRODUCT(G4:G43,H4:H43)</f>
        <v/>
      </c>
      <c r="E22" t="n">
        <v>19</v>
      </c>
      <c r="F22">
        <f>IF(E22&lt;=$B$9,$B$20*(1+$B$7)^(E22-1),0)</f>
        <v/>
      </c>
      <c r="G22">
        <f>IF(E22&lt;=$B$9,$B$19*(1-$B$8)^(E22-1),0)</f>
        <v/>
      </c>
      <c r="H22">
        <f>1/(1+$B$17)^E22</f>
        <v/>
      </c>
    </row>
    <row r="23">
      <c r="A23" s="3" t="inlineStr">
        <is>
          <t>LCOE (USD/MWh)</t>
        </is>
      </c>
      <c r="B23" s="10">
        <f>B21/B22</f>
        <v/>
      </c>
      <c r="E23" t="n">
        <v>20</v>
      </c>
      <c r="F23">
        <f>IF(E23&lt;=$B$9,$B$20*(1+$B$7)^(E23-1),0)</f>
        <v/>
      </c>
      <c r="G23">
        <f>IF(E23&lt;=$B$9,$B$19*(1-$B$8)^(E23-1),0)</f>
        <v/>
      </c>
      <c r="H23">
        <f>1/(1+$B$17)^E23</f>
        <v/>
      </c>
    </row>
    <row r="24">
      <c r="A24" t="inlineStr">
        <is>
          <t>Facteur de charge DC</t>
        </is>
      </c>
      <c r="B24" s="7">
        <f>B5/8760</f>
        <v/>
      </c>
      <c r="E24" t="n">
        <v>21</v>
      </c>
      <c r="F24">
        <f>IF(E24&lt;=$B$9,$B$20*(1+$B$7)^(E24-1),0)</f>
        <v/>
      </c>
      <c r="G24">
        <f>IF(E24&lt;=$B$9,$B$19*(1-$B$8)^(E24-1),0)</f>
        <v/>
      </c>
      <c r="H24">
        <f>1/(1+$B$17)^E24</f>
        <v/>
      </c>
    </row>
    <row r="25">
      <c r="E25" t="n">
        <v>22</v>
      </c>
      <c r="F25">
        <f>IF(E25&lt;=$B$9,$B$20*(1+$B$7)^(E25-1),0)</f>
        <v/>
      </c>
      <c r="G25">
        <f>IF(E25&lt;=$B$9,$B$19*(1-$B$8)^(E25-1),0)</f>
        <v/>
      </c>
      <c r="H25">
        <f>1/(1+$B$17)^E25</f>
        <v/>
      </c>
    </row>
    <row r="26">
      <c r="E26" t="n">
        <v>23</v>
      </c>
      <c r="F26">
        <f>IF(E26&lt;=$B$9,$B$20*(1+$B$7)^(E26-1),0)</f>
        <v/>
      </c>
      <c r="G26">
        <f>IF(E26&lt;=$B$9,$B$19*(1-$B$8)^(E26-1),0)</f>
        <v/>
      </c>
      <c r="H26">
        <f>1/(1+$B$17)^E26</f>
        <v/>
      </c>
    </row>
    <row r="27">
      <c r="E27" t="n">
        <v>24</v>
      </c>
      <c r="F27">
        <f>IF(E27&lt;=$B$9,$B$20*(1+$B$7)^(E27-1),0)</f>
        <v/>
      </c>
      <c r="G27">
        <f>IF(E27&lt;=$B$9,$B$19*(1-$B$8)^(E27-1),0)</f>
        <v/>
      </c>
      <c r="H27">
        <f>1/(1+$B$17)^E27</f>
        <v/>
      </c>
    </row>
    <row r="28">
      <c r="E28" t="n">
        <v>25</v>
      </c>
      <c r="F28">
        <f>IF(E28&lt;=$B$9,$B$20*(1+$B$7)^(E28-1),0)</f>
        <v/>
      </c>
      <c r="G28">
        <f>IF(E28&lt;=$B$9,$B$19*(1-$B$8)^(E28-1),0)</f>
        <v/>
      </c>
      <c r="H28">
        <f>1/(1+$B$17)^E28</f>
        <v/>
      </c>
    </row>
    <row r="29">
      <c r="E29" t="n">
        <v>26</v>
      </c>
      <c r="F29">
        <f>IF(E29&lt;=$B$9,$B$20*(1+$B$7)^(E29-1),0)</f>
        <v/>
      </c>
      <c r="G29">
        <f>IF(E29&lt;=$B$9,$B$19*(1-$B$8)^(E29-1),0)</f>
        <v/>
      </c>
      <c r="H29">
        <f>1/(1+$B$17)^E29</f>
        <v/>
      </c>
    </row>
    <row r="30">
      <c r="E30" t="n">
        <v>27</v>
      </c>
      <c r="F30">
        <f>IF(E30&lt;=$B$9,$B$20*(1+$B$7)^(E30-1),0)</f>
        <v/>
      </c>
      <c r="G30">
        <f>IF(E30&lt;=$B$9,$B$19*(1-$B$8)^(E30-1),0)</f>
        <v/>
      </c>
      <c r="H30">
        <f>1/(1+$B$17)^E30</f>
        <v/>
      </c>
    </row>
    <row r="31">
      <c r="E31" t="n">
        <v>28</v>
      </c>
      <c r="F31">
        <f>IF(E31&lt;=$B$9,$B$20*(1+$B$7)^(E31-1),0)</f>
        <v/>
      </c>
      <c r="G31">
        <f>IF(E31&lt;=$B$9,$B$19*(1-$B$8)^(E31-1),0)</f>
        <v/>
      </c>
      <c r="H31">
        <f>1/(1+$B$17)^E31</f>
        <v/>
      </c>
    </row>
    <row r="32">
      <c r="E32" t="n">
        <v>29</v>
      </c>
      <c r="F32">
        <f>IF(E32&lt;=$B$9,$B$20*(1+$B$7)^(E32-1),0)</f>
        <v/>
      </c>
      <c r="G32">
        <f>IF(E32&lt;=$B$9,$B$19*(1-$B$8)^(E32-1),0)</f>
        <v/>
      </c>
      <c r="H32">
        <f>1/(1+$B$17)^E32</f>
        <v/>
      </c>
    </row>
    <row r="33">
      <c r="E33" t="n">
        <v>30</v>
      </c>
      <c r="F33">
        <f>IF(E33&lt;=$B$9,$B$20*(1+$B$7)^(E33-1),0)</f>
        <v/>
      </c>
      <c r="G33">
        <f>IF(E33&lt;=$B$9,$B$19*(1-$B$8)^(E33-1),0)</f>
        <v/>
      </c>
      <c r="H33">
        <f>1/(1+$B$17)^E33</f>
        <v/>
      </c>
    </row>
    <row r="34">
      <c r="E34" t="n">
        <v>31</v>
      </c>
      <c r="F34">
        <f>IF(E34&lt;=$B$9,$B$20*(1+$B$7)^(E34-1),0)</f>
        <v/>
      </c>
      <c r="G34">
        <f>IF(E34&lt;=$B$9,$B$19*(1-$B$8)^(E34-1),0)</f>
        <v/>
      </c>
      <c r="H34">
        <f>1/(1+$B$17)^E34</f>
        <v/>
      </c>
    </row>
    <row r="35">
      <c r="E35" t="n">
        <v>32</v>
      </c>
      <c r="F35">
        <f>IF(E35&lt;=$B$9,$B$20*(1+$B$7)^(E35-1),0)</f>
        <v/>
      </c>
      <c r="G35">
        <f>IF(E35&lt;=$B$9,$B$19*(1-$B$8)^(E35-1),0)</f>
        <v/>
      </c>
      <c r="H35">
        <f>1/(1+$B$17)^E35</f>
        <v/>
      </c>
    </row>
    <row r="36">
      <c r="E36" t="n">
        <v>33</v>
      </c>
      <c r="F36">
        <f>IF(E36&lt;=$B$9,$B$20*(1+$B$7)^(E36-1),0)</f>
        <v/>
      </c>
      <c r="G36">
        <f>IF(E36&lt;=$B$9,$B$19*(1-$B$8)^(E36-1),0)</f>
        <v/>
      </c>
      <c r="H36">
        <f>1/(1+$B$17)^E36</f>
        <v/>
      </c>
    </row>
    <row r="37">
      <c r="E37" t="n">
        <v>34</v>
      </c>
      <c r="F37">
        <f>IF(E37&lt;=$B$9,$B$20*(1+$B$7)^(E37-1),0)</f>
        <v/>
      </c>
      <c r="G37">
        <f>IF(E37&lt;=$B$9,$B$19*(1-$B$8)^(E37-1),0)</f>
        <v/>
      </c>
      <c r="H37">
        <f>1/(1+$B$17)^E37</f>
        <v/>
      </c>
    </row>
    <row r="38">
      <c r="E38" t="n">
        <v>35</v>
      </c>
      <c r="F38">
        <f>IF(E38&lt;=$B$9,$B$20*(1+$B$7)^(E38-1),0)</f>
        <v/>
      </c>
      <c r="G38">
        <f>IF(E38&lt;=$B$9,$B$19*(1-$B$8)^(E38-1),0)</f>
        <v/>
      </c>
      <c r="H38">
        <f>1/(1+$B$17)^E38</f>
        <v/>
      </c>
    </row>
    <row r="39">
      <c r="E39" t="n">
        <v>36</v>
      </c>
      <c r="F39">
        <f>IF(E39&lt;=$B$9,$B$20*(1+$B$7)^(E39-1),0)</f>
        <v/>
      </c>
      <c r="G39">
        <f>IF(E39&lt;=$B$9,$B$19*(1-$B$8)^(E39-1),0)</f>
        <v/>
      </c>
      <c r="H39">
        <f>1/(1+$B$17)^E39</f>
        <v/>
      </c>
    </row>
    <row r="40">
      <c r="E40" t="n">
        <v>37</v>
      </c>
      <c r="F40">
        <f>IF(E40&lt;=$B$9,$B$20*(1+$B$7)^(E40-1),0)</f>
        <v/>
      </c>
      <c r="G40">
        <f>IF(E40&lt;=$B$9,$B$19*(1-$B$8)^(E40-1),0)</f>
        <v/>
      </c>
      <c r="H40">
        <f>1/(1+$B$17)^E40</f>
        <v/>
      </c>
    </row>
    <row r="41">
      <c r="E41" t="n">
        <v>38</v>
      </c>
      <c r="F41">
        <f>IF(E41&lt;=$B$9,$B$20*(1+$B$7)^(E41-1),0)</f>
        <v/>
      </c>
      <c r="G41">
        <f>IF(E41&lt;=$B$9,$B$19*(1-$B$8)^(E41-1),0)</f>
        <v/>
      </c>
      <c r="H41">
        <f>1/(1+$B$17)^E41</f>
        <v/>
      </c>
    </row>
    <row r="42">
      <c r="E42" t="n">
        <v>39</v>
      </c>
      <c r="F42">
        <f>IF(E42&lt;=$B$9,$B$20*(1+$B$7)^(E42-1),0)</f>
        <v/>
      </c>
      <c r="G42">
        <f>IF(E42&lt;=$B$9,$B$19*(1-$B$8)^(E42-1),0)</f>
        <v/>
      </c>
      <c r="H42">
        <f>1/(1+$B$17)^E42</f>
        <v/>
      </c>
    </row>
    <row r="43">
      <c r="E43" t="n">
        <v>40</v>
      </c>
      <c r="F43">
        <f>IF(E43&lt;=$B$9,$B$20*(1+$B$7)^(E43-1),0)</f>
        <v/>
      </c>
      <c r="G43">
        <f>IF(E43&lt;=$B$9,$B$19*(1-$B$8)^(E43-1),0)</f>
        <v/>
      </c>
      <c r="H43">
        <f>1/(1+$B$17)^E43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80" customWidth="1" min="3" max="3"/>
    <col width="12" customWidth="1" min="4" max="4"/>
  </cols>
  <sheetData>
    <row r="1">
      <c r="A1" s="2" t="inlineStr">
        <is>
          <t>affirmation de la proposition</t>
        </is>
      </c>
      <c r="B1" s="2" t="inlineStr">
        <is>
          <t>statut</t>
        </is>
      </c>
      <c r="C1" s="2" t="inlineStr">
        <is>
          <t>constat</t>
        </is>
      </c>
      <c r="D1" s="2" t="inlineStr">
        <is>
          <t>source</t>
        </is>
      </c>
    </row>
    <row r="2">
      <c r="A2" t="inlineStr">
        <is>
          <t>WACC jusqu'à 12 % en Afrique dans l'analyse IRENA 2024</t>
        </is>
      </c>
      <c r="B2" t="inlineStr">
        <is>
          <t>confirmé</t>
        </is>
      </c>
      <c r="C2" t="inlineStr">
        <is>
          <t>IRENA : hypothèses de WACC de 3,8 % (Europe) à 12 % (Afrique), conditions 2023</t>
        </is>
      </c>
      <c r="D2" t="inlineStr">
        <is>
          <t>S01</t>
        </is>
      </c>
    </row>
    <row r="3">
      <c r="A3" t="inlineStr">
        <is>
          <t>LCOE solaire mondial 2024 : 43 USD/MWh</t>
        </is>
      </c>
      <c r="B3" t="inlineStr">
        <is>
          <t>confirmé</t>
        </is>
      </c>
      <c r="C3" t="inlineStr">
        <is>
          <t>0,043 USD/kWh</t>
        </is>
      </c>
      <c r="D3" t="inlineStr">
        <is>
          <t>S01;S02</t>
        </is>
      </c>
    </row>
    <row r="4">
      <c r="A4" t="inlineStr">
        <is>
          <t>CAPEX Afrique 2024 : 1 093 USD/kW</t>
        </is>
      </c>
      <c r="B4" t="inlineStr">
        <is>
          <t>corroboré (secondaire)</t>
        </is>
      </c>
      <c r="C4" t="inlineStr">
        <is>
          <t>Cité par pv magazine d'après IRENA ; non retrouvé dans le résumé IRENA</t>
        </is>
      </c>
      <c r="D4" t="inlineStr">
        <is>
          <t>S02</t>
        </is>
      </c>
    </row>
    <row r="5">
      <c r="A5" t="inlineStr">
        <is>
          <t>LCOE Afrique 2024 : 74 USD/MWh</t>
        </is>
      </c>
      <c r="B5" t="inlineStr">
        <is>
          <t>non vérifié</t>
        </is>
      </c>
      <c r="C5" t="inlineStr">
        <is>
          <t>Absent du résumé IRENA ; à contrôler dans le rapport complet ou la base IRENA</t>
        </is>
      </c>
      <c r="D5" t="inlineStr"/>
    </row>
    <row r="6">
      <c r="A6" t="inlineStr">
        <is>
          <t>CAPEX Afrique 2015 : 3 437 USD/kW ; LCOE 2015 : 225 USD/MWh</t>
        </is>
      </c>
      <c r="B6" t="inlineStr">
        <is>
          <t>non vérifié</t>
        </is>
      </c>
      <c r="C6" t="inlineStr">
        <is>
          <t>Une source secondaire citant l'édition suivante d'IRENA donne 3 520 USD/kW et 222 USD/MWh pour 2015 : les séries historiques sont révisées d'une édition à l'autre</t>
        </is>
      </c>
      <c r="D6" t="inlineStr"/>
    </row>
    <row r="7">
      <c r="A7" t="inlineStr">
        <is>
          <t>Tableau WACC 4–14 % (43,9 à 89,3 USD/MWh)</t>
        </is>
      </c>
      <c r="B7" t="inlineStr">
        <is>
          <t>confirmé (calcul)</t>
        </is>
      </c>
      <c r="C7" t="inlineStr">
        <is>
          <t>Reproduit : 43,9 / 51,8 / 60,4 / 69,5 / 79,2 / 89,2 ; écarts d'arrondi ≤ 0,1</t>
        </is>
      </c>
      <c r="D7" t="inlineStr">
        <is>
          <t>lcoe.py</t>
        </is>
      </c>
    </row>
    <row r="8">
      <c r="A8" t="inlineStr">
        <is>
          <t>+80 % de LCOE entre WACC 4 % et 12 %</t>
        </is>
      </c>
      <c r="B8" t="inlineStr">
        <is>
          <t>confirmé (calcul)</t>
        </is>
      </c>
      <c r="C8" t="inlineStr">
        <is>
          <t>+80,4 %</t>
        </is>
      </c>
      <c r="D8" t="inlineStr">
        <is>
          <t>lcoe.py</t>
        </is>
      </c>
    </row>
    <row r="9">
      <c r="A9" t="inlineStr">
        <is>
          <t>Ngonye / Bangweulu</t>
        </is>
      </c>
      <c r="B9" t="inlineStr">
        <is>
          <t>précisé</t>
        </is>
      </c>
      <c r="C9" t="inlineStr">
        <is>
          <t>Bangweulu = 6,015 USc/kWh (Neoen/First Solar) ; Ngonye = 7,84 USc/kWh (Enel)</t>
        </is>
      </c>
      <c r="D9" t="inlineStr">
        <is>
          <t>S04;S05</t>
        </is>
      </c>
    </row>
    <row r="10">
      <c r="A10" t="inlineStr">
        <is>
          <t>Kael et Kahone</t>
        </is>
      </c>
      <c r="B10" t="inlineStr">
        <is>
          <t>confirmé</t>
        </is>
      </c>
      <c r="C10" t="inlineStr">
        <is>
          <t>3,98 et 3,80 c EUR/kWh, mise en service mai 2021</t>
        </is>
      </c>
      <c r="D10" t="inlineStr">
        <is>
          <t>S06;S07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2026-10-17T18:13:50Z</dcterms:created>
  <dcterms:modified xmlns:dcterms="http://purl.org/dc/terms/" xmlns:xsi="http://www.w3.org/2001/XMLSchema-instance" xsi:type="dcterms:W3CDTF">2026-10-17T18:13:51Z</dcterms:modified>
</cp:coreProperties>
</file>