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1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Products" sheetId="3" state="visible" r:id="rId3"/>
    <sheet name="Scenarios" sheetId="4" state="visible" r:id="rId4"/>
    <sheet name="Dashboard" sheetId="5" state="visible" r:id="rId5"/>
    <sheet name="KPIs" sheetId="6" state="visible" r:id="rId6"/>
    <sheet name="Annual" sheetId="7" state="visible" r:id="rId7"/>
    <sheet name="Unit_Economics" sheetId="8" state="visible" r:id="rId8"/>
    <sheet name="FS" sheetId="9" state="visible" r:id="rId9"/>
    <sheet name="Ops" sheetId="10" state="visible" r:id="rId10"/>
    <sheet name="Costs" sheetId="11" state="visible" r:id="rId11"/>
    <sheet name="Financing" sheetId="12" state="visible" r:id="rId12"/>
    <sheet name="Curves" sheetId="13" state="visible" r:id="rId13"/>
    <sheet name="Cohort_P1" sheetId="14" state="visible" r:id="rId14"/>
    <sheet name="Cohort_P2" sheetId="15" state="visible" r:id="rId15"/>
    <sheet name="Cohort_P3" sheetId="16" state="visible" r:id="rId16"/>
    <sheet name="Timeline" sheetId="17" state="visible" r:id="rId17"/>
    <sheet name="Check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(#,##0.00);&quot;-&quot;"/>
    <numFmt numFmtId="165" formatCode="0.0%;(0.0%);&quot;-&quot;"/>
    <numFmt numFmtId="166" formatCode="#,##0;(#,##0);&quot;-&quot;"/>
    <numFmt numFmtId="167" formatCode="0.00&quot;x&quot;;(0.00&quot;x&quot;);&quot;-&quot;"/>
  </numFmts>
  <fonts count="22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3864"/>
      <sz val="11"/>
    </font>
    <font>
      <name val="Arial"/>
      <color rgb="000000FF"/>
      <sz val="10"/>
    </font>
    <font>
      <name val="Arial"/>
      <color rgb="000000FF"/>
    </font>
    <font>
      <name val="Arial"/>
      <color rgb="00008000"/>
      <sz val="10"/>
    </font>
    <font>
      <name val="Arial"/>
      <sz val="9"/>
    </font>
    <font>
      <name val="Arial"/>
      <color rgb="00595959"/>
      <sz val="9"/>
    </font>
    <font>
      <name val="Arial"/>
      <b val="1"/>
      <color rgb="00FFFFFF"/>
    </font>
    <font>
      <name val="Arial"/>
      <color rgb="00000000"/>
    </font>
    <font>
      <name val="Arial"/>
      <b val="1"/>
      <color rgb="00000000"/>
    </font>
    <font>
      <name val="Arial"/>
    </font>
    <font>
      <name val="Arial"/>
      <color rgb="00008000"/>
    </font>
    <font>
      <name val="Arial"/>
      <b val="1"/>
    </font>
    <font>
      <name val="Arial"/>
      <b val="1"/>
      <color rgb="001F3864"/>
    </font>
    <font>
      <name val="Arial"/>
      <b val="1"/>
      <color rgb="001F3864"/>
      <sz val="10"/>
    </font>
    <font>
      <name val="Arial"/>
      <color rgb="00FFFFFF"/>
    </font>
    <font>
      <name val="Arial"/>
      <b val="1"/>
      <color rgb="00C00000"/>
    </font>
    <font>
      <name val="Arial"/>
      <b val="1"/>
      <color rgb="00008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bottom style="thin">
        <color rgb="001F3864"/>
      </bottom>
    </border>
    <border>
      <top style="thin">
        <color rgb="00808080"/>
      </top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10" fillId="0" borderId="0" pivotButton="0" quotePrefix="0" xfId="0"/>
    <xf numFmtId="1" fontId="7" fillId="2" borderId="0" pivotButton="0" quotePrefix="0" xfId="0"/>
    <xf numFmtId="17" fontId="7" fillId="0" borderId="0" pivotButton="0" quotePrefix="0" xfId="0"/>
    <xf numFmtId="49" fontId="7" fillId="0" borderId="0" pivotButton="0" quotePrefix="0" xfId="0"/>
    <xf numFmtId="164" fontId="7" fillId="2" borderId="0" pivotButton="0" quotePrefix="0" xfId="0"/>
    <xf numFmtId="165" fontId="7" fillId="0" borderId="0" pivotButton="0" quotePrefix="0" xfId="0"/>
    <xf numFmtId="165" fontId="7" fillId="2" borderId="0" pivotButton="0" quotePrefix="0" xfId="0"/>
    <xf numFmtId="166" fontId="7" fillId="2" borderId="0" pivotButton="0" quotePrefix="0" xfId="0"/>
    <xf numFmtId="166" fontId="7" fillId="0" borderId="0" pivotButton="0" quotePrefix="0" xfId="0"/>
    <xf numFmtId="164" fontId="7" fillId="0" borderId="0" pivotButton="0" quotePrefix="0" xfId="0"/>
    <xf numFmtId="1" fontId="7" fillId="0" borderId="0" pivotButton="0" quotePrefix="0" xfId="0"/>
    <xf numFmtId="0" fontId="11" fillId="3" borderId="0" applyAlignment="1" pivotButton="0" quotePrefix="0" xfId="0">
      <alignment horizontal="center" wrapText="1"/>
    </xf>
    <xf numFmtId="166" fontId="12" fillId="0" borderId="0" pivotButton="0" quotePrefix="0" xfId="0"/>
    <xf numFmtId="165" fontId="12" fillId="0" borderId="0" pivotButton="0" quotePrefix="0" xfId="0"/>
    <xf numFmtId="164" fontId="13" fillId="0" borderId="0" pivotButton="0" quotePrefix="0" xfId="0"/>
    <xf numFmtId="165" fontId="13" fillId="0" borderId="0" pivotButton="0" quotePrefix="0" xfId="0"/>
    <xf numFmtId="49" fontId="13" fillId="0" borderId="0" pivotButton="0" quotePrefix="0" xfId="0"/>
    <xf numFmtId="49" fontId="21" fillId="0" borderId="0" pivotButton="0" quotePrefix="0" xfId="0"/>
    <xf numFmtId="166" fontId="21" fillId="0" borderId="0" pivotButton="0" quotePrefix="0" xfId="0"/>
    <xf numFmtId="166" fontId="13" fillId="0" borderId="0" pivotButton="0" quotePrefix="0" xfId="0"/>
    <xf numFmtId="0" fontId="11" fillId="3" borderId="0" applyAlignment="1" pivotButton="0" quotePrefix="0" xfId="0">
      <alignment horizontal="right"/>
    </xf>
    <xf numFmtId="0" fontId="19" fillId="3" borderId="0" pivotButton="0" quotePrefix="0" xfId="0"/>
    <xf numFmtId="167" fontId="12" fillId="0" borderId="0" pivotButton="0" quotePrefix="0" xfId="0"/>
    <xf numFmtId="164" fontId="12" fillId="0" borderId="0" pivotButton="0" quotePrefix="0" xfId="0"/>
    <xf numFmtId="0" fontId="16" fillId="0" borderId="0" pivotButton="0" quotePrefix="0" xfId="0"/>
    <xf numFmtId="167" fontId="13" fillId="0" borderId="0" pivotButton="0" quotePrefix="0" xfId="0"/>
    <xf numFmtId="1" fontId="12" fillId="0" borderId="0" pivotButton="0" quotePrefix="0" xfId="0"/>
    <xf numFmtId="0" fontId="11" fillId="3" borderId="0" pivotButton="0" quotePrefix="0" xfId="0"/>
    <xf numFmtId="0" fontId="0" fillId="3" borderId="0" pivotButton="0" quotePrefix="0" xfId="0"/>
    <xf numFmtId="1" fontId="11" fillId="3" borderId="0" applyAlignment="1" pivotButton="0" quotePrefix="0" xfId="0">
      <alignment horizontal="right"/>
    </xf>
    <xf numFmtId="17" fontId="11" fillId="3" borderId="0" applyAlignment="1" pivotButton="0" quotePrefix="0" xfId="0">
      <alignment horizontal="right"/>
    </xf>
    <xf numFmtId="0" fontId="14" fillId="0" borderId="0" pivotButton="0" quotePrefix="0" xfId="0"/>
    <xf numFmtId="166" fontId="16" fillId="0" borderId="0" pivotButton="0" quotePrefix="0" xfId="0"/>
    <xf numFmtId="166" fontId="15" fillId="0" borderId="0" pivotButton="0" quotePrefix="0" xfId="0"/>
    <xf numFmtId="0" fontId="16" fillId="0" borderId="2" pivotButton="0" quotePrefix="0" xfId="0"/>
    <xf numFmtId="0" fontId="10" fillId="0" borderId="2" pivotButton="0" quotePrefix="0" xfId="0"/>
    <xf numFmtId="166" fontId="16" fillId="0" borderId="2" pivotButton="0" quotePrefix="0" xfId="0"/>
    <xf numFmtId="0" fontId="0" fillId="0" borderId="2" pivotButton="0" quotePrefix="0" xfId="0"/>
    <xf numFmtId="166" fontId="13" fillId="0" borderId="2" pivotButton="0" quotePrefix="0" xfId="0"/>
    <xf numFmtId="165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9" fillId="0" borderId="0" pivotButton="0" quotePrefix="0" xfId="0"/>
    <xf numFmtId="166" fontId="9" fillId="0" borderId="0" pivotButton="0" quotePrefix="0" xfId="0"/>
    <xf numFmtId="1" fontId="11" fillId="3" borderId="0" pivotButton="0" quotePrefix="0" xfId="0"/>
    <xf numFmtId="17" fontId="11" fillId="3" borderId="0" pivotButton="0" quotePrefix="0" xfId="0"/>
    <xf numFmtId="164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and EBITDA (LCY)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'Annual'!$E$5:$I$5</f>
            </numRef>
          </cat>
          <val>
            <numRef>
              <f>'Annual'!$E$11:$I$11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'Annual'!$E$5:$I$5</f>
            </numRef>
          </cat>
          <val>
            <numRef>
              <f>'Annual'!$E$16:$I$16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Collection rate and write-off rate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'KPIs'!$E$5:$I$5</f>
            </numRef>
          </cat>
          <val>
            <numRef>
              <f>'KPIs'!$E$11:$I$11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'KPIs'!$E$5:$I$5</f>
            </numRef>
          </cat>
          <val>
            <numRef>
              <f>'KPIs'!$E$12:$I$12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equity vs. debt (LCY)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'KPIs'!$E$5:$I$5</f>
            </numRef>
          </cat>
          <val>
            <numRef>
              <f>'KPIs'!$E$23:$I$23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'KPIs'!$E$5:$I$5</f>
            </numRef>
          </cat>
          <val>
            <numRef>
              <f>'KPIs'!$E$25:$I$25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AEF</author>
  </authors>
  <commentList>
    <comment ref="A68" authorId="0" shapeId="0">
      <text>
        <t>PERFORM-style definition: follow-on payments collected / scheduled, excluding deposits.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20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3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  <col width="16" customWidth="1" min="3" max="3"/>
  </cols>
  <sheetData>
    <row r="1">
      <c r="A1" s="1" t="inlineStr">
        <is>
          <t>AFRICA ENERGY FINANCE - Business &amp; Financial Models</t>
        </is>
      </c>
    </row>
    <row r="2">
      <c r="A2" s="2" t="inlineStr">
        <is>
          <t>Volume 2 - Solar Home Systems: PAYGo Company Financial Model</t>
        </is>
      </c>
    </row>
    <row r="3"/>
    <row r="4">
      <c r="A4" s="3" t="inlineStr">
        <is>
          <t>Model</t>
        </is>
      </c>
      <c r="B4" s="4" t="inlineStr">
        <is>
          <t>SHS / PAYGo Company Financial Model</t>
        </is>
      </c>
    </row>
    <row r="5">
      <c r="A5" s="3" t="inlineStr">
        <is>
          <t>Version</t>
        </is>
      </c>
      <c r="B5" s="4" t="inlineStr">
        <is>
          <t>v0.1 (development build - not for sale)</t>
        </is>
      </c>
    </row>
    <row r="6">
      <c r="A6" s="3" t="inlineStr">
        <is>
          <t>Status</t>
        </is>
      </c>
      <c r="B6" s="4" t="inlineStr">
        <is>
          <t>Draft for expert review. Default inputs are illustrative, not benchmarks.</t>
        </is>
      </c>
    </row>
    <row r="7">
      <c r="A7" s="3" t="inlineStr">
        <is>
          <t>Currency</t>
        </is>
      </c>
      <c r="B7" s="4" t="inlineStr">
        <is>
          <t>Model currency = LCY (local currency). Hardware and term debt in USD, converted at the Timeline FX rate.</t>
        </is>
      </c>
    </row>
    <row r="8">
      <c r="A8" s="3" t="inlineStr">
        <is>
          <t>Periodicity</t>
        </is>
      </c>
      <c r="B8" s="4" t="inlineStr">
        <is>
          <t>Monthly, 60 months; annual summaries on 'Annual' and 'KPIs'.</t>
        </is>
      </c>
    </row>
    <row r="9">
      <c r="A9" s="3" t="inlineStr">
        <is>
          <t>Master check</t>
        </is>
      </c>
      <c r="B9" s="5">
        <f>Checks!C15</f>
        <v/>
      </c>
    </row>
    <row r="10"/>
    <row r="11"/>
    <row r="12">
      <c r="A12" s="6" t="inlineStr">
        <is>
          <t>How to use</t>
        </is>
      </c>
    </row>
    <row r="13">
      <c r="B13" s="4" t="inlineStr">
        <is>
          <t>1. Inputs: set scenario, macro, volumes, opex, financing (blue cells; yellow = key assumptions).</t>
        </is>
      </c>
    </row>
    <row r="14">
      <c r="B14" s="4" t="inlineStr">
        <is>
          <t>2. Products: set price plan, hardware cost, CAC and credit-risk parameters per product.</t>
        </is>
      </c>
    </row>
    <row r="15">
      <c r="B15" s="4" t="inlineStr">
        <is>
          <t>3. Scenarios: review Base / Downside / Severe levers.</t>
        </is>
      </c>
    </row>
    <row r="16">
      <c r="B16" s="4" t="inlineStr">
        <is>
          <t>4. Review Curves (per-unit repayment behaviour) and Unit_Economics (LTV/CAC, payback, unit IRR).</t>
        </is>
      </c>
    </row>
    <row r="17">
      <c r="B17" s="4" t="inlineStr">
        <is>
          <t>5. Review FS (monthly statements), Annual, KPIs and Dashboard.</t>
        </is>
      </c>
    </row>
    <row r="18">
      <c r="B18" s="4" t="inlineStr">
        <is>
          <t>6. Confirm the master check on this sheet reads OK before using any output.</t>
        </is>
      </c>
    </row>
    <row r="19"/>
    <row r="20">
      <c r="A20" s="6" t="inlineStr">
        <is>
          <t>Sheet map</t>
        </is>
      </c>
    </row>
    <row r="21">
      <c r="A21" s="4" t="inlineStr">
        <is>
          <t>Inputs</t>
        </is>
      </c>
      <c r="B21" s="4" t="inlineStr">
        <is>
          <t>Scenario selector, macro, volumes, opex, working capital, financing</t>
        </is>
      </c>
    </row>
    <row r="22">
      <c r="A22" s="4" t="inlineStr">
        <is>
          <t>Products</t>
        </is>
      </c>
      <c r="B22" s="4" t="inlineStr">
        <is>
          <t>Product catalogue, PAYGo price plans, CAC, credit-risk parameters</t>
        </is>
      </c>
    </row>
    <row r="23">
      <c r="A23" s="4" t="inlineStr">
        <is>
          <t>Scenarios</t>
        </is>
      </c>
      <c r="B23" s="4" t="inlineStr">
        <is>
          <t>Base / Downside / Severe levers and the active values</t>
        </is>
      </c>
    </row>
    <row r="24">
      <c r="A24" s="4" t="inlineStr">
        <is>
          <t>Timeline</t>
        </is>
      </c>
      <c r="B24" s="4" t="inlineStr">
        <is>
          <t>Dates, years, FX path, inflation and price indices</t>
        </is>
      </c>
    </row>
    <row r="25">
      <c r="A25" s="4" t="inlineStr">
        <is>
          <t>Curves</t>
        </is>
      </c>
      <c r="B25" s="4" t="inlineStr">
        <is>
          <t>Per-unit repayment, default and cash-flow curves by account age</t>
        </is>
      </c>
    </row>
    <row r="26">
      <c r="A26" s="4" t="inlineStr">
        <is>
          <t>Cohort_P1..P3</t>
        </is>
      </c>
      <c r="B26" s="4" t="inlineStr">
        <is>
          <t>Monthly vintage (cohort) matrices: collections, active accounts, balance at risk</t>
        </is>
      </c>
    </row>
    <row r="27">
      <c r="A27" s="4" t="inlineStr">
        <is>
          <t>Ops</t>
        </is>
      </c>
      <c r="B27" s="4" t="inlineStr">
        <is>
          <t>Units, deposits, instalments due, collections, write-offs, ECL, receivables drivers</t>
        </is>
      </c>
    </row>
    <row r="28">
      <c r="A28" s="4" t="inlineStr">
        <is>
          <t>Costs</t>
        </is>
      </c>
      <c r="B28" s="4" t="inlineStr">
        <is>
          <t>COGS, opex, inventory, payables, capex and depreciation</t>
        </is>
      </c>
    </row>
    <row r="29">
      <c r="A29" s="4" t="inlineStr">
        <is>
          <t>Financing</t>
        </is>
      </c>
      <c r="B29" s="4" t="inlineStr">
        <is>
          <t>Equity, USD term loan (with FX), receivables-backed facility</t>
        </is>
      </c>
    </row>
    <row r="30">
      <c r="A30" s="4" t="inlineStr">
        <is>
          <t>FS</t>
        </is>
      </c>
      <c r="B30" s="4" t="inlineStr">
        <is>
          <t>Monthly P&amp;L, balance sheet, cash flow</t>
        </is>
      </c>
    </row>
    <row r="31">
      <c r="A31" s="4" t="inlineStr">
        <is>
          <t>Annual</t>
        </is>
      </c>
      <c r="B31" s="4" t="inlineStr">
        <is>
          <t>Annual statements</t>
        </is>
      </c>
    </row>
    <row r="32">
      <c r="A32" s="4" t="inlineStr">
        <is>
          <t>KPIs</t>
        </is>
      </c>
      <c r="B32" s="4" t="inlineStr">
        <is>
          <t>PAYGo portfolio KPIs (PERFORM-style) and financial KPIs</t>
        </is>
      </c>
    </row>
    <row r="33">
      <c r="A33" s="4" t="inlineStr">
        <is>
          <t>Unit_Economics</t>
        </is>
      </c>
      <c r="B33" s="4" t="inlineStr">
        <is>
          <t>Per-unit economics, LTV/CAC, payback, unit IRR</t>
        </is>
      </c>
    </row>
    <row r="34">
      <c r="A34" s="4" t="inlineStr">
        <is>
          <t>Dashboard</t>
        </is>
      </c>
      <c r="B34" s="4" t="inlineStr">
        <is>
          <t>Key charts</t>
        </is>
      </c>
    </row>
    <row r="35">
      <c r="A35" s="4" t="inlineStr">
        <is>
          <t>Checks</t>
        </is>
      </c>
      <c r="B35" s="4" t="inlineStr">
        <is>
          <t>Integrity checks</t>
        </is>
      </c>
    </row>
    <row r="36"/>
    <row r="37">
      <c r="A37" s="6" t="inlineStr">
        <is>
          <t>Colour code</t>
        </is>
      </c>
    </row>
    <row r="38">
      <c r="A38" s="7" t="inlineStr">
        <is>
          <t>1,000</t>
        </is>
      </c>
      <c r="B38" s="4" t="inlineStr">
        <is>
          <t>Blue = hard-coded input</t>
        </is>
      </c>
    </row>
    <row r="39">
      <c r="A39" s="8" t="inlineStr">
        <is>
          <t>1,000</t>
        </is>
      </c>
      <c r="B39" s="4" t="inlineStr">
        <is>
          <t>Yellow fill = key assumption to review first</t>
        </is>
      </c>
    </row>
    <row r="40">
      <c r="A40" s="4" t="inlineStr">
        <is>
          <t>1,000</t>
        </is>
      </c>
      <c r="B40" s="4" t="inlineStr">
        <is>
          <t>Black = formula</t>
        </is>
      </c>
    </row>
    <row r="41">
      <c r="A41" s="9" t="inlineStr">
        <is>
          <t>1,000</t>
        </is>
      </c>
      <c r="B41" s="4" t="inlineStr">
        <is>
          <t>Green = link from another sheet</t>
        </is>
      </c>
    </row>
    <row r="42"/>
    <row r="43" ht="48" customHeight="1">
      <c r="A43" s="6" t="inlineStr">
        <is>
          <t>Disclaimer</t>
        </is>
      </c>
      <c r="B43" s="10" t="inlineStr">
        <is>
          <t>This model is a decision-support tool. It is not investment, legal, tax or accounting advice. Simplifications are documented in the user manual (revenue recognition, IFRS 9 provisioning, tax). Users are responsible for their inputs and conclusions.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00FF"/>
    <outlinePr summaryBelow="1" summaryRight="1"/>
    <pageSetUpPr/>
  </sheetPr>
  <dimension ref="A1:BL4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8" customWidth="1" min="3" max="3"/>
    <col width="60" customWidth="1" min="4" max="4"/>
  </cols>
  <sheetData>
    <row r="1">
      <c r="A1" s="1" t="inlineStr">
        <is>
          <t>Inputs</t>
        </is>
      </c>
    </row>
    <row r="2">
      <c r="A2" s="2" t="inlineStr">
        <is>
          <t>Blue = input. Yellow = key assumption. All defaults illustrative.</t>
        </is>
      </c>
    </row>
    <row r="3"/>
    <row r="4">
      <c r="A4" s="11" t="inlineStr">
        <is>
          <t>Scenario &amp; model settings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  <c r="BB4" s="12" t="n"/>
      <c r="BC4" s="12" t="n"/>
      <c r="BD4" s="12" t="n"/>
      <c r="BE4" s="12" t="n"/>
      <c r="BF4" s="12" t="n"/>
      <c r="BG4" s="12" t="n"/>
      <c r="BH4" s="12" t="n"/>
      <c r="BI4" s="12" t="n"/>
      <c r="BJ4" s="12" t="n"/>
      <c r="BK4" s="12" t="n"/>
      <c r="BL4" s="12" t="n"/>
    </row>
    <row r="5">
      <c r="A5" s="4" t="inlineStr">
        <is>
          <t>Active scenario (1 = Base, 2 = Downside, 3 = Severe)</t>
        </is>
      </c>
      <c r="B5" s="13" t="inlineStr">
        <is>
          <t>#</t>
        </is>
      </c>
      <c r="C5" s="14" t="n">
        <v>1</v>
      </c>
      <c r="D5" s="2" t="inlineStr">
        <is>
          <t>Drives the levers on the Scenarios sheet.</t>
        </is>
      </c>
    </row>
    <row r="6">
      <c r="A6" s="4" t="inlineStr">
        <is>
          <t>First model month (period end)</t>
        </is>
      </c>
      <c r="B6" s="13" t="inlineStr">
        <is>
          <t>date</t>
        </is>
      </c>
      <c r="C6" s="15">
        <f>DATE(2027,1,31)</f>
        <v/>
      </c>
      <c r="D6" s="2" t="inlineStr">
        <is>
          <t>Enter as a date (period end of month 1).</t>
        </is>
      </c>
    </row>
    <row r="7">
      <c r="A7" s="4" t="inlineStr">
        <is>
          <t>Local currency label</t>
        </is>
      </c>
      <c r="B7" s="13" t="inlineStr">
        <is>
          <t>text</t>
        </is>
      </c>
      <c r="C7" s="16" t="inlineStr">
        <is>
          <t>LCY</t>
        </is>
      </c>
      <c r="D7" s="2" t="inlineStr">
        <is>
          <t>Display label only.</t>
        </is>
      </c>
    </row>
    <row r="8"/>
    <row r="9">
      <c r="A9" s="11" t="inlineStr">
        <is>
          <t>Macro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2" t="n"/>
      <c r="AS9" s="12" t="n"/>
      <c r="AT9" s="12" t="n"/>
      <c r="AU9" s="12" t="n"/>
      <c r="AV9" s="12" t="n"/>
      <c r="AW9" s="12" t="n"/>
      <c r="AX9" s="12" t="n"/>
      <c r="AY9" s="12" t="n"/>
      <c r="AZ9" s="12" t="n"/>
      <c r="BA9" s="12" t="n"/>
      <c r="BB9" s="12" t="n"/>
      <c r="BC9" s="12" t="n"/>
      <c r="BD9" s="12" t="n"/>
      <c r="BE9" s="12" t="n"/>
      <c r="BF9" s="12" t="n"/>
      <c r="BG9" s="12" t="n"/>
      <c r="BH9" s="12" t="n"/>
      <c r="BI9" s="12" t="n"/>
      <c r="BJ9" s="12" t="n"/>
      <c r="BK9" s="12" t="n"/>
      <c r="BL9" s="12" t="n"/>
    </row>
    <row r="10">
      <c r="A10" s="4" t="inlineStr">
        <is>
          <t>Opening FX rate</t>
        </is>
      </c>
      <c r="B10" s="13" t="inlineStr">
        <is>
          <t>LCY per USD</t>
        </is>
      </c>
      <c r="C10" s="17" t="n">
        <v>130</v>
      </c>
      <c r="D10" s="2" t="inlineStr">
        <is>
          <t>Illustrative placeholder - replace with company data.</t>
        </is>
      </c>
    </row>
    <row r="11">
      <c r="A11" s="4" t="inlineStr">
        <is>
          <t>Local inflation (opex indexation)</t>
        </is>
      </c>
      <c r="B11" s="13" t="inlineStr">
        <is>
          <t>% p.a.</t>
        </is>
      </c>
      <c r="C11" s="18" t="n">
        <v>0.06</v>
      </c>
      <c r="D11" s="2" t="inlineStr">
        <is>
          <t>Illustrative placeholder - replace with company data.</t>
        </is>
      </c>
    </row>
    <row r="12">
      <c r="A12" s="4" t="inlineStr">
        <is>
          <t>Corporate income tax rate</t>
        </is>
      </c>
      <c r="B12" s="13" t="inlineStr">
        <is>
          <t>%</t>
        </is>
      </c>
      <c r="C12" s="18" t="n">
        <v>0.3</v>
      </c>
      <c r="D12" s="2" t="inlineStr">
        <is>
          <t>Simplified: tax losses carried forward indefinitely, tax paid in the month incurred.</t>
        </is>
      </c>
    </row>
    <row r="13">
      <c r="A13" s="4" t="inlineStr">
        <is>
          <t>Annual price increase on NEW contracts</t>
        </is>
      </c>
      <c r="B13" s="13" t="inlineStr">
        <is>
          <t>% p.a.</t>
        </is>
      </c>
      <c r="C13" s="19" t="n">
        <v>0.05</v>
      </c>
      <c r="D13" s="2" t="inlineStr">
        <is>
          <t>Applies to new cohorts only; existing contracts keep their price plan.</t>
        </is>
      </c>
    </row>
    <row r="14"/>
    <row r="15">
      <c r="A15" s="11" t="inlineStr">
        <is>
          <t>Sales volume (Base, before scenario multiplier)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</row>
    <row r="16">
      <c r="A16" s="4" t="inlineStr">
        <is>
          <t>Units sold - Year 1</t>
        </is>
      </c>
      <c r="B16" s="13" t="inlineStr">
        <is>
          <t>units</t>
        </is>
      </c>
      <c r="C16" s="20" t="n">
        <v>12000</v>
      </c>
      <c r="D16" s="2" t="inlineStr">
        <is>
          <t>Illustrative placeholder - replace with company data.</t>
        </is>
      </c>
    </row>
    <row r="17">
      <c r="A17" s="4" t="inlineStr">
        <is>
          <t>Units sold - Year 2</t>
        </is>
      </c>
      <c r="B17" s="13" t="inlineStr">
        <is>
          <t>units</t>
        </is>
      </c>
      <c r="C17" s="21" t="n">
        <v>24000</v>
      </c>
      <c r="D17" s="2" t="inlineStr">
        <is>
          <t>Illustrative placeholder - replace with company data.</t>
        </is>
      </c>
    </row>
    <row r="18">
      <c r="A18" s="4" t="inlineStr">
        <is>
          <t>Units sold - Year 3</t>
        </is>
      </c>
      <c r="B18" s="13" t="inlineStr">
        <is>
          <t>units</t>
        </is>
      </c>
      <c r="C18" s="21" t="n">
        <v>36000</v>
      </c>
      <c r="D18" s="2" t="inlineStr">
        <is>
          <t>Illustrative placeholder - replace with company data.</t>
        </is>
      </c>
    </row>
    <row r="19">
      <c r="A19" s="4" t="inlineStr">
        <is>
          <t>Units sold - Year 4</t>
        </is>
      </c>
      <c r="B19" s="13" t="inlineStr">
        <is>
          <t>units</t>
        </is>
      </c>
      <c r="C19" s="21" t="n">
        <v>45000</v>
      </c>
      <c r="D19" s="2" t="inlineStr">
        <is>
          <t>Illustrative placeholder - replace with company data.</t>
        </is>
      </c>
    </row>
    <row r="20">
      <c r="A20" s="4" t="inlineStr">
        <is>
          <t>Units sold - Year 5</t>
        </is>
      </c>
      <c r="B20" s="13" t="inlineStr">
        <is>
          <t>units</t>
        </is>
      </c>
      <c r="C20" s="21" t="n">
        <v>50000</v>
      </c>
      <c r="D20" s="2" t="inlineStr">
        <is>
          <t>Illustrative placeholder - replace with company data.</t>
        </is>
      </c>
    </row>
    <row r="21"/>
    <row r="22">
      <c r="A22" s="11" t="inlineStr">
        <is>
          <t>Operating costs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</row>
    <row r="23">
      <c r="A23" s="4" t="inlineStr">
        <is>
          <t>Mobile-money / payment fees</t>
        </is>
      </c>
      <c r="B23" s="13" t="inlineStr">
        <is>
          <t>% of cash collected</t>
        </is>
      </c>
      <c r="C23" s="18" t="n">
        <v>0.02</v>
      </c>
      <c r="D23" s="2" t="inlineStr">
        <is>
          <t>Illustrative placeholder - replace with company data.</t>
        </is>
      </c>
    </row>
    <row r="24">
      <c r="A24" s="4" t="inlineStr">
        <is>
          <t>Customer service &amp; collections cost</t>
        </is>
      </c>
      <c r="B24" s="13" t="inlineStr">
        <is>
          <t>LCY / active account / month</t>
        </is>
      </c>
      <c r="C24" s="21" t="n">
        <v>60</v>
      </c>
      <c r="D24" s="2" t="inlineStr">
        <is>
          <t>Illustrative placeholder - replace with company data.</t>
        </is>
      </c>
    </row>
    <row r="25">
      <c r="A25" s="4" t="inlineStr">
        <is>
          <t>Staff costs (fixed, month 1 level)</t>
        </is>
      </c>
      <c r="B25" s="13" t="inlineStr">
        <is>
          <t>LCY / month</t>
        </is>
      </c>
      <c r="C25" s="20" t="n">
        <v>6500000</v>
      </c>
      <c r="D25" s="2" t="inlineStr">
        <is>
          <t>Illustrative placeholder - replace with company data.</t>
        </is>
      </c>
    </row>
    <row r="26">
      <c r="A26" s="4" t="inlineStr">
        <is>
          <t>G&amp;A, rent, IT (fixed, month 1 level)</t>
        </is>
      </c>
      <c r="B26" s="13" t="inlineStr">
        <is>
          <t>LCY / month</t>
        </is>
      </c>
      <c r="C26" s="21" t="n">
        <v>2600000</v>
      </c>
      <c r="D26" s="2" t="inlineStr">
        <is>
          <t>Illustrative placeholder - replace with company data.</t>
        </is>
      </c>
    </row>
    <row r="27">
      <c r="A27" s="4" t="inlineStr">
        <is>
          <t>Warranty &amp; after-sales provision</t>
        </is>
      </c>
      <c r="B27" s="13" t="inlineStr">
        <is>
          <t>% of landed HW cost</t>
        </is>
      </c>
      <c r="C27" s="18" t="n">
        <v>0.05</v>
      </c>
      <c r="D27" s="2" t="inlineStr">
        <is>
          <t>Illustrative placeholder - replace with company data.</t>
        </is>
      </c>
    </row>
    <row r="28">
      <c r="A28" s="4" t="inlineStr">
        <is>
          <t>Freight, duty &amp; clearing</t>
        </is>
      </c>
      <c r="B28" s="13" t="inlineStr">
        <is>
          <t>% of USD FOB cost</t>
        </is>
      </c>
      <c r="C28" s="18" t="n">
        <v>0.2</v>
      </c>
      <c r="D28" s="2" t="inlineStr">
        <is>
          <t>Illustrative placeholder - replace with company data.</t>
        </is>
      </c>
    </row>
    <row r="29"/>
    <row r="30">
      <c r="A30" s="11" t="inlineStr">
        <is>
          <t>Working capital &amp; capex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</row>
    <row r="31">
      <c r="A31" s="4" t="inlineStr">
        <is>
          <t>Inventory cover</t>
        </is>
      </c>
      <c r="B31" s="13" t="inlineStr">
        <is>
          <t>months of COGS</t>
        </is>
      </c>
      <c r="C31" s="22" t="n">
        <v>2</v>
      </c>
      <c r="D31" s="2" t="inlineStr">
        <is>
          <t>Illustrative placeholder - replace with company data.</t>
        </is>
      </c>
    </row>
    <row r="32">
      <c r="A32" s="4" t="inlineStr">
        <is>
          <t>Supplier credit on hardware</t>
        </is>
      </c>
      <c r="B32" s="13" t="inlineStr">
        <is>
          <t>days</t>
        </is>
      </c>
      <c r="C32" s="23" t="n">
        <v>60</v>
      </c>
      <c r="D32" s="2" t="inlineStr">
        <is>
          <t>Illustrative placeholder - replace with company data.</t>
        </is>
      </c>
    </row>
    <row r="33">
      <c r="A33" s="4" t="inlineStr">
        <is>
          <t>Fixed capex (vehicles, IT, depots)</t>
        </is>
      </c>
      <c r="B33" s="13" t="inlineStr">
        <is>
          <t>LCY / month</t>
        </is>
      </c>
      <c r="C33" s="21" t="n">
        <v>650000</v>
      </c>
      <c r="D33" s="2" t="inlineStr">
        <is>
          <t>Illustrative placeholder - replace with company data.</t>
        </is>
      </c>
    </row>
    <row r="34">
      <c r="A34" s="4" t="inlineStr">
        <is>
          <t>Depreciation life of fixed capex</t>
        </is>
      </c>
      <c r="B34" s="13" t="inlineStr">
        <is>
          <t>months</t>
        </is>
      </c>
      <c r="C34" s="23" t="n">
        <v>36</v>
      </c>
      <c r="D34" s="2" t="inlineStr">
        <is>
          <t>Illustrative placeholder - replace with company data.</t>
        </is>
      </c>
    </row>
    <row r="35">
      <c r="A35" s="4" t="inlineStr">
        <is>
          <t>Minimum cash balance</t>
        </is>
      </c>
      <c r="B35" s="13" t="inlineStr">
        <is>
          <t>LCY</t>
        </is>
      </c>
      <c r="C35" s="20" t="n">
        <v>65000000</v>
      </c>
      <c r="D35" s="2" t="inlineStr">
        <is>
          <t>Shortfalls below this level are covered by an automatic equity injection (funding requirement).</t>
        </is>
      </c>
    </row>
    <row r="36"/>
    <row r="37">
      <c r="A37" s="11" t="inlineStr">
        <is>
          <t>Financing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</row>
    <row r="38">
      <c r="A38" s="4" t="inlineStr">
        <is>
          <t>Initial equity (month 1)</t>
        </is>
      </c>
      <c r="B38" s="13" t="inlineStr">
        <is>
          <t>LCY</t>
        </is>
      </c>
      <c r="C38" s="20" t="n">
        <v>390000000</v>
      </c>
      <c r="D38" s="2" t="inlineStr">
        <is>
          <t>Illustrative placeholder - replace with company data.</t>
        </is>
      </c>
    </row>
    <row r="39">
      <c r="A39" s="4" t="inlineStr">
        <is>
          <t>USD term loan - amount</t>
        </is>
      </c>
      <c r="B39" s="13" t="inlineStr">
        <is>
          <t>USD</t>
        </is>
      </c>
      <c r="C39" s="20" t="n">
        <v>2000000</v>
      </c>
      <c r="D39" s="2" t="inlineStr">
        <is>
          <t>Illustrative placeholder - replace with company data.</t>
        </is>
      </c>
    </row>
    <row r="40">
      <c r="A40" s="4" t="inlineStr">
        <is>
          <t>USD term loan - drawdown month</t>
        </is>
      </c>
      <c r="B40" s="13" t="inlineStr">
        <is>
          <t>month #</t>
        </is>
      </c>
      <c r="C40" s="23" t="n">
        <v>6</v>
      </c>
      <c r="D40" s="2" t="inlineStr">
        <is>
          <t>Illustrative placeholder - replace with company data.</t>
        </is>
      </c>
    </row>
    <row r="41">
      <c r="A41" s="4" t="inlineStr">
        <is>
          <t>USD term loan - interest rate</t>
        </is>
      </c>
      <c r="B41" s="13" t="inlineStr">
        <is>
          <t>% p.a.</t>
        </is>
      </c>
      <c r="C41" s="18" t="n">
        <v>0.1</v>
      </c>
      <c r="D41" s="2" t="inlineStr">
        <is>
          <t>Illustrative placeholder - replace with company data.</t>
        </is>
      </c>
    </row>
    <row r="42">
      <c r="A42" s="4" t="inlineStr">
        <is>
          <t>USD term loan - grace period after drawdown</t>
        </is>
      </c>
      <c r="B42" s="13" t="inlineStr">
        <is>
          <t>months</t>
        </is>
      </c>
      <c r="C42" s="23" t="n">
        <v>12</v>
      </c>
      <c r="D42" s="2" t="inlineStr">
        <is>
          <t>Illustrative placeholder - replace with company data.</t>
        </is>
      </c>
    </row>
    <row r="43">
      <c r="A43" s="4" t="inlineStr">
        <is>
          <t>USD term loan - amortisation period</t>
        </is>
      </c>
      <c r="B43" s="13" t="inlineStr">
        <is>
          <t>months</t>
        </is>
      </c>
      <c r="C43" s="23" t="n">
        <v>36</v>
      </c>
      <c r="D43" s="2" t="inlineStr">
        <is>
          <t>Illustrative placeholder - replace with company data.</t>
        </is>
      </c>
    </row>
    <row r="44">
      <c r="A44" s="4" t="inlineStr">
        <is>
          <t>Receivables facility (LCY) - limit</t>
        </is>
      </c>
      <c r="B44" s="13" t="inlineStr">
        <is>
          <t>LCY</t>
        </is>
      </c>
      <c r="C44" s="20" t="n">
        <v>1300000000</v>
      </c>
      <c r="D44" s="2" t="inlineStr">
        <is>
          <t>Illustrative placeholder - replace with company data.</t>
        </is>
      </c>
    </row>
    <row r="45">
      <c r="A45" s="4" t="inlineStr">
        <is>
          <t>Receivables facility - advance rate</t>
        </is>
      </c>
      <c r="B45" s="13" t="inlineStr">
        <is>
          <t>% of eligible receivables</t>
        </is>
      </c>
      <c r="C45" s="19" t="n">
        <v>0.7</v>
      </c>
      <c r="D45" s="2" t="inlineStr">
        <is>
          <t>Illustrative placeholder - replace with company data.</t>
        </is>
      </c>
    </row>
    <row r="46">
      <c r="A46" s="4" t="inlineStr">
        <is>
          <t>Receivables facility - interest rate</t>
        </is>
      </c>
      <c r="B46" s="13" t="inlineStr">
        <is>
          <t>% p.a.</t>
        </is>
      </c>
      <c r="C46" s="18" t="n">
        <v>0.16</v>
      </c>
      <c r="D46" s="2" t="inlineStr">
        <is>
          <t>Illustrative placeholder - replace with company data.</t>
        </is>
      </c>
    </row>
    <row r="47">
      <c r="A47" s="4" t="inlineStr">
        <is>
          <t>Receivables facility - first available month</t>
        </is>
      </c>
      <c r="B47" s="13" t="inlineStr">
        <is>
          <t>month #</t>
        </is>
      </c>
      <c r="C47" s="23" t="n">
        <v>7</v>
      </c>
      <c r="D47" s="2" t="inlineStr">
        <is>
          <t>Illustrative placeholder - replace with company data.</t>
        </is>
      </c>
    </row>
  </sheetData>
  <dataValidations count="1">
    <dataValidation sqref="C5" showDropDown="0" showInputMessage="0" showErrorMessage="0" allowBlank="0" type="whole" operator="between">
      <formula1>1</formula1>
      <formula2>3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00FF"/>
    <outlinePr summaryBelow="1" summaryRight="1"/>
    <pageSetUpPr/>
  </sheetPr>
  <dimension ref="A1:BL26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2" customWidth="1" min="3" max="3"/>
    <col width="22" customWidth="1" min="4" max="4"/>
    <col width="22" customWidth="1" min="5" max="5"/>
    <col width="50" customWidth="1" min="6" max="6"/>
  </cols>
  <sheetData>
    <row r="1">
      <c r="A1" s="1" t="inlineStr">
        <is>
          <t>Product catalogue &amp; PAYGo price plans</t>
        </is>
      </c>
    </row>
    <row r="2">
      <c r="A2" s="2" t="inlineStr">
        <is>
          <t>One column per product. Blue = input. Derived values in black.</t>
        </is>
      </c>
    </row>
    <row r="3"/>
    <row r="4">
      <c r="A4" s="24" t="inlineStr">
        <is>
          <t>Parameter</t>
        </is>
      </c>
      <c r="B4" s="24" t="inlineStr">
        <is>
          <t>Unit</t>
        </is>
      </c>
      <c r="C4" s="24" t="inlineStr">
        <is>
          <t>P1 Solar lantern kit (Tier 1)</t>
        </is>
      </c>
      <c r="D4" s="24" t="inlineStr">
        <is>
          <t>P2 SHS lights+radio (Tier 2)</t>
        </is>
      </c>
      <c r="E4" s="24" t="inlineStr">
        <is>
          <t>P3 SHS with TV (Tier 3)</t>
        </is>
      </c>
      <c r="F4" s="24" t="inlineStr">
        <is>
          <t>Notes</t>
        </is>
      </c>
    </row>
    <row r="5">
      <c r="A5" s="4" t="inlineStr">
        <is>
          <t>Product name</t>
        </is>
      </c>
      <c r="B5" s="13" t="inlineStr">
        <is>
          <t>text</t>
        </is>
      </c>
      <c r="C5" s="16" t="inlineStr">
        <is>
          <t>P1 Solar lantern kit (Tier 1)</t>
        </is>
      </c>
      <c r="D5" s="16" t="inlineStr">
        <is>
          <t>P2 SHS lights+radio (Tier 2)</t>
        </is>
      </c>
      <c r="E5" s="16" t="inlineStr">
        <is>
          <t>P3 SHS with TV (Tier 3)</t>
        </is>
      </c>
      <c r="F5" s="2" t="inlineStr">
        <is>
          <t>Illustrative placeholder - replace with company data.</t>
        </is>
      </c>
    </row>
    <row r="6">
      <c r="A6" s="4" t="inlineStr">
        <is>
          <t>Cash (list) price</t>
        </is>
      </c>
      <c r="B6" s="13" t="inlineStr">
        <is>
          <t>LCY</t>
        </is>
      </c>
      <c r="C6" s="20" t="n">
        <v>6500</v>
      </c>
      <c r="D6" s="20" t="n">
        <v>26000</v>
      </c>
      <c r="E6" s="20" t="n">
        <v>65000</v>
      </c>
      <c r="F6" s="2" t="inlineStr">
        <is>
          <t>Price if paid upfront. Basis of hardware revenue.</t>
        </is>
      </c>
    </row>
    <row r="7">
      <c r="A7" s="4" t="inlineStr">
        <is>
          <t>PAYGo deposit</t>
        </is>
      </c>
      <c r="B7" s="13" t="inlineStr">
        <is>
          <t>LCY</t>
        </is>
      </c>
      <c r="C7" s="20" t="n">
        <v>1000</v>
      </c>
      <c r="D7" s="20" t="n">
        <v>3000</v>
      </c>
      <c r="E7" s="20" t="n">
        <v>6500</v>
      </c>
      <c r="F7" s="2" t="inlineStr">
        <is>
          <t>Illustrative placeholder - replace with company data.</t>
        </is>
      </c>
    </row>
    <row r="8">
      <c r="A8" s="4" t="inlineStr">
        <is>
          <t>PAYGo daily rate</t>
        </is>
      </c>
      <c r="B8" s="13" t="inlineStr">
        <is>
          <t>LCY / day</t>
        </is>
      </c>
      <c r="C8" s="20" t="n">
        <v>25</v>
      </c>
      <c r="D8" s="20" t="n">
        <v>60</v>
      </c>
      <c r="E8" s="20" t="n">
        <v>130</v>
      </c>
      <c r="F8" s="2" t="inlineStr">
        <is>
          <t>Illustrative placeholder - replace with company data.</t>
        </is>
      </c>
    </row>
    <row r="9">
      <c r="A9" s="4" t="inlineStr">
        <is>
          <t>PAYGo tenor</t>
        </is>
      </c>
      <c r="B9" s="13" t="inlineStr">
        <is>
          <t>months</t>
        </is>
      </c>
      <c r="C9" s="14" t="n">
        <v>12</v>
      </c>
      <c r="D9" s="14" t="n">
        <v>18</v>
      </c>
      <c r="E9" s="14" t="n">
        <v>24</v>
      </c>
      <c r="F9" s="2" t="inlineStr">
        <is>
          <t>Max 60.</t>
        </is>
      </c>
    </row>
    <row r="10">
      <c r="A10" s="4" t="inlineStr">
        <is>
          <t>Hardware FOB cost</t>
        </is>
      </c>
      <c r="B10" s="13" t="inlineStr">
        <is>
          <t>USD / unit</t>
        </is>
      </c>
      <c r="C10" s="17" t="n">
        <v>25</v>
      </c>
      <c r="D10" s="17" t="n">
        <v>90</v>
      </c>
      <c r="E10" s="17" t="n">
        <v>260</v>
      </c>
      <c r="F10" s="2" t="inlineStr">
        <is>
          <t>Illustrative placeholder - replace with company data.</t>
        </is>
      </c>
    </row>
    <row r="11">
      <c r="A11" s="4" t="inlineStr">
        <is>
          <t>Agent commission per sale</t>
        </is>
      </c>
      <c r="B11" s="13" t="inlineStr">
        <is>
          <t>LCY / unit</t>
        </is>
      </c>
      <c r="C11" s="21" t="n">
        <v>500</v>
      </c>
      <c r="D11" s="21" t="n">
        <v>1500</v>
      </c>
      <c r="E11" s="21" t="n">
        <v>3000</v>
      </c>
      <c r="F11" s="2" t="inlineStr">
        <is>
          <t>Illustrative placeholder - replace with company data.</t>
        </is>
      </c>
    </row>
    <row r="12">
      <c r="A12" s="4" t="inlineStr">
        <is>
          <t>Marketing &amp; acquisition cost per sale</t>
        </is>
      </c>
      <c r="B12" s="13" t="inlineStr">
        <is>
          <t>LCY / unit</t>
        </is>
      </c>
      <c r="C12" s="21" t="n">
        <v>300</v>
      </c>
      <c r="D12" s="21" t="n">
        <v>800</v>
      </c>
      <c r="E12" s="21" t="n">
        <v>1500</v>
      </c>
      <c r="F12" s="2" t="inlineStr">
        <is>
          <t>Illustrative placeholder - replace with company data.</t>
        </is>
      </c>
    </row>
    <row r="13">
      <c r="A13" s="4" t="inlineStr">
        <is>
          <t>Sales mix</t>
        </is>
      </c>
      <c r="B13" s="13" t="inlineStr">
        <is>
          <t>% of units</t>
        </is>
      </c>
      <c r="C13" s="19" t="n">
        <v>0.4</v>
      </c>
      <c r="D13" s="19" t="n">
        <v>0.4</v>
      </c>
      <c r="E13" s="19" t="n">
        <v>0.2</v>
      </c>
      <c r="F13" s="2" t="inlineStr">
        <is>
          <t>Must sum to 100% (see Checks).</t>
        </is>
      </c>
    </row>
    <row r="14">
      <c r="A14" s="4" t="inlineStr">
        <is>
          <t>Base monthly default hazard</t>
        </is>
      </c>
      <c r="B14" s="13" t="inlineStr">
        <is>
          <t>% of performing accounts / month</t>
        </is>
      </c>
      <c r="C14" s="19" t="n">
        <v>0.025</v>
      </c>
      <c r="D14" s="19" t="n">
        <v>0.02</v>
      </c>
      <c r="E14" s="19" t="n">
        <v>0.015</v>
      </c>
      <c r="F14" s="2" t="inlineStr">
        <is>
          <t>Share of still-paying accounts that stop paying each month. Scenario multiplier applied.</t>
        </is>
      </c>
    </row>
    <row r="15">
      <c r="A15" s="4" t="inlineStr">
        <is>
          <t>Base collection rate on performing accounts</t>
        </is>
      </c>
      <c r="B15" s="13" t="inlineStr">
        <is>
          <t>% of instalment</t>
        </is>
      </c>
      <c r="C15" s="19" t="n">
        <v>0.92</v>
      </c>
      <c r="D15" s="19" t="n">
        <v>0.9</v>
      </c>
      <c r="E15" s="19" t="n">
        <v>0.9</v>
      </c>
      <c r="F15" s="2" t="inlineStr">
        <is>
          <t>Partial / late payment of performing accounts. Scenario multiplier applied, capped at 100%.</t>
        </is>
      </c>
    </row>
    <row r="16"/>
    <row r="17">
      <c r="A17" s="11" t="inlineStr">
        <is>
          <t>Derived price-plan metrics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</row>
    <row r="18">
      <c r="A18" s="4" t="inlineStr">
        <is>
          <t>Monthly instalment (daily rate x 30.42)</t>
        </is>
      </c>
      <c r="B18" s="13" t="inlineStr">
        <is>
          <t>LCY / month</t>
        </is>
      </c>
      <c r="C18" s="25">
        <f>Products!$C$8*365/12</f>
        <v/>
      </c>
      <c r="D18" s="25">
        <f>Products!$D$8*365/12</f>
        <v/>
      </c>
      <c r="E18" s="25">
        <f>Products!$E$8*365/12</f>
        <v/>
      </c>
    </row>
    <row r="19">
      <c r="A19" s="4" t="inlineStr">
        <is>
          <t>Total PAYGo contract value</t>
        </is>
      </c>
      <c r="B19" s="13" t="inlineStr">
        <is>
          <t>LCY</t>
        </is>
      </c>
      <c r="C19" s="25">
        <f>Products!$C$7+Products!$C$18*Products!$C$9</f>
        <v/>
      </c>
      <c r="D19" s="25">
        <f>Products!$D$7+Products!$D$18*Products!$D$9</f>
        <v/>
      </c>
      <c r="E19" s="25">
        <f>Products!$E$7+Products!$E$18*Products!$E$9</f>
        <v/>
      </c>
    </row>
    <row r="20">
      <c r="A20" s="4" t="inlineStr">
        <is>
          <t>PAYGo financing mark-up over cash price</t>
        </is>
      </c>
      <c r="B20" s="13" t="inlineStr">
        <is>
          <t>LCY</t>
        </is>
      </c>
      <c r="C20" s="25">
        <f>Products!$C$19-Products!$C$6</f>
        <v/>
      </c>
      <c r="D20" s="25">
        <f>Products!$D$19-Products!$D$6</f>
        <v/>
      </c>
      <c r="E20" s="25">
        <f>Products!$E$19-Products!$E$6</f>
        <v/>
      </c>
    </row>
    <row r="21">
      <c r="A21" s="4" t="inlineStr">
        <is>
          <t>Mark-up as % of cash price</t>
        </is>
      </c>
      <c r="B21" s="13" t="inlineStr">
        <is>
          <t>%</t>
        </is>
      </c>
      <c r="C21" s="26">
        <f>IF(Products!$C$6=0,0,Products!$C$20/Products!$C$6)</f>
        <v/>
      </c>
      <c r="D21" s="26">
        <f>IF(Products!$D$6=0,0,Products!$D$20/Products!$D$6)</f>
        <v/>
      </c>
      <c r="E21" s="26">
        <f>IF(Products!$E$6=0,0,Products!$E$20/Products!$E$6)</f>
        <v/>
      </c>
    </row>
    <row r="22">
      <c r="A22" s="4" t="inlineStr">
        <is>
          <t>Amount financed at sale (cash price - deposit)</t>
        </is>
      </c>
      <c r="B22" s="13" t="inlineStr">
        <is>
          <t>LCY</t>
        </is>
      </c>
      <c r="C22" s="25">
        <f>Products!$C$6-Products!$C$7</f>
        <v/>
      </c>
      <c r="D22" s="25">
        <f>Products!$D$6-Products!$D$7</f>
        <v/>
      </c>
      <c r="E22" s="25">
        <f>Products!$E$6-Products!$E$7</f>
        <v/>
      </c>
    </row>
    <row r="23">
      <c r="A23" s="4" t="inlineStr">
        <is>
          <t>Scenario monthly default hazard</t>
        </is>
      </c>
      <c r="B23" s="13" t="inlineStr">
        <is>
          <t>%</t>
        </is>
      </c>
      <c r="C23" s="26">
        <f>Products!$C$14*Scenarios!$G$6</f>
        <v/>
      </c>
      <c r="D23" s="26">
        <f>Products!$D$14*Scenarios!$G$6</f>
        <v/>
      </c>
      <c r="E23" s="26">
        <f>Products!$E$14*Scenarios!$G$6</f>
        <v/>
      </c>
    </row>
    <row r="24">
      <c r="A24" s="4" t="inlineStr">
        <is>
          <t>Scenario collection rate on performing</t>
        </is>
      </c>
      <c r="B24" s="13" t="inlineStr">
        <is>
          <t>%</t>
        </is>
      </c>
      <c r="C24" s="26">
        <f>MIN(1,Products!$C$15*Scenarios!$G$7)</f>
        <v/>
      </c>
      <c r="D24" s="26">
        <f>MIN(1,Products!$D$15*Scenarios!$G$7)</f>
        <v/>
      </c>
      <c r="E24" s="26">
        <f>MIN(1,Products!$E$15*Scenarios!$G$7)</f>
        <v/>
      </c>
    </row>
    <row r="25">
      <c r="A25" s="4" t="inlineStr">
        <is>
          <t>Landed hardware cost at opening FX (scenario)</t>
        </is>
      </c>
      <c r="B25" s="13" t="inlineStr">
        <is>
          <t>LCY / unit</t>
        </is>
      </c>
      <c r="C25" s="25">
        <f>Products!$C$10*(1+Inputs!$C$28)*Inputs!$C$10*Scenarios!$G$9</f>
        <v/>
      </c>
      <c r="D25" s="25">
        <f>Products!$D$10*(1+Inputs!$C$28)*Inputs!$C$10*Scenarios!$G$9</f>
        <v/>
      </c>
      <c r="E25" s="25">
        <f>Products!$E$10*(1+Inputs!$C$28)*Inputs!$C$10*Scenarios!$G$9</f>
        <v/>
      </c>
    </row>
    <row r="26">
      <c r="A26" s="4" t="inlineStr">
        <is>
          <t>Customer acquisition cost (commission + marketing)</t>
        </is>
      </c>
      <c r="B26" s="13" t="inlineStr">
        <is>
          <t>LCY / unit</t>
        </is>
      </c>
      <c r="C26" s="25">
        <f>Products!$C$11+Products!$C$12</f>
        <v/>
      </c>
      <c r="D26" s="25">
        <f>Products!$D$11+Products!$D$12</f>
        <v/>
      </c>
      <c r="E26" s="25">
        <f>Products!$E$11+Products!$E$12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00FF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Scenario levers</t>
        </is>
      </c>
    </row>
    <row r="2">
      <c r="A2" s="2" t="inlineStr">
        <is>
          <t>Multipliers / overrides applied to Base inputs. Active column follows Inputs!C5.</t>
        </is>
      </c>
    </row>
    <row r="3"/>
    <row r="4"/>
    <row r="5">
      <c r="A5" s="24" t="inlineStr">
        <is>
          <t>Lever</t>
        </is>
      </c>
      <c r="B5" s="24" t="inlineStr">
        <is>
          <t>Unit</t>
        </is>
      </c>
      <c r="C5" s="24" t="inlineStr">
        <is>
          <t>Base</t>
        </is>
      </c>
      <c r="D5" s="24" t="inlineStr">
        <is>
          <t>Downside</t>
        </is>
      </c>
      <c r="E5" s="24" t="inlineStr">
        <is>
          <t>Severe</t>
        </is>
      </c>
      <c r="F5" s="24" t="inlineStr"/>
      <c r="G5" s="24" t="inlineStr">
        <is>
          <t>ACTIVE</t>
        </is>
      </c>
    </row>
    <row r="6">
      <c r="A6" s="4" t="inlineStr">
        <is>
          <t>Default hazard multiplier</t>
        </is>
      </c>
      <c r="B6" s="13" t="inlineStr">
        <is>
          <t>x</t>
        </is>
      </c>
      <c r="C6" s="22" t="n">
        <v>1</v>
      </c>
      <c r="D6" s="22" t="n">
        <v>1.5</v>
      </c>
      <c r="E6" s="22" t="n">
        <v>2</v>
      </c>
      <c r="G6" s="27">
        <f>CHOOSE(Inputs!$C$5,C6,D6,E6)</f>
        <v/>
      </c>
    </row>
    <row r="7">
      <c r="A7" s="4" t="inlineStr">
        <is>
          <t>Collection-rate multiplier (performing accounts)</t>
        </is>
      </c>
      <c r="B7" s="13" t="inlineStr">
        <is>
          <t>x</t>
        </is>
      </c>
      <c r="C7" s="22" t="n">
        <v>1</v>
      </c>
      <c r="D7" s="22" t="n">
        <v>0.95</v>
      </c>
      <c r="E7" s="22" t="n">
        <v>0.88</v>
      </c>
      <c r="G7" s="27">
        <f>CHOOSE(Inputs!$C$5,C7,D7,E7)</f>
        <v/>
      </c>
    </row>
    <row r="8">
      <c r="A8" s="4" t="inlineStr">
        <is>
          <t>Sales volume multiplier</t>
        </is>
      </c>
      <c r="B8" s="13" t="inlineStr">
        <is>
          <t>x</t>
        </is>
      </c>
      <c r="C8" s="22" t="n">
        <v>1</v>
      </c>
      <c r="D8" s="22" t="n">
        <v>0.85</v>
      </c>
      <c r="E8" s="22" t="n">
        <v>0.7</v>
      </c>
      <c r="G8" s="27">
        <f>CHOOSE(Inputs!$C$5,C8,D8,E8)</f>
        <v/>
      </c>
    </row>
    <row r="9">
      <c r="A9" s="4" t="inlineStr">
        <is>
          <t>Hardware cost multiplier (USD)</t>
        </is>
      </c>
      <c r="B9" s="13" t="inlineStr">
        <is>
          <t>x</t>
        </is>
      </c>
      <c r="C9" s="22" t="n">
        <v>1</v>
      </c>
      <c r="D9" s="22" t="n">
        <v>1.05</v>
      </c>
      <c r="E9" s="22" t="n">
        <v>1.1</v>
      </c>
      <c r="G9" s="27">
        <f>CHOOSE(Inputs!$C$5,C9,D9,E9)</f>
        <v/>
      </c>
    </row>
    <row r="10">
      <c r="A10" s="4" t="inlineStr">
        <is>
          <t>LCY depreciation vs USD</t>
        </is>
      </c>
      <c r="B10" s="13" t="inlineStr">
        <is>
          <t>% p.a.</t>
        </is>
      </c>
      <c r="C10" s="18" t="n">
        <v>0.05</v>
      </c>
      <c r="D10" s="18" t="n">
        <v>0.15</v>
      </c>
      <c r="E10" s="18" t="n">
        <v>0.3</v>
      </c>
      <c r="G10" s="28">
        <f>CHOOSE(Inputs!$C$5,C10,D10,E10)</f>
        <v/>
      </c>
    </row>
    <row r="11"/>
    <row r="12">
      <c r="A12" s="3" t="inlineStr">
        <is>
          <t>Scenario names</t>
        </is>
      </c>
      <c r="C12" s="16" t="inlineStr">
        <is>
          <t>Base</t>
        </is>
      </c>
      <c r="D12" s="16" t="inlineStr">
        <is>
          <t>Downside</t>
        </is>
      </c>
      <c r="E12" s="16" t="inlineStr">
        <is>
          <t>Severe</t>
        </is>
      </c>
      <c r="G12" s="29">
        <f>CHOOSE(Inputs!$C$5,C12,D12,E12)</f>
        <v/>
      </c>
    </row>
    <row r="13"/>
    <row r="14">
      <c r="A14" s="2" t="inlineStr">
        <is>
          <t>Downside/Severe levers are illustrative stress settings. Calibrate them to the company's own cohort history and to sector data before use.</t>
        </is>
      </c>
    </row>
    <row r="15">
      <c r="A15" s="2" t="inlineStr">
        <is>
          <t>Context: ESMAP Off-Grid Solar Market Trends Report 2024 reports a sector PAYGo collection rate of about 62% (2023) - see sources/source-register.md.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</cols>
  <sheetData>
    <row r="1">
      <c r="A1" s="1" t="inlineStr">
        <is>
          <t>Dashboard</t>
        </is>
      </c>
    </row>
    <row r="2">
      <c r="A2" s="2" t="inlineStr">
        <is>
          <t>Active scenario shown in Scenarios!G12. Charts read from Annual / KPIs.</t>
        </is>
      </c>
    </row>
    <row r="3"/>
    <row r="4">
      <c r="A4" s="4" t="inlineStr">
        <is>
          <t>Active scenario</t>
        </is>
      </c>
      <c r="B4" s="30">
        <f>Scenarios!G12</f>
        <v/>
      </c>
    </row>
    <row r="5">
      <c r="A5" s="4" t="inlineStr">
        <is>
          <t>Peak equity requirement (LCY)</t>
        </is>
      </c>
      <c r="B5" s="31">
        <f>KPIs!$C$30</f>
        <v/>
      </c>
    </row>
    <row r="6">
      <c r="A6" s="4" t="inlineStr">
        <is>
          <t>Peak equity requirement (USD at opening FX)</t>
        </is>
      </c>
      <c r="B6" s="32">
        <f>KPIs!$C$30/Inputs!$C$10</f>
        <v/>
      </c>
    </row>
    <row r="7">
      <c r="A7" s="4" t="inlineStr">
        <is>
          <t>Master check</t>
        </is>
      </c>
      <c r="B7" s="30">
        <f>Checks!C15</f>
        <v/>
      </c>
    </row>
    <row r="8"/>
    <row r="9"/>
    <row r="10">
      <c r="A10" s="2" t="inlineStr">
        <is>
          <t>Chart series order: bar = Revenue, EBITDA; line 1 = Collection rate, Write-off rate; line 2 = Cumulative equity, Total debt.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Key performance indicators</t>
        </is>
      </c>
    </row>
    <row r="2">
      <c r="A2" s="2" t="inlineStr">
        <is>
          <t>Portfolio KPIs follow PAYGo PERFORM-style definitions where noted (simplified, see manual).</t>
        </is>
      </c>
    </row>
    <row r="3"/>
    <row r="4"/>
    <row r="5">
      <c r="E5" s="33" t="inlineStr">
        <is>
          <t>Year 1</t>
        </is>
      </c>
      <c r="F5" s="33" t="inlineStr">
        <is>
          <t>Year 2</t>
        </is>
      </c>
      <c r="G5" s="33" t="inlineStr">
        <is>
          <t>Year 3</t>
        </is>
      </c>
      <c r="H5" s="33" t="inlineStr">
        <is>
          <t>Year 4</t>
        </is>
      </c>
      <c r="I5" s="33" t="inlineStr">
        <is>
          <t>Year 5</t>
        </is>
      </c>
    </row>
    <row r="6">
      <c r="E6" s="34" t="n">
        <v>1</v>
      </c>
      <c r="F6" s="34" t="n">
        <v>2</v>
      </c>
      <c r="G6" s="34" t="n">
        <v>3</v>
      </c>
      <c r="H6" s="34" t="n">
        <v>4</v>
      </c>
      <c r="I6" s="34" t="n">
        <v>5</v>
      </c>
    </row>
    <row r="7"/>
    <row r="8">
      <c r="A8" s="11" t="inlineStr">
        <is>
          <t>Portfolio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  <c r="BJ8" s="12" t="n"/>
      <c r="BK8" s="12" t="n"/>
      <c r="BL8" s="12" t="n"/>
    </row>
    <row r="9">
      <c r="A9" s="4" t="inlineStr">
        <is>
          <t>Units sold</t>
        </is>
      </c>
      <c r="E9" s="25">
        <f>SUMIFS(Ops!$E$54:$BL$54,Timeline!$E$6:$BL$6,E$6)</f>
        <v/>
      </c>
      <c r="F9" s="25">
        <f>SUMIFS(Ops!$E$54:$BL$54,Timeline!$E$6:$BL$6,F$6)</f>
        <v/>
      </c>
      <c r="G9" s="25">
        <f>SUMIFS(Ops!$E$54:$BL$54,Timeline!$E$6:$BL$6,G$6)</f>
        <v/>
      </c>
      <c r="H9" s="25">
        <f>SUMIFS(Ops!$E$54:$BL$54,Timeline!$E$6:$BL$6,H$6)</f>
        <v/>
      </c>
      <c r="I9" s="25">
        <f>SUMIFS(Ops!$E$54:$BL$54,Timeline!$E$6:$BL$6,I$6)</f>
        <v/>
      </c>
    </row>
    <row r="10">
      <c r="A10" s="4" t="inlineStr">
        <is>
          <t>Active accounts (year end)</t>
        </is>
      </c>
      <c r="E10" s="25">
        <f>INDEX(Ops!$E$64:$BL$64,1,E$6*12)</f>
        <v/>
      </c>
      <c r="F10" s="25">
        <f>INDEX(Ops!$E$64:$BL$64,1,F$6*12)</f>
        <v/>
      </c>
      <c r="G10" s="25">
        <f>INDEX(Ops!$E$64:$BL$64,1,G$6*12)</f>
        <v/>
      </c>
      <c r="H10" s="25">
        <f>INDEX(Ops!$E$64:$BL$64,1,H$6*12)</f>
        <v/>
      </c>
      <c r="I10" s="25">
        <f>INDEX(Ops!$E$64:$BL$64,1,I$6*12)</f>
        <v/>
      </c>
    </row>
    <row r="11">
      <c r="A11" s="4" t="inlineStr">
        <is>
          <t>Collection rate (collected / due, excl. deposits)</t>
        </is>
      </c>
      <c r="E11" s="26">
        <f>IFERROR(SUMIFS(Ops!$E$60:$BL$60,Timeline!$E$6:$BL$6,E$6)/SUMIFS(Ops!$E$59:$BL$59,Timeline!$E$6:$BL$6,E$6),0)</f>
        <v/>
      </c>
      <c r="F11" s="26">
        <f>IFERROR(SUMIFS(Ops!$E$60:$BL$60,Timeline!$E$6:$BL$6,F$6)/SUMIFS(Ops!$E$59:$BL$59,Timeline!$E$6:$BL$6,F$6),0)</f>
        <v/>
      </c>
      <c r="G11" s="26">
        <f>IFERROR(SUMIFS(Ops!$E$60:$BL$60,Timeline!$E$6:$BL$6,G$6)/SUMIFS(Ops!$E$59:$BL$59,Timeline!$E$6:$BL$6,G$6),0)</f>
        <v/>
      </c>
      <c r="H11" s="26">
        <f>IFERROR(SUMIFS(Ops!$E$60:$BL$60,Timeline!$E$6:$BL$6,H$6)/SUMIFS(Ops!$E$59:$BL$59,Timeline!$E$6:$BL$6,H$6),0)</f>
        <v/>
      </c>
      <c r="I11" s="26">
        <f>IFERROR(SUMIFS(Ops!$E$60:$BL$60,Timeline!$E$6:$BL$6,I$6)/SUMIFS(Ops!$E$59:$BL$59,Timeline!$E$6:$BL$6,I$6),0)</f>
        <v/>
      </c>
    </row>
    <row r="12">
      <c r="A12" s="4" t="inlineStr">
        <is>
          <t>Write-off rate (missed / due)</t>
        </is>
      </c>
      <c r="E12" s="26">
        <f>IFERROR(SUMIFS(Ops!$E$61:$BL$61,Timeline!$E$6:$BL$6,E$6)/SUMIFS(Ops!$E$59:$BL$59,Timeline!$E$6:$BL$6,E$6),0)</f>
        <v/>
      </c>
      <c r="F12" s="26">
        <f>IFERROR(SUMIFS(Ops!$E$61:$BL$61,Timeline!$E$6:$BL$6,F$6)/SUMIFS(Ops!$E$59:$BL$59,Timeline!$E$6:$BL$6,F$6),0)</f>
        <v/>
      </c>
      <c r="G12" s="26">
        <f>IFERROR(SUMIFS(Ops!$E$61:$BL$61,Timeline!$E$6:$BL$6,G$6)/SUMIFS(Ops!$E$59:$BL$59,Timeline!$E$6:$BL$6,G$6),0)</f>
        <v/>
      </c>
      <c r="H12" s="26">
        <f>IFERROR(SUMIFS(Ops!$E$61:$BL$61,Timeline!$E$6:$BL$6,H$6)/SUMIFS(Ops!$E$59:$BL$59,Timeline!$E$6:$BL$6,H$6),0)</f>
        <v/>
      </c>
      <c r="I12" s="26">
        <f>IFERROR(SUMIFS(Ops!$E$61:$BL$61,Timeline!$E$6:$BL$6,I$6)/SUMIFS(Ops!$E$59:$BL$59,Timeline!$E$6:$BL$6,I$6),0)</f>
        <v/>
      </c>
    </row>
    <row r="13">
      <c r="A13" s="4" t="inlineStr">
        <is>
          <t>Receivables at risk / gross receivables (year end)</t>
        </is>
      </c>
      <c r="E13" s="26">
        <f>IFERROR(INDEX(Ops!$E$65:$BL$65,1,E$6*12)/INDEX(FS!$E$30:$BL$30,1,E$6*12),0)</f>
        <v/>
      </c>
      <c r="F13" s="26">
        <f>IFERROR(INDEX(Ops!$E$65:$BL$65,1,F$6*12)/INDEX(FS!$E$30:$BL$30,1,F$6*12),0)</f>
        <v/>
      </c>
      <c r="G13" s="26">
        <f>IFERROR(INDEX(Ops!$E$65:$BL$65,1,G$6*12)/INDEX(FS!$E$30:$BL$30,1,G$6*12),0)</f>
        <v/>
      </c>
      <c r="H13" s="26">
        <f>IFERROR(INDEX(Ops!$E$65:$BL$65,1,H$6*12)/INDEX(FS!$E$30:$BL$30,1,H$6*12),0)</f>
        <v/>
      </c>
      <c r="I13" s="26">
        <f>IFERROR(INDEX(Ops!$E$65:$BL$65,1,I$6*12)/INDEX(FS!$E$30:$BL$30,1,I$6*12),0)</f>
        <v/>
      </c>
    </row>
    <row r="14">
      <c r="A14" s="4" t="inlineStr">
        <is>
          <t>Loss allowance coverage (allowance / gross receivables)</t>
        </is>
      </c>
      <c r="E14" s="26">
        <f>IFERROR(-INDEX(FS!$E$31:$BL$31,1,E$6*12)/INDEX(FS!$E$30:$BL$30,1,E$6*12),0)</f>
        <v/>
      </c>
      <c r="F14" s="26">
        <f>IFERROR(-INDEX(FS!$E$31:$BL$31,1,F$6*12)/INDEX(FS!$E$30:$BL$30,1,F$6*12),0)</f>
        <v/>
      </c>
      <c r="G14" s="26">
        <f>IFERROR(-INDEX(FS!$E$31:$BL$31,1,G$6*12)/INDEX(FS!$E$30:$BL$30,1,G$6*12),0)</f>
        <v/>
      </c>
      <c r="H14" s="26">
        <f>IFERROR(-INDEX(FS!$E$31:$BL$31,1,H$6*12)/INDEX(FS!$E$30:$BL$30,1,H$6*12),0)</f>
        <v/>
      </c>
      <c r="I14" s="26">
        <f>IFERROR(-INDEX(FS!$E$31:$BL$31,1,I$6*12)/INDEX(FS!$E$30:$BL$30,1,I$6*12),0)</f>
        <v/>
      </c>
    </row>
    <row r="15">
      <c r="A15" s="11" t="inlineStr">
        <is>
          <t>Profitability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</row>
    <row r="16">
      <c r="A16" s="4" t="inlineStr">
        <is>
          <t>Revenue (LCY)</t>
        </is>
      </c>
      <c r="E16" s="25">
        <f>SUMIFS(FS!$E$11:$BL$11,Timeline!$E$6:$BL$6,E$6)</f>
        <v/>
      </c>
      <c r="F16" s="25">
        <f>SUMIFS(FS!$E$11:$BL$11,Timeline!$E$6:$BL$6,F$6)</f>
        <v/>
      </c>
      <c r="G16" s="25">
        <f>SUMIFS(FS!$E$11:$BL$11,Timeline!$E$6:$BL$6,G$6)</f>
        <v/>
      </c>
      <c r="H16" s="25">
        <f>SUMIFS(FS!$E$11:$BL$11,Timeline!$E$6:$BL$6,H$6)</f>
        <v/>
      </c>
      <c r="I16" s="25">
        <f>SUMIFS(FS!$E$11:$BL$11,Timeline!$E$6:$BL$6,I$6)</f>
        <v/>
      </c>
    </row>
    <row r="17">
      <c r="A17" s="4" t="inlineStr">
        <is>
          <t>Gross margin</t>
        </is>
      </c>
      <c r="E17" s="26">
        <f>IFERROR(SUMIFS(FS!$E$13:$BL$13,Timeline!$E$6:$BL$6,E$6)/SUMIFS(FS!$E$11:$BL$11,Timeline!$E$6:$BL$6,E$6),0)</f>
        <v/>
      </c>
      <c r="F17" s="26">
        <f>IFERROR(SUMIFS(FS!$E$13:$BL$13,Timeline!$E$6:$BL$6,F$6)/SUMIFS(FS!$E$11:$BL$11,Timeline!$E$6:$BL$6,F$6),0)</f>
        <v/>
      </c>
      <c r="G17" s="26">
        <f>IFERROR(SUMIFS(FS!$E$13:$BL$13,Timeline!$E$6:$BL$6,G$6)/SUMIFS(FS!$E$11:$BL$11,Timeline!$E$6:$BL$6,G$6),0)</f>
        <v/>
      </c>
      <c r="H17" s="26">
        <f>IFERROR(SUMIFS(FS!$E$13:$BL$13,Timeline!$E$6:$BL$6,H$6)/SUMIFS(FS!$E$11:$BL$11,Timeline!$E$6:$BL$6,H$6),0)</f>
        <v/>
      </c>
      <c r="I17" s="26">
        <f>IFERROR(SUMIFS(FS!$E$13:$BL$13,Timeline!$E$6:$BL$6,I$6)/SUMIFS(FS!$E$11:$BL$11,Timeline!$E$6:$BL$6,I$6),0)</f>
        <v/>
      </c>
    </row>
    <row r="18">
      <c r="A18" s="4" t="inlineStr">
        <is>
          <t>EBITDA margin</t>
        </is>
      </c>
      <c r="E18" s="26">
        <f>IFERROR(SUMIFS(FS!$E$16:$BL$16,Timeline!$E$6:$BL$6,E$6)/SUMIFS(FS!$E$11:$BL$11,Timeline!$E$6:$BL$6,E$6),0)</f>
        <v/>
      </c>
      <c r="F18" s="26">
        <f>IFERROR(SUMIFS(FS!$E$16:$BL$16,Timeline!$E$6:$BL$6,F$6)/SUMIFS(FS!$E$11:$BL$11,Timeline!$E$6:$BL$6,F$6),0)</f>
        <v/>
      </c>
      <c r="G18" s="26">
        <f>IFERROR(SUMIFS(FS!$E$16:$BL$16,Timeline!$E$6:$BL$6,G$6)/SUMIFS(FS!$E$11:$BL$11,Timeline!$E$6:$BL$6,G$6),0)</f>
        <v/>
      </c>
      <c r="H18" s="26">
        <f>IFERROR(SUMIFS(FS!$E$16:$BL$16,Timeline!$E$6:$BL$6,H$6)/SUMIFS(FS!$E$11:$BL$11,Timeline!$E$6:$BL$6,H$6),0)</f>
        <v/>
      </c>
      <c r="I18" s="26">
        <f>IFERROR(SUMIFS(FS!$E$16:$BL$16,Timeline!$E$6:$BL$6,I$6)/SUMIFS(FS!$E$11:$BL$11,Timeline!$E$6:$BL$6,I$6),0)</f>
        <v/>
      </c>
    </row>
    <row r="19">
      <c r="A19" s="4" t="inlineStr">
        <is>
          <t>Net income (LCY)</t>
        </is>
      </c>
      <c r="E19" s="25">
        <f>SUMIFS(FS!$E$26:$BL$26,Timeline!$E$6:$BL$6,E$6)</f>
        <v/>
      </c>
      <c r="F19" s="25">
        <f>SUMIFS(FS!$E$26:$BL$26,Timeline!$E$6:$BL$6,F$6)</f>
        <v/>
      </c>
      <c r="G19" s="25">
        <f>SUMIFS(FS!$E$26:$BL$26,Timeline!$E$6:$BL$6,G$6)</f>
        <v/>
      </c>
      <c r="H19" s="25">
        <f>SUMIFS(FS!$E$26:$BL$26,Timeline!$E$6:$BL$6,H$6)</f>
        <v/>
      </c>
      <c r="I19" s="25">
        <f>SUMIFS(FS!$E$26:$BL$26,Timeline!$E$6:$BL$6,I$6)</f>
        <v/>
      </c>
    </row>
    <row r="20">
      <c r="A20" s="4" t="inlineStr">
        <is>
          <t>Revenue (USD, at average FX)</t>
        </is>
      </c>
      <c r="E20" s="25">
        <f>IFERROR(SUMIFS(FS!$E$11:$BL$11,Timeline!$E$6:$BL$6,E$6)/AVERAGEIFS(Timeline!$E$8:$BL$8,Timeline!$E$6:$BL$6,E$6),0)</f>
        <v/>
      </c>
      <c r="F20" s="25">
        <f>IFERROR(SUMIFS(FS!$E$11:$BL$11,Timeline!$E$6:$BL$6,F$6)/AVERAGEIFS(Timeline!$E$8:$BL$8,Timeline!$E$6:$BL$6,F$6),0)</f>
        <v/>
      </c>
      <c r="G20" s="25">
        <f>IFERROR(SUMIFS(FS!$E$11:$BL$11,Timeline!$E$6:$BL$6,G$6)/AVERAGEIFS(Timeline!$E$8:$BL$8,Timeline!$E$6:$BL$6,G$6),0)</f>
        <v/>
      </c>
      <c r="H20" s="25">
        <f>IFERROR(SUMIFS(FS!$E$11:$BL$11,Timeline!$E$6:$BL$6,H$6)/AVERAGEIFS(Timeline!$E$8:$BL$8,Timeline!$E$6:$BL$6,H$6),0)</f>
        <v/>
      </c>
      <c r="I20" s="25">
        <f>IFERROR(SUMIFS(FS!$E$11:$BL$11,Timeline!$E$6:$BL$6,I$6)/AVERAGEIFS(Timeline!$E$8:$BL$8,Timeline!$E$6:$BL$6,I$6),0)</f>
        <v/>
      </c>
    </row>
    <row r="21">
      <c r="A21" s="11" t="inlineStr">
        <is>
          <t>Funding &amp; leverage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</row>
    <row r="22">
      <c r="A22" s="4" t="inlineStr">
        <is>
          <t>Closing cash (LCY)</t>
        </is>
      </c>
      <c r="E22" s="25">
        <f>INDEX(FS!$E$60:$BL$60,1,E$6*12)</f>
        <v/>
      </c>
      <c r="F22" s="25">
        <f>INDEX(FS!$E$60:$BL$60,1,F$6*12)</f>
        <v/>
      </c>
      <c r="G22" s="25">
        <f>INDEX(FS!$E$60:$BL$60,1,G$6*12)</f>
        <v/>
      </c>
      <c r="H22" s="25">
        <f>INDEX(FS!$E$60:$BL$60,1,H$6*12)</f>
        <v/>
      </c>
      <c r="I22" s="25">
        <f>INDEX(FS!$E$60:$BL$60,1,I$6*12)</f>
        <v/>
      </c>
    </row>
    <row r="23">
      <c r="A23" s="4" t="inlineStr">
        <is>
          <t>Cumulative equity invested (LCY)</t>
        </is>
      </c>
      <c r="E23" s="25">
        <f>INDEX(Financing!$E$11:$BL$11,1,E$6*12)</f>
        <v/>
      </c>
      <c r="F23" s="25">
        <f>INDEX(Financing!$E$11:$BL$11,1,F$6*12)</f>
        <v/>
      </c>
      <c r="G23" s="25">
        <f>INDEX(Financing!$E$11:$BL$11,1,G$6*12)</f>
        <v/>
      </c>
      <c r="H23" s="25">
        <f>INDEX(Financing!$E$11:$BL$11,1,H$6*12)</f>
        <v/>
      </c>
      <c r="I23" s="25">
        <f>INDEX(Financing!$E$11:$BL$11,1,I$6*12)</f>
        <v/>
      </c>
    </row>
    <row r="24">
      <c r="A24" s="4" t="inlineStr">
        <is>
          <t>Equity top-ups in year (funding gap, LCY)</t>
        </is>
      </c>
      <c r="E24" s="25">
        <f>SUMIFS(FS!$E$59:$BL$59,Timeline!$E$6:$BL$6,E$6)</f>
        <v/>
      </c>
      <c r="F24" s="25">
        <f>SUMIFS(FS!$E$59:$BL$59,Timeline!$E$6:$BL$6,F$6)</f>
        <v/>
      </c>
      <c r="G24" s="25">
        <f>SUMIFS(FS!$E$59:$BL$59,Timeline!$E$6:$BL$6,G$6)</f>
        <v/>
      </c>
      <c r="H24" s="25">
        <f>SUMIFS(FS!$E$59:$BL$59,Timeline!$E$6:$BL$6,H$6)</f>
        <v/>
      </c>
      <c r="I24" s="25">
        <f>SUMIFS(FS!$E$59:$BL$59,Timeline!$E$6:$BL$6,I$6)</f>
        <v/>
      </c>
    </row>
    <row r="25">
      <c r="A25" s="4" t="inlineStr">
        <is>
          <t>Total debt (year end, LCY)</t>
        </is>
      </c>
      <c r="E25" s="25">
        <f>INDEX(FS!$E$37:$BL$37,1,E$6*12)+INDEX(FS!$E$38:$BL$38,1,E$6*12)</f>
        <v/>
      </c>
      <c r="F25" s="25">
        <f>INDEX(FS!$E$37:$BL$37,1,F$6*12)+INDEX(FS!$E$38:$BL$38,1,F$6*12)</f>
        <v/>
      </c>
      <c r="G25" s="25">
        <f>INDEX(FS!$E$37:$BL$37,1,G$6*12)+INDEX(FS!$E$38:$BL$38,1,G$6*12)</f>
        <v/>
      </c>
      <c r="H25" s="25">
        <f>INDEX(FS!$E$37:$BL$37,1,H$6*12)+INDEX(FS!$E$38:$BL$38,1,H$6*12)</f>
        <v/>
      </c>
      <c r="I25" s="25">
        <f>INDEX(FS!$E$37:$BL$37,1,I$6*12)+INDEX(FS!$E$38:$BL$38,1,I$6*12)</f>
        <v/>
      </c>
    </row>
    <row r="26">
      <c r="A26" s="4" t="inlineStr">
        <is>
          <t>Debt / equity (book)</t>
        </is>
      </c>
      <c r="E26" s="35">
        <f>IFERROR((INDEX(FS!$E$37:$BL$37,1,E$6*12)+INDEX(FS!$E$38:$BL$38,1,E$6*12))/INDEX(FS!$E$42:$BL$42,1,E$6*12),0)</f>
        <v/>
      </c>
      <c r="F26" s="35">
        <f>IFERROR((INDEX(FS!$E$37:$BL$37,1,F$6*12)+INDEX(FS!$E$38:$BL$38,1,F$6*12))/INDEX(FS!$E$42:$BL$42,1,F$6*12),0)</f>
        <v/>
      </c>
      <c r="G26" s="35">
        <f>IFERROR((INDEX(FS!$E$37:$BL$37,1,G$6*12)+INDEX(FS!$E$38:$BL$38,1,G$6*12))/INDEX(FS!$E$42:$BL$42,1,G$6*12),0)</f>
        <v/>
      </c>
      <c r="H26" s="35">
        <f>IFERROR((INDEX(FS!$E$37:$BL$37,1,H$6*12)+INDEX(FS!$E$38:$BL$38,1,H$6*12))/INDEX(FS!$E$42:$BL$42,1,H$6*12),0)</f>
        <v/>
      </c>
      <c r="I26" s="35">
        <f>IFERROR((INDEX(FS!$E$37:$BL$37,1,I$6*12)+INDEX(FS!$E$38:$BL$38,1,I$6*12))/INDEX(FS!$E$42:$BL$42,1,I$6*12),0)</f>
        <v/>
      </c>
    </row>
    <row r="27">
      <c r="A27" s="4" t="inlineStr">
        <is>
          <t>Debt service coverage ((CFO + interest) / (interest + term-loan principal))</t>
        </is>
      </c>
      <c r="E27" s="35">
        <f>IFERROR((SUMIFS(FS!$E$53:$BL$53,Timeline!$E$6:$BL$6,E$6)-SUMIFS(FS!$E$19:$BL$19,Timeline!$E$6:$BL$6,E$6)-SUMIFS(FS!$E$20:$BL$20,Timeline!$E$6:$BL$6,E$6))/(SUMIFS(Financing!$E$16:$BL$16,Timeline!$E$6:$BL$6,E$6)+SUMIFS(Financing!$E$18:$BL$18,Timeline!$E$6:$BL$6,E$6)+SUMIFS(Financing!$E$26:$BL$26,Timeline!$E$6:$BL$6,E$6)),0)</f>
        <v/>
      </c>
      <c r="F27" s="35">
        <f>IFERROR((SUMIFS(FS!$E$53:$BL$53,Timeline!$E$6:$BL$6,F$6)-SUMIFS(FS!$E$19:$BL$19,Timeline!$E$6:$BL$6,F$6)-SUMIFS(FS!$E$20:$BL$20,Timeline!$E$6:$BL$6,F$6))/(SUMIFS(Financing!$E$16:$BL$16,Timeline!$E$6:$BL$6,F$6)+SUMIFS(Financing!$E$18:$BL$18,Timeline!$E$6:$BL$6,F$6)+SUMIFS(Financing!$E$26:$BL$26,Timeline!$E$6:$BL$6,F$6)),0)</f>
        <v/>
      </c>
      <c r="G27" s="35">
        <f>IFERROR((SUMIFS(FS!$E$53:$BL$53,Timeline!$E$6:$BL$6,G$6)-SUMIFS(FS!$E$19:$BL$19,Timeline!$E$6:$BL$6,G$6)-SUMIFS(FS!$E$20:$BL$20,Timeline!$E$6:$BL$6,G$6))/(SUMIFS(Financing!$E$16:$BL$16,Timeline!$E$6:$BL$6,G$6)+SUMIFS(Financing!$E$18:$BL$18,Timeline!$E$6:$BL$6,G$6)+SUMIFS(Financing!$E$26:$BL$26,Timeline!$E$6:$BL$6,G$6)),0)</f>
        <v/>
      </c>
      <c r="H27" s="35">
        <f>IFERROR((SUMIFS(FS!$E$53:$BL$53,Timeline!$E$6:$BL$6,H$6)-SUMIFS(FS!$E$19:$BL$19,Timeline!$E$6:$BL$6,H$6)-SUMIFS(FS!$E$20:$BL$20,Timeline!$E$6:$BL$6,H$6))/(SUMIFS(Financing!$E$16:$BL$16,Timeline!$E$6:$BL$6,H$6)+SUMIFS(Financing!$E$18:$BL$18,Timeline!$E$6:$BL$6,H$6)+SUMIFS(Financing!$E$26:$BL$26,Timeline!$E$6:$BL$6,H$6)),0)</f>
        <v/>
      </c>
      <c r="I27" s="35">
        <f>IFERROR((SUMIFS(FS!$E$53:$BL$53,Timeline!$E$6:$BL$6,I$6)-SUMIFS(FS!$E$19:$BL$19,Timeline!$E$6:$BL$6,I$6)-SUMIFS(FS!$E$20:$BL$20,Timeline!$E$6:$BL$6,I$6))/(SUMIFS(Financing!$E$16:$BL$16,Timeline!$E$6:$BL$6,I$6)+SUMIFS(Financing!$E$18:$BL$18,Timeline!$E$6:$BL$6,I$6)+SUMIFS(Financing!$E$26:$BL$26,Timeline!$E$6:$BL$6,I$6)),0)</f>
        <v/>
      </c>
    </row>
    <row r="28">
      <c r="A28" s="4" t="inlineStr">
        <is>
          <t>FX rate (year end, LCY/USD)</t>
        </is>
      </c>
      <c r="E28" s="36">
        <f>INDEX(Timeline!$E$8:$BL$8,1,E$6*12)</f>
        <v/>
      </c>
      <c r="F28" s="36">
        <f>INDEX(Timeline!$E$8:$BL$8,1,F$6*12)</f>
        <v/>
      </c>
      <c r="G28" s="36">
        <f>INDEX(Timeline!$E$8:$BL$8,1,G$6*12)</f>
        <v/>
      </c>
      <c r="H28" s="36">
        <f>INDEX(Timeline!$E$8:$BL$8,1,H$6*12)</f>
        <v/>
      </c>
      <c r="I28" s="36">
        <f>INDEX(Timeline!$E$8:$BL$8,1,I$6*12)</f>
        <v/>
      </c>
    </row>
    <row r="29"/>
    <row r="30">
      <c r="A30" s="3" t="inlineStr">
        <is>
          <t>Peak cumulative equity requirement (LCY)</t>
        </is>
      </c>
      <c r="C30" s="32">
        <f>MAX(Financing!$E$11:$BL$11)</f>
        <v/>
      </c>
    </row>
    <row r="31">
      <c r="A31" s="3" t="inlineStr">
        <is>
          <t>Peak cumulative equity requirement (USD, at opening FX)</t>
        </is>
      </c>
      <c r="C31" s="32">
        <f>C30/Inputs!$C$10</f>
        <v/>
      </c>
    </row>
    <row r="32"/>
    <row r="33">
      <c r="A33" s="2" t="inlineStr">
        <is>
          <t>DSCR is shown for information; covenant definitions vary by lender. Balance-at-risk is a model approximation of PERFORM 'Receivables at Risk' (accounts that have stopped paying).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5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Annual summary</t>
        </is>
      </c>
    </row>
    <row r="2">
      <c r="A2" s="2" t="inlineStr">
        <is>
          <t>Flows summed by financial year; balances at year end. LCY.</t>
        </is>
      </c>
    </row>
    <row r="3"/>
    <row r="4"/>
    <row r="5">
      <c r="A5" s="37" t="inlineStr">
        <is>
          <t>LCY</t>
        </is>
      </c>
      <c r="E5" s="33" t="inlineStr">
        <is>
          <t>Year 1</t>
        </is>
      </c>
      <c r="F5" s="33" t="inlineStr">
        <is>
          <t>Year 2</t>
        </is>
      </c>
      <c r="G5" s="33" t="inlineStr">
        <is>
          <t>Year 3</t>
        </is>
      </c>
      <c r="H5" s="33" t="inlineStr">
        <is>
          <t>Year 4</t>
        </is>
      </c>
      <c r="I5" s="33" t="inlineStr">
        <is>
          <t>Year 5</t>
        </is>
      </c>
    </row>
    <row r="6">
      <c r="E6" s="34" t="n">
        <v>1</v>
      </c>
      <c r="F6" s="34" t="n">
        <v>2</v>
      </c>
      <c r="G6" s="34" t="n">
        <v>3</v>
      </c>
      <c r="H6" s="34" t="n">
        <v>4</v>
      </c>
      <c r="I6" s="34" t="n">
        <v>5</v>
      </c>
    </row>
    <row r="7"/>
    <row r="8">
      <c r="A8" s="11" t="inlineStr">
        <is>
          <t>INCOME STATEMENT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  <c r="BJ8" s="12" t="n"/>
      <c r="BK8" s="12" t="n"/>
      <c r="BL8" s="12" t="n"/>
    </row>
    <row r="9">
      <c r="A9" s="4" t="inlineStr">
        <is>
          <t>Hardware revenue (cash price)</t>
        </is>
      </c>
      <c r="E9" s="25">
        <f>SUMIFS(FS!$E$9:$BL$9,Timeline!$E$6:$BL$6,E$6)</f>
        <v/>
      </c>
      <c r="F9" s="25">
        <f>SUMIFS(FS!$E$9:$BL$9,Timeline!$E$6:$BL$6,F$6)</f>
        <v/>
      </c>
      <c r="G9" s="25">
        <f>SUMIFS(FS!$E$9:$BL$9,Timeline!$E$6:$BL$6,G$6)</f>
        <v/>
      </c>
      <c r="H9" s="25">
        <f>SUMIFS(FS!$E$9:$BL$9,Timeline!$E$6:$BL$6,H$6)</f>
        <v/>
      </c>
      <c r="I9" s="25">
        <f>SUMIFS(FS!$E$9:$BL$9,Timeline!$E$6:$BL$6,I$6)</f>
        <v/>
      </c>
    </row>
    <row r="10">
      <c r="A10" s="4" t="inlineStr">
        <is>
          <t>PAYGo financing income</t>
        </is>
      </c>
      <c r="E10" s="25">
        <f>SUMIFS(FS!$E$10:$BL$10,Timeline!$E$6:$BL$6,E$6)</f>
        <v/>
      </c>
      <c r="F10" s="25">
        <f>SUMIFS(FS!$E$10:$BL$10,Timeline!$E$6:$BL$6,F$6)</f>
        <v/>
      </c>
      <c r="G10" s="25">
        <f>SUMIFS(FS!$E$10:$BL$10,Timeline!$E$6:$BL$6,G$6)</f>
        <v/>
      </c>
      <c r="H10" s="25">
        <f>SUMIFS(FS!$E$10:$BL$10,Timeline!$E$6:$BL$6,H$6)</f>
        <v/>
      </c>
      <c r="I10" s="25">
        <f>SUMIFS(FS!$E$10:$BL$10,Timeline!$E$6:$BL$6,I$6)</f>
        <v/>
      </c>
    </row>
    <row r="11">
      <c r="A11" s="3" t="inlineStr">
        <is>
          <t>Total revenue</t>
        </is>
      </c>
      <c r="E11" s="25">
        <f>SUMIFS(FS!$E$11:$BL$11,Timeline!$E$6:$BL$6,E$6)</f>
        <v/>
      </c>
      <c r="F11" s="25">
        <f>SUMIFS(FS!$E$11:$BL$11,Timeline!$E$6:$BL$6,F$6)</f>
        <v/>
      </c>
      <c r="G11" s="25">
        <f>SUMIFS(FS!$E$11:$BL$11,Timeline!$E$6:$BL$6,G$6)</f>
        <v/>
      </c>
      <c r="H11" s="25">
        <f>SUMIFS(FS!$E$11:$BL$11,Timeline!$E$6:$BL$6,H$6)</f>
        <v/>
      </c>
      <c r="I11" s="25">
        <f>SUMIFS(FS!$E$11:$BL$11,Timeline!$E$6:$BL$6,I$6)</f>
        <v/>
      </c>
    </row>
    <row r="12">
      <c r="A12" s="4" t="inlineStr">
        <is>
          <t>Cost of goods sold</t>
        </is>
      </c>
      <c r="E12" s="25">
        <f>SUMIFS(FS!$E$12:$BL$12,Timeline!$E$6:$BL$6,E$6)</f>
        <v/>
      </c>
      <c r="F12" s="25">
        <f>SUMIFS(FS!$E$12:$BL$12,Timeline!$E$6:$BL$6,F$6)</f>
        <v/>
      </c>
      <c r="G12" s="25">
        <f>SUMIFS(FS!$E$12:$BL$12,Timeline!$E$6:$BL$6,G$6)</f>
        <v/>
      </c>
      <c r="H12" s="25">
        <f>SUMIFS(FS!$E$12:$BL$12,Timeline!$E$6:$BL$6,H$6)</f>
        <v/>
      </c>
      <c r="I12" s="25">
        <f>SUMIFS(FS!$E$12:$BL$12,Timeline!$E$6:$BL$6,I$6)</f>
        <v/>
      </c>
    </row>
    <row r="13">
      <c r="A13" s="3" t="inlineStr">
        <is>
          <t>Gross profit</t>
        </is>
      </c>
      <c r="E13" s="25">
        <f>SUMIFS(FS!$E$13:$BL$13,Timeline!$E$6:$BL$6,E$6)</f>
        <v/>
      </c>
      <c r="F13" s="25">
        <f>SUMIFS(FS!$E$13:$BL$13,Timeline!$E$6:$BL$6,F$6)</f>
        <v/>
      </c>
      <c r="G13" s="25">
        <f>SUMIFS(FS!$E$13:$BL$13,Timeline!$E$6:$BL$6,G$6)</f>
        <v/>
      </c>
      <c r="H13" s="25">
        <f>SUMIFS(FS!$E$13:$BL$13,Timeline!$E$6:$BL$6,H$6)</f>
        <v/>
      </c>
      <c r="I13" s="25">
        <f>SUMIFS(FS!$E$13:$BL$13,Timeline!$E$6:$BL$6,I$6)</f>
        <v/>
      </c>
    </row>
    <row r="14">
      <c r="A14" s="4" t="inlineStr">
        <is>
          <t>Operating expenses</t>
        </is>
      </c>
      <c r="E14" s="25">
        <f>SUMIFS(FS!$E$14:$BL$14,Timeline!$E$6:$BL$6,E$6)</f>
        <v/>
      </c>
      <c r="F14" s="25">
        <f>SUMIFS(FS!$E$14:$BL$14,Timeline!$E$6:$BL$6,F$6)</f>
        <v/>
      </c>
      <c r="G14" s="25">
        <f>SUMIFS(FS!$E$14:$BL$14,Timeline!$E$6:$BL$6,G$6)</f>
        <v/>
      </c>
      <c r="H14" s="25">
        <f>SUMIFS(FS!$E$14:$BL$14,Timeline!$E$6:$BL$6,H$6)</f>
        <v/>
      </c>
      <c r="I14" s="25">
        <f>SUMIFS(FS!$E$14:$BL$14,Timeline!$E$6:$BL$6,I$6)</f>
        <v/>
      </c>
    </row>
    <row r="15">
      <c r="A15" s="4" t="inlineStr">
        <is>
          <t>Credit loss expense (ECL)</t>
        </is>
      </c>
      <c r="E15" s="25">
        <f>SUMIFS(FS!$E$15:$BL$15,Timeline!$E$6:$BL$6,E$6)</f>
        <v/>
      </c>
      <c r="F15" s="25">
        <f>SUMIFS(FS!$E$15:$BL$15,Timeline!$E$6:$BL$6,F$6)</f>
        <v/>
      </c>
      <c r="G15" s="25">
        <f>SUMIFS(FS!$E$15:$BL$15,Timeline!$E$6:$BL$6,G$6)</f>
        <v/>
      </c>
      <c r="H15" s="25">
        <f>SUMIFS(FS!$E$15:$BL$15,Timeline!$E$6:$BL$6,H$6)</f>
        <v/>
      </c>
      <c r="I15" s="25">
        <f>SUMIFS(FS!$E$15:$BL$15,Timeline!$E$6:$BL$6,I$6)</f>
        <v/>
      </c>
    </row>
    <row r="16">
      <c r="A16" s="3" t="inlineStr">
        <is>
          <t>EBITDA</t>
        </is>
      </c>
      <c r="E16" s="25">
        <f>SUMIFS(FS!$E$16:$BL$16,Timeline!$E$6:$BL$6,E$6)</f>
        <v/>
      </c>
      <c r="F16" s="25">
        <f>SUMIFS(FS!$E$16:$BL$16,Timeline!$E$6:$BL$6,F$6)</f>
        <v/>
      </c>
      <c r="G16" s="25">
        <f>SUMIFS(FS!$E$16:$BL$16,Timeline!$E$6:$BL$6,G$6)</f>
        <v/>
      </c>
      <c r="H16" s="25">
        <f>SUMIFS(FS!$E$16:$BL$16,Timeline!$E$6:$BL$6,H$6)</f>
        <v/>
      </c>
      <c r="I16" s="25">
        <f>SUMIFS(FS!$E$16:$BL$16,Timeline!$E$6:$BL$6,I$6)</f>
        <v/>
      </c>
    </row>
    <row r="17">
      <c r="A17" s="4" t="inlineStr">
        <is>
          <t>Depreciation</t>
        </is>
      </c>
      <c r="E17" s="25">
        <f>SUMIFS(FS!$E$17:$BL$17,Timeline!$E$6:$BL$6,E$6)</f>
        <v/>
      </c>
      <c r="F17" s="25">
        <f>SUMIFS(FS!$E$17:$BL$17,Timeline!$E$6:$BL$6,F$6)</f>
        <v/>
      </c>
      <c r="G17" s="25">
        <f>SUMIFS(FS!$E$17:$BL$17,Timeline!$E$6:$BL$6,G$6)</f>
        <v/>
      </c>
      <c r="H17" s="25">
        <f>SUMIFS(FS!$E$17:$BL$17,Timeline!$E$6:$BL$6,H$6)</f>
        <v/>
      </c>
      <c r="I17" s="25">
        <f>SUMIFS(FS!$E$17:$BL$17,Timeline!$E$6:$BL$6,I$6)</f>
        <v/>
      </c>
    </row>
    <row r="18">
      <c r="A18" s="4" t="inlineStr">
        <is>
          <t>EBIT</t>
        </is>
      </c>
      <c r="E18" s="25">
        <f>SUMIFS(FS!$E$18:$BL$18,Timeline!$E$6:$BL$6,E$6)</f>
        <v/>
      </c>
      <c r="F18" s="25">
        <f>SUMIFS(FS!$E$18:$BL$18,Timeline!$E$6:$BL$6,F$6)</f>
        <v/>
      </c>
      <c r="G18" s="25">
        <f>SUMIFS(FS!$E$18:$BL$18,Timeline!$E$6:$BL$6,G$6)</f>
        <v/>
      </c>
      <c r="H18" s="25">
        <f>SUMIFS(FS!$E$18:$BL$18,Timeline!$E$6:$BL$6,H$6)</f>
        <v/>
      </c>
      <c r="I18" s="25">
        <f>SUMIFS(FS!$E$18:$BL$18,Timeline!$E$6:$BL$6,I$6)</f>
        <v/>
      </c>
    </row>
    <row r="19">
      <c r="A19" s="4" t="inlineStr">
        <is>
          <t>Interest - USD term loan</t>
        </is>
      </c>
      <c r="E19" s="25">
        <f>SUMIFS(FS!$E$19:$BL$19,Timeline!$E$6:$BL$6,E$6)</f>
        <v/>
      </c>
      <c r="F19" s="25">
        <f>SUMIFS(FS!$E$19:$BL$19,Timeline!$E$6:$BL$6,F$6)</f>
        <v/>
      </c>
      <c r="G19" s="25">
        <f>SUMIFS(FS!$E$19:$BL$19,Timeline!$E$6:$BL$6,G$6)</f>
        <v/>
      </c>
      <c r="H19" s="25">
        <f>SUMIFS(FS!$E$19:$BL$19,Timeline!$E$6:$BL$6,H$6)</f>
        <v/>
      </c>
      <c r="I19" s="25">
        <f>SUMIFS(FS!$E$19:$BL$19,Timeline!$E$6:$BL$6,I$6)</f>
        <v/>
      </c>
    </row>
    <row r="20">
      <c r="A20" s="4" t="inlineStr">
        <is>
          <t>Interest - receivables facility</t>
        </is>
      </c>
      <c r="E20" s="25">
        <f>SUMIFS(FS!$E$20:$BL$20,Timeline!$E$6:$BL$6,E$6)</f>
        <v/>
      </c>
      <c r="F20" s="25">
        <f>SUMIFS(FS!$E$20:$BL$20,Timeline!$E$6:$BL$6,F$6)</f>
        <v/>
      </c>
      <c r="G20" s="25">
        <f>SUMIFS(FS!$E$20:$BL$20,Timeline!$E$6:$BL$6,G$6)</f>
        <v/>
      </c>
      <c r="H20" s="25">
        <f>SUMIFS(FS!$E$20:$BL$20,Timeline!$E$6:$BL$6,H$6)</f>
        <v/>
      </c>
      <c r="I20" s="25">
        <f>SUMIFS(FS!$E$20:$BL$20,Timeline!$E$6:$BL$6,I$6)</f>
        <v/>
      </c>
    </row>
    <row r="21">
      <c r="A21" s="4" t="inlineStr">
        <is>
          <t>FX (loss) / gain on USD debt</t>
        </is>
      </c>
      <c r="E21" s="25">
        <f>SUMIFS(FS!$E$21:$BL$21,Timeline!$E$6:$BL$6,E$6)</f>
        <v/>
      </c>
      <c r="F21" s="25">
        <f>SUMIFS(FS!$E$21:$BL$21,Timeline!$E$6:$BL$6,F$6)</f>
        <v/>
      </c>
      <c r="G21" s="25">
        <f>SUMIFS(FS!$E$21:$BL$21,Timeline!$E$6:$BL$6,G$6)</f>
        <v/>
      </c>
      <c r="H21" s="25">
        <f>SUMIFS(FS!$E$21:$BL$21,Timeline!$E$6:$BL$6,H$6)</f>
        <v/>
      </c>
      <c r="I21" s="25">
        <f>SUMIFS(FS!$E$21:$BL$21,Timeline!$E$6:$BL$6,I$6)</f>
        <v/>
      </c>
    </row>
    <row r="22">
      <c r="A22" s="4" t="inlineStr">
        <is>
          <t>Profit before tax</t>
        </is>
      </c>
      <c r="E22" s="25">
        <f>SUMIFS(FS!$E$22:$BL$22,Timeline!$E$6:$BL$6,E$6)</f>
        <v/>
      </c>
      <c r="F22" s="25">
        <f>SUMIFS(FS!$E$22:$BL$22,Timeline!$E$6:$BL$6,F$6)</f>
        <v/>
      </c>
      <c r="G22" s="25">
        <f>SUMIFS(FS!$E$22:$BL$22,Timeline!$E$6:$BL$6,G$6)</f>
        <v/>
      </c>
      <c r="H22" s="25">
        <f>SUMIFS(FS!$E$22:$BL$22,Timeline!$E$6:$BL$6,H$6)</f>
        <v/>
      </c>
      <c r="I22" s="25">
        <f>SUMIFS(FS!$E$22:$BL$22,Timeline!$E$6:$BL$6,I$6)</f>
        <v/>
      </c>
    </row>
    <row r="23">
      <c r="A23" s="4" t="inlineStr">
        <is>
          <t>Income tax</t>
        </is>
      </c>
      <c r="E23" s="25">
        <f>SUMIFS(FS!$E$25:$BL$25,Timeline!$E$6:$BL$6,E$6)</f>
        <v/>
      </c>
      <c r="F23" s="25">
        <f>SUMIFS(FS!$E$25:$BL$25,Timeline!$E$6:$BL$6,F$6)</f>
        <v/>
      </c>
      <c r="G23" s="25">
        <f>SUMIFS(FS!$E$25:$BL$25,Timeline!$E$6:$BL$6,G$6)</f>
        <v/>
      </c>
      <c r="H23" s="25">
        <f>SUMIFS(FS!$E$25:$BL$25,Timeline!$E$6:$BL$6,H$6)</f>
        <v/>
      </c>
      <c r="I23" s="25">
        <f>SUMIFS(FS!$E$25:$BL$25,Timeline!$E$6:$BL$6,I$6)</f>
        <v/>
      </c>
    </row>
    <row r="24">
      <c r="A24" s="3" t="inlineStr">
        <is>
          <t>Net income</t>
        </is>
      </c>
      <c r="E24" s="25">
        <f>SUMIFS(FS!$E$26:$BL$26,Timeline!$E$6:$BL$6,E$6)</f>
        <v/>
      </c>
      <c r="F24" s="25">
        <f>SUMIFS(FS!$E$26:$BL$26,Timeline!$E$6:$BL$6,F$6)</f>
        <v/>
      </c>
      <c r="G24" s="25">
        <f>SUMIFS(FS!$E$26:$BL$26,Timeline!$E$6:$BL$6,G$6)</f>
        <v/>
      </c>
      <c r="H24" s="25">
        <f>SUMIFS(FS!$E$26:$BL$26,Timeline!$E$6:$BL$6,H$6)</f>
        <v/>
      </c>
      <c r="I24" s="25">
        <f>SUMIFS(FS!$E$26:$BL$26,Timeline!$E$6:$BL$6,I$6)</f>
        <v/>
      </c>
    </row>
    <row r="25"/>
    <row r="26">
      <c r="A26" s="11" t="inlineStr">
        <is>
          <t>BALANCE SHEET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</row>
    <row r="27">
      <c r="A27" s="4" t="inlineStr">
        <is>
          <t>Cash</t>
        </is>
      </c>
      <c r="E27" s="25">
        <f>INDEX(FS!$E$29:$BL$29,1,E$6*12)</f>
        <v/>
      </c>
      <c r="F27" s="25">
        <f>INDEX(FS!$E$29:$BL$29,1,F$6*12)</f>
        <v/>
      </c>
      <c r="G27" s="25">
        <f>INDEX(FS!$E$29:$BL$29,1,G$6*12)</f>
        <v/>
      </c>
      <c r="H27" s="25">
        <f>INDEX(FS!$E$29:$BL$29,1,H$6*12)</f>
        <v/>
      </c>
      <c r="I27" s="25">
        <f>INDEX(FS!$E$29:$BL$29,1,I$6*12)</f>
        <v/>
      </c>
    </row>
    <row r="28">
      <c r="A28" s="4" t="inlineStr">
        <is>
          <t>PAYGo receivables - gross</t>
        </is>
      </c>
      <c r="E28" s="25">
        <f>INDEX(FS!$E$30:$BL$30,1,E$6*12)</f>
        <v/>
      </c>
      <c r="F28" s="25">
        <f>INDEX(FS!$E$30:$BL$30,1,F$6*12)</f>
        <v/>
      </c>
      <c r="G28" s="25">
        <f>INDEX(FS!$E$30:$BL$30,1,G$6*12)</f>
        <v/>
      </c>
      <c r="H28" s="25">
        <f>INDEX(FS!$E$30:$BL$30,1,H$6*12)</f>
        <v/>
      </c>
      <c r="I28" s="25">
        <f>INDEX(FS!$E$30:$BL$30,1,I$6*12)</f>
        <v/>
      </c>
    </row>
    <row r="29">
      <c r="A29" s="4" t="inlineStr">
        <is>
          <t>Loss allowance (ECL provision)</t>
        </is>
      </c>
      <c r="E29" s="25">
        <f>INDEX(FS!$E$31:$BL$31,1,E$6*12)</f>
        <v/>
      </c>
      <c r="F29" s="25">
        <f>INDEX(FS!$E$31:$BL$31,1,F$6*12)</f>
        <v/>
      </c>
      <c r="G29" s="25">
        <f>INDEX(FS!$E$31:$BL$31,1,G$6*12)</f>
        <v/>
      </c>
      <c r="H29" s="25">
        <f>INDEX(FS!$E$31:$BL$31,1,H$6*12)</f>
        <v/>
      </c>
      <c r="I29" s="25">
        <f>INDEX(FS!$E$31:$BL$31,1,I$6*12)</f>
        <v/>
      </c>
    </row>
    <row r="30">
      <c r="A30" s="4" t="inlineStr">
        <is>
          <t>PAYGo receivables - net</t>
        </is>
      </c>
      <c r="E30" s="25">
        <f>INDEX(FS!$E$32:$BL$32,1,E$6*12)</f>
        <v/>
      </c>
      <c r="F30" s="25">
        <f>INDEX(FS!$E$32:$BL$32,1,F$6*12)</f>
        <v/>
      </c>
      <c r="G30" s="25">
        <f>INDEX(FS!$E$32:$BL$32,1,G$6*12)</f>
        <v/>
      </c>
      <c r="H30" s="25">
        <f>INDEX(FS!$E$32:$BL$32,1,H$6*12)</f>
        <v/>
      </c>
      <c r="I30" s="25">
        <f>INDEX(FS!$E$32:$BL$32,1,I$6*12)</f>
        <v/>
      </c>
    </row>
    <row r="31">
      <c r="A31" s="4" t="inlineStr">
        <is>
          <t>Inventory</t>
        </is>
      </c>
      <c r="E31" s="25">
        <f>INDEX(FS!$E$33:$BL$33,1,E$6*12)</f>
        <v/>
      </c>
      <c r="F31" s="25">
        <f>INDEX(FS!$E$33:$BL$33,1,F$6*12)</f>
        <v/>
      </c>
      <c r="G31" s="25">
        <f>INDEX(FS!$E$33:$BL$33,1,G$6*12)</f>
        <v/>
      </c>
      <c r="H31" s="25">
        <f>INDEX(FS!$E$33:$BL$33,1,H$6*12)</f>
        <v/>
      </c>
      <c r="I31" s="25">
        <f>INDEX(FS!$E$33:$BL$33,1,I$6*12)</f>
        <v/>
      </c>
    </row>
    <row r="32">
      <c r="A32" s="4" t="inlineStr">
        <is>
          <t>Net fixed assets</t>
        </is>
      </c>
      <c r="E32" s="25">
        <f>INDEX(FS!$E$34:$BL$34,1,E$6*12)</f>
        <v/>
      </c>
      <c r="F32" s="25">
        <f>INDEX(FS!$E$34:$BL$34,1,F$6*12)</f>
        <v/>
      </c>
      <c r="G32" s="25">
        <f>INDEX(FS!$E$34:$BL$34,1,G$6*12)</f>
        <v/>
      </c>
      <c r="H32" s="25">
        <f>INDEX(FS!$E$34:$BL$34,1,H$6*12)</f>
        <v/>
      </c>
      <c r="I32" s="25">
        <f>INDEX(FS!$E$34:$BL$34,1,I$6*12)</f>
        <v/>
      </c>
    </row>
    <row r="33">
      <c r="A33" s="3" t="inlineStr">
        <is>
          <t>Total assets</t>
        </is>
      </c>
      <c r="E33" s="25">
        <f>INDEX(FS!$E$35:$BL$35,1,E$6*12)</f>
        <v/>
      </c>
      <c r="F33" s="25">
        <f>INDEX(FS!$E$35:$BL$35,1,F$6*12)</f>
        <v/>
      </c>
      <c r="G33" s="25">
        <f>INDEX(FS!$E$35:$BL$35,1,G$6*12)</f>
        <v/>
      </c>
      <c r="H33" s="25">
        <f>INDEX(FS!$E$35:$BL$35,1,H$6*12)</f>
        <v/>
      </c>
      <c r="I33" s="25">
        <f>INDEX(FS!$E$35:$BL$35,1,I$6*12)</f>
        <v/>
      </c>
    </row>
    <row r="34">
      <c r="A34" s="4" t="inlineStr">
        <is>
          <t>Supplier payables</t>
        </is>
      </c>
      <c r="E34" s="25">
        <f>INDEX(FS!$E$36:$BL$36,1,E$6*12)</f>
        <v/>
      </c>
      <c r="F34" s="25">
        <f>INDEX(FS!$E$36:$BL$36,1,F$6*12)</f>
        <v/>
      </c>
      <c r="G34" s="25">
        <f>INDEX(FS!$E$36:$BL$36,1,G$6*12)</f>
        <v/>
      </c>
      <c r="H34" s="25">
        <f>INDEX(FS!$E$36:$BL$36,1,H$6*12)</f>
        <v/>
      </c>
      <c r="I34" s="25">
        <f>INDEX(FS!$E$36:$BL$36,1,I$6*12)</f>
        <v/>
      </c>
    </row>
    <row r="35">
      <c r="A35" s="4" t="inlineStr">
        <is>
          <t>USD term loan (in LCY)</t>
        </is>
      </c>
      <c r="E35" s="25">
        <f>INDEX(FS!$E$37:$BL$37,1,E$6*12)</f>
        <v/>
      </c>
      <c r="F35" s="25">
        <f>INDEX(FS!$E$37:$BL$37,1,F$6*12)</f>
        <v/>
      </c>
      <c r="G35" s="25">
        <f>INDEX(FS!$E$37:$BL$37,1,G$6*12)</f>
        <v/>
      </c>
      <c r="H35" s="25">
        <f>INDEX(FS!$E$37:$BL$37,1,H$6*12)</f>
        <v/>
      </c>
      <c r="I35" s="25">
        <f>INDEX(FS!$E$37:$BL$37,1,I$6*12)</f>
        <v/>
      </c>
    </row>
    <row r="36">
      <c r="A36" s="4" t="inlineStr">
        <is>
          <t>Receivables facility</t>
        </is>
      </c>
      <c r="E36" s="25">
        <f>INDEX(FS!$E$38:$BL$38,1,E$6*12)</f>
        <v/>
      </c>
      <c r="F36" s="25">
        <f>INDEX(FS!$E$38:$BL$38,1,F$6*12)</f>
        <v/>
      </c>
      <c r="G36" s="25">
        <f>INDEX(FS!$E$38:$BL$38,1,G$6*12)</f>
        <v/>
      </c>
      <c r="H36" s="25">
        <f>INDEX(FS!$E$38:$BL$38,1,H$6*12)</f>
        <v/>
      </c>
      <c r="I36" s="25">
        <f>INDEX(FS!$E$38:$BL$38,1,I$6*12)</f>
        <v/>
      </c>
    </row>
    <row r="37">
      <c r="A37" s="4" t="inlineStr">
        <is>
          <t>Total liabilities</t>
        </is>
      </c>
      <c r="E37" s="25">
        <f>INDEX(FS!$E$39:$BL$39,1,E$6*12)</f>
        <v/>
      </c>
      <c r="F37" s="25">
        <f>INDEX(FS!$E$39:$BL$39,1,F$6*12)</f>
        <v/>
      </c>
      <c r="G37" s="25">
        <f>INDEX(FS!$E$39:$BL$39,1,G$6*12)</f>
        <v/>
      </c>
      <c r="H37" s="25">
        <f>INDEX(FS!$E$39:$BL$39,1,H$6*12)</f>
        <v/>
      </c>
      <c r="I37" s="25">
        <f>INDEX(FS!$E$39:$BL$39,1,I$6*12)</f>
        <v/>
      </c>
    </row>
    <row r="38">
      <c r="A38" s="4" t="inlineStr">
        <is>
          <t>Share capital</t>
        </is>
      </c>
      <c r="E38" s="25">
        <f>INDEX(FS!$E$40:$BL$40,1,E$6*12)</f>
        <v/>
      </c>
      <c r="F38" s="25">
        <f>INDEX(FS!$E$40:$BL$40,1,F$6*12)</f>
        <v/>
      </c>
      <c r="G38" s="25">
        <f>INDEX(FS!$E$40:$BL$40,1,G$6*12)</f>
        <v/>
      </c>
      <c r="H38" s="25">
        <f>INDEX(FS!$E$40:$BL$40,1,H$6*12)</f>
        <v/>
      </c>
      <c r="I38" s="25">
        <f>INDEX(FS!$E$40:$BL$40,1,I$6*12)</f>
        <v/>
      </c>
    </row>
    <row r="39">
      <c r="A39" s="4" t="inlineStr">
        <is>
          <t>Retained earnings</t>
        </is>
      </c>
      <c r="E39" s="25">
        <f>INDEX(FS!$E$41:$BL$41,1,E$6*12)</f>
        <v/>
      </c>
      <c r="F39" s="25">
        <f>INDEX(FS!$E$41:$BL$41,1,F$6*12)</f>
        <v/>
      </c>
      <c r="G39" s="25">
        <f>INDEX(FS!$E$41:$BL$41,1,G$6*12)</f>
        <v/>
      </c>
      <c r="H39" s="25">
        <f>INDEX(FS!$E$41:$BL$41,1,H$6*12)</f>
        <v/>
      </c>
      <c r="I39" s="25">
        <f>INDEX(FS!$E$41:$BL$41,1,I$6*12)</f>
        <v/>
      </c>
    </row>
    <row r="40">
      <c r="A40" s="4" t="inlineStr">
        <is>
          <t>Total equity</t>
        </is>
      </c>
      <c r="E40" s="25">
        <f>INDEX(FS!$E$42:$BL$42,1,E$6*12)</f>
        <v/>
      </c>
      <c r="F40" s="25">
        <f>INDEX(FS!$E$42:$BL$42,1,F$6*12)</f>
        <v/>
      </c>
      <c r="G40" s="25">
        <f>INDEX(FS!$E$42:$BL$42,1,G$6*12)</f>
        <v/>
      </c>
      <c r="H40" s="25">
        <f>INDEX(FS!$E$42:$BL$42,1,H$6*12)</f>
        <v/>
      </c>
      <c r="I40" s="25">
        <f>INDEX(FS!$E$42:$BL$42,1,I$6*12)</f>
        <v/>
      </c>
    </row>
    <row r="41">
      <c r="A41" s="3" t="inlineStr">
        <is>
          <t>Total liabilities &amp; equity</t>
        </is>
      </c>
      <c r="E41" s="25">
        <f>INDEX(FS!$E$43:$BL$43,1,E$6*12)</f>
        <v/>
      </c>
      <c r="F41" s="25">
        <f>INDEX(FS!$E$43:$BL$43,1,F$6*12)</f>
        <v/>
      </c>
      <c r="G41" s="25">
        <f>INDEX(FS!$E$43:$BL$43,1,G$6*12)</f>
        <v/>
      </c>
      <c r="H41" s="25">
        <f>INDEX(FS!$E$43:$BL$43,1,H$6*12)</f>
        <v/>
      </c>
      <c r="I41" s="25">
        <f>INDEX(FS!$E$43:$BL$43,1,I$6*12)</f>
        <v/>
      </c>
    </row>
    <row r="42">
      <c r="A42" s="4" t="inlineStr">
        <is>
          <t>Balance check (should be 0)</t>
        </is>
      </c>
      <c r="E42" s="25">
        <f>INDEX(FS!$E$44:$BL$44,1,E$6*12)</f>
        <v/>
      </c>
      <c r="F42" s="25">
        <f>INDEX(FS!$E$44:$BL$44,1,F$6*12)</f>
        <v/>
      </c>
      <c r="G42" s="25">
        <f>INDEX(FS!$E$44:$BL$44,1,G$6*12)</f>
        <v/>
      </c>
      <c r="H42" s="25">
        <f>INDEX(FS!$E$44:$BL$44,1,H$6*12)</f>
        <v/>
      </c>
      <c r="I42" s="25">
        <f>INDEX(FS!$E$44:$BL$44,1,I$6*12)</f>
        <v/>
      </c>
    </row>
    <row r="43"/>
    <row r="44">
      <c r="A44" s="11" t="inlineStr">
        <is>
          <t>CASH FLOW STATEMENT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2" t="n"/>
      <c r="AK44" s="12" t="n"/>
      <c r="AL44" s="12" t="n"/>
      <c r="AM44" s="12" t="n"/>
      <c r="AN44" s="12" t="n"/>
      <c r="AO44" s="12" t="n"/>
      <c r="AP44" s="12" t="n"/>
      <c r="AQ44" s="12" t="n"/>
      <c r="AR44" s="12" t="n"/>
      <c r="AS44" s="12" t="n"/>
      <c r="AT44" s="12" t="n"/>
      <c r="AU44" s="12" t="n"/>
      <c r="AV44" s="12" t="n"/>
      <c r="AW44" s="12" t="n"/>
      <c r="AX44" s="12" t="n"/>
      <c r="AY44" s="12" t="n"/>
      <c r="AZ44" s="12" t="n"/>
      <c r="BA44" s="12" t="n"/>
      <c r="BB44" s="12" t="n"/>
      <c r="BC44" s="12" t="n"/>
      <c r="BD44" s="12" t="n"/>
      <c r="BE44" s="12" t="n"/>
      <c r="BF44" s="12" t="n"/>
      <c r="BG44" s="12" t="n"/>
      <c r="BH44" s="12" t="n"/>
      <c r="BI44" s="12" t="n"/>
      <c r="BJ44" s="12" t="n"/>
      <c r="BK44" s="12" t="n"/>
      <c r="BL44" s="12" t="n"/>
    </row>
    <row r="45">
      <c r="A45" s="4" t="inlineStr">
        <is>
          <t>Net income</t>
        </is>
      </c>
      <c r="E45" s="25">
        <f>SUMIFS(FS!$E$47:$BL$47,Timeline!$E$6:$BL$6,E$6)</f>
        <v/>
      </c>
      <c r="F45" s="25">
        <f>SUMIFS(FS!$E$47:$BL$47,Timeline!$E$6:$BL$6,F$6)</f>
        <v/>
      </c>
      <c r="G45" s="25">
        <f>SUMIFS(FS!$E$47:$BL$47,Timeline!$E$6:$BL$6,G$6)</f>
        <v/>
      </c>
      <c r="H45" s="25">
        <f>SUMIFS(FS!$E$47:$BL$47,Timeline!$E$6:$BL$6,H$6)</f>
        <v/>
      </c>
      <c r="I45" s="25">
        <f>SUMIFS(FS!$E$47:$BL$47,Timeline!$E$6:$BL$6,I$6)</f>
        <v/>
      </c>
    </row>
    <row r="46">
      <c r="A46" s="4" t="inlineStr">
        <is>
          <t>Add back: depreciation</t>
        </is>
      </c>
      <c r="E46" s="25">
        <f>SUMIFS(FS!$E$48:$BL$48,Timeline!$E$6:$BL$6,E$6)</f>
        <v/>
      </c>
      <c r="F46" s="25">
        <f>SUMIFS(FS!$E$48:$BL$48,Timeline!$E$6:$BL$6,F$6)</f>
        <v/>
      </c>
      <c r="G46" s="25">
        <f>SUMIFS(FS!$E$48:$BL$48,Timeline!$E$6:$BL$6,G$6)</f>
        <v/>
      </c>
      <c r="H46" s="25">
        <f>SUMIFS(FS!$E$48:$BL$48,Timeline!$E$6:$BL$6,H$6)</f>
        <v/>
      </c>
      <c r="I46" s="25">
        <f>SUMIFS(FS!$E$48:$BL$48,Timeline!$E$6:$BL$6,I$6)</f>
        <v/>
      </c>
    </row>
    <row r="47">
      <c r="A47" s="4" t="inlineStr">
        <is>
          <t>Add back: unrealised FX loss</t>
        </is>
      </c>
      <c r="E47" s="25">
        <f>SUMIFS(FS!$E$49:$BL$49,Timeline!$E$6:$BL$6,E$6)</f>
        <v/>
      </c>
      <c r="F47" s="25">
        <f>SUMIFS(FS!$E$49:$BL$49,Timeline!$E$6:$BL$6,F$6)</f>
        <v/>
      </c>
      <c r="G47" s="25">
        <f>SUMIFS(FS!$E$49:$BL$49,Timeline!$E$6:$BL$6,G$6)</f>
        <v/>
      </c>
      <c r="H47" s="25">
        <f>SUMIFS(FS!$E$49:$BL$49,Timeline!$E$6:$BL$6,H$6)</f>
        <v/>
      </c>
      <c r="I47" s="25">
        <f>SUMIFS(FS!$E$49:$BL$49,Timeline!$E$6:$BL$6,I$6)</f>
        <v/>
      </c>
    </row>
    <row r="48">
      <c r="A48" s="4" t="inlineStr">
        <is>
          <t>(Increase) / decrease in net receivables</t>
        </is>
      </c>
      <c r="E48" s="25">
        <f>SUMIFS(FS!$E$50:$BL$50,Timeline!$E$6:$BL$6,E$6)</f>
        <v/>
      </c>
      <c r="F48" s="25">
        <f>SUMIFS(FS!$E$50:$BL$50,Timeline!$E$6:$BL$6,F$6)</f>
        <v/>
      </c>
      <c r="G48" s="25">
        <f>SUMIFS(FS!$E$50:$BL$50,Timeline!$E$6:$BL$6,G$6)</f>
        <v/>
      </c>
      <c r="H48" s="25">
        <f>SUMIFS(FS!$E$50:$BL$50,Timeline!$E$6:$BL$6,H$6)</f>
        <v/>
      </c>
      <c r="I48" s="25">
        <f>SUMIFS(FS!$E$50:$BL$50,Timeline!$E$6:$BL$6,I$6)</f>
        <v/>
      </c>
    </row>
    <row r="49">
      <c r="A49" s="4" t="inlineStr">
        <is>
          <t>(Increase) / decrease in inventory</t>
        </is>
      </c>
      <c r="E49" s="25">
        <f>SUMIFS(FS!$E$51:$BL$51,Timeline!$E$6:$BL$6,E$6)</f>
        <v/>
      </c>
      <c r="F49" s="25">
        <f>SUMIFS(FS!$E$51:$BL$51,Timeline!$E$6:$BL$6,F$6)</f>
        <v/>
      </c>
      <c r="G49" s="25">
        <f>SUMIFS(FS!$E$51:$BL$51,Timeline!$E$6:$BL$6,G$6)</f>
        <v/>
      </c>
      <c r="H49" s="25">
        <f>SUMIFS(FS!$E$51:$BL$51,Timeline!$E$6:$BL$6,H$6)</f>
        <v/>
      </c>
      <c r="I49" s="25">
        <f>SUMIFS(FS!$E$51:$BL$51,Timeline!$E$6:$BL$6,I$6)</f>
        <v/>
      </c>
    </row>
    <row r="50">
      <c r="A50" s="4" t="inlineStr">
        <is>
          <t>Increase / (decrease) in payables</t>
        </is>
      </c>
      <c r="E50" s="25">
        <f>SUMIFS(FS!$E$52:$BL$52,Timeline!$E$6:$BL$6,E$6)</f>
        <v/>
      </c>
      <c r="F50" s="25">
        <f>SUMIFS(FS!$E$52:$BL$52,Timeline!$E$6:$BL$6,F$6)</f>
        <v/>
      </c>
      <c r="G50" s="25">
        <f>SUMIFS(FS!$E$52:$BL$52,Timeline!$E$6:$BL$6,G$6)</f>
        <v/>
      </c>
      <c r="H50" s="25">
        <f>SUMIFS(FS!$E$52:$BL$52,Timeline!$E$6:$BL$6,H$6)</f>
        <v/>
      </c>
      <c r="I50" s="25">
        <f>SUMIFS(FS!$E$52:$BL$52,Timeline!$E$6:$BL$6,I$6)</f>
        <v/>
      </c>
    </row>
    <row r="51">
      <c r="A51" s="3" t="inlineStr">
        <is>
          <t>Cash flow from operations</t>
        </is>
      </c>
      <c r="E51" s="25">
        <f>SUMIFS(FS!$E$53:$BL$53,Timeline!$E$6:$BL$6,E$6)</f>
        <v/>
      </c>
      <c r="F51" s="25">
        <f>SUMIFS(FS!$E$53:$BL$53,Timeline!$E$6:$BL$6,F$6)</f>
        <v/>
      </c>
      <c r="G51" s="25">
        <f>SUMIFS(FS!$E$53:$BL$53,Timeline!$E$6:$BL$6,G$6)</f>
        <v/>
      </c>
      <c r="H51" s="25">
        <f>SUMIFS(FS!$E$53:$BL$53,Timeline!$E$6:$BL$6,H$6)</f>
        <v/>
      </c>
      <c r="I51" s="25">
        <f>SUMIFS(FS!$E$53:$BL$53,Timeline!$E$6:$BL$6,I$6)</f>
        <v/>
      </c>
    </row>
    <row r="52">
      <c r="A52" s="4" t="inlineStr">
        <is>
          <t>Cash flow from investing (capex)</t>
        </is>
      </c>
      <c r="E52" s="25">
        <f>SUMIFS(FS!$E$54:$BL$54,Timeline!$E$6:$BL$6,E$6)</f>
        <v/>
      </c>
      <c r="F52" s="25">
        <f>SUMIFS(FS!$E$54:$BL$54,Timeline!$E$6:$BL$6,F$6)</f>
        <v/>
      </c>
      <c r="G52" s="25">
        <f>SUMIFS(FS!$E$54:$BL$54,Timeline!$E$6:$BL$6,G$6)</f>
        <v/>
      </c>
      <c r="H52" s="25">
        <f>SUMIFS(FS!$E$54:$BL$54,Timeline!$E$6:$BL$6,H$6)</f>
        <v/>
      </c>
      <c r="I52" s="25">
        <f>SUMIFS(FS!$E$54:$BL$54,Timeline!$E$6:$BL$6,I$6)</f>
        <v/>
      </c>
    </row>
    <row r="53">
      <c r="A53" s="4" t="inlineStr">
        <is>
          <t>Term loan drawdown / (repayment)</t>
        </is>
      </c>
      <c r="E53" s="25">
        <f>SUMIFS(FS!$E$55:$BL$55,Timeline!$E$6:$BL$6,E$6)</f>
        <v/>
      </c>
      <c r="F53" s="25">
        <f>SUMIFS(FS!$E$55:$BL$55,Timeline!$E$6:$BL$6,F$6)</f>
        <v/>
      </c>
      <c r="G53" s="25">
        <f>SUMIFS(FS!$E$55:$BL$55,Timeline!$E$6:$BL$6,G$6)</f>
        <v/>
      </c>
      <c r="H53" s="25">
        <f>SUMIFS(FS!$E$55:$BL$55,Timeline!$E$6:$BL$6,H$6)</f>
        <v/>
      </c>
      <c r="I53" s="25">
        <f>SUMIFS(FS!$E$55:$BL$55,Timeline!$E$6:$BL$6,I$6)</f>
        <v/>
      </c>
    </row>
    <row r="54">
      <c r="A54" s="4" t="inlineStr">
        <is>
          <t>Receivables facility drawdown / (repayment)</t>
        </is>
      </c>
      <c r="E54" s="25">
        <f>SUMIFS(FS!$E$56:$BL$56,Timeline!$E$6:$BL$6,E$6)</f>
        <v/>
      </c>
      <c r="F54" s="25">
        <f>SUMIFS(FS!$E$56:$BL$56,Timeline!$E$6:$BL$6,F$6)</f>
        <v/>
      </c>
      <c r="G54" s="25">
        <f>SUMIFS(FS!$E$56:$BL$56,Timeline!$E$6:$BL$6,G$6)</f>
        <v/>
      </c>
      <c r="H54" s="25">
        <f>SUMIFS(FS!$E$56:$BL$56,Timeline!$E$6:$BL$6,H$6)</f>
        <v/>
      </c>
      <c r="I54" s="25">
        <f>SUMIFS(FS!$E$56:$BL$56,Timeline!$E$6:$BL$6,I$6)</f>
        <v/>
      </c>
    </row>
    <row r="55">
      <c r="A55" s="4" t="inlineStr">
        <is>
          <t>Equity - initial / scheduled</t>
        </is>
      </c>
      <c r="E55" s="25">
        <f>SUMIFS(FS!$E$57:$BL$57,Timeline!$E$6:$BL$6,E$6)</f>
        <v/>
      </c>
      <c r="F55" s="25">
        <f>SUMIFS(FS!$E$57:$BL$57,Timeline!$E$6:$BL$6,F$6)</f>
        <v/>
      </c>
      <c r="G55" s="25">
        <f>SUMIFS(FS!$E$57:$BL$57,Timeline!$E$6:$BL$6,G$6)</f>
        <v/>
      </c>
      <c r="H55" s="25">
        <f>SUMIFS(FS!$E$57:$BL$57,Timeline!$E$6:$BL$6,H$6)</f>
        <v/>
      </c>
      <c r="I55" s="25">
        <f>SUMIFS(FS!$E$57:$BL$57,Timeline!$E$6:$BL$6,I$6)</f>
        <v/>
      </c>
    </row>
    <row r="56">
      <c r="A56" s="4" t="inlineStr">
        <is>
          <t>Cash before equity top-up</t>
        </is>
      </c>
      <c r="E56" s="25">
        <f>INDEX(FS!$E$58:$BL$58,1,E$6*12)</f>
        <v/>
      </c>
      <c r="F56" s="25">
        <f>INDEX(FS!$E$58:$BL$58,1,F$6*12)</f>
        <v/>
      </c>
      <c r="G56" s="25">
        <f>INDEX(FS!$E$58:$BL$58,1,G$6*12)</f>
        <v/>
      </c>
      <c r="H56" s="25">
        <f>INDEX(FS!$E$58:$BL$58,1,H$6*12)</f>
        <v/>
      </c>
      <c r="I56" s="25">
        <f>INDEX(FS!$E$58:$BL$58,1,I$6*12)</f>
        <v/>
      </c>
    </row>
    <row r="57">
      <c r="A57" s="4" t="inlineStr">
        <is>
          <t>Equity top-up to maintain minimum cash</t>
        </is>
      </c>
      <c r="E57" s="25">
        <f>SUMIFS(FS!$E$59:$BL$59,Timeline!$E$6:$BL$6,E$6)</f>
        <v/>
      </c>
      <c r="F57" s="25">
        <f>SUMIFS(FS!$E$59:$BL$59,Timeline!$E$6:$BL$6,F$6)</f>
        <v/>
      </c>
      <c r="G57" s="25">
        <f>SUMIFS(FS!$E$59:$BL$59,Timeline!$E$6:$BL$6,G$6)</f>
        <v/>
      </c>
      <c r="H57" s="25">
        <f>SUMIFS(FS!$E$59:$BL$59,Timeline!$E$6:$BL$6,H$6)</f>
        <v/>
      </c>
      <c r="I57" s="25">
        <f>SUMIFS(FS!$E$59:$BL$59,Timeline!$E$6:$BL$6,I$6)</f>
        <v/>
      </c>
    </row>
    <row r="58">
      <c r="A58" s="3" t="inlineStr">
        <is>
          <t>Closing cash</t>
        </is>
      </c>
      <c r="E58" s="25">
        <f>INDEX(FS!$E$60:$BL$60,1,E$6*12)</f>
        <v/>
      </c>
      <c r="F58" s="25">
        <f>INDEX(FS!$E$60:$BL$60,1,F$6*12)</f>
        <v/>
      </c>
      <c r="G58" s="25">
        <f>INDEX(FS!$E$60:$BL$60,1,G$6*12)</f>
        <v/>
      </c>
      <c r="H58" s="25">
        <f>INDEX(FS!$E$60:$BL$60,1,H$6*12)</f>
        <v/>
      </c>
      <c r="I58" s="25">
        <f>INDEX(FS!$E$60:$BL$60,1,I$6*12)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Unit economics (per unit, month-1 prices, active scenario)</t>
        </is>
      </c>
    </row>
    <row r="2">
      <c r="A2" s="2" t="inlineStr">
        <is>
          <t>Lifetime view of one PAYGo customer per product.</t>
        </is>
      </c>
    </row>
    <row r="3"/>
    <row r="4">
      <c r="A4" s="24" t="inlineStr">
        <is>
          <t>Metric</t>
        </is>
      </c>
      <c r="B4" s="24" t="inlineStr">
        <is>
          <t>Unit</t>
        </is>
      </c>
      <c r="C4" s="24" t="inlineStr">
        <is>
          <t>P1 Solar lantern kit (Tier 1)</t>
        </is>
      </c>
      <c r="D4" s="24" t="inlineStr">
        <is>
          <t>P2 SHS lights+radio (Tier 2)</t>
        </is>
      </c>
      <c r="E4" s="24" t="inlineStr">
        <is>
          <t>P3 SHS with TV (Tier 3)</t>
        </is>
      </c>
    </row>
    <row r="5">
      <c r="A5" s="4" t="inlineStr">
        <is>
          <t>Cash price</t>
        </is>
      </c>
      <c r="B5" s="13" t="inlineStr">
        <is>
          <t>LCY</t>
        </is>
      </c>
      <c r="C5" s="25">
        <f>Products!$C$6</f>
        <v/>
      </c>
      <c r="D5" s="25">
        <f>Products!$D$6</f>
        <v/>
      </c>
      <c r="E5" s="25">
        <f>Products!$E$6</f>
        <v/>
      </c>
    </row>
    <row r="6">
      <c r="A6" s="4" t="inlineStr">
        <is>
          <t>Total contract value</t>
        </is>
      </c>
      <c r="B6" s="13" t="inlineStr">
        <is>
          <t>LCY</t>
        </is>
      </c>
      <c r="C6" s="25">
        <f>Products!$C$19</f>
        <v/>
      </c>
      <c r="D6" s="25">
        <f>Products!$D$19</f>
        <v/>
      </c>
      <c r="E6" s="25">
        <f>Products!$E$19</f>
        <v/>
      </c>
    </row>
    <row r="7">
      <c r="A7" s="4" t="inlineStr">
        <is>
          <t>Deposit</t>
        </is>
      </c>
      <c r="B7" s="13" t="inlineStr">
        <is>
          <t>LCY</t>
        </is>
      </c>
      <c r="C7" s="25">
        <f>Products!$C$7</f>
        <v/>
      </c>
      <c r="D7" s="25">
        <f>Products!$D$7</f>
        <v/>
      </c>
      <c r="E7" s="25">
        <f>Products!$E$7</f>
        <v/>
      </c>
    </row>
    <row r="8">
      <c r="A8" s="4" t="inlineStr">
        <is>
          <t>Expected instalments collected</t>
        </is>
      </c>
      <c r="B8" s="13" t="inlineStr">
        <is>
          <t>LCY</t>
        </is>
      </c>
      <c r="C8" s="25">
        <f>Curves!$D$70</f>
        <v/>
      </c>
      <c r="D8" s="25">
        <f>Curves!$M$70</f>
        <v/>
      </c>
      <c r="E8" s="25">
        <f>Curves!$V$70</f>
        <v/>
      </c>
    </row>
    <row r="9">
      <c r="A9" s="4" t="inlineStr">
        <is>
          <t>Expected lifetime cash collected (deposit + instalments)</t>
        </is>
      </c>
      <c r="B9" s="13" t="inlineStr">
        <is>
          <t>LCY</t>
        </is>
      </c>
      <c r="C9" s="25">
        <f>C7+C8</f>
        <v/>
      </c>
      <c r="D9" s="25">
        <f>D7+D8</f>
        <v/>
      </c>
      <c r="E9" s="25">
        <f>E7+E8</f>
        <v/>
      </c>
    </row>
    <row r="10">
      <c r="A10" s="4" t="inlineStr">
        <is>
          <t>Expected loss rate (missed / scheduled instalments)</t>
        </is>
      </c>
      <c r="B10" s="13" t="inlineStr">
        <is>
          <t>%</t>
        </is>
      </c>
      <c r="C10" s="26">
        <f>IFERROR(Curves!$E$70/Curves!$C$70,0)</f>
        <v/>
      </c>
      <c r="D10" s="26">
        <f>IFERROR(Curves!$N$70/Curves!$L$70,0)</f>
        <v/>
      </c>
      <c r="E10" s="26">
        <f>IFERROR(Curves!$W$70/Curves!$U$70,0)</f>
        <v/>
      </c>
    </row>
    <row r="11">
      <c r="A11" s="4" t="inlineStr">
        <is>
          <t>Lifetime collection rate (collected / contract value)</t>
        </is>
      </c>
      <c r="B11" s="13" t="inlineStr">
        <is>
          <t>%</t>
        </is>
      </c>
      <c r="C11" s="26">
        <f>IFERROR(C9/C6,0)</f>
        <v/>
      </c>
      <c r="D11" s="26">
        <f>IFERROR(D9/D6,0)</f>
        <v/>
      </c>
      <c r="E11" s="26">
        <f>IFERROR(E9/E6,0)</f>
        <v/>
      </c>
    </row>
    <row r="12">
      <c r="A12" s="4" t="inlineStr">
        <is>
          <t>Landed hardware cost</t>
        </is>
      </c>
      <c r="B12" s="13" t="inlineStr">
        <is>
          <t>LCY</t>
        </is>
      </c>
      <c r="C12" s="25">
        <f>Products!$C$25</f>
        <v/>
      </c>
      <c r="D12" s="25">
        <f>Products!$D$25</f>
        <v/>
      </c>
      <c r="E12" s="25">
        <f>Products!$E$25</f>
        <v/>
      </c>
    </row>
    <row r="13">
      <c r="A13" s="4" t="inlineStr">
        <is>
          <t>Warranty provision</t>
        </is>
      </c>
      <c r="B13" s="13" t="inlineStr">
        <is>
          <t>LCY</t>
        </is>
      </c>
      <c r="C13" s="25">
        <f>Products!$C$25*Inputs!$C$27</f>
        <v/>
      </c>
      <c r="D13" s="25">
        <f>Products!$D$25*Inputs!$C$27</f>
        <v/>
      </c>
      <c r="E13" s="25">
        <f>Products!$E$25*Inputs!$C$27</f>
        <v/>
      </c>
    </row>
    <row r="14">
      <c r="A14" s="4" t="inlineStr">
        <is>
          <t>Customer acquisition cost (CAC)</t>
        </is>
      </c>
      <c r="B14" s="13" t="inlineStr">
        <is>
          <t>LCY</t>
        </is>
      </c>
      <c r="C14" s="25">
        <f>Products!$C$26</f>
        <v/>
      </c>
      <c r="D14" s="25">
        <f>Products!$D$26</f>
        <v/>
      </c>
      <c r="E14" s="25">
        <f>Products!$E$26</f>
        <v/>
      </c>
    </row>
    <row r="15">
      <c r="A15" s="4" t="inlineStr">
        <is>
          <t>Payment fees + servicing over life</t>
        </is>
      </c>
      <c r="B15" s="13" t="inlineStr">
        <is>
          <t>LCY</t>
        </is>
      </c>
      <c r="C15" s="25">
        <f>C9*Inputs!$C$23+Inputs!$C$24*SUM(Curves!$G$8:$G$68)-Inputs!$C$24</f>
        <v/>
      </c>
      <c r="D15" s="25">
        <f>D9*Inputs!$C$23+Inputs!$C$24*SUM(Curves!$P$8:$P$68)-Inputs!$C$24</f>
        <v/>
      </c>
      <c r="E15" s="25">
        <f>E9*Inputs!$C$23+Inputs!$C$24*SUM(Curves!$Y$8:$Y$68)-Inputs!$C$24</f>
        <v/>
      </c>
    </row>
    <row r="16">
      <c r="A16" s="3" t="inlineStr">
        <is>
          <t>Contribution per unit (lifetime, undiscounted)</t>
        </is>
      </c>
      <c r="B16" s="13" t="inlineStr">
        <is>
          <t>LCY</t>
        </is>
      </c>
      <c r="C16" s="32">
        <f>C9-C12-C13-C14-C15</f>
        <v/>
      </c>
      <c r="D16" s="32">
        <f>D9-D12-D13-D14-D15</f>
        <v/>
      </c>
      <c r="E16" s="32">
        <f>E9-E12-E13-E14-E15</f>
        <v/>
      </c>
    </row>
    <row r="17">
      <c r="A17" s="3" t="inlineStr">
        <is>
          <t>LTV / CAC (lifetime gross profit after credit losses / CAC)</t>
        </is>
      </c>
      <c r="B17" s="13" t="inlineStr">
        <is>
          <t>x</t>
        </is>
      </c>
      <c r="C17" s="38">
        <f>IFERROR((C9-C12-C13-C15)/C14,0)</f>
        <v/>
      </c>
      <c r="D17" s="38">
        <f>IFERROR((D9-D12-D13-D15)/D14,0)</f>
        <v/>
      </c>
      <c r="E17" s="38">
        <f>IFERROR((E9-E12-E13-E15)/E14,0)</f>
        <v/>
      </c>
    </row>
    <row r="18">
      <c r="A18" s="4" t="inlineStr">
        <is>
          <t>Cash payback (months after sale)</t>
        </is>
      </c>
      <c r="B18" s="13" t="inlineStr">
        <is>
          <t>months</t>
        </is>
      </c>
      <c r="C18" s="39">
        <f>IF(COUNTIF(Curves!$I$8:$I$68,"&lt;0")&gt;60,"Not paid back",COUNTIF(Curves!$I$8:$I$68,"&lt;0"))</f>
        <v/>
      </c>
      <c r="D18" s="39">
        <f>IF(COUNTIF(Curves!$R$8:$R$68,"&lt;0")&gt;60,"Not paid back",COUNTIF(Curves!$R$8:$R$68,"&lt;0"))</f>
        <v/>
      </c>
      <c r="E18" s="39">
        <f>IF(COUNTIF(Curves!$AA$8:$AA$68,"&lt;0")&gt;60,"Not paid back",COUNTIF(Curves!$AA$8:$AA$68,"&lt;0"))</f>
        <v/>
      </c>
    </row>
    <row r="19">
      <c r="A19" s="3" t="inlineStr">
        <is>
          <t>Unit IRR (annualised, unlevered)</t>
        </is>
      </c>
      <c r="B19" s="13" t="inlineStr">
        <is>
          <t>%</t>
        </is>
      </c>
      <c r="C19" s="28">
        <f>IFERROR((1+IRR(Curves!$H$8:$H$68,0.02))^12-1,"n/a")</f>
        <v/>
      </c>
      <c r="D19" s="28">
        <f>IFERROR((1+IRR(Curves!$Q$8:$Q$68,0.02))^12-1,"n/a")</f>
        <v/>
      </c>
      <c r="E19" s="28">
        <f>IFERROR((1+IRR(Curves!$Z$8:$Z$68,0.02))^12-1,"n/a")</f>
        <v/>
      </c>
    </row>
    <row r="20"/>
    <row r="21"/>
    <row r="22">
      <c r="A22" s="2" t="inlineStr">
        <is>
          <t>Note: the active-account servicing cost excludes age 0 (sale month). Payback counts months with negative cumulative cash flow, ages 0..60. Values in month-1 prices; later cohorts scale with the price index.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60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</cols>
  <sheetData>
    <row r="1">
      <c r="A1" s="1" t="inlineStr">
        <is>
          <t>Financial statements (monthly)</t>
        </is>
      </c>
    </row>
    <row r="2">
      <c r="A2" s="2" t="inlineStr">
        <is>
          <t>LCY. Simplified IFRS-style presentation; see manual for accounting simplifications.</t>
        </is>
      </c>
    </row>
    <row r="3"/>
    <row r="4">
      <c r="A4" s="40" t="inlineStr">
        <is>
          <t>Month #</t>
        </is>
      </c>
      <c r="B4" s="41" t="n"/>
      <c r="C4" s="41" t="n"/>
      <c r="D4" s="40" t="inlineStr">
        <is>
          <t>Opening</t>
        </is>
      </c>
      <c r="E4" s="42">
        <f>Timeline!E4</f>
        <v/>
      </c>
      <c r="F4" s="42">
        <f>Timeline!F4</f>
        <v/>
      </c>
      <c r="G4" s="42">
        <f>Timeline!G4</f>
        <v/>
      </c>
      <c r="H4" s="42">
        <f>Timeline!H4</f>
        <v/>
      </c>
      <c r="I4" s="42">
        <f>Timeline!I4</f>
        <v/>
      </c>
      <c r="J4" s="42">
        <f>Timeline!J4</f>
        <v/>
      </c>
      <c r="K4" s="42">
        <f>Timeline!K4</f>
        <v/>
      </c>
      <c r="L4" s="42">
        <f>Timeline!L4</f>
        <v/>
      </c>
      <c r="M4" s="42">
        <f>Timeline!M4</f>
        <v/>
      </c>
      <c r="N4" s="42">
        <f>Timeline!N4</f>
        <v/>
      </c>
      <c r="O4" s="42">
        <f>Timeline!O4</f>
        <v/>
      </c>
      <c r="P4" s="42">
        <f>Timeline!P4</f>
        <v/>
      </c>
      <c r="Q4" s="42">
        <f>Timeline!Q4</f>
        <v/>
      </c>
      <c r="R4" s="42">
        <f>Timeline!R4</f>
        <v/>
      </c>
      <c r="S4" s="42">
        <f>Timeline!S4</f>
        <v/>
      </c>
      <c r="T4" s="42">
        <f>Timeline!T4</f>
        <v/>
      </c>
      <c r="U4" s="42">
        <f>Timeline!U4</f>
        <v/>
      </c>
      <c r="V4" s="42">
        <f>Timeline!V4</f>
        <v/>
      </c>
      <c r="W4" s="42">
        <f>Timeline!W4</f>
        <v/>
      </c>
      <c r="X4" s="42">
        <f>Timeline!X4</f>
        <v/>
      </c>
      <c r="Y4" s="42">
        <f>Timeline!Y4</f>
        <v/>
      </c>
      <c r="Z4" s="42">
        <f>Timeline!Z4</f>
        <v/>
      </c>
      <c r="AA4" s="42">
        <f>Timeline!AA4</f>
        <v/>
      </c>
      <c r="AB4" s="42">
        <f>Timeline!AB4</f>
        <v/>
      </c>
      <c r="AC4" s="42">
        <f>Timeline!AC4</f>
        <v/>
      </c>
      <c r="AD4" s="42">
        <f>Timeline!AD4</f>
        <v/>
      </c>
      <c r="AE4" s="42">
        <f>Timeline!AE4</f>
        <v/>
      </c>
      <c r="AF4" s="42">
        <f>Timeline!AF4</f>
        <v/>
      </c>
      <c r="AG4" s="42">
        <f>Timeline!AG4</f>
        <v/>
      </c>
      <c r="AH4" s="42">
        <f>Timeline!AH4</f>
        <v/>
      </c>
      <c r="AI4" s="42">
        <f>Timeline!AI4</f>
        <v/>
      </c>
      <c r="AJ4" s="42">
        <f>Timeline!AJ4</f>
        <v/>
      </c>
      <c r="AK4" s="42">
        <f>Timeline!AK4</f>
        <v/>
      </c>
      <c r="AL4" s="42">
        <f>Timeline!AL4</f>
        <v/>
      </c>
      <c r="AM4" s="42">
        <f>Timeline!AM4</f>
        <v/>
      </c>
      <c r="AN4" s="42">
        <f>Timeline!AN4</f>
        <v/>
      </c>
      <c r="AO4" s="42">
        <f>Timeline!AO4</f>
        <v/>
      </c>
      <c r="AP4" s="42">
        <f>Timeline!AP4</f>
        <v/>
      </c>
      <c r="AQ4" s="42">
        <f>Timeline!AQ4</f>
        <v/>
      </c>
      <c r="AR4" s="42">
        <f>Timeline!AR4</f>
        <v/>
      </c>
      <c r="AS4" s="42">
        <f>Timeline!AS4</f>
        <v/>
      </c>
      <c r="AT4" s="42">
        <f>Timeline!AT4</f>
        <v/>
      </c>
      <c r="AU4" s="42">
        <f>Timeline!AU4</f>
        <v/>
      </c>
      <c r="AV4" s="42">
        <f>Timeline!AV4</f>
        <v/>
      </c>
      <c r="AW4" s="42">
        <f>Timeline!AW4</f>
        <v/>
      </c>
      <c r="AX4" s="42">
        <f>Timeline!AX4</f>
        <v/>
      </c>
      <c r="AY4" s="42">
        <f>Timeline!AY4</f>
        <v/>
      </c>
      <c r="AZ4" s="42">
        <f>Timeline!AZ4</f>
        <v/>
      </c>
      <c r="BA4" s="42">
        <f>Timeline!BA4</f>
        <v/>
      </c>
      <c r="BB4" s="42">
        <f>Timeline!BB4</f>
        <v/>
      </c>
      <c r="BC4" s="42">
        <f>Timeline!BC4</f>
        <v/>
      </c>
      <c r="BD4" s="42">
        <f>Timeline!BD4</f>
        <v/>
      </c>
      <c r="BE4" s="42">
        <f>Timeline!BE4</f>
        <v/>
      </c>
      <c r="BF4" s="42">
        <f>Timeline!BF4</f>
        <v/>
      </c>
      <c r="BG4" s="42">
        <f>Timeline!BG4</f>
        <v/>
      </c>
      <c r="BH4" s="42">
        <f>Timeline!BH4</f>
        <v/>
      </c>
      <c r="BI4" s="42">
        <f>Timeline!BI4</f>
        <v/>
      </c>
      <c r="BJ4" s="42">
        <f>Timeline!BJ4</f>
        <v/>
      </c>
      <c r="BK4" s="42">
        <f>Timeline!BK4</f>
        <v/>
      </c>
      <c r="BL4" s="42">
        <f>Timeline!BL4</f>
        <v/>
      </c>
    </row>
    <row r="5">
      <c r="A5" s="40" t="inlineStr">
        <is>
          <t>Period end</t>
        </is>
      </c>
      <c r="B5" s="41" t="n"/>
      <c r="C5" s="41" t="n"/>
      <c r="D5" s="40" t="n"/>
      <c r="E5" s="43">
        <f>Timeline!E5</f>
        <v/>
      </c>
      <c r="F5" s="43">
        <f>Timeline!F5</f>
        <v/>
      </c>
      <c r="G5" s="43">
        <f>Timeline!G5</f>
        <v/>
      </c>
      <c r="H5" s="43">
        <f>Timeline!H5</f>
        <v/>
      </c>
      <c r="I5" s="43">
        <f>Timeline!I5</f>
        <v/>
      </c>
      <c r="J5" s="43">
        <f>Timeline!J5</f>
        <v/>
      </c>
      <c r="K5" s="43">
        <f>Timeline!K5</f>
        <v/>
      </c>
      <c r="L5" s="43">
        <f>Timeline!L5</f>
        <v/>
      </c>
      <c r="M5" s="43">
        <f>Timeline!M5</f>
        <v/>
      </c>
      <c r="N5" s="43">
        <f>Timeline!N5</f>
        <v/>
      </c>
      <c r="O5" s="43">
        <f>Timeline!O5</f>
        <v/>
      </c>
      <c r="P5" s="43">
        <f>Timeline!P5</f>
        <v/>
      </c>
      <c r="Q5" s="43">
        <f>Timeline!Q5</f>
        <v/>
      </c>
      <c r="R5" s="43">
        <f>Timeline!R5</f>
        <v/>
      </c>
      <c r="S5" s="43">
        <f>Timeline!S5</f>
        <v/>
      </c>
      <c r="T5" s="43">
        <f>Timeline!T5</f>
        <v/>
      </c>
      <c r="U5" s="43">
        <f>Timeline!U5</f>
        <v/>
      </c>
      <c r="V5" s="43">
        <f>Timeline!V5</f>
        <v/>
      </c>
      <c r="W5" s="43">
        <f>Timeline!W5</f>
        <v/>
      </c>
      <c r="X5" s="43">
        <f>Timeline!X5</f>
        <v/>
      </c>
      <c r="Y5" s="43">
        <f>Timeline!Y5</f>
        <v/>
      </c>
      <c r="Z5" s="43">
        <f>Timeline!Z5</f>
        <v/>
      </c>
      <c r="AA5" s="43">
        <f>Timeline!AA5</f>
        <v/>
      </c>
      <c r="AB5" s="43">
        <f>Timeline!AB5</f>
        <v/>
      </c>
      <c r="AC5" s="43">
        <f>Timeline!AC5</f>
        <v/>
      </c>
      <c r="AD5" s="43">
        <f>Timeline!AD5</f>
        <v/>
      </c>
      <c r="AE5" s="43">
        <f>Timeline!AE5</f>
        <v/>
      </c>
      <c r="AF5" s="43">
        <f>Timeline!AF5</f>
        <v/>
      </c>
      <c r="AG5" s="43">
        <f>Timeline!AG5</f>
        <v/>
      </c>
      <c r="AH5" s="43">
        <f>Timeline!AH5</f>
        <v/>
      </c>
      <c r="AI5" s="43">
        <f>Timeline!AI5</f>
        <v/>
      </c>
      <c r="AJ5" s="43">
        <f>Timeline!AJ5</f>
        <v/>
      </c>
      <c r="AK5" s="43">
        <f>Timeline!AK5</f>
        <v/>
      </c>
      <c r="AL5" s="43">
        <f>Timeline!AL5</f>
        <v/>
      </c>
      <c r="AM5" s="43">
        <f>Timeline!AM5</f>
        <v/>
      </c>
      <c r="AN5" s="43">
        <f>Timeline!AN5</f>
        <v/>
      </c>
      <c r="AO5" s="43">
        <f>Timeline!AO5</f>
        <v/>
      </c>
      <c r="AP5" s="43">
        <f>Timeline!AP5</f>
        <v/>
      </c>
      <c r="AQ5" s="43">
        <f>Timeline!AQ5</f>
        <v/>
      </c>
      <c r="AR5" s="43">
        <f>Timeline!AR5</f>
        <v/>
      </c>
      <c r="AS5" s="43">
        <f>Timeline!AS5</f>
        <v/>
      </c>
      <c r="AT5" s="43">
        <f>Timeline!AT5</f>
        <v/>
      </c>
      <c r="AU5" s="43">
        <f>Timeline!AU5</f>
        <v/>
      </c>
      <c r="AV5" s="43">
        <f>Timeline!AV5</f>
        <v/>
      </c>
      <c r="AW5" s="43">
        <f>Timeline!AW5</f>
        <v/>
      </c>
      <c r="AX5" s="43">
        <f>Timeline!AX5</f>
        <v/>
      </c>
      <c r="AY5" s="43">
        <f>Timeline!AY5</f>
        <v/>
      </c>
      <c r="AZ5" s="43">
        <f>Timeline!AZ5</f>
        <v/>
      </c>
      <c r="BA5" s="43">
        <f>Timeline!BA5</f>
        <v/>
      </c>
      <c r="BB5" s="43">
        <f>Timeline!BB5</f>
        <v/>
      </c>
      <c r="BC5" s="43">
        <f>Timeline!BC5</f>
        <v/>
      </c>
      <c r="BD5" s="43">
        <f>Timeline!BD5</f>
        <v/>
      </c>
      <c r="BE5" s="43">
        <f>Timeline!BE5</f>
        <v/>
      </c>
      <c r="BF5" s="43">
        <f>Timeline!BF5</f>
        <v/>
      </c>
      <c r="BG5" s="43">
        <f>Timeline!BG5</f>
        <v/>
      </c>
      <c r="BH5" s="43">
        <f>Timeline!BH5</f>
        <v/>
      </c>
      <c r="BI5" s="43">
        <f>Timeline!BI5</f>
        <v/>
      </c>
      <c r="BJ5" s="43">
        <f>Timeline!BJ5</f>
        <v/>
      </c>
      <c r="BK5" s="43">
        <f>Timeline!BK5</f>
        <v/>
      </c>
      <c r="BL5" s="43">
        <f>Timeline!BL5</f>
        <v/>
      </c>
    </row>
    <row r="6">
      <c r="A6" s="40" t="inlineStr">
        <is>
          <t>Year #</t>
        </is>
      </c>
      <c r="B6" s="41" t="n"/>
      <c r="C6" s="41" t="n"/>
      <c r="D6" s="40" t="n"/>
      <c r="E6" s="42">
        <f>Timeline!E6</f>
        <v/>
      </c>
      <c r="F6" s="42">
        <f>Timeline!F6</f>
        <v/>
      </c>
      <c r="G6" s="42">
        <f>Timeline!G6</f>
        <v/>
      </c>
      <c r="H6" s="42">
        <f>Timeline!H6</f>
        <v/>
      </c>
      <c r="I6" s="42">
        <f>Timeline!I6</f>
        <v/>
      </c>
      <c r="J6" s="42">
        <f>Timeline!J6</f>
        <v/>
      </c>
      <c r="K6" s="42">
        <f>Timeline!K6</f>
        <v/>
      </c>
      <c r="L6" s="42">
        <f>Timeline!L6</f>
        <v/>
      </c>
      <c r="M6" s="42">
        <f>Timeline!M6</f>
        <v/>
      </c>
      <c r="N6" s="42">
        <f>Timeline!N6</f>
        <v/>
      </c>
      <c r="O6" s="42">
        <f>Timeline!O6</f>
        <v/>
      </c>
      <c r="P6" s="42">
        <f>Timeline!P6</f>
        <v/>
      </c>
      <c r="Q6" s="42">
        <f>Timeline!Q6</f>
        <v/>
      </c>
      <c r="R6" s="42">
        <f>Timeline!R6</f>
        <v/>
      </c>
      <c r="S6" s="42">
        <f>Timeline!S6</f>
        <v/>
      </c>
      <c r="T6" s="42">
        <f>Timeline!T6</f>
        <v/>
      </c>
      <c r="U6" s="42">
        <f>Timeline!U6</f>
        <v/>
      </c>
      <c r="V6" s="42">
        <f>Timeline!V6</f>
        <v/>
      </c>
      <c r="W6" s="42">
        <f>Timeline!W6</f>
        <v/>
      </c>
      <c r="X6" s="42">
        <f>Timeline!X6</f>
        <v/>
      </c>
      <c r="Y6" s="42">
        <f>Timeline!Y6</f>
        <v/>
      </c>
      <c r="Z6" s="42">
        <f>Timeline!Z6</f>
        <v/>
      </c>
      <c r="AA6" s="42">
        <f>Timeline!AA6</f>
        <v/>
      </c>
      <c r="AB6" s="42">
        <f>Timeline!AB6</f>
        <v/>
      </c>
      <c r="AC6" s="42">
        <f>Timeline!AC6</f>
        <v/>
      </c>
      <c r="AD6" s="42">
        <f>Timeline!AD6</f>
        <v/>
      </c>
      <c r="AE6" s="42">
        <f>Timeline!AE6</f>
        <v/>
      </c>
      <c r="AF6" s="42">
        <f>Timeline!AF6</f>
        <v/>
      </c>
      <c r="AG6" s="42">
        <f>Timeline!AG6</f>
        <v/>
      </c>
      <c r="AH6" s="42">
        <f>Timeline!AH6</f>
        <v/>
      </c>
      <c r="AI6" s="42">
        <f>Timeline!AI6</f>
        <v/>
      </c>
      <c r="AJ6" s="42">
        <f>Timeline!AJ6</f>
        <v/>
      </c>
      <c r="AK6" s="42">
        <f>Timeline!AK6</f>
        <v/>
      </c>
      <c r="AL6" s="42">
        <f>Timeline!AL6</f>
        <v/>
      </c>
      <c r="AM6" s="42">
        <f>Timeline!AM6</f>
        <v/>
      </c>
      <c r="AN6" s="42">
        <f>Timeline!AN6</f>
        <v/>
      </c>
      <c r="AO6" s="42">
        <f>Timeline!AO6</f>
        <v/>
      </c>
      <c r="AP6" s="42">
        <f>Timeline!AP6</f>
        <v/>
      </c>
      <c r="AQ6" s="42">
        <f>Timeline!AQ6</f>
        <v/>
      </c>
      <c r="AR6" s="42">
        <f>Timeline!AR6</f>
        <v/>
      </c>
      <c r="AS6" s="42">
        <f>Timeline!AS6</f>
        <v/>
      </c>
      <c r="AT6" s="42">
        <f>Timeline!AT6</f>
        <v/>
      </c>
      <c r="AU6" s="42">
        <f>Timeline!AU6</f>
        <v/>
      </c>
      <c r="AV6" s="42">
        <f>Timeline!AV6</f>
        <v/>
      </c>
      <c r="AW6" s="42">
        <f>Timeline!AW6</f>
        <v/>
      </c>
      <c r="AX6" s="42">
        <f>Timeline!AX6</f>
        <v/>
      </c>
      <c r="AY6" s="42">
        <f>Timeline!AY6</f>
        <v/>
      </c>
      <c r="AZ6" s="42">
        <f>Timeline!AZ6</f>
        <v/>
      </c>
      <c r="BA6" s="42">
        <f>Timeline!BA6</f>
        <v/>
      </c>
      <c r="BB6" s="42">
        <f>Timeline!BB6</f>
        <v/>
      </c>
      <c r="BC6" s="42">
        <f>Timeline!BC6</f>
        <v/>
      </c>
      <c r="BD6" s="42">
        <f>Timeline!BD6</f>
        <v/>
      </c>
      <c r="BE6" s="42">
        <f>Timeline!BE6</f>
        <v/>
      </c>
      <c r="BF6" s="42">
        <f>Timeline!BF6</f>
        <v/>
      </c>
      <c r="BG6" s="42">
        <f>Timeline!BG6</f>
        <v/>
      </c>
      <c r="BH6" s="42">
        <f>Timeline!BH6</f>
        <v/>
      </c>
      <c r="BI6" s="42">
        <f>Timeline!BI6</f>
        <v/>
      </c>
      <c r="BJ6" s="42">
        <f>Timeline!BJ6</f>
        <v/>
      </c>
      <c r="BK6" s="42">
        <f>Timeline!BK6</f>
        <v/>
      </c>
      <c r="BL6" s="42">
        <f>Timeline!BL6</f>
        <v/>
      </c>
    </row>
    <row r="7"/>
    <row r="8">
      <c r="A8" s="11" t="inlineStr">
        <is>
          <t>INCOME STATEMENT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  <c r="BJ8" s="12" t="n"/>
      <c r="BK8" s="12" t="n"/>
      <c r="BL8" s="12" t="n"/>
    </row>
    <row r="9">
      <c r="A9" s="44" t="inlineStr">
        <is>
          <t>Hardware revenue (cash price)</t>
        </is>
      </c>
      <c r="B9" s="13" t="inlineStr">
        <is>
          <t>LCY</t>
        </is>
      </c>
      <c r="C9" s="45">
        <f>SUM(E9:BL9)</f>
        <v/>
      </c>
      <c r="E9" s="46">
        <f>Ops!E$57</f>
        <v/>
      </c>
      <c r="F9" s="46">
        <f>Ops!F$57</f>
        <v/>
      </c>
      <c r="G9" s="46">
        <f>Ops!G$57</f>
        <v/>
      </c>
      <c r="H9" s="46">
        <f>Ops!H$57</f>
        <v/>
      </c>
      <c r="I9" s="46">
        <f>Ops!I$57</f>
        <v/>
      </c>
      <c r="J9" s="46">
        <f>Ops!J$57</f>
        <v/>
      </c>
      <c r="K9" s="46">
        <f>Ops!K$57</f>
        <v/>
      </c>
      <c r="L9" s="46">
        <f>Ops!L$57</f>
        <v/>
      </c>
      <c r="M9" s="46">
        <f>Ops!M$57</f>
        <v/>
      </c>
      <c r="N9" s="46">
        <f>Ops!N$57</f>
        <v/>
      </c>
      <c r="O9" s="46">
        <f>Ops!O$57</f>
        <v/>
      </c>
      <c r="P9" s="46">
        <f>Ops!P$57</f>
        <v/>
      </c>
      <c r="Q9" s="46">
        <f>Ops!Q$57</f>
        <v/>
      </c>
      <c r="R9" s="46">
        <f>Ops!R$57</f>
        <v/>
      </c>
      <c r="S9" s="46">
        <f>Ops!S$57</f>
        <v/>
      </c>
      <c r="T9" s="46">
        <f>Ops!T$57</f>
        <v/>
      </c>
      <c r="U9" s="46">
        <f>Ops!U$57</f>
        <v/>
      </c>
      <c r="V9" s="46">
        <f>Ops!V$57</f>
        <v/>
      </c>
      <c r="W9" s="46">
        <f>Ops!W$57</f>
        <v/>
      </c>
      <c r="X9" s="46">
        <f>Ops!X$57</f>
        <v/>
      </c>
      <c r="Y9" s="46">
        <f>Ops!Y$57</f>
        <v/>
      </c>
      <c r="Z9" s="46">
        <f>Ops!Z$57</f>
        <v/>
      </c>
      <c r="AA9" s="46">
        <f>Ops!AA$57</f>
        <v/>
      </c>
      <c r="AB9" s="46">
        <f>Ops!AB$57</f>
        <v/>
      </c>
      <c r="AC9" s="46">
        <f>Ops!AC$57</f>
        <v/>
      </c>
      <c r="AD9" s="46">
        <f>Ops!AD$57</f>
        <v/>
      </c>
      <c r="AE9" s="46">
        <f>Ops!AE$57</f>
        <v/>
      </c>
      <c r="AF9" s="46">
        <f>Ops!AF$57</f>
        <v/>
      </c>
      <c r="AG9" s="46">
        <f>Ops!AG$57</f>
        <v/>
      </c>
      <c r="AH9" s="46">
        <f>Ops!AH$57</f>
        <v/>
      </c>
      <c r="AI9" s="46">
        <f>Ops!AI$57</f>
        <v/>
      </c>
      <c r="AJ9" s="46">
        <f>Ops!AJ$57</f>
        <v/>
      </c>
      <c r="AK9" s="46">
        <f>Ops!AK$57</f>
        <v/>
      </c>
      <c r="AL9" s="46">
        <f>Ops!AL$57</f>
        <v/>
      </c>
      <c r="AM9" s="46">
        <f>Ops!AM$57</f>
        <v/>
      </c>
      <c r="AN9" s="46">
        <f>Ops!AN$57</f>
        <v/>
      </c>
      <c r="AO9" s="46">
        <f>Ops!AO$57</f>
        <v/>
      </c>
      <c r="AP9" s="46">
        <f>Ops!AP$57</f>
        <v/>
      </c>
      <c r="AQ9" s="46">
        <f>Ops!AQ$57</f>
        <v/>
      </c>
      <c r="AR9" s="46">
        <f>Ops!AR$57</f>
        <v/>
      </c>
      <c r="AS9" s="46">
        <f>Ops!AS$57</f>
        <v/>
      </c>
      <c r="AT9" s="46">
        <f>Ops!AT$57</f>
        <v/>
      </c>
      <c r="AU9" s="46">
        <f>Ops!AU$57</f>
        <v/>
      </c>
      <c r="AV9" s="46">
        <f>Ops!AV$57</f>
        <v/>
      </c>
      <c r="AW9" s="46">
        <f>Ops!AW$57</f>
        <v/>
      </c>
      <c r="AX9" s="46">
        <f>Ops!AX$57</f>
        <v/>
      </c>
      <c r="AY9" s="46">
        <f>Ops!AY$57</f>
        <v/>
      </c>
      <c r="AZ9" s="46">
        <f>Ops!AZ$57</f>
        <v/>
      </c>
      <c r="BA9" s="46">
        <f>Ops!BA$57</f>
        <v/>
      </c>
      <c r="BB9" s="46">
        <f>Ops!BB$57</f>
        <v/>
      </c>
      <c r="BC9" s="46">
        <f>Ops!BC$57</f>
        <v/>
      </c>
      <c r="BD9" s="46">
        <f>Ops!BD$57</f>
        <v/>
      </c>
      <c r="BE9" s="46">
        <f>Ops!BE$57</f>
        <v/>
      </c>
      <c r="BF9" s="46">
        <f>Ops!BF$57</f>
        <v/>
      </c>
      <c r="BG9" s="46">
        <f>Ops!BG$57</f>
        <v/>
      </c>
      <c r="BH9" s="46">
        <f>Ops!BH$57</f>
        <v/>
      </c>
      <c r="BI9" s="46">
        <f>Ops!BI$57</f>
        <v/>
      </c>
      <c r="BJ9" s="46">
        <f>Ops!BJ$57</f>
        <v/>
      </c>
      <c r="BK9" s="46">
        <f>Ops!BK$57</f>
        <v/>
      </c>
      <c r="BL9" s="46">
        <f>Ops!BL$57</f>
        <v/>
      </c>
    </row>
    <row r="10">
      <c r="A10" s="44" t="inlineStr">
        <is>
          <t>PAYGo financing income</t>
        </is>
      </c>
      <c r="B10" s="13" t="inlineStr">
        <is>
          <t>LCY</t>
        </is>
      </c>
      <c r="C10" s="45">
        <f>SUM(E10:BL10)</f>
        <v/>
      </c>
      <c r="E10" s="46">
        <f>Ops!E$62</f>
        <v/>
      </c>
      <c r="F10" s="46">
        <f>Ops!F$62</f>
        <v/>
      </c>
      <c r="G10" s="46">
        <f>Ops!G$62</f>
        <v/>
      </c>
      <c r="H10" s="46">
        <f>Ops!H$62</f>
        <v/>
      </c>
      <c r="I10" s="46">
        <f>Ops!I$62</f>
        <v/>
      </c>
      <c r="J10" s="46">
        <f>Ops!J$62</f>
        <v/>
      </c>
      <c r="K10" s="46">
        <f>Ops!K$62</f>
        <v/>
      </c>
      <c r="L10" s="46">
        <f>Ops!L$62</f>
        <v/>
      </c>
      <c r="M10" s="46">
        <f>Ops!M$62</f>
        <v/>
      </c>
      <c r="N10" s="46">
        <f>Ops!N$62</f>
        <v/>
      </c>
      <c r="O10" s="46">
        <f>Ops!O$62</f>
        <v/>
      </c>
      <c r="P10" s="46">
        <f>Ops!P$62</f>
        <v/>
      </c>
      <c r="Q10" s="46">
        <f>Ops!Q$62</f>
        <v/>
      </c>
      <c r="R10" s="46">
        <f>Ops!R$62</f>
        <v/>
      </c>
      <c r="S10" s="46">
        <f>Ops!S$62</f>
        <v/>
      </c>
      <c r="T10" s="46">
        <f>Ops!T$62</f>
        <v/>
      </c>
      <c r="U10" s="46">
        <f>Ops!U$62</f>
        <v/>
      </c>
      <c r="V10" s="46">
        <f>Ops!V$62</f>
        <v/>
      </c>
      <c r="W10" s="46">
        <f>Ops!W$62</f>
        <v/>
      </c>
      <c r="X10" s="46">
        <f>Ops!X$62</f>
        <v/>
      </c>
      <c r="Y10" s="46">
        <f>Ops!Y$62</f>
        <v/>
      </c>
      <c r="Z10" s="46">
        <f>Ops!Z$62</f>
        <v/>
      </c>
      <c r="AA10" s="46">
        <f>Ops!AA$62</f>
        <v/>
      </c>
      <c r="AB10" s="46">
        <f>Ops!AB$62</f>
        <v/>
      </c>
      <c r="AC10" s="46">
        <f>Ops!AC$62</f>
        <v/>
      </c>
      <c r="AD10" s="46">
        <f>Ops!AD$62</f>
        <v/>
      </c>
      <c r="AE10" s="46">
        <f>Ops!AE$62</f>
        <v/>
      </c>
      <c r="AF10" s="46">
        <f>Ops!AF$62</f>
        <v/>
      </c>
      <c r="AG10" s="46">
        <f>Ops!AG$62</f>
        <v/>
      </c>
      <c r="AH10" s="46">
        <f>Ops!AH$62</f>
        <v/>
      </c>
      <c r="AI10" s="46">
        <f>Ops!AI$62</f>
        <v/>
      </c>
      <c r="AJ10" s="46">
        <f>Ops!AJ$62</f>
        <v/>
      </c>
      <c r="AK10" s="46">
        <f>Ops!AK$62</f>
        <v/>
      </c>
      <c r="AL10" s="46">
        <f>Ops!AL$62</f>
        <v/>
      </c>
      <c r="AM10" s="46">
        <f>Ops!AM$62</f>
        <v/>
      </c>
      <c r="AN10" s="46">
        <f>Ops!AN$62</f>
        <v/>
      </c>
      <c r="AO10" s="46">
        <f>Ops!AO$62</f>
        <v/>
      </c>
      <c r="AP10" s="46">
        <f>Ops!AP$62</f>
        <v/>
      </c>
      <c r="AQ10" s="46">
        <f>Ops!AQ$62</f>
        <v/>
      </c>
      <c r="AR10" s="46">
        <f>Ops!AR$62</f>
        <v/>
      </c>
      <c r="AS10" s="46">
        <f>Ops!AS$62</f>
        <v/>
      </c>
      <c r="AT10" s="46">
        <f>Ops!AT$62</f>
        <v/>
      </c>
      <c r="AU10" s="46">
        <f>Ops!AU$62</f>
        <v/>
      </c>
      <c r="AV10" s="46">
        <f>Ops!AV$62</f>
        <v/>
      </c>
      <c r="AW10" s="46">
        <f>Ops!AW$62</f>
        <v/>
      </c>
      <c r="AX10" s="46">
        <f>Ops!AX$62</f>
        <v/>
      </c>
      <c r="AY10" s="46">
        <f>Ops!AY$62</f>
        <v/>
      </c>
      <c r="AZ10" s="46">
        <f>Ops!AZ$62</f>
        <v/>
      </c>
      <c r="BA10" s="46">
        <f>Ops!BA$62</f>
        <v/>
      </c>
      <c r="BB10" s="46">
        <f>Ops!BB$62</f>
        <v/>
      </c>
      <c r="BC10" s="46">
        <f>Ops!BC$62</f>
        <v/>
      </c>
      <c r="BD10" s="46">
        <f>Ops!BD$62</f>
        <v/>
      </c>
      <c r="BE10" s="46">
        <f>Ops!BE$62</f>
        <v/>
      </c>
      <c r="BF10" s="46">
        <f>Ops!BF$62</f>
        <v/>
      </c>
      <c r="BG10" s="46">
        <f>Ops!BG$62</f>
        <v/>
      </c>
      <c r="BH10" s="46">
        <f>Ops!BH$62</f>
        <v/>
      </c>
      <c r="BI10" s="46">
        <f>Ops!BI$62</f>
        <v/>
      </c>
      <c r="BJ10" s="46">
        <f>Ops!BJ$62</f>
        <v/>
      </c>
      <c r="BK10" s="46">
        <f>Ops!BK$62</f>
        <v/>
      </c>
      <c r="BL10" s="46">
        <f>Ops!BL$62</f>
        <v/>
      </c>
    </row>
    <row r="11">
      <c r="A11" s="47" t="inlineStr">
        <is>
          <t>Total revenue</t>
        </is>
      </c>
      <c r="B11" s="48" t="inlineStr">
        <is>
          <t>LCY</t>
        </is>
      </c>
      <c r="C11" s="49">
        <f>SUM(E11:BL11)</f>
        <v/>
      </c>
      <c r="D11" s="50" t="n"/>
      <c r="E11" s="51">
        <f>E9+E10</f>
        <v/>
      </c>
      <c r="F11" s="51">
        <f>F9+F10</f>
        <v/>
      </c>
      <c r="G11" s="51">
        <f>G9+G10</f>
        <v/>
      </c>
      <c r="H11" s="51">
        <f>H9+H10</f>
        <v/>
      </c>
      <c r="I11" s="51">
        <f>I9+I10</f>
        <v/>
      </c>
      <c r="J11" s="51">
        <f>J9+J10</f>
        <v/>
      </c>
      <c r="K11" s="51">
        <f>K9+K10</f>
        <v/>
      </c>
      <c r="L11" s="51">
        <f>L9+L10</f>
        <v/>
      </c>
      <c r="M11" s="51">
        <f>M9+M10</f>
        <v/>
      </c>
      <c r="N11" s="51">
        <f>N9+N10</f>
        <v/>
      </c>
      <c r="O11" s="51">
        <f>O9+O10</f>
        <v/>
      </c>
      <c r="P11" s="51">
        <f>P9+P10</f>
        <v/>
      </c>
      <c r="Q11" s="51">
        <f>Q9+Q10</f>
        <v/>
      </c>
      <c r="R11" s="51">
        <f>R9+R10</f>
        <v/>
      </c>
      <c r="S11" s="51">
        <f>S9+S10</f>
        <v/>
      </c>
      <c r="T11" s="51">
        <f>T9+T10</f>
        <v/>
      </c>
      <c r="U11" s="51">
        <f>U9+U10</f>
        <v/>
      </c>
      <c r="V11" s="51">
        <f>V9+V10</f>
        <v/>
      </c>
      <c r="W11" s="51">
        <f>W9+W10</f>
        <v/>
      </c>
      <c r="X11" s="51">
        <f>X9+X10</f>
        <v/>
      </c>
      <c r="Y11" s="51">
        <f>Y9+Y10</f>
        <v/>
      </c>
      <c r="Z11" s="51">
        <f>Z9+Z10</f>
        <v/>
      </c>
      <c r="AA11" s="51">
        <f>AA9+AA10</f>
        <v/>
      </c>
      <c r="AB11" s="51">
        <f>AB9+AB10</f>
        <v/>
      </c>
      <c r="AC11" s="51">
        <f>AC9+AC10</f>
        <v/>
      </c>
      <c r="AD11" s="51">
        <f>AD9+AD10</f>
        <v/>
      </c>
      <c r="AE11" s="51">
        <f>AE9+AE10</f>
        <v/>
      </c>
      <c r="AF11" s="51">
        <f>AF9+AF10</f>
        <v/>
      </c>
      <c r="AG11" s="51">
        <f>AG9+AG10</f>
        <v/>
      </c>
      <c r="AH11" s="51">
        <f>AH9+AH10</f>
        <v/>
      </c>
      <c r="AI11" s="51">
        <f>AI9+AI10</f>
        <v/>
      </c>
      <c r="AJ11" s="51">
        <f>AJ9+AJ10</f>
        <v/>
      </c>
      <c r="AK11" s="51">
        <f>AK9+AK10</f>
        <v/>
      </c>
      <c r="AL11" s="51">
        <f>AL9+AL10</f>
        <v/>
      </c>
      <c r="AM11" s="51">
        <f>AM9+AM10</f>
        <v/>
      </c>
      <c r="AN11" s="51">
        <f>AN9+AN10</f>
        <v/>
      </c>
      <c r="AO11" s="51">
        <f>AO9+AO10</f>
        <v/>
      </c>
      <c r="AP11" s="51">
        <f>AP9+AP10</f>
        <v/>
      </c>
      <c r="AQ11" s="51">
        <f>AQ9+AQ10</f>
        <v/>
      </c>
      <c r="AR11" s="51">
        <f>AR9+AR10</f>
        <v/>
      </c>
      <c r="AS11" s="51">
        <f>AS9+AS10</f>
        <v/>
      </c>
      <c r="AT11" s="51">
        <f>AT9+AT10</f>
        <v/>
      </c>
      <c r="AU11" s="51">
        <f>AU9+AU10</f>
        <v/>
      </c>
      <c r="AV11" s="51">
        <f>AV9+AV10</f>
        <v/>
      </c>
      <c r="AW11" s="51">
        <f>AW9+AW10</f>
        <v/>
      </c>
      <c r="AX11" s="51">
        <f>AX9+AX10</f>
        <v/>
      </c>
      <c r="AY11" s="51">
        <f>AY9+AY10</f>
        <v/>
      </c>
      <c r="AZ11" s="51">
        <f>AZ9+AZ10</f>
        <v/>
      </c>
      <c r="BA11" s="51">
        <f>BA9+BA10</f>
        <v/>
      </c>
      <c r="BB11" s="51">
        <f>BB9+BB10</f>
        <v/>
      </c>
      <c r="BC11" s="51">
        <f>BC9+BC10</f>
        <v/>
      </c>
      <c r="BD11" s="51">
        <f>BD9+BD10</f>
        <v/>
      </c>
      <c r="BE11" s="51">
        <f>BE9+BE10</f>
        <v/>
      </c>
      <c r="BF11" s="51">
        <f>BF9+BF10</f>
        <v/>
      </c>
      <c r="BG11" s="51">
        <f>BG9+BG10</f>
        <v/>
      </c>
      <c r="BH11" s="51">
        <f>BH9+BH10</f>
        <v/>
      </c>
      <c r="BI11" s="51">
        <f>BI9+BI10</f>
        <v/>
      </c>
      <c r="BJ11" s="51">
        <f>BJ9+BJ10</f>
        <v/>
      </c>
      <c r="BK11" s="51">
        <f>BK9+BK10</f>
        <v/>
      </c>
      <c r="BL11" s="51">
        <f>BL9+BL10</f>
        <v/>
      </c>
    </row>
    <row r="12">
      <c r="A12" s="44" t="inlineStr">
        <is>
          <t>Cost of goods sold</t>
        </is>
      </c>
      <c r="B12" s="13" t="inlineStr">
        <is>
          <t>LCY</t>
        </is>
      </c>
      <c r="C12" s="45">
        <f>SUM(E12:BL12)</f>
        <v/>
      </c>
      <c r="E12" s="46">
        <f>-Costs!E$8</f>
        <v/>
      </c>
      <c r="F12" s="46">
        <f>-Costs!F$8</f>
        <v/>
      </c>
      <c r="G12" s="46">
        <f>-Costs!G$8</f>
        <v/>
      </c>
      <c r="H12" s="46">
        <f>-Costs!H$8</f>
        <v/>
      </c>
      <c r="I12" s="46">
        <f>-Costs!I$8</f>
        <v/>
      </c>
      <c r="J12" s="46">
        <f>-Costs!J$8</f>
        <v/>
      </c>
      <c r="K12" s="46">
        <f>-Costs!K$8</f>
        <v/>
      </c>
      <c r="L12" s="46">
        <f>-Costs!L$8</f>
        <v/>
      </c>
      <c r="M12" s="46">
        <f>-Costs!M$8</f>
        <v/>
      </c>
      <c r="N12" s="46">
        <f>-Costs!N$8</f>
        <v/>
      </c>
      <c r="O12" s="46">
        <f>-Costs!O$8</f>
        <v/>
      </c>
      <c r="P12" s="46">
        <f>-Costs!P$8</f>
        <v/>
      </c>
      <c r="Q12" s="46">
        <f>-Costs!Q$8</f>
        <v/>
      </c>
      <c r="R12" s="46">
        <f>-Costs!R$8</f>
        <v/>
      </c>
      <c r="S12" s="46">
        <f>-Costs!S$8</f>
        <v/>
      </c>
      <c r="T12" s="46">
        <f>-Costs!T$8</f>
        <v/>
      </c>
      <c r="U12" s="46">
        <f>-Costs!U$8</f>
        <v/>
      </c>
      <c r="V12" s="46">
        <f>-Costs!V$8</f>
        <v/>
      </c>
      <c r="W12" s="46">
        <f>-Costs!W$8</f>
        <v/>
      </c>
      <c r="X12" s="46">
        <f>-Costs!X$8</f>
        <v/>
      </c>
      <c r="Y12" s="46">
        <f>-Costs!Y$8</f>
        <v/>
      </c>
      <c r="Z12" s="46">
        <f>-Costs!Z$8</f>
        <v/>
      </c>
      <c r="AA12" s="46">
        <f>-Costs!AA$8</f>
        <v/>
      </c>
      <c r="AB12" s="46">
        <f>-Costs!AB$8</f>
        <v/>
      </c>
      <c r="AC12" s="46">
        <f>-Costs!AC$8</f>
        <v/>
      </c>
      <c r="AD12" s="46">
        <f>-Costs!AD$8</f>
        <v/>
      </c>
      <c r="AE12" s="46">
        <f>-Costs!AE$8</f>
        <v/>
      </c>
      <c r="AF12" s="46">
        <f>-Costs!AF$8</f>
        <v/>
      </c>
      <c r="AG12" s="46">
        <f>-Costs!AG$8</f>
        <v/>
      </c>
      <c r="AH12" s="46">
        <f>-Costs!AH$8</f>
        <v/>
      </c>
      <c r="AI12" s="46">
        <f>-Costs!AI$8</f>
        <v/>
      </c>
      <c r="AJ12" s="46">
        <f>-Costs!AJ$8</f>
        <v/>
      </c>
      <c r="AK12" s="46">
        <f>-Costs!AK$8</f>
        <v/>
      </c>
      <c r="AL12" s="46">
        <f>-Costs!AL$8</f>
        <v/>
      </c>
      <c r="AM12" s="46">
        <f>-Costs!AM$8</f>
        <v/>
      </c>
      <c r="AN12" s="46">
        <f>-Costs!AN$8</f>
        <v/>
      </c>
      <c r="AO12" s="46">
        <f>-Costs!AO$8</f>
        <v/>
      </c>
      <c r="AP12" s="46">
        <f>-Costs!AP$8</f>
        <v/>
      </c>
      <c r="AQ12" s="46">
        <f>-Costs!AQ$8</f>
        <v/>
      </c>
      <c r="AR12" s="46">
        <f>-Costs!AR$8</f>
        <v/>
      </c>
      <c r="AS12" s="46">
        <f>-Costs!AS$8</f>
        <v/>
      </c>
      <c r="AT12" s="46">
        <f>-Costs!AT$8</f>
        <v/>
      </c>
      <c r="AU12" s="46">
        <f>-Costs!AU$8</f>
        <v/>
      </c>
      <c r="AV12" s="46">
        <f>-Costs!AV$8</f>
        <v/>
      </c>
      <c r="AW12" s="46">
        <f>-Costs!AW$8</f>
        <v/>
      </c>
      <c r="AX12" s="46">
        <f>-Costs!AX$8</f>
        <v/>
      </c>
      <c r="AY12" s="46">
        <f>-Costs!AY$8</f>
        <v/>
      </c>
      <c r="AZ12" s="46">
        <f>-Costs!AZ$8</f>
        <v/>
      </c>
      <c r="BA12" s="46">
        <f>-Costs!BA$8</f>
        <v/>
      </c>
      <c r="BB12" s="46">
        <f>-Costs!BB$8</f>
        <v/>
      </c>
      <c r="BC12" s="46">
        <f>-Costs!BC$8</f>
        <v/>
      </c>
      <c r="BD12" s="46">
        <f>-Costs!BD$8</f>
        <v/>
      </c>
      <c r="BE12" s="46">
        <f>-Costs!BE$8</f>
        <v/>
      </c>
      <c r="BF12" s="46">
        <f>-Costs!BF$8</f>
        <v/>
      </c>
      <c r="BG12" s="46">
        <f>-Costs!BG$8</f>
        <v/>
      </c>
      <c r="BH12" s="46">
        <f>-Costs!BH$8</f>
        <v/>
      </c>
      <c r="BI12" s="46">
        <f>-Costs!BI$8</f>
        <v/>
      </c>
      <c r="BJ12" s="46">
        <f>-Costs!BJ$8</f>
        <v/>
      </c>
      <c r="BK12" s="46">
        <f>-Costs!BK$8</f>
        <v/>
      </c>
      <c r="BL12" s="46">
        <f>-Costs!BL$8</f>
        <v/>
      </c>
    </row>
    <row r="13">
      <c r="A13" s="47" t="inlineStr">
        <is>
          <t>Gross profit</t>
        </is>
      </c>
      <c r="B13" s="48" t="inlineStr">
        <is>
          <t>LCY</t>
        </is>
      </c>
      <c r="C13" s="49">
        <f>SUM(E13:BL13)</f>
        <v/>
      </c>
      <c r="D13" s="50" t="n"/>
      <c r="E13" s="51">
        <f>E11+E12</f>
        <v/>
      </c>
      <c r="F13" s="51">
        <f>F11+F12</f>
        <v/>
      </c>
      <c r="G13" s="51">
        <f>G11+G12</f>
        <v/>
      </c>
      <c r="H13" s="51">
        <f>H11+H12</f>
        <v/>
      </c>
      <c r="I13" s="51">
        <f>I11+I12</f>
        <v/>
      </c>
      <c r="J13" s="51">
        <f>J11+J12</f>
        <v/>
      </c>
      <c r="K13" s="51">
        <f>K11+K12</f>
        <v/>
      </c>
      <c r="L13" s="51">
        <f>L11+L12</f>
        <v/>
      </c>
      <c r="M13" s="51">
        <f>M11+M12</f>
        <v/>
      </c>
      <c r="N13" s="51">
        <f>N11+N12</f>
        <v/>
      </c>
      <c r="O13" s="51">
        <f>O11+O12</f>
        <v/>
      </c>
      <c r="P13" s="51">
        <f>P11+P12</f>
        <v/>
      </c>
      <c r="Q13" s="51">
        <f>Q11+Q12</f>
        <v/>
      </c>
      <c r="R13" s="51">
        <f>R11+R12</f>
        <v/>
      </c>
      <c r="S13" s="51">
        <f>S11+S12</f>
        <v/>
      </c>
      <c r="T13" s="51">
        <f>T11+T12</f>
        <v/>
      </c>
      <c r="U13" s="51">
        <f>U11+U12</f>
        <v/>
      </c>
      <c r="V13" s="51">
        <f>V11+V12</f>
        <v/>
      </c>
      <c r="W13" s="51">
        <f>W11+W12</f>
        <v/>
      </c>
      <c r="X13" s="51">
        <f>X11+X12</f>
        <v/>
      </c>
      <c r="Y13" s="51">
        <f>Y11+Y12</f>
        <v/>
      </c>
      <c r="Z13" s="51">
        <f>Z11+Z12</f>
        <v/>
      </c>
      <c r="AA13" s="51">
        <f>AA11+AA12</f>
        <v/>
      </c>
      <c r="AB13" s="51">
        <f>AB11+AB12</f>
        <v/>
      </c>
      <c r="AC13" s="51">
        <f>AC11+AC12</f>
        <v/>
      </c>
      <c r="AD13" s="51">
        <f>AD11+AD12</f>
        <v/>
      </c>
      <c r="AE13" s="51">
        <f>AE11+AE12</f>
        <v/>
      </c>
      <c r="AF13" s="51">
        <f>AF11+AF12</f>
        <v/>
      </c>
      <c r="AG13" s="51">
        <f>AG11+AG12</f>
        <v/>
      </c>
      <c r="AH13" s="51">
        <f>AH11+AH12</f>
        <v/>
      </c>
      <c r="AI13" s="51">
        <f>AI11+AI12</f>
        <v/>
      </c>
      <c r="AJ13" s="51">
        <f>AJ11+AJ12</f>
        <v/>
      </c>
      <c r="AK13" s="51">
        <f>AK11+AK12</f>
        <v/>
      </c>
      <c r="AL13" s="51">
        <f>AL11+AL12</f>
        <v/>
      </c>
      <c r="AM13" s="51">
        <f>AM11+AM12</f>
        <v/>
      </c>
      <c r="AN13" s="51">
        <f>AN11+AN12</f>
        <v/>
      </c>
      <c r="AO13" s="51">
        <f>AO11+AO12</f>
        <v/>
      </c>
      <c r="AP13" s="51">
        <f>AP11+AP12</f>
        <v/>
      </c>
      <c r="AQ13" s="51">
        <f>AQ11+AQ12</f>
        <v/>
      </c>
      <c r="AR13" s="51">
        <f>AR11+AR12</f>
        <v/>
      </c>
      <c r="AS13" s="51">
        <f>AS11+AS12</f>
        <v/>
      </c>
      <c r="AT13" s="51">
        <f>AT11+AT12</f>
        <v/>
      </c>
      <c r="AU13" s="51">
        <f>AU11+AU12</f>
        <v/>
      </c>
      <c r="AV13" s="51">
        <f>AV11+AV12</f>
        <v/>
      </c>
      <c r="AW13" s="51">
        <f>AW11+AW12</f>
        <v/>
      </c>
      <c r="AX13" s="51">
        <f>AX11+AX12</f>
        <v/>
      </c>
      <c r="AY13" s="51">
        <f>AY11+AY12</f>
        <v/>
      </c>
      <c r="AZ13" s="51">
        <f>AZ11+AZ12</f>
        <v/>
      </c>
      <c r="BA13" s="51">
        <f>BA11+BA12</f>
        <v/>
      </c>
      <c r="BB13" s="51">
        <f>BB11+BB12</f>
        <v/>
      </c>
      <c r="BC13" s="51">
        <f>BC11+BC12</f>
        <v/>
      </c>
      <c r="BD13" s="51">
        <f>BD11+BD12</f>
        <v/>
      </c>
      <c r="BE13" s="51">
        <f>BE11+BE12</f>
        <v/>
      </c>
      <c r="BF13" s="51">
        <f>BF11+BF12</f>
        <v/>
      </c>
      <c r="BG13" s="51">
        <f>BG11+BG12</f>
        <v/>
      </c>
      <c r="BH13" s="51">
        <f>BH11+BH12</f>
        <v/>
      </c>
      <c r="BI13" s="51">
        <f>BI11+BI12</f>
        <v/>
      </c>
      <c r="BJ13" s="51">
        <f>BJ11+BJ12</f>
        <v/>
      </c>
      <c r="BK13" s="51">
        <f>BK11+BK12</f>
        <v/>
      </c>
      <c r="BL13" s="51">
        <f>BL11+BL12</f>
        <v/>
      </c>
    </row>
    <row r="14">
      <c r="A14" s="44" t="inlineStr">
        <is>
          <t>Operating expenses</t>
        </is>
      </c>
      <c r="B14" s="13" t="inlineStr">
        <is>
          <t>LCY</t>
        </is>
      </c>
      <c r="C14" s="45">
        <f>SUM(E14:BL14)</f>
        <v/>
      </c>
      <c r="E14" s="46">
        <f>-Costs!E$16</f>
        <v/>
      </c>
      <c r="F14" s="46">
        <f>-Costs!F$16</f>
        <v/>
      </c>
      <c r="G14" s="46">
        <f>-Costs!G$16</f>
        <v/>
      </c>
      <c r="H14" s="46">
        <f>-Costs!H$16</f>
        <v/>
      </c>
      <c r="I14" s="46">
        <f>-Costs!I$16</f>
        <v/>
      </c>
      <c r="J14" s="46">
        <f>-Costs!J$16</f>
        <v/>
      </c>
      <c r="K14" s="46">
        <f>-Costs!K$16</f>
        <v/>
      </c>
      <c r="L14" s="46">
        <f>-Costs!L$16</f>
        <v/>
      </c>
      <c r="M14" s="46">
        <f>-Costs!M$16</f>
        <v/>
      </c>
      <c r="N14" s="46">
        <f>-Costs!N$16</f>
        <v/>
      </c>
      <c r="O14" s="46">
        <f>-Costs!O$16</f>
        <v/>
      </c>
      <c r="P14" s="46">
        <f>-Costs!P$16</f>
        <v/>
      </c>
      <c r="Q14" s="46">
        <f>-Costs!Q$16</f>
        <v/>
      </c>
      <c r="R14" s="46">
        <f>-Costs!R$16</f>
        <v/>
      </c>
      <c r="S14" s="46">
        <f>-Costs!S$16</f>
        <v/>
      </c>
      <c r="T14" s="46">
        <f>-Costs!T$16</f>
        <v/>
      </c>
      <c r="U14" s="46">
        <f>-Costs!U$16</f>
        <v/>
      </c>
      <c r="V14" s="46">
        <f>-Costs!V$16</f>
        <v/>
      </c>
      <c r="W14" s="46">
        <f>-Costs!W$16</f>
        <v/>
      </c>
      <c r="X14" s="46">
        <f>-Costs!X$16</f>
        <v/>
      </c>
      <c r="Y14" s="46">
        <f>-Costs!Y$16</f>
        <v/>
      </c>
      <c r="Z14" s="46">
        <f>-Costs!Z$16</f>
        <v/>
      </c>
      <c r="AA14" s="46">
        <f>-Costs!AA$16</f>
        <v/>
      </c>
      <c r="AB14" s="46">
        <f>-Costs!AB$16</f>
        <v/>
      </c>
      <c r="AC14" s="46">
        <f>-Costs!AC$16</f>
        <v/>
      </c>
      <c r="AD14" s="46">
        <f>-Costs!AD$16</f>
        <v/>
      </c>
      <c r="AE14" s="46">
        <f>-Costs!AE$16</f>
        <v/>
      </c>
      <c r="AF14" s="46">
        <f>-Costs!AF$16</f>
        <v/>
      </c>
      <c r="AG14" s="46">
        <f>-Costs!AG$16</f>
        <v/>
      </c>
      <c r="AH14" s="46">
        <f>-Costs!AH$16</f>
        <v/>
      </c>
      <c r="AI14" s="46">
        <f>-Costs!AI$16</f>
        <v/>
      </c>
      <c r="AJ14" s="46">
        <f>-Costs!AJ$16</f>
        <v/>
      </c>
      <c r="AK14" s="46">
        <f>-Costs!AK$16</f>
        <v/>
      </c>
      <c r="AL14" s="46">
        <f>-Costs!AL$16</f>
        <v/>
      </c>
      <c r="AM14" s="46">
        <f>-Costs!AM$16</f>
        <v/>
      </c>
      <c r="AN14" s="46">
        <f>-Costs!AN$16</f>
        <v/>
      </c>
      <c r="AO14" s="46">
        <f>-Costs!AO$16</f>
        <v/>
      </c>
      <c r="AP14" s="46">
        <f>-Costs!AP$16</f>
        <v/>
      </c>
      <c r="AQ14" s="46">
        <f>-Costs!AQ$16</f>
        <v/>
      </c>
      <c r="AR14" s="46">
        <f>-Costs!AR$16</f>
        <v/>
      </c>
      <c r="AS14" s="46">
        <f>-Costs!AS$16</f>
        <v/>
      </c>
      <c r="AT14" s="46">
        <f>-Costs!AT$16</f>
        <v/>
      </c>
      <c r="AU14" s="46">
        <f>-Costs!AU$16</f>
        <v/>
      </c>
      <c r="AV14" s="46">
        <f>-Costs!AV$16</f>
        <v/>
      </c>
      <c r="AW14" s="46">
        <f>-Costs!AW$16</f>
        <v/>
      </c>
      <c r="AX14" s="46">
        <f>-Costs!AX$16</f>
        <v/>
      </c>
      <c r="AY14" s="46">
        <f>-Costs!AY$16</f>
        <v/>
      </c>
      <c r="AZ14" s="46">
        <f>-Costs!AZ$16</f>
        <v/>
      </c>
      <c r="BA14" s="46">
        <f>-Costs!BA$16</f>
        <v/>
      </c>
      <c r="BB14" s="46">
        <f>-Costs!BB$16</f>
        <v/>
      </c>
      <c r="BC14" s="46">
        <f>-Costs!BC$16</f>
        <v/>
      </c>
      <c r="BD14" s="46">
        <f>-Costs!BD$16</f>
        <v/>
      </c>
      <c r="BE14" s="46">
        <f>-Costs!BE$16</f>
        <v/>
      </c>
      <c r="BF14" s="46">
        <f>-Costs!BF$16</f>
        <v/>
      </c>
      <c r="BG14" s="46">
        <f>-Costs!BG$16</f>
        <v/>
      </c>
      <c r="BH14" s="46">
        <f>-Costs!BH$16</f>
        <v/>
      </c>
      <c r="BI14" s="46">
        <f>-Costs!BI$16</f>
        <v/>
      </c>
      <c r="BJ14" s="46">
        <f>-Costs!BJ$16</f>
        <v/>
      </c>
      <c r="BK14" s="46">
        <f>-Costs!BK$16</f>
        <v/>
      </c>
      <c r="BL14" s="46">
        <f>-Costs!BL$16</f>
        <v/>
      </c>
    </row>
    <row r="15">
      <c r="A15" s="44" t="inlineStr">
        <is>
          <t>Credit loss expense (ECL)</t>
        </is>
      </c>
      <c r="B15" s="13" t="inlineStr">
        <is>
          <t>LCY</t>
        </is>
      </c>
      <c r="C15" s="45">
        <f>SUM(E15:BL15)</f>
        <v/>
      </c>
      <c r="E15" s="46">
        <f>-Ops!E$63</f>
        <v/>
      </c>
      <c r="F15" s="46">
        <f>-Ops!F$63</f>
        <v/>
      </c>
      <c r="G15" s="46">
        <f>-Ops!G$63</f>
        <v/>
      </c>
      <c r="H15" s="46">
        <f>-Ops!H$63</f>
        <v/>
      </c>
      <c r="I15" s="46">
        <f>-Ops!I$63</f>
        <v/>
      </c>
      <c r="J15" s="46">
        <f>-Ops!J$63</f>
        <v/>
      </c>
      <c r="K15" s="46">
        <f>-Ops!K$63</f>
        <v/>
      </c>
      <c r="L15" s="46">
        <f>-Ops!L$63</f>
        <v/>
      </c>
      <c r="M15" s="46">
        <f>-Ops!M$63</f>
        <v/>
      </c>
      <c r="N15" s="46">
        <f>-Ops!N$63</f>
        <v/>
      </c>
      <c r="O15" s="46">
        <f>-Ops!O$63</f>
        <v/>
      </c>
      <c r="P15" s="46">
        <f>-Ops!P$63</f>
        <v/>
      </c>
      <c r="Q15" s="46">
        <f>-Ops!Q$63</f>
        <v/>
      </c>
      <c r="R15" s="46">
        <f>-Ops!R$63</f>
        <v/>
      </c>
      <c r="S15" s="46">
        <f>-Ops!S$63</f>
        <v/>
      </c>
      <c r="T15" s="46">
        <f>-Ops!T$63</f>
        <v/>
      </c>
      <c r="U15" s="46">
        <f>-Ops!U$63</f>
        <v/>
      </c>
      <c r="V15" s="46">
        <f>-Ops!V$63</f>
        <v/>
      </c>
      <c r="W15" s="46">
        <f>-Ops!W$63</f>
        <v/>
      </c>
      <c r="X15" s="46">
        <f>-Ops!X$63</f>
        <v/>
      </c>
      <c r="Y15" s="46">
        <f>-Ops!Y$63</f>
        <v/>
      </c>
      <c r="Z15" s="46">
        <f>-Ops!Z$63</f>
        <v/>
      </c>
      <c r="AA15" s="46">
        <f>-Ops!AA$63</f>
        <v/>
      </c>
      <c r="AB15" s="46">
        <f>-Ops!AB$63</f>
        <v/>
      </c>
      <c r="AC15" s="46">
        <f>-Ops!AC$63</f>
        <v/>
      </c>
      <c r="AD15" s="46">
        <f>-Ops!AD$63</f>
        <v/>
      </c>
      <c r="AE15" s="46">
        <f>-Ops!AE$63</f>
        <v/>
      </c>
      <c r="AF15" s="46">
        <f>-Ops!AF$63</f>
        <v/>
      </c>
      <c r="AG15" s="46">
        <f>-Ops!AG$63</f>
        <v/>
      </c>
      <c r="AH15" s="46">
        <f>-Ops!AH$63</f>
        <v/>
      </c>
      <c r="AI15" s="46">
        <f>-Ops!AI$63</f>
        <v/>
      </c>
      <c r="AJ15" s="46">
        <f>-Ops!AJ$63</f>
        <v/>
      </c>
      <c r="AK15" s="46">
        <f>-Ops!AK$63</f>
        <v/>
      </c>
      <c r="AL15" s="46">
        <f>-Ops!AL$63</f>
        <v/>
      </c>
      <c r="AM15" s="46">
        <f>-Ops!AM$63</f>
        <v/>
      </c>
      <c r="AN15" s="46">
        <f>-Ops!AN$63</f>
        <v/>
      </c>
      <c r="AO15" s="46">
        <f>-Ops!AO$63</f>
        <v/>
      </c>
      <c r="AP15" s="46">
        <f>-Ops!AP$63</f>
        <v/>
      </c>
      <c r="AQ15" s="46">
        <f>-Ops!AQ$63</f>
        <v/>
      </c>
      <c r="AR15" s="46">
        <f>-Ops!AR$63</f>
        <v/>
      </c>
      <c r="AS15" s="46">
        <f>-Ops!AS$63</f>
        <v/>
      </c>
      <c r="AT15" s="46">
        <f>-Ops!AT$63</f>
        <v/>
      </c>
      <c r="AU15" s="46">
        <f>-Ops!AU$63</f>
        <v/>
      </c>
      <c r="AV15" s="46">
        <f>-Ops!AV$63</f>
        <v/>
      </c>
      <c r="AW15" s="46">
        <f>-Ops!AW$63</f>
        <v/>
      </c>
      <c r="AX15" s="46">
        <f>-Ops!AX$63</f>
        <v/>
      </c>
      <c r="AY15" s="46">
        <f>-Ops!AY$63</f>
        <v/>
      </c>
      <c r="AZ15" s="46">
        <f>-Ops!AZ$63</f>
        <v/>
      </c>
      <c r="BA15" s="46">
        <f>-Ops!BA$63</f>
        <v/>
      </c>
      <c r="BB15" s="46">
        <f>-Ops!BB$63</f>
        <v/>
      </c>
      <c r="BC15" s="46">
        <f>-Ops!BC$63</f>
        <v/>
      </c>
      <c r="BD15" s="46">
        <f>-Ops!BD$63</f>
        <v/>
      </c>
      <c r="BE15" s="46">
        <f>-Ops!BE$63</f>
        <v/>
      </c>
      <c r="BF15" s="46">
        <f>-Ops!BF$63</f>
        <v/>
      </c>
      <c r="BG15" s="46">
        <f>-Ops!BG$63</f>
        <v/>
      </c>
      <c r="BH15" s="46">
        <f>-Ops!BH$63</f>
        <v/>
      </c>
      <c r="BI15" s="46">
        <f>-Ops!BI$63</f>
        <v/>
      </c>
      <c r="BJ15" s="46">
        <f>-Ops!BJ$63</f>
        <v/>
      </c>
      <c r="BK15" s="46">
        <f>-Ops!BK$63</f>
        <v/>
      </c>
      <c r="BL15" s="46">
        <f>-Ops!BL$63</f>
        <v/>
      </c>
    </row>
    <row r="16">
      <c r="A16" s="47" t="inlineStr">
        <is>
          <t>EBITDA</t>
        </is>
      </c>
      <c r="B16" s="48" t="inlineStr">
        <is>
          <t>LCY</t>
        </is>
      </c>
      <c r="C16" s="49">
        <f>SUM(E16:BL16)</f>
        <v/>
      </c>
      <c r="D16" s="50" t="n"/>
      <c r="E16" s="51">
        <f>E13+E14+E15</f>
        <v/>
      </c>
      <c r="F16" s="51">
        <f>F13+F14+F15</f>
        <v/>
      </c>
      <c r="G16" s="51">
        <f>G13+G14+G15</f>
        <v/>
      </c>
      <c r="H16" s="51">
        <f>H13+H14+H15</f>
        <v/>
      </c>
      <c r="I16" s="51">
        <f>I13+I14+I15</f>
        <v/>
      </c>
      <c r="J16" s="51">
        <f>J13+J14+J15</f>
        <v/>
      </c>
      <c r="K16" s="51">
        <f>K13+K14+K15</f>
        <v/>
      </c>
      <c r="L16" s="51">
        <f>L13+L14+L15</f>
        <v/>
      </c>
      <c r="M16" s="51">
        <f>M13+M14+M15</f>
        <v/>
      </c>
      <c r="N16" s="51">
        <f>N13+N14+N15</f>
        <v/>
      </c>
      <c r="O16" s="51">
        <f>O13+O14+O15</f>
        <v/>
      </c>
      <c r="P16" s="51">
        <f>P13+P14+P15</f>
        <v/>
      </c>
      <c r="Q16" s="51">
        <f>Q13+Q14+Q15</f>
        <v/>
      </c>
      <c r="R16" s="51">
        <f>R13+R14+R15</f>
        <v/>
      </c>
      <c r="S16" s="51">
        <f>S13+S14+S15</f>
        <v/>
      </c>
      <c r="T16" s="51">
        <f>T13+T14+T15</f>
        <v/>
      </c>
      <c r="U16" s="51">
        <f>U13+U14+U15</f>
        <v/>
      </c>
      <c r="V16" s="51">
        <f>V13+V14+V15</f>
        <v/>
      </c>
      <c r="W16" s="51">
        <f>W13+W14+W15</f>
        <v/>
      </c>
      <c r="X16" s="51">
        <f>X13+X14+X15</f>
        <v/>
      </c>
      <c r="Y16" s="51">
        <f>Y13+Y14+Y15</f>
        <v/>
      </c>
      <c r="Z16" s="51">
        <f>Z13+Z14+Z15</f>
        <v/>
      </c>
      <c r="AA16" s="51">
        <f>AA13+AA14+AA15</f>
        <v/>
      </c>
      <c r="AB16" s="51">
        <f>AB13+AB14+AB15</f>
        <v/>
      </c>
      <c r="AC16" s="51">
        <f>AC13+AC14+AC15</f>
        <v/>
      </c>
      <c r="AD16" s="51">
        <f>AD13+AD14+AD15</f>
        <v/>
      </c>
      <c r="AE16" s="51">
        <f>AE13+AE14+AE15</f>
        <v/>
      </c>
      <c r="AF16" s="51">
        <f>AF13+AF14+AF15</f>
        <v/>
      </c>
      <c r="AG16" s="51">
        <f>AG13+AG14+AG15</f>
        <v/>
      </c>
      <c r="AH16" s="51">
        <f>AH13+AH14+AH15</f>
        <v/>
      </c>
      <c r="AI16" s="51">
        <f>AI13+AI14+AI15</f>
        <v/>
      </c>
      <c r="AJ16" s="51">
        <f>AJ13+AJ14+AJ15</f>
        <v/>
      </c>
      <c r="AK16" s="51">
        <f>AK13+AK14+AK15</f>
        <v/>
      </c>
      <c r="AL16" s="51">
        <f>AL13+AL14+AL15</f>
        <v/>
      </c>
      <c r="AM16" s="51">
        <f>AM13+AM14+AM15</f>
        <v/>
      </c>
      <c r="AN16" s="51">
        <f>AN13+AN14+AN15</f>
        <v/>
      </c>
      <c r="AO16" s="51">
        <f>AO13+AO14+AO15</f>
        <v/>
      </c>
      <c r="AP16" s="51">
        <f>AP13+AP14+AP15</f>
        <v/>
      </c>
      <c r="AQ16" s="51">
        <f>AQ13+AQ14+AQ15</f>
        <v/>
      </c>
      <c r="AR16" s="51">
        <f>AR13+AR14+AR15</f>
        <v/>
      </c>
      <c r="AS16" s="51">
        <f>AS13+AS14+AS15</f>
        <v/>
      </c>
      <c r="AT16" s="51">
        <f>AT13+AT14+AT15</f>
        <v/>
      </c>
      <c r="AU16" s="51">
        <f>AU13+AU14+AU15</f>
        <v/>
      </c>
      <c r="AV16" s="51">
        <f>AV13+AV14+AV15</f>
        <v/>
      </c>
      <c r="AW16" s="51">
        <f>AW13+AW14+AW15</f>
        <v/>
      </c>
      <c r="AX16" s="51">
        <f>AX13+AX14+AX15</f>
        <v/>
      </c>
      <c r="AY16" s="51">
        <f>AY13+AY14+AY15</f>
        <v/>
      </c>
      <c r="AZ16" s="51">
        <f>AZ13+AZ14+AZ15</f>
        <v/>
      </c>
      <c r="BA16" s="51">
        <f>BA13+BA14+BA15</f>
        <v/>
      </c>
      <c r="BB16" s="51">
        <f>BB13+BB14+BB15</f>
        <v/>
      </c>
      <c r="BC16" s="51">
        <f>BC13+BC14+BC15</f>
        <v/>
      </c>
      <c r="BD16" s="51">
        <f>BD13+BD14+BD15</f>
        <v/>
      </c>
      <c r="BE16" s="51">
        <f>BE13+BE14+BE15</f>
        <v/>
      </c>
      <c r="BF16" s="51">
        <f>BF13+BF14+BF15</f>
        <v/>
      </c>
      <c r="BG16" s="51">
        <f>BG13+BG14+BG15</f>
        <v/>
      </c>
      <c r="BH16" s="51">
        <f>BH13+BH14+BH15</f>
        <v/>
      </c>
      <c r="BI16" s="51">
        <f>BI13+BI14+BI15</f>
        <v/>
      </c>
      <c r="BJ16" s="51">
        <f>BJ13+BJ14+BJ15</f>
        <v/>
      </c>
      <c r="BK16" s="51">
        <f>BK13+BK14+BK15</f>
        <v/>
      </c>
      <c r="BL16" s="51">
        <f>BL13+BL14+BL15</f>
        <v/>
      </c>
    </row>
    <row r="17">
      <c r="A17" s="44" t="inlineStr">
        <is>
          <t>Depreciation</t>
        </is>
      </c>
      <c r="B17" s="13" t="inlineStr">
        <is>
          <t>LCY</t>
        </is>
      </c>
      <c r="C17" s="45">
        <f>SUM(E17:BL17)</f>
        <v/>
      </c>
      <c r="E17" s="46">
        <f>-Costs!E$23</f>
        <v/>
      </c>
      <c r="F17" s="46">
        <f>-Costs!F$23</f>
        <v/>
      </c>
      <c r="G17" s="46">
        <f>-Costs!G$23</f>
        <v/>
      </c>
      <c r="H17" s="46">
        <f>-Costs!H$23</f>
        <v/>
      </c>
      <c r="I17" s="46">
        <f>-Costs!I$23</f>
        <v/>
      </c>
      <c r="J17" s="46">
        <f>-Costs!J$23</f>
        <v/>
      </c>
      <c r="K17" s="46">
        <f>-Costs!K$23</f>
        <v/>
      </c>
      <c r="L17" s="46">
        <f>-Costs!L$23</f>
        <v/>
      </c>
      <c r="M17" s="46">
        <f>-Costs!M$23</f>
        <v/>
      </c>
      <c r="N17" s="46">
        <f>-Costs!N$23</f>
        <v/>
      </c>
      <c r="O17" s="46">
        <f>-Costs!O$23</f>
        <v/>
      </c>
      <c r="P17" s="46">
        <f>-Costs!P$23</f>
        <v/>
      </c>
      <c r="Q17" s="46">
        <f>-Costs!Q$23</f>
        <v/>
      </c>
      <c r="R17" s="46">
        <f>-Costs!R$23</f>
        <v/>
      </c>
      <c r="S17" s="46">
        <f>-Costs!S$23</f>
        <v/>
      </c>
      <c r="T17" s="46">
        <f>-Costs!T$23</f>
        <v/>
      </c>
      <c r="U17" s="46">
        <f>-Costs!U$23</f>
        <v/>
      </c>
      <c r="V17" s="46">
        <f>-Costs!V$23</f>
        <v/>
      </c>
      <c r="W17" s="46">
        <f>-Costs!W$23</f>
        <v/>
      </c>
      <c r="X17" s="46">
        <f>-Costs!X$23</f>
        <v/>
      </c>
      <c r="Y17" s="46">
        <f>-Costs!Y$23</f>
        <v/>
      </c>
      <c r="Z17" s="46">
        <f>-Costs!Z$23</f>
        <v/>
      </c>
      <c r="AA17" s="46">
        <f>-Costs!AA$23</f>
        <v/>
      </c>
      <c r="AB17" s="46">
        <f>-Costs!AB$23</f>
        <v/>
      </c>
      <c r="AC17" s="46">
        <f>-Costs!AC$23</f>
        <v/>
      </c>
      <c r="AD17" s="46">
        <f>-Costs!AD$23</f>
        <v/>
      </c>
      <c r="AE17" s="46">
        <f>-Costs!AE$23</f>
        <v/>
      </c>
      <c r="AF17" s="46">
        <f>-Costs!AF$23</f>
        <v/>
      </c>
      <c r="AG17" s="46">
        <f>-Costs!AG$23</f>
        <v/>
      </c>
      <c r="AH17" s="46">
        <f>-Costs!AH$23</f>
        <v/>
      </c>
      <c r="AI17" s="46">
        <f>-Costs!AI$23</f>
        <v/>
      </c>
      <c r="AJ17" s="46">
        <f>-Costs!AJ$23</f>
        <v/>
      </c>
      <c r="AK17" s="46">
        <f>-Costs!AK$23</f>
        <v/>
      </c>
      <c r="AL17" s="46">
        <f>-Costs!AL$23</f>
        <v/>
      </c>
      <c r="AM17" s="46">
        <f>-Costs!AM$23</f>
        <v/>
      </c>
      <c r="AN17" s="46">
        <f>-Costs!AN$23</f>
        <v/>
      </c>
      <c r="AO17" s="46">
        <f>-Costs!AO$23</f>
        <v/>
      </c>
      <c r="AP17" s="46">
        <f>-Costs!AP$23</f>
        <v/>
      </c>
      <c r="AQ17" s="46">
        <f>-Costs!AQ$23</f>
        <v/>
      </c>
      <c r="AR17" s="46">
        <f>-Costs!AR$23</f>
        <v/>
      </c>
      <c r="AS17" s="46">
        <f>-Costs!AS$23</f>
        <v/>
      </c>
      <c r="AT17" s="46">
        <f>-Costs!AT$23</f>
        <v/>
      </c>
      <c r="AU17" s="46">
        <f>-Costs!AU$23</f>
        <v/>
      </c>
      <c r="AV17" s="46">
        <f>-Costs!AV$23</f>
        <v/>
      </c>
      <c r="AW17" s="46">
        <f>-Costs!AW$23</f>
        <v/>
      </c>
      <c r="AX17" s="46">
        <f>-Costs!AX$23</f>
        <v/>
      </c>
      <c r="AY17" s="46">
        <f>-Costs!AY$23</f>
        <v/>
      </c>
      <c r="AZ17" s="46">
        <f>-Costs!AZ$23</f>
        <v/>
      </c>
      <c r="BA17" s="46">
        <f>-Costs!BA$23</f>
        <v/>
      </c>
      <c r="BB17" s="46">
        <f>-Costs!BB$23</f>
        <v/>
      </c>
      <c r="BC17" s="46">
        <f>-Costs!BC$23</f>
        <v/>
      </c>
      <c r="BD17" s="46">
        <f>-Costs!BD$23</f>
        <v/>
      </c>
      <c r="BE17" s="46">
        <f>-Costs!BE$23</f>
        <v/>
      </c>
      <c r="BF17" s="46">
        <f>-Costs!BF$23</f>
        <v/>
      </c>
      <c r="BG17" s="46">
        <f>-Costs!BG$23</f>
        <v/>
      </c>
      <c r="BH17" s="46">
        <f>-Costs!BH$23</f>
        <v/>
      </c>
      <c r="BI17" s="46">
        <f>-Costs!BI$23</f>
        <v/>
      </c>
      <c r="BJ17" s="46">
        <f>-Costs!BJ$23</f>
        <v/>
      </c>
      <c r="BK17" s="46">
        <f>-Costs!BK$23</f>
        <v/>
      </c>
      <c r="BL17" s="46">
        <f>-Costs!BL$23</f>
        <v/>
      </c>
    </row>
    <row r="18">
      <c r="A18" s="47" t="inlineStr">
        <is>
          <t>EBIT</t>
        </is>
      </c>
      <c r="B18" s="48" t="inlineStr">
        <is>
          <t>LCY</t>
        </is>
      </c>
      <c r="C18" s="49">
        <f>SUM(E18:BL18)</f>
        <v/>
      </c>
      <c r="D18" s="50" t="n"/>
      <c r="E18" s="51">
        <f>E16+E17</f>
        <v/>
      </c>
      <c r="F18" s="51">
        <f>F16+F17</f>
        <v/>
      </c>
      <c r="G18" s="51">
        <f>G16+G17</f>
        <v/>
      </c>
      <c r="H18" s="51">
        <f>H16+H17</f>
        <v/>
      </c>
      <c r="I18" s="51">
        <f>I16+I17</f>
        <v/>
      </c>
      <c r="J18" s="51">
        <f>J16+J17</f>
        <v/>
      </c>
      <c r="K18" s="51">
        <f>K16+K17</f>
        <v/>
      </c>
      <c r="L18" s="51">
        <f>L16+L17</f>
        <v/>
      </c>
      <c r="M18" s="51">
        <f>M16+M17</f>
        <v/>
      </c>
      <c r="N18" s="51">
        <f>N16+N17</f>
        <v/>
      </c>
      <c r="O18" s="51">
        <f>O16+O17</f>
        <v/>
      </c>
      <c r="P18" s="51">
        <f>P16+P17</f>
        <v/>
      </c>
      <c r="Q18" s="51">
        <f>Q16+Q17</f>
        <v/>
      </c>
      <c r="R18" s="51">
        <f>R16+R17</f>
        <v/>
      </c>
      <c r="S18" s="51">
        <f>S16+S17</f>
        <v/>
      </c>
      <c r="T18" s="51">
        <f>T16+T17</f>
        <v/>
      </c>
      <c r="U18" s="51">
        <f>U16+U17</f>
        <v/>
      </c>
      <c r="V18" s="51">
        <f>V16+V17</f>
        <v/>
      </c>
      <c r="W18" s="51">
        <f>W16+W17</f>
        <v/>
      </c>
      <c r="X18" s="51">
        <f>X16+X17</f>
        <v/>
      </c>
      <c r="Y18" s="51">
        <f>Y16+Y17</f>
        <v/>
      </c>
      <c r="Z18" s="51">
        <f>Z16+Z17</f>
        <v/>
      </c>
      <c r="AA18" s="51">
        <f>AA16+AA17</f>
        <v/>
      </c>
      <c r="AB18" s="51">
        <f>AB16+AB17</f>
        <v/>
      </c>
      <c r="AC18" s="51">
        <f>AC16+AC17</f>
        <v/>
      </c>
      <c r="AD18" s="51">
        <f>AD16+AD17</f>
        <v/>
      </c>
      <c r="AE18" s="51">
        <f>AE16+AE17</f>
        <v/>
      </c>
      <c r="AF18" s="51">
        <f>AF16+AF17</f>
        <v/>
      </c>
      <c r="AG18" s="51">
        <f>AG16+AG17</f>
        <v/>
      </c>
      <c r="AH18" s="51">
        <f>AH16+AH17</f>
        <v/>
      </c>
      <c r="AI18" s="51">
        <f>AI16+AI17</f>
        <v/>
      </c>
      <c r="AJ18" s="51">
        <f>AJ16+AJ17</f>
        <v/>
      </c>
      <c r="AK18" s="51">
        <f>AK16+AK17</f>
        <v/>
      </c>
      <c r="AL18" s="51">
        <f>AL16+AL17</f>
        <v/>
      </c>
      <c r="AM18" s="51">
        <f>AM16+AM17</f>
        <v/>
      </c>
      <c r="AN18" s="51">
        <f>AN16+AN17</f>
        <v/>
      </c>
      <c r="AO18" s="51">
        <f>AO16+AO17</f>
        <v/>
      </c>
      <c r="AP18" s="51">
        <f>AP16+AP17</f>
        <v/>
      </c>
      <c r="AQ18" s="51">
        <f>AQ16+AQ17</f>
        <v/>
      </c>
      <c r="AR18" s="51">
        <f>AR16+AR17</f>
        <v/>
      </c>
      <c r="AS18" s="51">
        <f>AS16+AS17</f>
        <v/>
      </c>
      <c r="AT18" s="51">
        <f>AT16+AT17</f>
        <v/>
      </c>
      <c r="AU18" s="51">
        <f>AU16+AU17</f>
        <v/>
      </c>
      <c r="AV18" s="51">
        <f>AV16+AV17</f>
        <v/>
      </c>
      <c r="AW18" s="51">
        <f>AW16+AW17</f>
        <v/>
      </c>
      <c r="AX18" s="51">
        <f>AX16+AX17</f>
        <v/>
      </c>
      <c r="AY18" s="51">
        <f>AY16+AY17</f>
        <v/>
      </c>
      <c r="AZ18" s="51">
        <f>AZ16+AZ17</f>
        <v/>
      </c>
      <c r="BA18" s="51">
        <f>BA16+BA17</f>
        <v/>
      </c>
      <c r="BB18" s="51">
        <f>BB16+BB17</f>
        <v/>
      </c>
      <c r="BC18" s="51">
        <f>BC16+BC17</f>
        <v/>
      </c>
      <c r="BD18" s="51">
        <f>BD16+BD17</f>
        <v/>
      </c>
      <c r="BE18" s="51">
        <f>BE16+BE17</f>
        <v/>
      </c>
      <c r="BF18" s="51">
        <f>BF16+BF17</f>
        <v/>
      </c>
      <c r="BG18" s="51">
        <f>BG16+BG17</f>
        <v/>
      </c>
      <c r="BH18" s="51">
        <f>BH16+BH17</f>
        <v/>
      </c>
      <c r="BI18" s="51">
        <f>BI16+BI17</f>
        <v/>
      </c>
      <c r="BJ18" s="51">
        <f>BJ16+BJ17</f>
        <v/>
      </c>
      <c r="BK18" s="51">
        <f>BK16+BK17</f>
        <v/>
      </c>
      <c r="BL18" s="51">
        <f>BL16+BL17</f>
        <v/>
      </c>
    </row>
    <row r="19">
      <c r="A19" s="44" t="inlineStr">
        <is>
          <t>Interest - USD term loan</t>
        </is>
      </c>
      <c r="B19" s="13" t="inlineStr">
        <is>
          <t>LCY</t>
        </is>
      </c>
      <c r="C19" s="45">
        <f>SUM(E19:BL19)</f>
        <v/>
      </c>
      <c r="E19" s="46">
        <f>-Financing!E$16</f>
        <v/>
      </c>
      <c r="F19" s="46">
        <f>-Financing!F$16</f>
        <v/>
      </c>
      <c r="G19" s="46">
        <f>-Financing!G$16</f>
        <v/>
      </c>
      <c r="H19" s="46">
        <f>-Financing!H$16</f>
        <v/>
      </c>
      <c r="I19" s="46">
        <f>-Financing!I$16</f>
        <v/>
      </c>
      <c r="J19" s="46">
        <f>-Financing!J$16</f>
        <v/>
      </c>
      <c r="K19" s="46">
        <f>-Financing!K$16</f>
        <v/>
      </c>
      <c r="L19" s="46">
        <f>-Financing!L$16</f>
        <v/>
      </c>
      <c r="M19" s="46">
        <f>-Financing!M$16</f>
        <v/>
      </c>
      <c r="N19" s="46">
        <f>-Financing!N$16</f>
        <v/>
      </c>
      <c r="O19" s="46">
        <f>-Financing!O$16</f>
        <v/>
      </c>
      <c r="P19" s="46">
        <f>-Financing!P$16</f>
        <v/>
      </c>
      <c r="Q19" s="46">
        <f>-Financing!Q$16</f>
        <v/>
      </c>
      <c r="R19" s="46">
        <f>-Financing!R$16</f>
        <v/>
      </c>
      <c r="S19" s="46">
        <f>-Financing!S$16</f>
        <v/>
      </c>
      <c r="T19" s="46">
        <f>-Financing!T$16</f>
        <v/>
      </c>
      <c r="U19" s="46">
        <f>-Financing!U$16</f>
        <v/>
      </c>
      <c r="V19" s="46">
        <f>-Financing!V$16</f>
        <v/>
      </c>
      <c r="W19" s="46">
        <f>-Financing!W$16</f>
        <v/>
      </c>
      <c r="X19" s="46">
        <f>-Financing!X$16</f>
        <v/>
      </c>
      <c r="Y19" s="46">
        <f>-Financing!Y$16</f>
        <v/>
      </c>
      <c r="Z19" s="46">
        <f>-Financing!Z$16</f>
        <v/>
      </c>
      <c r="AA19" s="46">
        <f>-Financing!AA$16</f>
        <v/>
      </c>
      <c r="AB19" s="46">
        <f>-Financing!AB$16</f>
        <v/>
      </c>
      <c r="AC19" s="46">
        <f>-Financing!AC$16</f>
        <v/>
      </c>
      <c r="AD19" s="46">
        <f>-Financing!AD$16</f>
        <v/>
      </c>
      <c r="AE19" s="46">
        <f>-Financing!AE$16</f>
        <v/>
      </c>
      <c r="AF19" s="46">
        <f>-Financing!AF$16</f>
        <v/>
      </c>
      <c r="AG19" s="46">
        <f>-Financing!AG$16</f>
        <v/>
      </c>
      <c r="AH19" s="46">
        <f>-Financing!AH$16</f>
        <v/>
      </c>
      <c r="AI19" s="46">
        <f>-Financing!AI$16</f>
        <v/>
      </c>
      <c r="AJ19" s="46">
        <f>-Financing!AJ$16</f>
        <v/>
      </c>
      <c r="AK19" s="46">
        <f>-Financing!AK$16</f>
        <v/>
      </c>
      <c r="AL19" s="46">
        <f>-Financing!AL$16</f>
        <v/>
      </c>
      <c r="AM19" s="46">
        <f>-Financing!AM$16</f>
        <v/>
      </c>
      <c r="AN19" s="46">
        <f>-Financing!AN$16</f>
        <v/>
      </c>
      <c r="AO19" s="46">
        <f>-Financing!AO$16</f>
        <v/>
      </c>
      <c r="AP19" s="46">
        <f>-Financing!AP$16</f>
        <v/>
      </c>
      <c r="AQ19" s="46">
        <f>-Financing!AQ$16</f>
        <v/>
      </c>
      <c r="AR19" s="46">
        <f>-Financing!AR$16</f>
        <v/>
      </c>
      <c r="AS19" s="46">
        <f>-Financing!AS$16</f>
        <v/>
      </c>
      <c r="AT19" s="46">
        <f>-Financing!AT$16</f>
        <v/>
      </c>
      <c r="AU19" s="46">
        <f>-Financing!AU$16</f>
        <v/>
      </c>
      <c r="AV19" s="46">
        <f>-Financing!AV$16</f>
        <v/>
      </c>
      <c r="AW19" s="46">
        <f>-Financing!AW$16</f>
        <v/>
      </c>
      <c r="AX19" s="46">
        <f>-Financing!AX$16</f>
        <v/>
      </c>
      <c r="AY19" s="46">
        <f>-Financing!AY$16</f>
        <v/>
      </c>
      <c r="AZ19" s="46">
        <f>-Financing!AZ$16</f>
        <v/>
      </c>
      <c r="BA19" s="46">
        <f>-Financing!BA$16</f>
        <v/>
      </c>
      <c r="BB19" s="46">
        <f>-Financing!BB$16</f>
        <v/>
      </c>
      <c r="BC19" s="46">
        <f>-Financing!BC$16</f>
        <v/>
      </c>
      <c r="BD19" s="46">
        <f>-Financing!BD$16</f>
        <v/>
      </c>
      <c r="BE19" s="46">
        <f>-Financing!BE$16</f>
        <v/>
      </c>
      <c r="BF19" s="46">
        <f>-Financing!BF$16</f>
        <v/>
      </c>
      <c r="BG19" s="46">
        <f>-Financing!BG$16</f>
        <v/>
      </c>
      <c r="BH19" s="46">
        <f>-Financing!BH$16</f>
        <v/>
      </c>
      <c r="BI19" s="46">
        <f>-Financing!BI$16</f>
        <v/>
      </c>
      <c r="BJ19" s="46">
        <f>-Financing!BJ$16</f>
        <v/>
      </c>
      <c r="BK19" s="46">
        <f>-Financing!BK$16</f>
        <v/>
      </c>
      <c r="BL19" s="46">
        <f>-Financing!BL$16</f>
        <v/>
      </c>
    </row>
    <row r="20">
      <c r="A20" s="44" t="inlineStr">
        <is>
          <t>Interest - receivables facility</t>
        </is>
      </c>
      <c r="B20" s="13" t="inlineStr">
        <is>
          <t>LCY</t>
        </is>
      </c>
      <c r="C20" s="45">
        <f>SUM(E20:BL20)</f>
        <v/>
      </c>
      <c r="E20" s="46">
        <f>-Financing!E$26</f>
        <v/>
      </c>
      <c r="F20" s="46">
        <f>-Financing!F$26</f>
        <v/>
      </c>
      <c r="G20" s="46">
        <f>-Financing!G$26</f>
        <v/>
      </c>
      <c r="H20" s="46">
        <f>-Financing!H$26</f>
        <v/>
      </c>
      <c r="I20" s="46">
        <f>-Financing!I$26</f>
        <v/>
      </c>
      <c r="J20" s="46">
        <f>-Financing!J$26</f>
        <v/>
      </c>
      <c r="K20" s="46">
        <f>-Financing!K$26</f>
        <v/>
      </c>
      <c r="L20" s="46">
        <f>-Financing!L$26</f>
        <v/>
      </c>
      <c r="M20" s="46">
        <f>-Financing!M$26</f>
        <v/>
      </c>
      <c r="N20" s="46">
        <f>-Financing!N$26</f>
        <v/>
      </c>
      <c r="O20" s="46">
        <f>-Financing!O$26</f>
        <v/>
      </c>
      <c r="P20" s="46">
        <f>-Financing!P$26</f>
        <v/>
      </c>
      <c r="Q20" s="46">
        <f>-Financing!Q$26</f>
        <v/>
      </c>
      <c r="R20" s="46">
        <f>-Financing!R$26</f>
        <v/>
      </c>
      <c r="S20" s="46">
        <f>-Financing!S$26</f>
        <v/>
      </c>
      <c r="T20" s="46">
        <f>-Financing!T$26</f>
        <v/>
      </c>
      <c r="U20" s="46">
        <f>-Financing!U$26</f>
        <v/>
      </c>
      <c r="V20" s="46">
        <f>-Financing!V$26</f>
        <v/>
      </c>
      <c r="W20" s="46">
        <f>-Financing!W$26</f>
        <v/>
      </c>
      <c r="X20" s="46">
        <f>-Financing!X$26</f>
        <v/>
      </c>
      <c r="Y20" s="46">
        <f>-Financing!Y$26</f>
        <v/>
      </c>
      <c r="Z20" s="46">
        <f>-Financing!Z$26</f>
        <v/>
      </c>
      <c r="AA20" s="46">
        <f>-Financing!AA$26</f>
        <v/>
      </c>
      <c r="AB20" s="46">
        <f>-Financing!AB$26</f>
        <v/>
      </c>
      <c r="AC20" s="46">
        <f>-Financing!AC$26</f>
        <v/>
      </c>
      <c r="AD20" s="46">
        <f>-Financing!AD$26</f>
        <v/>
      </c>
      <c r="AE20" s="46">
        <f>-Financing!AE$26</f>
        <v/>
      </c>
      <c r="AF20" s="46">
        <f>-Financing!AF$26</f>
        <v/>
      </c>
      <c r="AG20" s="46">
        <f>-Financing!AG$26</f>
        <v/>
      </c>
      <c r="AH20" s="46">
        <f>-Financing!AH$26</f>
        <v/>
      </c>
      <c r="AI20" s="46">
        <f>-Financing!AI$26</f>
        <v/>
      </c>
      <c r="AJ20" s="46">
        <f>-Financing!AJ$26</f>
        <v/>
      </c>
      <c r="AK20" s="46">
        <f>-Financing!AK$26</f>
        <v/>
      </c>
      <c r="AL20" s="46">
        <f>-Financing!AL$26</f>
        <v/>
      </c>
      <c r="AM20" s="46">
        <f>-Financing!AM$26</f>
        <v/>
      </c>
      <c r="AN20" s="46">
        <f>-Financing!AN$26</f>
        <v/>
      </c>
      <c r="AO20" s="46">
        <f>-Financing!AO$26</f>
        <v/>
      </c>
      <c r="AP20" s="46">
        <f>-Financing!AP$26</f>
        <v/>
      </c>
      <c r="AQ20" s="46">
        <f>-Financing!AQ$26</f>
        <v/>
      </c>
      <c r="AR20" s="46">
        <f>-Financing!AR$26</f>
        <v/>
      </c>
      <c r="AS20" s="46">
        <f>-Financing!AS$26</f>
        <v/>
      </c>
      <c r="AT20" s="46">
        <f>-Financing!AT$26</f>
        <v/>
      </c>
      <c r="AU20" s="46">
        <f>-Financing!AU$26</f>
        <v/>
      </c>
      <c r="AV20" s="46">
        <f>-Financing!AV$26</f>
        <v/>
      </c>
      <c r="AW20" s="46">
        <f>-Financing!AW$26</f>
        <v/>
      </c>
      <c r="AX20" s="46">
        <f>-Financing!AX$26</f>
        <v/>
      </c>
      <c r="AY20" s="46">
        <f>-Financing!AY$26</f>
        <v/>
      </c>
      <c r="AZ20" s="46">
        <f>-Financing!AZ$26</f>
        <v/>
      </c>
      <c r="BA20" s="46">
        <f>-Financing!BA$26</f>
        <v/>
      </c>
      <c r="BB20" s="46">
        <f>-Financing!BB$26</f>
        <v/>
      </c>
      <c r="BC20" s="46">
        <f>-Financing!BC$26</f>
        <v/>
      </c>
      <c r="BD20" s="46">
        <f>-Financing!BD$26</f>
        <v/>
      </c>
      <c r="BE20" s="46">
        <f>-Financing!BE$26</f>
        <v/>
      </c>
      <c r="BF20" s="46">
        <f>-Financing!BF$26</f>
        <v/>
      </c>
      <c r="BG20" s="46">
        <f>-Financing!BG$26</f>
        <v/>
      </c>
      <c r="BH20" s="46">
        <f>-Financing!BH$26</f>
        <v/>
      </c>
      <c r="BI20" s="46">
        <f>-Financing!BI$26</f>
        <v/>
      </c>
      <c r="BJ20" s="46">
        <f>-Financing!BJ$26</f>
        <v/>
      </c>
      <c r="BK20" s="46">
        <f>-Financing!BK$26</f>
        <v/>
      </c>
      <c r="BL20" s="46">
        <f>-Financing!BL$26</f>
        <v/>
      </c>
    </row>
    <row r="21">
      <c r="A21" s="44" t="inlineStr">
        <is>
          <t>FX (loss) / gain on USD debt</t>
        </is>
      </c>
      <c r="B21" s="13" t="inlineStr">
        <is>
          <t>LCY</t>
        </is>
      </c>
      <c r="C21" s="45">
        <f>SUM(E21:BL21)</f>
        <v/>
      </c>
      <c r="E21" s="46">
        <f>-Financing!E$20</f>
        <v/>
      </c>
      <c r="F21" s="46">
        <f>-Financing!F$20</f>
        <v/>
      </c>
      <c r="G21" s="46">
        <f>-Financing!G$20</f>
        <v/>
      </c>
      <c r="H21" s="46">
        <f>-Financing!H$20</f>
        <v/>
      </c>
      <c r="I21" s="46">
        <f>-Financing!I$20</f>
        <v/>
      </c>
      <c r="J21" s="46">
        <f>-Financing!J$20</f>
        <v/>
      </c>
      <c r="K21" s="46">
        <f>-Financing!K$20</f>
        <v/>
      </c>
      <c r="L21" s="46">
        <f>-Financing!L$20</f>
        <v/>
      </c>
      <c r="M21" s="46">
        <f>-Financing!M$20</f>
        <v/>
      </c>
      <c r="N21" s="46">
        <f>-Financing!N$20</f>
        <v/>
      </c>
      <c r="O21" s="46">
        <f>-Financing!O$20</f>
        <v/>
      </c>
      <c r="P21" s="46">
        <f>-Financing!P$20</f>
        <v/>
      </c>
      <c r="Q21" s="46">
        <f>-Financing!Q$20</f>
        <v/>
      </c>
      <c r="R21" s="46">
        <f>-Financing!R$20</f>
        <v/>
      </c>
      <c r="S21" s="46">
        <f>-Financing!S$20</f>
        <v/>
      </c>
      <c r="T21" s="46">
        <f>-Financing!T$20</f>
        <v/>
      </c>
      <c r="U21" s="46">
        <f>-Financing!U$20</f>
        <v/>
      </c>
      <c r="V21" s="46">
        <f>-Financing!V$20</f>
        <v/>
      </c>
      <c r="W21" s="46">
        <f>-Financing!W$20</f>
        <v/>
      </c>
      <c r="X21" s="46">
        <f>-Financing!X$20</f>
        <v/>
      </c>
      <c r="Y21" s="46">
        <f>-Financing!Y$20</f>
        <v/>
      </c>
      <c r="Z21" s="46">
        <f>-Financing!Z$20</f>
        <v/>
      </c>
      <c r="AA21" s="46">
        <f>-Financing!AA$20</f>
        <v/>
      </c>
      <c r="AB21" s="46">
        <f>-Financing!AB$20</f>
        <v/>
      </c>
      <c r="AC21" s="46">
        <f>-Financing!AC$20</f>
        <v/>
      </c>
      <c r="AD21" s="46">
        <f>-Financing!AD$20</f>
        <v/>
      </c>
      <c r="AE21" s="46">
        <f>-Financing!AE$20</f>
        <v/>
      </c>
      <c r="AF21" s="46">
        <f>-Financing!AF$20</f>
        <v/>
      </c>
      <c r="AG21" s="46">
        <f>-Financing!AG$20</f>
        <v/>
      </c>
      <c r="AH21" s="46">
        <f>-Financing!AH$20</f>
        <v/>
      </c>
      <c r="AI21" s="46">
        <f>-Financing!AI$20</f>
        <v/>
      </c>
      <c r="AJ21" s="46">
        <f>-Financing!AJ$20</f>
        <v/>
      </c>
      <c r="AK21" s="46">
        <f>-Financing!AK$20</f>
        <v/>
      </c>
      <c r="AL21" s="46">
        <f>-Financing!AL$20</f>
        <v/>
      </c>
      <c r="AM21" s="46">
        <f>-Financing!AM$20</f>
        <v/>
      </c>
      <c r="AN21" s="46">
        <f>-Financing!AN$20</f>
        <v/>
      </c>
      <c r="AO21" s="46">
        <f>-Financing!AO$20</f>
        <v/>
      </c>
      <c r="AP21" s="46">
        <f>-Financing!AP$20</f>
        <v/>
      </c>
      <c r="AQ21" s="46">
        <f>-Financing!AQ$20</f>
        <v/>
      </c>
      <c r="AR21" s="46">
        <f>-Financing!AR$20</f>
        <v/>
      </c>
      <c r="AS21" s="46">
        <f>-Financing!AS$20</f>
        <v/>
      </c>
      <c r="AT21" s="46">
        <f>-Financing!AT$20</f>
        <v/>
      </c>
      <c r="AU21" s="46">
        <f>-Financing!AU$20</f>
        <v/>
      </c>
      <c r="AV21" s="46">
        <f>-Financing!AV$20</f>
        <v/>
      </c>
      <c r="AW21" s="46">
        <f>-Financing!AW$20</f>
        <v/>
      </c>
      <c r="AX21" s="46">
        <f>-Financing!AX$20</f>
        <v/>
      </c>
      <c r="AY21" s="46">
        <f>-Financing!AY$20</f>
        <v/>
      </c>
      <c r="AZ21" s="46">
        <f>-Financing!AZ$20</f>
        <v/>
      </c>
      <c r="BA21" s="46">
        <f>-Financing!BA$20</f>
        <v/>
      </c>
      <c r="BB21" s="46">
        <f>-Financing!BB$20</f>
        <v/>
      </c>
      <c r="BC21" s="46">
        <f>-Financing!BC$20</f>
        <v/>
      </c>
      <c r="BD21" s="46">
        <f>-Financing!BD$20</f>
        <v/>
      </c>
      <c r="BE21" s="46">
        <f>-Financing!BE$20</f>
        <v/>
      </c>
      <c r="BF21" s="46">
        <f>-Financing!BF$20</f>
        <v/>
      </c>
      <c r="BG21" s="46">
        <f>-Financing!BG$20</f>
        <v/>
      </c>
      <c r="BH21" s="46">
        <f>-Financing!BH$20</f>
        <v/>
      </c>
      <c r="BI21" s="46">
        <f>-Financing!BI$20</f>
        <v/>
      </c>
      <c r="BJ21" s="46">
        <f>-Financing!BJ$20</f>
        <v/>
      </c>
      <c r="BK21" s="46">
        <f>-Financing!BK$20</f>
        <v/>
      </c>
      <c r="BL21" s="46">
        <f>-Financing!BL$20</f>
        <v/>
      </c>
    </row>
    <row r="22">
      <c r="A22" s="47" t="inlineStr">
        <is>
          <t>Profit before tax</t>
        </is>
      </c>
      <c r="B22" s="48" t="inlineStr">
        <is>
          <t>LCY</t>
        </is>
      </c>
      <c r="C22" s="49">
        <f>SUM(E22:BL22)</f>
        <v/>
      </c>
      <c r="D22" s="50" t="n"/>
      <c r="E22" s="51">
        <f>E18+E19+E20+E21</f>
        <v/>
      </c>
      <c r="F22" s="51">
        <f>F18+F19+F20+F21</f>
        <v/>
      </c>
      <c r="G22" s="51">
        <f>G18+G19+G20+G21</f>
        <v/>
      </c>
      <c r="H22" s="51">
        <f>H18+H19+H20+H21</f>
        <v/>
      </c>
      <c r="I22" s="51">
        <f>I18+I19+I20+I21</f>
        <v/>
      </c>
      <c r="J22" s="51">
        <f>J18+J19+J20+J21</f>
        <v/>
      </c>
      <c r="K22" s="51">
        <f>K18+K19+K20+K21</f>
        <v/>
      </c>
      <c r="L22" s="51">
        <f>L18+L19+L20+L21</f>
        <v/>
      </c>
      <c r="M22" s="51">
        <f>M18+M19+M20+M21</f>
        <v/>
      </c>
      <c r="N22" s="51">
        <f>N18+N19+N20+N21</f>
        <v/>
      </c>
      <c r="O22" s="51">
        <f>O18+O19+O20+O21</f>
        <v/>
      </c>
      <c r="P22" s="51">
        <f>P18+P19+P20+P21</f>
        <v/>
      </c>
      <c r="Q22" s="51">
        <f>Q18+Q19+Q20+Q21</f>
        <v/>
      </c>
      <c r="R22" s="51">
        <f>R18+R19+R20+R21</f>
        <v/>
      </c>
      <c r="S22" s="51">
        <f>S18+S19+S20+S21</f>
        <v/>
      </c>
      <c r="T22" s="51">
        <f>T18+T19+T20+T21</f>
        <v/>
      </c>
      <c r="U22" s="51">
        <f>U18+U19+U20+U21</f>
        <v/>
      </c>
      <c r="V22" s="51">
        <f>V18+V19+V20+V21</f>
        <v/>
      </c>
      <c r="W22" s="51">
        <f>W18+W19+W20+W21</f>
        <v/>
      </c>
      <c r="X22" s="51">
        <f>X18+X19+X20+X21</f>
        <v/>
      </c>
      <c r="Y22" s="51">
        <f>Y18+Y19+Y20+Y21</f>
        <v/>
      </c>
      <c r="Z22" s="51">
        <f>Z18+Z19+Z20+Z21</f>
        <v/>
      </c>
      <c r="AA22" s="51">
        <f>AA18+AA19+AA20+AA21</f>
        <v/>
      </c>
      <c r="AB22" s="51">
        <f>AB18+AB19+AB20+AB21</f>
        <v/>
      </c>
      <c r="AC22" s="51">
        <f>AC18+AC19+AC20+AC21</f>
        <v/>
      </c>
      <c r="AD22" s="51">
        <f>AD18+AD19+AD20+AD21</f>
        <v/>
      </c>
      <c r="AE22" s="51">
        <f>AE18+AE19+AE20+AE21</f>
        <v/>
      </c>
      <c r="AF22" s="51">
        <f>AF18+AF19+AF20+AF21</f>
        <v/>
      </c>
      <c r="AG22" s="51">
        <f>AG18+AG19+AG20+AG21</f>
        <v/>
      </c>
      <c r="AH22" s="51">
        <f>AH18+AH19+AH20+AH21</f>
        <v/>
      </c>
      <c r="AI22" s="51">
        <f>AI18+AI19+AI20+AI21</f>
        <v/>
      </c>
      <c r="AJ22" s="51">
        <f>AJ18+AJ19+AJ20+AJ21</f>
        <v/>
      </c>
      <c r="AK22" s="51">
        <f>AK18+AK19+AK20+AK21</f>
        <v/>
      </c>
      <c r="AL22" s="51">
        <f>AL18+AL19+AL20+AL21</f>
        <v/>
      </c>
      <c r="AM22" s="51">
        <f>AM18+AM19+AM20+AM21</f>
        <v/>
      </c>
      <c r="AN22" s="51">
        <f>AN18+AN19+AN20+AN21</f>
        <v/>
      </c>
      <c r="AO22" s="51">
        <f>AO18+AO19+AO20+AO21</f>
        <v/>
      </c>
      <c r="AP22" s="51">
        <f>AP18+AP19+AP20+AP21</f>
        <v/>
      </c>
      <c r="AQ22" s="51">
        <f>AQ18+AQ19+AQ20+AQ21</f>
        <v/>
      </c>
      <c r="AR22" s="51">
        <f>AR18+AR19+AR20+AR21</f>
        <v/>
      </c>
      <c r="AS22" s="51">
        <f>AS18+AS19+AS20+AS21</f>
        <v/>
      </c>
      <c r="AT22" s="51">
        <f>AT18+AT19+AT20+AT21</f>
        <v/>
      </c>
      <c r="AU22" s="51">
        <f>AU18+AU19+AU20+AU21</f>
        <v/>
      </c>
      <c r="AV22" s="51">
        <f>AV18+AV19+AV20+AV21</f>
        <v/>
      </c>
      <c r="AW22" s="51">
        <f>AW18+AW19+AW20+AW21</f>
        <v/>
      </c>
      <c r="AX22" s="51">
        <f>AX18+AX19+AX20+AX21</f>
        <v/>
      </c>
      <c r="AY22" s="51">
        <f>AY18+AY19+AY20+AY21</f>
        <v/>
      </c>
      <c r="AZ22" s="51">
        <f>AZ18+AZ19+AZ20+AZ21</f>
        <v/>
      </c>
      <c r="BA22" s="51">
        <f>BA18+BA19+BA20+BA21</f>
        <v/>
      </c>
      <c r="BB22" s="51">
        <f>BB18+BB19+BB20+BB21</f>
        <v/>
      </c>
      <c r="BC22" s="51">
        <f>BC18+BC19+BC20+BC21</f>
        <v/>
      </c>
      <c r="BD22" s="51">
        <f>BD18+BD19+BD20+BD21</f>
        <v/>
      </c>
      <c r="BE22" s="51">
        <f>BE18+BE19+BE20+BE21</f>
        <v/>
      </c>
      <c r="BF22" s="51">
        <f>BF18+BF19+BF20+BF21</f>
        <v/>
      </c>
      <c r="BG22" s="51">
        <f>BG18+BG19+BG20+BG21</f>
        <v/>
      </c>
      <c r="BH22" s="51">
        <f>BH18+BH19+BH20+BH21</f>
        <v/>
      </c>
      <c r="BI22" s="51">
        <f>BI18+BI19+BI20+BI21</f>
        <v/>
      </c>
      <c r="BJ22" s="51">
        <f>BJ18+BJ19+BJ20+BJ21</f>
        <v/>
      </c>
      <c r="BK22" s="51">
        <f>BK18+BK19+BK20+BK21</f>
        <v/>
      </c>
      <c r="BL22" s="51">
        <f>BL18+BL19+BL20+BL21</f>
        <v/>
      </c>
    </row>
    <row r="23">
      <c r="A23" s="44" t="inlineStr">
        <is>
          <t xml:space="preserve">  memo: cumulative PBT</t>
        </is>
      </c>
      <c r="B23" s="13" t="inlineStr">
        <is>
          <t>LCY</t>
        </is>
      </c>
      <c r="C23" s="45">
        <f>BL23</f>
        <v/>
      </c>
      <c r="E23" s="25">
        <f>D23+E22</f>
        <v/>
      </c>
      <c r="F23" s="25">
        <f>E23+F22</f>
        <v/>
      </c>
      <c r="G23" s="25">
        <f>F23+G22</f>
        <v/>
      </c>
      <c r="H23" s="25">
        <f>G23+H22</f>
        <v/>
      </c>
      <c r="I23" s="25">
        <f>H23+I22</f>
        <v/>
      </c>
      <c r="J23" s="25">
        <f>I23+J22</f>
        <v/>
      </c>
      <c r="K23" s="25">
        <f>J23+K22</f>
        <v/>
      </c>
      <c r="L23" s="25">
        <f>K23+L22</f>
        <v/>
      </c>
      <c r="M23" s="25">
        <f>L23+M22</f>
        <v/>
      </c>
      <c r="N23" s="25">
        <f>M23+N22</f>
        <v/>
      </c>
      <c r="O23" s="25">
        <f>N23+O22</f>
        <v/>
      </c>
      <c r="P23" s="25">
        <f>O23+P22</f>
        <v/>
      </c>
      <c r="Q23" s="25">
        <f>P23+Q22</f>
        <v/>
      </c>
      <c r="R23" s="25">
        <f>Q23+R22</f>
        <v/>
      </c>
      <c r="S23" s="25">
        <f>R23+S22</f>
        <v/>
      </c>
      <c r="T23" s="25">
        <f>S23+T22</f>
        <v/>
      </c>
      <c r="U23" s="25">
        <f>T23+U22</f>
        <v/>
      </c>
      <c r="V23" s="25">
        <f>U23+V22</f>
        <v/>
      </c>
      <c r="W23" s="25">
        <f>V23+W22</f>
        <v/>
      </c>
      <c r="X23" s="25">
        <f>W23+X22</f>
        <v/>
      </c>
      <c r="Y23" s="25">
        <f>X23+Y22</f>
        <v/>
      </c>
      <c r="Z23" s="25">
        <f>Y23+Z22</f>
        <v/>
      </c>
      <c r="AA23" s="25">
        <f>Z23+AA22</f>
        <v/>
      </c>
      <c r="AB23" s="25">
        <f>AA23+AB22</f>
        <v/>
      </c>
      <c r="AC23" s="25">
        <f>AB23+AC22</f>
        <v/>
      </c>
      <c r="AD23" s="25">
        <f>AC23+AD22</f>
        <v/>
      </c>
      <c r="AE23" s="25">
        <f>AD23+AE22</f>
        <v/>
      </c>
      <c r="AF23" s="25">
        <f>AE23+AF22</f>
        <v/>
      </c>
      <c r="AG23" s="25">
        <f>AF23+AG22</f>
        <v/>
      </c>
      <c r="AH23" s="25">
        <f>AG23+AH22</f>
        <v/>
      </c>
      <c r="AI23" s="25">
        <f>AH23+AI22</f>
        <v/>
      </c>
      <c r="AJ23" s="25">
        <f>AI23+AJ22</f>
        <v/>
      </c>
      <c r="AK23" s="25">
        <f>AJ23+AK22</f>
        <v/>
      </c>
      <c r="AL23" s="25">
        <f>AK23+AL22</f>
        <v/>
      </c>
      <c r="AM23" s="25">
        <f>AL23+AM22</f>
        <v/>
      </c>
      <c r="AN23" s="25">
        <f>AM23+AN22</f>
        <v/>
      </c>
      <c r="AO23" s="25">
        <f>AN23+AO22</f>
        <v/>
      </c>
      <c r="AP23" s="25">
        <f>AO23+AP22</f>
        <v/>
      </c>
      <c r="AQ23" s="25">
        <f>AP23+AQ22</f>
        <v/>
      </c>
      <c r="AR23" s="25">
        <f>AQ23+AR22</f>
        <v/>
      </c>
      <c r="AS23" s="25">
        <f>AR23+AS22</f>
        <v/>
      </c>
      <c r="AT23" s="25">
        <f>AS23+AT22</f>
        <v/>
      </c>
      <c r="AU23" s="25">
        <f>AT23+AU22</f>
        <v/>
      </c>
      <c r="AV23" s="25">
        <f>AU23+AV22</f>
        <v/>
      </c>
      <c r="AW23" s="25">
        <f>AV23+AW22</f>
        <v/>
      </c>
      <c r="AX23" s="25">
        <f>AW23+AX22</f>
        <v/>
      </c>
      <c r="AY23" s="25">
        <f>AX23+AY22</f>
        <v/>
      </c>
      <c r="AZ23" s="25">
        <f>AY23+AZ22</f>
        <v/>
      </c>
      <c r="BA23" s="25">
        <f>AZ23+BA22</f>
        <v/>
      </c>
      <c r="BB23" s="25">
        <f>BA23+BB22</f>
        <v/>
      </c>
      <c r="BC23" s="25">
        <f>BB23+BC22</f>
        <v/>
      </c>
      <c r="BD23" s="25">
        <f>BC23+BD22</f>
        <v/>
      </c>
      <c r="BE23" s="25">
        <f>BD23+BE22</f>
        <v/>
      </c>
      <c r="BF23" s="25">
        <f>BE23+BF22</f>
        <v/>
      </c>
      <c r="BG23" s="25">
        <f>BF23+BG22</f>
        <v/>
      </c>
      <c r="BH23" s="25">
        <f>BG23+BH22</f>
        <v/>
      </c>
      <c r="BI23" s="25">
        <f>BH23+BI22</f>
        <v/>
      </c>
      <c r="BJ23" s="25">
        <f>BI23+BJ22</f>
        <v/>
      </c>
      <c r="BK23" s="25">
        <f>BJ23+BK22</f>
        <v/>
      </c>
      <c r="BL23" s="25">
        <f>BK23+BL22</f>
        <v/>
      </c>
    </row>
    <row r="24">
      <c r="A24" s="44" t="inlineStr">
        <is>
          <t xml:space="preserve">  memo: running max of cumulative PBT</t>
        </is>
      </c>
      <c r="B24" s="13" t="inlineStr">
        <is>
          <t>LCY</t>
        </is>
      </c>
      <c r="C24" s="45">
        <f>BL24</f>
        <v/>
      </c>
      <c r="E24" s="25">
        <f>MAX(D24,E23)</f>
        <v/>
      </c>
      <c r="F24" s="25">
        <f>MAX(E24,F23)</f>
        <v/>
      </c>
      <c r="G24" s="25">
        <f>MAX(F24,G23)</f>
        <v/>
      </c>
      <c r="H24" s="25">
        <f>MAX(G24,H23)</f>
        <v/>
      </c>
      <c r="I24" s="25">
        <f>MAX(H24,I23)</f>
        <v/>
      </c>
      <c r="J24" s="25">
        <f>MAX(I24,J23)</f>
        <v/>
      </c>
      <c r="K24" s="25">
        <f>MAX(J24,K23)</f>
        <v/>
      </c>
      <c r="L24" s="25">
        <f>MAX(K24,L23)</f>
        <v/>
      </c>
      <c r="M24" s="25">
        <f>MAX(L24,M23)</f>
        <v/>
      </c>
      <c r="N24" s="25">
        <f>MAX(M24,N23)</f>
        <v/>
      </c>
      <c r="O24" s="25">
        <f>MAX(N24,O23)</f>
        <v/>
      </c>
      <c r="P24" s="25">
        <f>MAX(O24,P23)</f>
        <v/>
      </c>
      <c r="Q24" s="25">
        <f>MAX(P24,Q23)</f>
        <v/>
      </c>
      <c r="R24" s="25">
        <f>MAX(Q24,R23)</f>
        <v/>
      </c>
      <c r="S24" s="25">
        <f>MAX(R24,S23)</f>
        <v/>
      </c>
      <c r="T24" s="25">
        <f>MAX(S24,T23)</f>
        <v/>
      </c>
      <c r="U24" s="25">
        <f>MAX(T24,U23)</f>
        <v/>
      </c>
      <c r="V24" s="25">
        <f>MAX(U24,V23)</f>
        <v/>
      </c>
      <c r="W24" s="25">
        <f>MAX(V24,W23)</f>
        <v/>
      </c>
      <c r="X24" s="25">
        <f>MAX(W24,X23)</f>
        <v/>
      </c>
      <c r="Y24" s="25">
        <f>MAX(X24,Y23)</f>
        <v/>
      </c>
      <c r="Z24" s="25">
        <f>MAX(Y24,Z23)</f>
        <v/>
      </c>
      <c r="AA24" s="25">
        <f>MAX(Z24,AA23)</f>
        <v/>
      </c>
      <c r="AB24" s="25">
        <f>MAX(AA24,AB23)</f>
        <v/>
      </c>
      <c r="AC24" s="25">
        <f>MAX(AB24,AC23)</f>
        <v/>
      </c>
      <c r="AD24" s="25">
        <f>MAX(AC24,AD23)</f>
        <v/>
      </c>
      <c r="AE24" s="25">
        <f>MAX(AD24,AE23)</f>
        <v/>
      </c>
      <c r="AF24" s="25">
        <f>MAX(AE24,AF23)</f>
        <v/>
      </c>
      <c r="AG24" s="25">
        <f>MAX(AF24,AG23)</f>
        <v/>
      </c>
      <c r="AH24" s="25">
        <f>MAX(AG24,AH23)</f>
        <v/>
      </c>
      <c r="AI24" s="25">
        <f>MAX(AH24,AI23)</f>
        <v/>
      </c>
      <c r="AJ24" s="25">
        <f>MAX(AI24,AJ23)</f>
        <v/>
      </c>
      <c r="AK24" s="25">
        <f>MAX(AJ24,AK23)</f>
        <v/>
      </c>
      <c r="AL24" s="25">
        <f>MAX(AK24,AL23)</f>
        <v/>
      </c>
      <c r="AM24" s="25">
        <f>MAX(AL24,AM23)</f>
        <v/>
      </c>
      <c r="AN24" s="25">
        <f>MAX(AM24,AN23)</f>
        <v/>
      </c>
      <c r="AO24" s="25">
        <f>MAX(AN24,AO23)</f>
        <v/>
      </c>
      <c r="AP24" s="25">
        <f>MAX(AO24,AP23)</f>
        <v/>
      </c>
      <c r="AQ24" s="25">
        <f>MAX(AP24,AQ23)</f>
        <v/>
      </c>
      <c r="AR24" s="25">
        <f>MAX(AQ24,AR23)</f>
        <v/>
      </c>
      <c r="AS24" s="25">
        <f>MAX(AR24,AS23)</f>
        <v/>
      </c>
      <c r="AT24" s="25">
        <f>MAX(AS24,AT23)</f>
        <v/>
      </c>
      <c r="AU24" s="25">
        <f>MAX(AT24,AU23)</f>
        <v/>
      </c>
      <c r="AV24" s="25">
        <f>MAX(AU24,AV23)</f>
        <v/>
      </c>
      <c r="AW24" s="25">
        <f>MAX(AV24,AW23)</f>
        <v/>
      </c>
      <c r="AX24" s="25">
        <f>MAX(AW24,AX23)</f>
        <v/>
      </c>
      <c r="AY24" s="25">
        <f>MAX(AX24,AY23)</f>
        <v/>
      </c>
      <c r="AZ24" s="25">
        <f>MAX(AY24,AZ23)</f>
        <v/>
      </c>
      <c r="BA24" s="25">
        <f>MAX(AZ24,BA23)</f>
        <v/>
      </c>
      <c r="BB24" s="25">
        <f>MAX(BA24,BB23)</f>
        <v/>
      </c>
      <c r="BC24" s="25">
        <f>MAX(BB24,BC23)</f>
        <v/>
      </c>
      <c r="BD24" s="25">
        <f>MAX(BC24,BD23)</f>
        <v/>
      </c>
      <c r="BE24" s="25">
        <f>MAX(BD24,BE23)</f>
        <v/>
      </c>
      <c r="BF24" s="25">
        <f>MAX(BE24,BF23)</f>
        <v/>
      </c>
      <c r="BG24" s="25">
        <f>MAX(BF24,BG23)</f>
        <v/>
      </c>
      <c r="BH24" s="25">
        <f>MAX(BG24,BH23)</f>
        <v/>
      </c>
      <c r="BI24" s="25">
        <f>MAX(BH24,BI23)</f>
        <v/>
      </c>
      <c r="BJ24" s="25">
        <f>MAX(BI24,BJ23)</f>
        <v/>
      </c>
      <c r="BK24" s="25">
        <f>MAX(BJ24,BK23)</f>
        <v/>
      </c>
      <c r="BL24" s="25">
        <f>MAX(BK24,BL23)</f>
        <v/>
      </c>
    </row>
    <row r="25">
      <c r="A25" s="44" t="inlineStr">
        <is>
          <t>Income tax</t>
        </is>
      </c>
      <c r="B25" s="13" t="inlineStr">
        <is>
          <t>LCY</t>
        </is>
      </c>
      <c r="C25" s="45">
        <f>SUM(E25:BL25)</f>
        <v/>
      </c>
      <c r="E25" s="25">
        <f>-Inputs!$C$12*(MAX(0,E24)-MAX(0,D24))</f>
        <v/>
      </c>
      <c r="F25" s="25">
        <f>-Inputs!$C$12*(MAX(0,F24)-MAX(0,E24))</f>
        <v/>
      </c>
      <c r="G25" s="25">
        <f>-Inputs!$C$12*(MAX(0,G24)-MAX(0,F24))</f>
        <v/>
      </c>
      <c r="H25" s="25">
        <f>-Inputs!$C$12*(MAX(0,H24)-MAX(0,G24))</f>
        <v/>
      </c>
      <c r="I25" s="25">
        <f>-Inputs!$C$12*(MAX(0,I24)-MAX(0,H24))</f>
        <v/>
      </c>
      <c r="J25" s="25">
        <f>-Inputs!$C$12*(MAX(0,J24)-MAX(0,I24))</f>
        <v/>
      </c>
      <c r="K25" s="25">
        <f>-Inputs!$C$12*(MAX(0,K24)-MAX(0,J24))</f>
        <v/>
      </c>
      <c r="L25" s="25">
        <f>-Inputs!$C$12*(MAX(0,L24)-MAX(0,K24))</f>
        <v/>
      </c>
      <c r="M25" s="25">
        <f>-Inputs!$C$12*(MAX(0,M24)-MAX(0,L24))</f>
        <v/>
      </c>
      <c r="N25" s="25">
        <f>-Inputs!$C$12*(MAX(0,N24)-MAX(0,M24))</f>
        <v/>
      </c>
      <c r="O25" s="25">
        <f>-Inputs!$C$12*(MAX(0,O24)-MAX(0,N24))</f>
        <v/>
      </c>
      <c r="P25" s="25">
        <f>-Inputs!$C$12*(MAX(0,P24)-MAX(0,O24))</f>
        <v/>
      </c>
      <c r="Q25" s="25">
        <f>-Inputs!$C$12*(MAX(0,Q24)-MAX(0,P24))</f>
        <v/>
      </c>
      <c r="R25" s="25">
        <f>-Inputs!$C$12*(MAX(0,R24)-MAX(0,Q24))</f>
        <v/>
      </c>
      <c r="S25" s="25">
        <f>-Inputs!$C$12*(MAX(0,S24)-MAX(0,R24))</f>
        <v/>
      </c>
      <c r="T25" s="25">
        <f>-Inputs!$C$12*(MAX(0,T24)-MAX(0,S24))</f>
        <v/>
      </c>
      <c r="U25" s="25">
        <f>-Inputs!$C$12*(MAX(0,U24)-MAX(0,T24))</f>
        <v/>
      </c>
      <c r="V25" s="25">
        <f>-Inputs!$C$12*(MAX(0,V24)-MAX(0,U24))</f>
        <v/>
      </c>
      <c r="W25" s="25">
        <f>-Inputs!$C$12*(MAX(0,W24)-MAX(0,V24))</f>
        <v/>
      </c>
      <c r="X25" s="25">
        <f>-Inputs!$C$12*(MAX(0,X24)-MAX(0,W24))</f>
        <v/>
      </c>
      <c r="Y25" s="25">
        <f>-Inputs!$C$12*(MAX(0,Y24)-MAX(0,X24))</f>
        <v/>
      </c>
      <c r="Z25" s="25">
        <f>-Inputs!$C$12*(MAX(0,Z24)-MAX(0,Y24))</f>
        <v/>
      </c>
      <c r="AA25" s="25">
        <f>-Inputs!$C$12*(MAX(0,AA24)-MAX(0,Z24))</f>
        <v/>
      </c>
      <c r="AB25" s="25">
        <f>-Inputs!$C$12*(MAX(0,AB24)-MAX(0,AA24))</f>
        <v/>
      </c>
      <c r="AC25" s="25">
        <f>-Inputs!$C$12*(MAX(0,AC24)-MAX(0,AB24))</f>
        <v/>
      </c>
      <c r="AD25" s="25">
        <f>-Inputs!$C$12*(MAX(0,AD24)-MAX(0,AC24))</f>
        <v/>
      </c>
      <c r="AE25" s="25">
        <f>-Inputs!$C$12*(MAX(0,AE24)-MAX(0,AD24))</f>
        <v/>
      </c>
      <c r="AF25" s="25">
        <f>-Inputs!$C$12*(MAX(0,AF24)-MAX(0,AE24))</f>
        <v/>
      </c>
      <c r="AG25" s="25">
        <f>-Inputs!$C$12*(MAX(0,AG24)-MAX(0,AF24))</f>
        <v/>
      </c>
      <c r="AH25" s="25">
        <f>-Inputs!$C$12*(MAX(0,AH24)-MAX(0,AG24))</f>
        <v/>
      </c>
      <c r="AI25" s="25">
        <f>-Inputs!$C$12*(MAX(0,AI24)-MAX(0,AH24))</f>
        <v/>
      </c>
      <c r="AJ25" s="25">
        <f>-Inputs!$C$12*(MAX(0,AJ24)-MAX(0,AI24))</f>
        <v/>
      </c>
      <c r="AK25" s="25">
        <f>-Inputs!$C$12*(MAX(0,AK24)-MAX(0,AJ24))</f>
        <v/>
      </c>
      <c r="AL25" s="25">
        <f>-Inputs!$C$12*(MAX(0,AL24)-MAX(0,AK24))</f>
        <v/>
      </c>
      <c r="AM25" s="25">
        <f>-Inputs!$C$12*(MAX(0,AM24)-MAX(0,AL24))</f>
        <v/>
      </c>
      <c r="AN25" s="25">
        <f>-Inputs!$C$12*(MAX(0,AN24)-MAX(0,AM24))</f>
        <v/>
      </c>
      <c r="AO25" s="25">
        <f>-Inputs!$C$12*(MAX(0,AO24)-MAX(0,AN24))</f>
        <v/>
      </c>
      <c r="AP25" s="25">
        <f>-Inputs!$C$12*(MAX(0,AP24)-MAX(0,AO24))</f>
        <v/>
      </c>
      <c r="AQ25" s="25">
        <f>-Inputs!$C$12*(MAX(0,AQ24)-MAX(0,AP24))</f>
        <v/>
      </c>
      <c r="AR25" s="25">
        <f>-Inputs!$C$12*(MAX(0,AR24)-MAX(0,AQ24))</f>
        <v/>
      </c>
      <c r="AS25" s="25">
        <f>-Inputs!$C$12*(MAX(0,AS24)-MAX(0,AR24))</f>
        <v/>
      </c>
      <c r="AT25" s="25">
        <f>-Inputs!$C$12*(MAX(0,AT24)-MAX(0,AS24))</f>
        <v/>
      </c>
      <c r="AU25" s="25">
        <f>-Inputs!$C$12*(MAX(0,AU24)-MAX(0,AT24))</f>
        <v/>
      </c>
      <c r="AV25" s="25">
        <f>-Inputs!$C$12*(MAX(0,AV24)-MAX(0,AU24))</f>
        <v/>
      </c>
      <c r="AW25" s="25">
        <f>-Inputs!$C$12*(MAX(0,AW24)-MAX(0,AV24))</f>
        <v/>
      </c>
      <c r="AX25" s="25">
        <f>-Inputs!$C$12*(MAX(0,AX24)-MAX(0,AW24))</f>
        <v/>
      </c>
      <c r="AY25" s="25">
        <f>-Inputs!$C$12*(MAX(0,AY24)-MAX(0,AX24))</f>
        <v/>
      </c>
      <c r="AZ25" s="25">
        <f>-Inputs!$C$12*(MAX(0,AZ24)-MAX(0,AY24))</f>
        <v/>
      </c>
      <c r="BA25" s="25">
        <f>-Inputs!$C$12*(MAX(0,BA24)-MAX(0,AZ24))</f>
        <v/>
      </c>
      <c r="BB25" s="25">
        <f>-Inputs!$C$12*(MAX(0,BB24)-MAX(0,BA24))</f>
        <v/>
      </c>
      <c r="BC25" s="25">
        <f>-Inputs!$C$12*(MAX(0,BC24)-MAX(0,BB24))</f>
        <v/>
      </c>
      <c r="BD25" s="25">
        <f>-Inputs!$C$12*(MAX(0,BD24)-MAX(0,BC24))</f>
        <v/>
      </c>
      <c r="BE25" s="25">
        <f>-Inputs!$C$12*(MAX(0,BE24)-MAX(0,BD24))</f>
        <v/>
      </c>
      <c r="BF25" s="25">
        <f>-Inputs!$C$12*(MAX(0,BF24)-MAX(0,BE24))</f>
        <v/>
      </c>
      <c r="BG25" s="25">
        <f>-Inputs!$C$12*(MAX(0,BG24)-MAX(0,BF24))</f>
        <v/>
      </c>
      <c r="BH25" s="25">
        <f>-Inputs!$C$12*(MAX(0,BH24)-MAX(0,BG24))</f>
        <v/>
      </c>
      <c r="BI25" s="25">
        <f>-Inputs!$C$12*(MAX(0,BI24)-MAX(0,BH24))</f>
        <v/>
      </c>
      <c r="BJ25" s="25">
        <f>-Inputs!$C$12*(MAX(0,BJ24)-MAX(0,BI24))</f>
        <v/>
      </c>
      <c r="BK25" s="25">
        <f>-Inputs!$C$12*(MAX(0,BK24)-MAX(0,BJ24))</f>
        <v/>
      </c>
      <c r="BL25" s="25">
        <f>-Inputs!$C$12*(MAX(0,BL24)-MAX(0,BK24))</f>
        <v/>
      </c>
    </row>
    <row r="26">
      <c r="A26" s="47" t="inlineStr">
        <is>
          <t>Net income</t>
        </is>
      </c>
      <c r="B26" s="48" t="inlineStr">
        <is>
          <t>LCY</t>
        </is>
      </c>
      <c r="C26" s="49">
        <f>SUM(E26:BL26)</f>
        <v/>
      </c>
      <c r="D26" s="50" t="n"/>
      <c r="E26" s="51">
        <f>E22+E25</f>
        <v/>
      </c>
      <c r="F26" s="51">
        <f>F22+F25</f>
        <v/>
      </c>
      <c r="G26" s="51">
        <f>G22+G25</f>
        <v/>
      </c>
      <c r="H26" s="51">
        <f>H22+H25</f>
        <v/>
      </c>
      <c r="I26" s="51">
        <f>I22+I25</f>
        <v/>
      </c>
      <c r="J26" s="51">
        <f>J22+J25</f>
        <v/>
      </c>
      <c r="K26" s="51">
        <f>K22+K25</f>
        <v/>
      </c>
      <c r="L26" s="51">
        <f>L22+L25</f>
        <v/>
      </c>
      <c r="M26" s="51">
        <f>M22+M25</f>
        <v/>
      </c>
      <c r="N26" s="51">
        <f>N22+N25</f>
        <v/>
      </c>
      <c r="O26" s="51">
        <f>O22+O25</f>
        <v/>
      </c>
      <c r="P26" s="51">
        <f>P22+P25</f>
        <v/>
      </c>
      <c r="Q26" s="51">
        <f>Q22+Q25</f>
        <v/>
      </c>
      <c r="R26" s="51">
        <f>R22+R25</f>
        <v/>
      </c>
      <c r="S26" s="51">
        <f>S22+S25</f>
        <v/>
      </c>
      <c r="T26" s="51">
        <f>T22+T25</f>
        <v/>
      </c>
      <c r="U26" s="51">
        <f>U22+U25</f>
        <v/>
      </c>
      <c r="V26" s="51">
        <f>V22+V25</f>
        <v/>
      </c>
      <c r="W26" s="51">
        <f>W22+W25</f>
        <v/>
      </c>
      <c r="X26" s="51">
        <f>X22+X25</f>
        <v/>
      </c>
      <c r="Y26" s="51">
        <f>Y22+Y25</f>
        <v/>
      </c>
      <c r="Z26" s="51">
        <f>Z22+Z25</f>
        <v/>
      </c>
      <c r="AA26" s="51">
        <f>AA22+AA25</f>
        <v/>
      </c>
      <c r="AB26" s="51">
        <f>AB22+AB25</f>
        <v/>
      </c>
      <c r="AC26" s="51">
        <f>AC22+AC25</f>
        <v/>
      </c>
      <c r="AD26" s="51">
        <f>AD22+AD25</f>
        <v/>
      </c>
      <c r="AE26" s="51">
        <f>AE22+AE25</f>
        <v/>
      </c>
      <c r="AF26" s="51">
        <f>AF22+AF25</f>
        <v/>
      </c>
      <c r="AG26" s="51">
        <f>AG22+AG25</f>
        <v/>
      </c>
      <c r="AH26" s="51">
        <f>AH22+AH25</f>
        <v/>
      </c>
      <c r="AI26" s="51">
        <f>AI22+AI25</f>
        <v/>
      </c>
      <c r="AJ26" s="51">
        <f>AJ22+AJ25</f>
        <v/>
      </c>
      <c r="AK26" s="51">
        <f>AK22+AK25</f>
        <v/>
      </c>
      <c r="AL26" s="51">
        <f>AL22+AL25</f>
        <v/>
      </c>
      <c r="AM26" s="51">
        <f>AM22+AM25</f>
        <v/>
      </c>
      <c r="AN26" s="51">
        <f>AN22+AN25</f>
        <v/>
      </c>
      <c r="AO26" s="51">
        <f>AO22+AO25</f>
        <v/>
      </c>
      <c r="AP26" s="51">
        <f>AP22+AP25</f>
        <v/>
      </c>
      <c r="AQ26" s="51">
        <f>AQ22+AQ25</f>
        <v/>
      </c>
      <c r="AR26" s="51">
        <f>AR22+AR25</f>
        <v/>
      </c>
      <c r="AS26" s="51">
        <f>AS22+AS25</f>
        <v/>
      </c>
      <c r="AT26" s="51">
        <f>AT22+AT25</f>
        <v/>
      </c>
      <c r="AU26" s="51">
        <f>AU22+AU25</f>
        <v/>
      </c>
      <c r="AV26" s="51">
        <f>AV22+AV25</f>
        <v/>
      </c>
      <c r="AW26" s="51">
        <f>AW22+AW25</f>
        <v/>
      </c>
      <c r="AX26" s="51">
        <f>AX22+AX25</f>
        <v/>
      </c>
      <c r="AY26" s="51">
        <f>AY22+AY25</f>
        <v/>
      </c>
      <c r="AZ26" s="51">
        <f>AZ22+AZ25</f>
        <v/>
      </c>
      <c r="BA26" s="51">
        <f>BA22+BA25</f>
        <v/>
      </c>
      <c r="BB26" s="51">
        <f>BB22+BB25</f>
        <v/>
      </c>
      <c r="BC26" s="51">
        <f>BC22+BC25</f>
        <v/>
      </c>
      <c r="BD26" s="51">
        <f>BD22+BD25</f>
        <v/>
      </c>
      <c r="BE26" s="51">
        <f>BE22+BE25</f>
        <v/>
      </c>
      <c r="BF26" s="51">
        <f>BF22+BF25</f>
        <v/>
      </c>
      <c r="BG26" s="51">
        <f>BG22+BG25</f>
        <v/>
      </c>
      <c r="BH26" s="51">
        <f>BH22+BH25</f>
        <v/>
      </c>
      <c r="BI26" s="51">
        <f>BI22+BI25</f>
        <v/>
      </c>
      <c r="BJ26" s="51">
        <f>BJ22+BJ25</f>
        <v/>
      </c>
      <c r="BK26" s="51">
        <f>BK22+BK25</f>
        <v/>
      </c>
      <c r="BL26" s="51">
        <f>BL22+BL25</f>
        <v/>
      </c>
    </row>
    <row r="27"/>
    <row r="28">
      <c r="A28" s="11" t="inlineStr">
        <is>
          <t>BALANCE SHEET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</row>
    <row r="29">
      <c r="A29" s="44" t="inlineStr">
        <is>
          <t>Cash</t>
        </is>
      </c>
      <c r="B29" s="13" t="inlineStr">
        <is>
          <t>LCY</t>
        </is>
      </c>
      <c r="C29" s="45">
        <f>BL29</f>
        <v/>
      </c>
      <c r="E29" s="25">
        <f>E60</f>
        <v/>
      </c>
      <c r="F29" s="25">
        <f>F60</f>
        <v/>
      </c>
      <c r="G29" s="25">
        <f>G60</f>
        <v/>
      </c>
      <c r="H29" s="25">
        <f>H60</f>
        <v/>
      </c>
      <c r="I29" s="25">
        <f>I60</f>
        <v/>
      </c>
      <c r="J29" s="25">
        <f>J60</f>
        <v/>
      </c>
      <c r="K29" s="25">
        <f>K60</f>
        <v/>
      </c>
      <c r="L29" s="25">
        <f>L60</f>
        <v/>
      </c>
      <c r="M29" s="25">
        <f>M60</f>
        <v/>
      </c>
      <c r="N29" s="25">
        <f>N60</f>
        <v/>
      </c>
      <c r="O29" s="25">
        <f>O60</f>
        <v/>
      </c>
      <c r="P29" s="25">
        <f>P60</f>
        <v/>
      </c>
      <c r="Q29" s="25">
        <f>Q60</f>
        <v/>
      </c>
      <c r="R29" s="25">
        <f>R60</f>
        <v/>
      </c>
      <c r="S29" s="25">
        <f>S60</f>
        <v/>
      </c>
      <c r="T29" s="25">
        <f>T60</f>
        <v/>
      </c>
      <c r="U29" s="25">
        <f>U60</f>
        <v/>
      </c>
      <c r="V29" s="25">
        <f>V60</f>
        <v/>
      </c>
      <c r="W29" s="25">
        <f>W60</f>
        <v/>
      </c>
      <c r="X29" s="25">
        <f>X60</f>
        <v/>
      </c>
      <c r="Y29" s="25">
        <f>Y60</f>
        <v/>
      </c>
      <c r="Z29" s="25">
        <f>Z60</f>
        <v/>
      </c>
      <c r="AA29" s="25">
        <f>AA60</f>
        <v/>
      </c>
      <c r="AB29" s="25">
        <f>AB60</f>
        <v/>
      </c>
      <c r="AC29" s="25">
        <f>AC60</f>
        <v/>
      </c>
      <c r="AD29" s="25">
        <f>AD60</f>
        <v/>
      </c>
      <c r="AE29" s="25">
        <f>AE60</f>
        <v/>
      </c>
      <c r="AF29" s="25">
        <f>AF60</f>
        <v/>
      </c>
      <c r="AG29" s="25">
        <f>AG60</f>
        <v/>
      </c>
      <c r="AH29" s="25">
        <f>AH60</f>
        <v/>
      </c>
      <c r="AI29" s="25">
        <f>AI60</f>
        <v/>
      </c>
      <c r="AJ29" s="25">
        <f>AJ60</f>
        <v/>
      </c>
      <c r="AK29" s="25">
        <f>AK60</f>
        <v/>
      </c>
      <c r="AL29" s="25">
        <f>AL60</f>
        <v/>
      </c>
      <c r="AM29" s="25">
        <f>AM60</f>
        <v/>
      </c>
      <c r="AN29" s="25">
        <f>AN60</f>
        <v/>
      </c>
      <c r="AO29" s="25">
        <f>AO60</f>
        <v/>
      </c>
      <c r="AP29" s="25">
        <f>AP60</f>
        <v/>
      </c>
      <c r="AQ29" s="25">
        <f>AQ60</f>
        <v/>
      </c>
      <c r="AR29" s="25">
        <f>AR60</f>
        <v/>
      </c>
      <c r="AS29" s="25">
        <f>AS60</f>
        <v/>
      </c>
      <c r="AT29" s="25">
        <f>AT60</f>
        <v/>
      </c>
      <c r="AU29" s="25">
        <f>AU60</f>
        <v/>
      </c>
      <c r="AV29" s="25">
        <f>AV60</f>
        <v/>
      </c>
      <c r="AW29" s="25">
        <f>AW60</f>
        <v/>
      </c>
      <c r="AX29" s="25">
        <f>AX60</f>
        <v/>
      </c>
      <c r="AY29" s="25">
        <f>AY60</f>
        <v/>
      </c>
      <c r="AZ29" s="25">
        <f>AZ60</f>
        <v/>
      </c>
      <c r="BA29" s="25">
        <f>BA60</f>
        <v/>
      </c>
      <c r="BB29" s="25">
        <f>BB60</f>
        <v/>
      </c>
      <c r="BC29" s="25">
        <f>BC60</f>
        <v/>
      </c>
      <c r="BD29" s="25">
        <f>BD60</f>
        <v/>
      </c>
      <c r="BE29" s="25">
        <f>BE60</f>
        <v/>
      </c>
      <c r="BF29" s="25">
        <f>BF60</f>
        <v/>
      </c>
      <c r="BG29" s="25">
        <f>BG60</f>
        <v/>
      </c>
      <c r="BH29" s="25">
        <f>BH60</f>
        <v/>
      </c>
      <c r="BI29" s="25">
        <f>BI60</f>
        <v/>
      </c>
      <c r="BJ29" s="25">
        <f>BJ60</f>
        <v/>
      </c>
      <c r="BK29" s="25">
        <f>BK60</f>
        <v/>
      </c>
      <c r="BL29" s="25">
        <f>BL60</f>
        <v/>
      </c>
    </row>
    <row r="30">
      <c r="A30" s="44" t="inlineStr">
        <is>
          <t>PAYGo receivables - gross</t>
        </is>
      </c>
      <c r="B30" s="13" t="inlineStr">
        <is>
          <t>LCY</t>
        </is>
      </c>
      <c r="C30" s="45">
        <f>BL30</f>
        <v/>
      </c>
      <c r="E30" s="25">
        <f>D30+Ops!E$58+Ops!E$62-Ops!E$60-Ops!E$61</f>
        <v/>
      </c>
      <c r="F30" s="25">
        <f>E30+Ops!F$58+Ops!F$62-Ops!F$60-Ops!F$61</f>
        <v/>
      </c>
      <c r="G30" s="25">
        <f>F30+Ops!G$58+Ops!G$62-Ops!G$60-Ops!G$61</f>
        <v/>
      </c>
      <c r="H30" s="25">
        <f>G30+Ops!H$58+Ops!H$62-Ops!H$60-Ops!H$61</f>
        <v/>
      </c>
      <c r="I30" s="25">
        <f>H30+Ops!I$58+Ops!I$62-Ops!I$60-Ops!I$61</f>
        <v/>
      </c>
      <c r="J30" s="25">
        <f>I30+Ops!J$58+Ops!J$62-Ops!J$60-Ops!J$61</f>
        <v/>
      </c>
      <c r="K30" s="25">
        <f>J30+Ops!K$58+Ops!K$62-Ops!K$60-Ops!K$61</f>
        <v/>
      </c>
      <c r="L30" s="25">
        <f>K30+Ops!L$58+Ops!L$62-Ops!L$60-Ops!L$61</f>
        <v/>
      </c>
      <c r="M30" s="25">
        <f>L30+Ops!M$58+Ops!M$62-Ops!M$60-Ops!M$61</f>
        <v/>
      </c>
      <c r="N30" s="25">
        <f>M30+Ops!N$58+Ops!N$62-Ops!N$60-Ops!N$61</f>
        <v/>
      </c>
      <c r="O30" s="25">
        <f>N30+Ops!O$58+Ops!O$62-Ops!O$60-Ops!O$61</f>
        <v/>
      </c>
      <c r="P30" s="25">
        <f>O30+Ops!P$58+Ops!P$62-Ops!P$60-Ops!P$61</f>
        <v/>
      </c>
      <c r="Q30" s="25">
        <f>P30+Ops!Q$58+Ops!Q$62-Ops!Q$60-Ops!Q$61</f>
        <v/>
      </c>
      <c r="R30" s="25">
        <f>Q30+Ops!R$58+Ops!R$62-Ops!R$60-Ops!R$61</f>
        <v/>
      </c>
      <c r="S30" s="25">
        <f>R30+Ops!S$58+Ops!S$62-Ops!S$60-Ops!S$61</f>
        <v/>
      </c>
      <c r="T30" s="25">
        <f>S30+Ops!T$58+Ops!T$62-Ops!T$60-Ops!T$61</f>
        <v/>
      </c>
      <c r="U30" s="25">
        <f>T30+Ops!U$58+Ops!U$62-Ops!U$60-Ops!U$61</f>
        <v/>
      </c>
      <c r="V30" s="25">
        <f>U30+Ops!V$58+Ops!V$62-Ops!V$60-Ops!V$61</f>
        <v/>
      </c>
      <c r="W30" s="25">
        <f>V30+Ops!W$58+Ops!W$62-Ops!W$60-Ops!W$61</f>
        <v/>
      </c>
      <c r="X30" s="25">
        <f>W30+Ops!X$58+Ops!X$62-Ops!X$60-Ops!X$61</f>
        <v/>
      </c>
      <c r="Y30" s="25">
        <f>X30+Ops!Y$58+Ops!Y$62-Ops!Y$60-Ops!Y$61</f>
        <v/>
      </c>
      <c r="Z30" s="25">
        <f>Y30+Ops!Z$58+Ops!Z$62-Ops!Z$60-Ops!Z$61</f>
        <v/>
      </c>
      <c r="AA30" s="25">
        <f>Z30+Ops!AA$58+Ops!AA$62-Ops!AA$60-Ops!AA$61</f>
        <v/>
      </c>
      <c r="AB30" s="25">
        <f>AA30+Ops!AB$58+Ops!AB$62-Ops!AB$60-Ops!AB$61</f>
        <v/>
      </c>
      <c r="AC30" s="25">
        <f>AB30+Ops!AC$58+Ops!AC$62-Ops!AC$60-Ops!AC$61</f>
        <v/>
      </c>
      <c r="AD30" s="25">
        <f>AC30+Ops!AD$58+Ops!AD$62-Ops!AD$60-Ops!AD$61</f>
        <v/>
      </c>
      <c r="AE30" s="25">
        <f>AD30+Ops!AE$58+Ops!AE$62-Ops!AE$60-Ops!AE$61</f>
        <v/>
      </c>
      <c r="AF30" s="25">
        <f>AE30+Ops!AF$58+Ops!AF$62-Ops!AF$60-Ops!AF$61</f>
        <v/>
      </c>
      <c r="AG30" s="25">
        <f>AF30+Ops!AG$58+Ops!AG$62-Ops!AG$60-Ops!AG$61</f>
        <v/>
      </c>
      <c r="AH30" s="25">
        <f>AG30+Ops!AH$58+Ops!AH$62-Ops!AH$60-Ops!AH$61</f>
        <v/>
      </c>
      <c r="AI30" s="25">
        <f>AH30+Ops!AI$58+Ops!AI$62-Ops!AI$60-Ops!AI$61</f>
        <v/>
      </c>
      <c r="AJ30" s="25">
        <f>AI30+Ops!AJ$58+Ops!AJ$62-Ops!AJ$60-Ops!AJ$61</f>
        <v/>
      </c>
      <c r="AK30" s="25">
        <f>AJ30+Ops!AK$58+Ops!AK$62-Ops!AK$60-Ops!AK$61</f>
        <v/>
      </c>
      <c r="AL30" s="25">
        <f>AK30+Ops!AL$58+Ops!AL$62-Ops!AL$60-Ops!AL$61</f>
        <v/>
      </c>
      <c r="AM30" s="25">
        <f>AL30+Ops!AM$58+Ops!AM$62-Ops!AM$60-Ops!AM$61</f>
        <v/>
      </c>
      <c r="AN30" s="25">
        <f>AM30+Ops!AN$58+Ops!AN$62-Ops!AN$60-Ops!AN$61</f>
        <v/>
      </c>
      <c r="AO30" s="25">
        <f>AN30+Ops!AO$58+Ops!AO$62-Ops!AO$60-Ops!AO$61</f>
        <v/>
      </c>
      <c r="AP30" s="25">
        <f>AO30+Ops!AP$58+Ops!AP$62-Ops!AP$60-Ops!AP$61</f>
        <v/>
      </c>
      <c r="AQ30" s="25">
        <f>AP30+Ops!AQ$58+Ops!AQ$62-Ops!AQ$60-Ops!AQ$61</f>
        <v/>
      </c>
      <c r="AR30" s="25">
        <f>AQ30+Ops!AR$58+Ops!AR$62-Ops!AR$60-Ops!AR$61</f>
        <v/>
      </c>
      <c r="AS30" s="25">
        <f>AR30+Ops!AS$58+Ops!AS$62-Ops!AS$60-Ops!AS$61</f>
        <v/>
      </c>
      <c r="AT30" s="25">
        <f>AS30+Ops!AT$58+Ops!AT$62-Ops!AT$60-Ops!AT$61</f>
        <v/>
      </c>
      <c r="AU30" s="25">
        <f>AT30+Ops!AU$58+Ops!AU$62-Ops!AU$60-Ops!AU$61</f>
        <v/>
      </c>
      <c r="AV30" s="25">
        <f>AU30+Ops!AV$58+Ops!AV$62-Ops!AV$60-Ops!AV$61</f>
        <v/>
      </c>
      <c r="AW30" s="25">
        <f>AV30+Ops!AW$58+Ops!AW$62-Ops!AW$60-Ops!AW$61</f>
        <v/>
      </c>
      <c r="AX30" s="25">
        <f>AW30+Ops!AX$58+Ops!AX$62-Ops!AX$60-Ops!AX$61</f>
        <v/>
      </c>
      <c r="AY30" s="25">
        <f>AX30+Ops!AY$58+Ops!AY$62-Ops!AY$60-Ops!AY$61</f>
        <v/>
      </c>
      <c r="AZ30" s="25">
        <f>AY30+Ops!AZ$58+Ops!AZ$62-Ops!AZ$60-Ops!AZ$61</f>
        <v/>
      </c>
      <c r="BA30" s="25">
        <f>AZ30+Ops!BA$58+Ops!BA$62-Ops!BA$60-Ops!BA$61</f>
        <v/>
      </c>
      <c r="BB30" s="25">
        <f>BA30+Ops!BB$58+Ops!BB$62-Ops!BB$60-Ops!BB$61</f>
        <v/>
      </c>
      <c r="BC30" s="25">
        <f>BB30+Ops!BC$58+Ops!BC$62-Ops!BC$60-Ops!BC$61</f>
        <v/>
      </c>
      <c r="BD30" s="25">
        <f>BC30+Ops!BD$58+Ops!BD$62-Ops!BD$60-Ops!BD$61</f>
        <v/>
      </c>
      <c r="BE30" s="25">
        <f>BD30+Ops!BE$58+Ops!BE$62-Ops!BE$60-Ops!BE$61</f>
        <v/>
      </c>
      <c r="BF30" s="25">
        <f>BE30+Ops!BF$58+Ops!BF$62-Ops!BF$60-Ops!BF$61</f>
        <v/>
      </c>
      <c r="BG30" s="25">
        <f>BF30+Ops!BG$58+Ops!BG$62-Ops!BG$60-Ops!BG$61</f>
        <v/>
      </c>
      <c r="BH30" s="25">
        <f>BG30+Ops!BH$58+Ops!BH$62-Ops!BH$60-Ops!BH$61</f>
        <v/>
      </c>
      <c r="BI30" s="25">
        <f>BH30+Ops!BI$58+Ops!BI$62-Ops!BI$60-Ops!BI$61</f>
        <v/>
      </c>
      <c r="BJ30" s="25">
        <f>BI30+Ops!BJ$58+Ops!BJ$62-Ops!BJ$60-Ops!BJ$61</f>
        <v/>
      </c>
      <c r="BK30" s="25">
        <f>BJ30+Ops!BK$58+Ops!BK$62-Ops!BK$60-Ops!BK$61</f>
        <v/>
      </c>
      <c r="BL30" s="25">
        <f>BK30+Ops!BL$58+Ops!BL$62-Ops!BL$60-Ops!BL$61</f>
        <v/>
      </c>
    </row>
    <row r="31">
      <c r="A31" s="44" t="inlineStr">
        <is>
          <t>Loss allowance (ECL provision)</t>
        </is>
      </c>
      <c r="B31" s="13" t="inlineStr">
        <is>
          <t>LCY</t>
        </is>
      </c>
      <c r="C31" s="45">
        <f>BL31</f>
        <v/>
      </c>
      <c r="E31" s="25">
        <f>D31-Ops!E$63+Ops!E$61</f>
        <v/>
      </c>
      <c r="F31" s="25">
        <f>E31-Ops!F$63+Ops!F$61</f>
        <v/>
      </c>
      <c r="G31" s="25">
        <f>F31-Ops!G$63+Ops!G$61</f>
        <v/>
      </c>
      <c r="H31" s="25">
        <f>G31-Ops!H$63+Ops!H$61</f>
        <v/>
      </c>
      <c r="I31" s="25">
        <f>H31-Ops!I$63+Ops!I$61</f>
        <v/>
      </c>
      <c r="J31" s="25">
        <f>I31-Ops!J$63+Ops!J$61</f>
        <v/>
      </c>
      <c r="K31" s="25">
        <f>J31-Ops!K$63+Ops!K$61</f>
        <v/>
      </c>
      <c r="L31" s="25">
        <f>K31-Ops!L$63+Ops!L$61</f>
        <v/>
      </c>
      <c r="M31" s="25">
        <f>L31-Ops!M$63+Ops!M$61</f>
        <v/>
      </c>
      <c r="N31" s="25">
        <f>M31-Ops!N$63+Ops!N$61</f>
        <v/>
      </c>
      <c r="O31" s="25">
        <f>N31-Ops!O$63+Ops!O$61</f>
        <v/>
      </c>
      <c r="P31" s="25">
        <f>O31-Ops!P$63+Ops!P$61</f>
        <v/>
      </c>
      <c r="Q31" s="25">
        <f>P31-Ops!Q$63+Ops!Q$61</f>
        <v/>
      </c>
      <c r="R31" s="25">
        <f>Q31-Ops!R$63+Ops!R$61</f>
        <v/>
      </c>
      <c r="S31" s="25">
        <f>R31-Ops!S$63+Ops!S$61</f>
        <v/>
      </c>
      <c r="T31" s="25">
        <f>S31-Ops!T$63+Ops!T$61</f>
        <v/>
      </c>
      <c r="U31" s="25">
        <f>T31-Ops!U$63+Ops!U$61</f>
        <v/>
      </c>
      <c r="V31" s="25">
        <f>U31-Ops!V$63+Ops!V$61</f>
        <v/>
      </c>
      <c r="W31" s="25">
        <f>V31-Ops!W$63+Ops!W$61</f>
        <v/>
      </c>
      <c r="X31" s="25">
        <f>W31-Ops!X$63+Ops!X$61</f>
        <v/>
      </c>
      <c r="Y31" s="25">
        <f>X31-Ops!Y$63+Ops!Y$61</f>
        <v/>
      </c>
      <c r="Z31" s="25">
        <f>Y31-Ops!Z$63+Ops!Z$61</f>
        <v/>
      </c>
      <c r="AA31" s="25">
        <f>Z31-Ops!AA$63+Ops!AA$61</f>
        <v/>
      </c>
      <c r="AB31" s="25">
        <f>AA31-Ops!AB$63+Ops!AB$61</f>
        <v/>
      </c>
      <c r="AC31" s="25">
        <f>AB31-Ops!AC$63+Ops!AC$61</f>
        <v/>
      </c>
      <c r="AD31" s="25">
        <f>AC31-Ops!AD$63+Ops!AD$61</f>
        <v/>
      </c>
      <c r="AE31" s="25">
        <f>AD31-Ops!AE$63+Ops!AE$61</f>
        <v/>
      </c>
      <c r="AF31" s="25">
        <f>AE31-Ops!AF$63+Ops!AF$61</f>
        <v/>
      </c>
      <c r="AG31" s="25">
        <f>AF31-Ops!AG$63+Ops!AG$61</f>
        <v/>
      </c>
      <c r="AH31" s="25">
        <f>AG31-Ops!AH$63+Ops!AH$61</f>
        <v/>
      </c>
      <c r="AI31" s="25">
        <f>AH31-Ops!AI$63+Ops!AI$61</f>
        <v/>
      </c>
      <c r="AJ31" s="25">
        <f>AI31-Ops!AJ$63+Ops!AJ$61</f>
        <v/>
      </c>
      <c r="AK31" s="25">
        <f>AJ31-Ops!AK$63+Ops!AK$61</f>
        <v/>
      </c>
      <c r="AL31" s="25">
        <f>AK31-Ops!AL$63+Ops!AL$61</f>
        <v/>
      </c>
      <c r="AM31" s="25">
        <f>AL31-Ops!AM$63+Ops!AM$61</f>
        <v/>
      </c>
      <c r="AN31" s="25">
        <f>AM31-Ops!AN$63+Ops!AN$61</f>
        <v/>
      </c>
      <c r="AO31" s="25">
        <f>AN31-Ops!AO$63+Ops!AO$61</f>
        <v/>
      </c>
      <c r="AP31" s="25">
        <f>AO31-Ops!AP$63+Ops!AP$61</f>
        <v/>
      </c>
      <c r="AQ31" s="25">
        <f>AP31-Ops!AQ$63+Ops!AQ$61</f>
        <v/>
      </c>
      <c r="AR31" s="25">
        <f>AQ31-Ops!AR$63+Ops!AR$61</f>
        <v/>
      </c>
      <c r="AS31" s="25">
        <f>AR31-Ops!AS$63+Ops!AS$61</f>
        <v/>
      </c>
      <c r="AT31" s="25">
        <f>AS31-Ops!AT$63+Ops!AT$61</f>
        <v/>
      </c>
      <c r="AU31" s="25">
        <f>AT31-Ops!AU$63+Ops!AU$61</f>
        <v/>
      </c>
      <c r="AV31" s="25">
        <f>AU31-Ops!AV$63+Ops!AV$61</f>
        <v/>
      </c>
      <c r="AW31" s="25">
        <f>AV31-Ops!AW$63+Ops!AW$61</f>
        <v/>
      </c>
      <c r="AX31" s="25">
        <f>AW31-Ops!AX$63+Ops!AX$61</f>
        <v/>
      </c>
      <c r="AY31" s="25">
        <f>AX31-Ops!AY$63+Ops!AY$61</f>
        <v/>
      </c>
      <c r="AZ31" s="25">
        <f>AY31-Ops!AZ$63+Ops!AZ$61</f>
        <v/>
      </c>
      <c r="BA31" s="25">
        <f>AZ31-Ops!BA$63+Ops!BA$61</f>
        <v/>
      </c>
      <c r="BB31" s="25">
        <f>BA31-Ops!BB$63+Ops!BB$61</f>
        <v/>
      </c>
      <c r="BC31" s="25">
        <f>BB31-Ops!BC$63+Ops!BC$61</f>
        <v/>
      </c>
      <c r="BD31" s="25">
        <f>BC31-Ops!BD$63+Ops!BD$61</f>
        <v/>
      </c>
      <c r="BE31" s="25">
        <f>BD31-Ops!BE$63+Ops!BE$61</f>
        <v/>
      </c>
      <c r="BF31" s="25">
        <f>BE31-Ops!BF$63+Ops!BF$61</f>
        <v/>
      </c>
      <c r="BG31" s="25">
        <f>BF31-Ops!BG$63+Ops!BG$61</f>
        <v/>
      </c>
      <c r="BH31" s="25">
        <f>BG31-Ops!BH$63+Ops!BH$61</f>
        <v/>
      </c>
      <c r="BI31" s="25">
        <f>BH31-Ops!BI$63+Ops!BI$61</f>
        <v/>
      </c>
      <c r="BJ31" s="25">
        <f>BI31-Ops!BJ$63+Ops!BJ$61</f>
        <v/>
      </c>
      <c r="BK31" s="25">
        <f>BJ31-Ops!BK$63+Ops!BK$61</f>
        <v/>
      </c>
      <c r="BL31" s="25">
        <f>BK31-Ops!BL$63+Ops!BL$61</f>
        <v/>
      </c>
    </row>
    <row r="32">
      <c r="A32" s="47" t="inlineStr">
        <is>
          <t>PAYGo receivables - net</t>
        </is>
      </c>
      <c r="B32" s="48" t="inlineStr">
        <is>
          <t>LCY</t>
        </is>
      </c>
      <c r="C32" s="49">
        <f>BL32</f>
        <v/>
      </c>
      <c r="D32" s="50" t="n"/>
      <c r="E32" s="51">
        <f>E30+E31</f>
        <v/>
      </c>
      <c r="F32" s="51">
        <f>F30+F31</f>
        <v/>
      </c>
      <c r="G32" s="51">
        <f>G30+G31</f>
        <v/>
      </c>
      <c r="H32" s="51">
        <f>H30+H31</f>
        <v/>
      </c>
      <c r="I32" s="51">
        <f>I30+I31</f>
        <v/>
      </c>
      <c r="J32" s="51">
        <f>J30+J31</f>
        <v/>
      </c>
      <c r="K32" s="51">
        <f>K30+K31</f>
        <v/>
      </c>
      <c r="L32" s="51">
        <f>L30+L31</f>
        <v/>
      </c>
      <c r="M32" s="51">
        <f>M30+M31</f>
        <v/>
      </c>
      <c r="N32" s="51">
        <f>N30+N31</f>
        <v/>
      </c>
      <c r="O32" s="51">
        <f>O30+O31</f>
        <v/>
      </c>
      <c r="P32" s="51">
        <f>P30+P31</f>
        <v/>
      </c>
      <c r="Q32" s="51">
        <f>Q30+Q31</f>
        <v/>
      </c>
      <c r="R32" s="51">
        <f>R30+R31</f>
        <v/>
      </c>
      <c r="S32" s="51">
        <f>S30+S31</f>
        <v/>
      </c>
      <c r="T32" s="51">
        <f>T30+T31</f>
        <v/>
      </c>
      <c r="U32" s="51">
        <f>U30+U31</f>
        <v/>
      </c>
      <c r="V32" s="51">
        <f>V30+V31</f>
        <v/>
      </c>
      <c r="W32" s="51">
        <f>W30+W31</f>
        <v/>
      </c>
      <c r="X32" s="51">
        <f>X30+X31</f>
        <v/>
      </c>
      <c r="Y32" s="51">
        <f>Y30+Y31</f>
        <v/>
      </c>
      <c r="Z32" s="51">
        <f>Z30+Z31</f>
        <v/>
      </c>
      <c r="AA32" s="51">
        <f>AA30+AA31</f>
        <v/>
      </c>
      <c r="AB32" s="51">
        <f>AB30+AB31</f>
        <v/>
      </c>
      <c r="AC32" s="51">
        <f>AC30+AC31</f>
        <v/>
      </c>
      <c r="AD32" s="51">
        <f>AD30+AD31</f>
        <v/>
      </c>
      <c r="AE32" s="51">
        <f>AE30+AE31</f>
        <v/>
      </c>
      <c r="AF32" s="51">
        <f>AF30+AF31</f>
        <v/>
      </c>
      <c r="AG32" s="51">
        <f>AG30+AG31</f>
        <v/>
      </c>
      <c r="AH32" s="51">
        <f>AH30+AH31</f>
        <v/>
      </c>
      <c r="AI32" s="51">
        <f>AI30+AI31</f>
        <v/>
      </c>
      <c r="AJ32" s="51">
        <f>AJ30+AJ31</f>
        <v/>
      </c>
      <c r="AK32" s="51">
        <f>AK30+AK31</f>
        <v/>
      </c>
      <c r="AL32" s="51">
        <f>AL30+AL31</f>
        <v/>
      </c>
      <c r="AM32" s="51">
        <f>AM30+AM31</f>
        <v/>
      </c>
      <c r="AN32" s="51">
        <f>AN30+AN31</f>
        <v/>
      </c>
      <c r="AO32" s="51">
        <f>AO30+AO31</f>
        <v/>
      </c>
      <c r="AP32" s="51">
        <f>AP30+AP31</f>
        <v/>
      </c>
      <c r="AQ32" s="51">
        <f>AQ30+AQ31</f>
        <v/>
      </c>
      <c r="AR32" s="51">
        <f>AR30+AR31</f>
        <v/>
      </c>
      <c r="AS32" s="51">
        <f>AS30+AS31</f>
        <v/>
      </c>
      <c r="AT32" s="51">
        <f>AT30+AT31</f>
        <v/>
      </c>
      <c r="AU32" s="51">
        <f>AU30+AU31</f>
        <v/>
      </c>
      <c r="AV32" s="51">
        <f>AV30+AV31</f>
        <v/>
      </c>
      <c r="AW32" s="51">
        <f>AW30+AW31</f>
        <v/>
      </c>
      <c r="AX32" s="51">
        <f>AX30+AX31</f>
        <v/>
      </c>
      <c r="AY32" s="51">
        <f>AY30+AY31</f>
        <v/>
      </c>
      <c r="AZ32" s="51">
        <f>AZ30+AZ31</f>
        <v/>
      </c>
      <c r="BA32" s="51">
        <f>BA30+BA31</f>
        <v/>
      </c>
      <c r="BB32" s="51">
        <f>BB30+BB31</f>
        <v/>
      </c>
      <c r="BC32" s="51">
        <f>BC30+BC31</f>
        <v/>
      </c>
      <c r="BD32" s="51">
        <f>BD30+BD31</f>
        <v/>
      </c>
      <c r="BE32" s="51">
        <f>BE30+BE31</f>
        <v/>
      </c>
      <c r="BF32" s="51">
        <f>BF30+BF31</f>
        <v/>
      </c>
      <c r="BG32" s="51">
        <f>BG30+BG31</f>
        <v/>
      </c>
      <c r="BH32" s="51">
        <f>BH30+BH31</f>
        <v/>
      </c>
      <c r="BI32" s="51">
        <f>BI30+BI31</f>
        <v/>
      </c>
      <c r="BJ32" s="51">
        <f>BJ30+BJ31</f>
        <v/>
      </c>
      <c r="BK32" s="51">
        <f>BK30+BK31</f>
        <v/>
      </c>
      <c r="BL32" s="51">
        <f>BL30+BL31</f>
        <v/>
      </c>
    </row>
    <row r="33">
      <c r="A33" s="44" t="inlineStr">
        <is>
          <t>Inventory</t>
        </is>
      </c>
      <c r="B33" s="13" t="inlineStr">
        <is>
          <t>LCY</t>
        </is>
      </c>
      <c r="C33" s="45">
        <f>BL33</f>
        <v/>
      </c>
      <c r="E33" s="46">
        <f>Costs!E$18</f>
        <v/>
      </c>
      <c r="F33" s="46">
        <f>Costs!F$18</f>
        <v/>
      </c>
      <c r="G33" s="46">
        <f>Costs!G$18</f>
        <v/>
      </c>
      <c r="H33" s="46">
        <f>Costs!H$18</f>
        <v/>
      </c>
      <c r="I33" s="46">
        <f>Costs!I$18</f>
        <v/>
      </c>
      <c r="J33" s="46">
        <f>Costs!J$18</f>
        <v/>
      </c>
      <c r="K33" s="46">
        <f>Costs!K$18</f>
        <v/>
      </c>
      <c r="L33" s="46">
        <f>Costs!L$18</f>
        <v/>
      </c>
      <c r="M33" s="46">
        <f>Costs!M$18</f>
        <v/>
      </c>
      <c r="N33" s="46">
        <f>Costs!N$18</f>
        <v/>
      </c>
      <c r="O33" s="46">
        <f>Costs!O$18</f>
        <v/>
      </c>
      <c r="P33" s="46">
        <f>Costs!P$18</f>
        <v/>
      </c>
      <c r="Q33" s="46">
        <f>Costs!Q$18</f>
        <v/>
      </c>
      <c r="R33" s="46">
        <f>Costs!R$18</f>
        <v/>
      </c>
      <c r="S33" s="46">
        <f>Costs!S$18</f>
        <v/>
      </c>
      <c r="T33" s="46">
        <f>Costs!T$18</f>
        <v/>
      </c>
      <c r="U33" s="46">
        <f>Costs!U$18</f>
        <v/>
      </c>
      <c r="V33" s="46">
        <f>Costs!V$18</f>
        <v/>
      </c>
      <c r="W33" s="46">
        <f>Costs!W$18</f>
        <v/>
      </c>
      <c r="X33" s="46">
        <f>Costs!X$18</f>
        <v/>
      </c>
      <c r="Y33" s="46">
        <f>Costs!Y$18</f>
        <v/>
      </c>
      <c r="Z33" s="46">
        <f>Costs!Z$18</f>
        <v/>
      </c>
      <c r="AA33" s="46">
        <f>Costs!AA$18</f>
        <v/>
      </c>
      <c r="AB33" s="46">
        <f>Costs!AB$18</f>
        <v/>
      </c>
      <c r="AC33" s="46">
        <f>Costs!AC$18</f>
        <v/>
      </c>
      <c r="AD33" s="46">
        <f>Costs!AD$18</f>
        <v/>
      </c>
      <c r="AE33" s="46">
        <f>Costs!AE$18</f>
        <v/>
      </c>
      <c r="AF33" s="46">
        <f>Costs!AF$18</f>
        <v/>
      </c>
      <c r="AG33" s="46">
        <f>Costs!AG$18</f>
        <v/>
      </c>
      <c r="AH33" s="46">
        <f>Costs!AH$18</f>
        <v/>
      </c>
      <c r="AI33" s="46">
        <f>Costs!AI$18</f>
        <v/>
      </c>
      <c r="AJ33" s="46">
        <f>Costs!AJ$18</f>
        <v/>
      </c>
      <c r="AK33" s="46">
        <f>Costs!AK$18</f>
        <v/>
      </c>
      <c r="AL33" s="46">
        <f>Costs!AL$18</f>
        <v/>
      </c>
      <c r="AM33" s="46">
        <f>Costs!AM$18</f>
        <v/>
      </c>
      <c r="AN33" s="46">
        <f>Costs!AN$18</f>
        <v/>
      </c>
      <c r="AO33" s="46">
        <f>Costs!AO$18</f>
        <v/>
      </c>
      <c r="AP33" s="46">
        <f>Costs!AP$18</f>
        <v/>
      </c>
      <c r="AQ33" s="46">
        <f>Costs!AQ$18</f>
        <v/>
      </c>
      <c r="AR33" s="46">
        <f>Costs!AR$18</f>
        <v/>
      </c>
      <c r="AS33" s="46">
        <f>Costs!AS$18</f>
        <v/>
      </c>
      <c r="AT33" s="46">
        <f>Costs!AT$18</f>
        <v/>
      </c>
      <c r="AU33" s="46">
        <f>Costs!AU$18</f>
        <v/>
      </c>
      <c r="AV33" s="46">
        <f>Costs!AV$18</f>
        <v/>
      </c>
      <c r="AW33" s="46">
        <f>Costs!AW$18</f>
        <v/>
      </c>
      <c r="AX33" s="46">
        <f>Costs!AX$18</f>
        <v/>
      </c>
      <c r="AY33" s="46">
        <f>Costs!AY$18</f>
        <v/>
      </c>
      <c r="AZ33" s="46">
        <f>Costs!AZ$18</f>
        <v/>
      </c>
      <c r="BA33" s="46">
        <f>Costs!BA$18</f>
        <v/>
      </c>
      <c r="BB33" s="46">
        <f>Costs!BB$18</f>
        <v/>
      </c>
      <c r="BC33" s="46">
        <f>Costs!BC$18</f>
        <v/>
      </c>
      <c r="BD33" s="46">
        <f>Costs!BD$18</f>
        <v/>
      </c>
      <c r="BE33" s="46">
        <f>Costs!BE$18</f>
        <v/>
      </c>
      <c r="BF33" s="46">
        <f>Costs!BF$18</f>
        <v/>
      </c>
      <c r="BG33" s="46">
        <f>Costs!BG$18</f>
        <v/>
      </c>
      <c r="BH33" s="46">
        <f>Costs!BH$18</f>
        <v/>
      </c>
      <c r="BI33" s="46">
        <f>Costs!BI$18</f>
        <v/>
      </c>
      <c r="BJ33" s="46">
        <f>Costs!BJ$18</f>
        <v/>
      </c>
      <c r="BK33" s="46">
        <f>Costs!BK$18</f>
        <v/>
      </c>
      <c r="BL33" s="46">
        <f>Costs!BL$18</f>
        <v/>
      </c>
    </row>
    <row r="34">
      <c r="A34" s="44" t="inlineStr">
        <is>
          <t>Net fixed assets</t>
        </is>
      </c>
      <c r="B34" s="13" t="inlineStr">
        <is>
          <t>LCY</t>
        </is>
      </c>
      <c r="C34" s="45">
        <f>BL34</f>
        <v/>
      </c>
      <c r="E34" s="46">
        <f>Costs!E$24</f>
        <v/>
      </c>
      <c r="F34" s="46">
        <f>Costs!F$24</f>
        <v/>
      </c>
      <c r="G34" s="46">
        <f>Costs!G$24</f>
        <v/>
      </c>
      <c r="H34" s="46">
        <f>Costs!H$24</f>
        <v/>
      </c>
      <c r="I34" s="46">
        <f>Costs!I$24</f>
        <v/>
      </c>
      <c r="J34" s="46">
        <f>Costs!J$24</f>
        <v/>
      </c>
      <c r="K34" s="46">
        <f>Costs!K$24</f>
        <v/>
      </c>
      <c r="L34" s="46">
        <f>Costs!L$24</f>
        <v/>
      </c>
      <c r="M34" s="46">
        <f>Costs!M$24</f>
        <v/>
      </c>
      <c r="N34" s="46">
        <f>Costs!N$24</f>
        <v/>
      </c>
      <c r="O34" s="46">
        <f>Costs!O$24</f>
        <v/>
      </c>
      <c r="P34" s="46">
        <f>Costs!P$24</f>
        <v/>
      </c>
      <c r="Q34" s="46">
        <f>Costs!Q$24</f>
        <v/>
      </c>
      <c r="R34" s="46">
        <f>Costs!R$24</f>
        <v/>
      </c>
      <c r="S34" s="46">
        <f>Costs!S$24</f>
        <v/>
      </c>
      <c r="T34" s="46">
        <f>Costs!T$24</f>
        <v/>
      </c>
      <c r="U34" s="46">
        <f>Costs!U$24</f>
        <v/>
      </c>
      <c r="V34" s="46">
        <f>Costs!V$24</f>
        <v/>
      </c>
      <c r="W34" s="46">
        <f>Costs!W$24</f>
        <v/>
      </c>
      <c r="X34" s="46">
        <f>Costs!X$24</f>
        <v/>
      </c>
      <c r="Y34" s="46">
        <f>Costs!Y$24</f>
        <v/>
      </c>
      <c r="Z34" s="46">
        <f>Costs!Z$24</f>
        <v/>
      </c>
      <c r="AA34" s="46">
        <f>Costs!AA$24</f>
        <v/>
      </c>
      <c r="AB34" s="46">
        <f>Costs!AB$24</f>
        <v/>
      </c>
      <c r="AC34" s="46">
        <f>Costs!AC$24</f>
        <v/>
      </c>
      <c r="AD34" s="46">
        <f>Costs!AD$24</f>
        <v/>
      </c>
      <c r="AE34" s="46">
        <f>Costs!AE$24</f>
        <v/>
      </c>
      <c r="AF34" s="46">
        <f>Costs!AF$24</f>
        <v/>
      </c>
      <c r="AG34" s="46">
        <f>Costs!AG$24</f>
        <v/>
      </c>
      <c r="AH34" s="46">
        <f>Costs!AH$24</f>
        <v/>
      </c>
      <c r="AI34" s="46">
        <f>Costs!AI$24</f>
        <v/>
      </c>
      <c r="AJ34" s="46">
        <f>Costs!AJ$24</f>
        <v/>
      </c>
      <c r="AK34" s="46">
        <f>Costs!AK$24</f>
        <v/>
      </c>
      <c r="AL34" s="46">
        <f>Costs!AL$24</f>
        <v/>
      </c>
      <c r="AM34" s="46">
        <f>Costs!AM$24</f>
        <v/>
      </c>
      <c r="AN34" s="46">
        <f>Costs!AN$24</f>
        <v/>
      </c>
      <c r="AO34" s="46">
        <f>Costs!AO$24</f>
        <v/>
      </c>
      <c r="AP34" s="46">
        <f>Costs!AP$24</f>
        <v/>
      </c>
      <c r="AQ34" s="46">
        <f>Costs!AQ$24</f>
        <v/>
      </c>
      <c r="AR34" s="46">
        <f>Costs!AR$24</f>
        <v/>
      </c>
      <c r="AS34" s="46">
        <f>Costs!AS$24</f>
        <v/>
      </c>
      <c r="AT34" s="46">
        <f>Costs!AT$24</f>
        <v/>
      </c>
      <c r="AU34" s="46">
        <f>Costs!AU$24</f>
        <v/>
      </c>
      <c r="AV34" s="46">
        <f>Costs!AV$24</f>
        <v/>
      </c>
      <c r="AW34" s="46">
        <f>Costs!AW$24</f>
        <v/>
      </c>
      <c r="AX34" s="46">
        <f>Costs!AX$24</f>
        <v/>
      </c>
      <c r="AY34" s="46">
        <f>Costs!AY$24</f>
        <v/>
      </c>
      <c r="AZ34" s="46">
        <f>Costs!AZ$24</f>
        <v/>
      </c>
      <c r="BA34" s="46">
        <f>Costs!BA$24</f>
        <v/>
      </c>
      <c r="BB34" s="46">
        <f>Costs!BB$24</f>
        <v/>
      </c>
      <c r="BC34" s="46">
        <f>Costs!BC$24</f>
        <v/>
      </c>
      <c r="BD34" s="46">
        <f>Costs!BD$24</f>
        <v/>
      </c>
      <c r="BE34" s="46">
        <f>Costs!BE$24</f>
        <v/>
      </c>
      <c r="BF34" s="46">
        <f>Costs!BF$24</f>
        <v/>
      </c>
      <c r="BG34" s="46">
        <f>Costs!BG$24</f>
        <v/>
      </c>
      <c r="BH34" s="46">
        <f>Costs!BH$24</f>
        <v/>
      </c>
      <c r="BI34" s="46">
        <f>Costs!BI$24</f>
        <v/>
      </c>
      <c r="BJ34" s="46">
        <f>Costs!BJ$24</f>
        <v/>
      </c>
      <c r="BK34" s="46">
        <f>Costs!BK$24</f>
        <v/>
      </c>
      <c r="BL34" s="46">
        <f>Costs!BL$24</f>
        <v/>
      </c>
    </row>
    <row r="35">
      <c r="A35" s="47" t="inlineStr">
        <is>
          <t>Total assets</t>
        </is>
      </c>
      <c r="B35" s="48" t="inlineStr">
        <is>
          <t>LCY</t>
        </is>
      </c>
      <c r="C35" s="49">
        <f>BL35</f>
        <v/>
      </c>
      <c r="D35" s="50" t="n"/>
      <c r="E35" s="51">
        <f>E29+E32+E33+E34</f>
        <v/>
      </c>
      <c r="F35" s="51">
        <f>F29+F32+F33+F34</f>
        <v/>
      </c>
      <c r="G35" s="51">
        <f>G29+G32+G33+G34</f>
        <v/>
      </c>
      <c r="H35" s="51">
        <f>H29+H32+H33+H34</f>
        <v/>
      </c>
      <c r="I35" s="51">
        <f>I29+I32+I33+I34</f>
        <v/>
      </c>
      <c r="J35" s="51">
        <f>J29+J32+J33+J34</f>
        <v/>
      </c>
      <c r="K35" s="51">
        <f>K29+K32+K33+K34</f>
        <v/>
      </c>
      <c r="L35" s="51">
        <f>L29+L32+L33+L34</f>
        <v/>
      </c>
      <c r="M35" s="51">
        <f>M29+M32+M33+M34</f>
        <v/>
      </c>
      <c r="N35" s="51">
        <f>N29+N32+N33+N34</f>
        <v/>
      </c>
      <c r="O35" s="51">
        <f>O29+O32+O33+O34</f>
        <v/>
      </c>
      <c r="P35" s="51">
        <f>P29+P32+P33+P34</f>
        <v/>
      </c>
      <c r="Q35" s="51">
        <f>Q29+Q32+Q33+Q34</f>
        <v/>
      </c>
      <c r="R35" s="51">
        <f>R29+R32+R33+R34</f>
        <v/>
      </c>
      <c r="S35" s="51">
        <f>S29+S32+S33+S34</f>
        <v/>
      </c>
      <c r="T35" s="51">
        <f>T29+T32+T33+T34</f>
        <v/>
      </c>
      <c r="U35" s="51">
        <f>U29+U32+U33+U34</f>
        <v/>
      </c>
      <c r="V35" s="51">
        <f>V29+V32+V33+V34</f>
        <v/>
      </c>
      <c r="W35" s="51">
        <f>W29+W32+W33+W34</f>
        <v/>
      </c>
      <c r="X35" s="51">
        <f>X29+X32+X33+X34</f>
        <v/>
      </c>
      <c r="Y35" s="51">
        <f>Y29+Y32+Y33+Y34</f>
        <v/>
      </c>
      <c r="Z35" s="51">
        <f>Z29+Z32+Z33+Z34</f>
        <v/>
      </c>
      <c r="AA35" s="51">
        <f>AA29+AA32+AA33+AA34</f>
        <v/>
      </c>
      <c r="AB35" s="51">
        <f>AB29+AB32+AB33+AB34</f>
        <v/>
      </c>
      <c r="AC35" s="51">
        <f>AC29+AC32+AC33+AC34</f>
        <v/>
      </c>
      <c r="AD35" s="51">
        <f>AD29+AD32+AD33+AD34</f>
        <v/>
      </c>
      <c r="AE35" s="51">
        <f>AE29+AE32+AE33+AE34</f>
        <v/>
      </c>
      <c r="AF35" s="51">
        <f>AF29+AF32+AF33+AF34</f>
        <v/>
      </c>
      <c r="AG35" s="51">
        <f>AG29+AG32+AG33+AG34</f>
        <v/>
      </c>
      <c r="AH35" s="51">
        <f>AH29+AH32+AH33+AH34</f>
        <v/>
      </c>
      <c r="AI35" s="51">
        <f>AI29+AI32+AI33+AI34</f>
        <v/>
      </c>
      <c r="AJ35" s="51">
        <f>AJ29+AJ32+AJ33+AJ34</f>
        <v/>
      </c>
      <c r="AK35" s="51">
        <f>AK29+AK32+AK33+AK34</f>
        <v/>
      </c>
      <c r="AL35" s="51">
        <f>AL29+AL32+AL33+AL34</f>
        <v/>
      </c>
      <c r="AM35" s="51">
        <f>AM29+AM32+AM33+AM34</f>
        <v/>
      </c>
      <c r="AN35" s="51">
        <f>AN29+AN32+AN33+AN34</f>
        <v/>
      </c>
      <c r="AO35" s="51">
        <f>AO29+AO32+AO33+AO34</f>
        <v/>
      </c>
      <c r="AP35" s="51">
        <f>AP29+AP32+AP33+AP34</f>
        <v/>
      </c>
      <c r="AQ35" s="51">
        <f>AQ29+AQ32+AQ33+AQ34</f>
        <v/>
      </c>
      <c r="AR35" s="51">
        <f>AR29+AR32+AR33+AR34</f>
        <v/>
      </c>
      <c r="AS35" s="51">
        <f>AS29+AS32+AS33+AS34</f>
        <v/>
      </c>
      <c r="AT35" s="51">
        <f>AT29+AT32+AT33+AT34</f>
        <v/>
      </c>
      <c r="AU35" s="51">
        <f>AU29+AU32+AU33+AU34</f>
        <v/>
      </c>
      <c r="AV35" s="51">
        <f>AV29+AV32+AV33+AV34</f>
        <v/>
      </c>
      <c r="AW35" s="51">
        <f>AW29+AW32+AW33+AW34</f>
        <v/>
      </c>
      <c r="AX35" s="51">
        <f>AX29+AX32+AX33+AX34</f>
        <v/>
      </c>
      <c r="AY35" s="51">
        <f>AY29+AY32+AY33+AY34</f>
        <v/>
      </c>
      <c r="AZ35" s="51">
        <f>AZ29+AZ32+AZ33+AZ34</f>
        <v/>
      </c>
      <c r="BA35" s="51">
        <f>BA29+BA32+BA33+BA34</f>
        <v/>
      </c>
      <c r="BB35" s="51">
        <f>BB29+BB32+BB33+BB34</f>
        <v/>
      </c>
      <c r="BC35" s="51">
        <f>BC29+BC32+BC33+BC34</f>
        <v/>
      </c>
      <c r="BD35" s="51">
        <f>BD29+BD32+BD33+BD34</f>
        <v/>
      </c>
      <c r="BE35" s="51">
        <f>BE29+BE32+BE33+BE34</f>
        <v/>
      </c>
      <c r="BF35" s="51">
        <f>BF29+BF32+BF33+BF34</f>
        <v/>
      </c>
      <c r="BG35" s="51">
        <f>BG29+BG32+BG33+BG34</f>
        <v/>
      </c>
      <c r="BH35" s="51">
        <f>BH29+BH32+BH33+BH34</f>
        <v/>
      </c>
      <c r="BI35" s="51">
        <f>BI29+BI32+BI33+BI34</f>
        <v/>
      </c>
      <c r="BJ35" s="51">
        <f>BJ29+BJ32+BJ33+BJ34</f>
        <v/>
      </c>
      <c r="BK35" s="51">
        <f>BK29+BK32+BK33+BK34</f>
        <v/>
      </c>
      <c r="BL35" s="51">
        <f>BL29+BL32+BL33+BL34</f>
        <v/>
      </c>
    </row>
    <row r="36">
      <c r="A36" s="44" t="inlineStr">
        <is>
          <t>Supplier payables</t>
        </is>
      </c>
      <c r="B36" s="13" t="inlineStr">
        <is>
          <t>LCY</t>
        </is>
      </c>
      <c r="C36" s="45">
        <f>BL36</f>
        <v/>
      </c>
      <c r="E36" s="46">
        <f>Costs!E$20</f>
        <v/>
      </c>
      <c r="F36" s="46">
        <f>Costs!F$20</f>
        <v/>
      </c>
      <c r="G36" s="46">
        <f>Costs!G$20</f>
        <v/>
      </c>
      <c r="H36" s="46">
        <f>Costs!H$20</f>
        <v/>
      </c>
      <c r="I36" s="46">
        <f>Costs!I$20</f>
        <v/>
      </c>
      <c r="J36" s="46">
        <f>Costs!J$20</f>
        <v/>
      </c>
      <c r="K36" s="46">
        <f>Costs!K$20</f>
        <v/>
      </c>
      <c r="L36" s="46">
        <f>Costs!L$20</f>
        <v/>
      </c>
      <c r="M36" s="46">
        <f>Costs!M$20</f>
        <v/>
      </c>
      <c r="N36" s="46">
        <f>Costs!N$20</f>
        <v/>
      </c>
      <c r="O36" s="46">
        <f>Costs!O$20</f>
        <v/>
      </c>
      <c r="P36" s="46">
        <f>Costs!P$20</f>
        <v/>
      </c>
      <c r="Q36" s="46">
        <f>Costs!Q$20</f>
        <v/>
      </c>
      <c r="R36" s="46">
        <f>Costs!R$20</f>
        <v/>
      </c>
      <c r="S36" s="46">
        <f>Costs!S$20</f>
        <v/>
      </c>
      <c r="T36" s="46">
        <f>Costs!T$20</f>
        <v/>
      </c>
      <c r="U36" s="46">
        <f>Costs!U$20</f>
        <v/>
      </c>
      <c r="V36" s="46">
        <f>Costs!V$20</f>
        <v/>
      </c>
      <c r="W36" s="46">
        <f>Costs!W$20</f>
        <v/>
      </c>
      <c r="X36" s="46">
        <f>Costs!X$20</f>
        <v/>
      </c>
      <c r="Y36" s="46">
        <f>Costs!Y$20</f>
        <v/>
      </c>
      <c r="Z36" s="46">
        <f>Costs!Z$20</f>
        <v/>
      </c>
      <c r="AA36" s="46">
        <f>Costs!AA$20</f>
        <v/>
      </c>
      <c r="AB36" s="46">
        <f>Costs!AB$20</f>
        <v/>
      </c>
      <c r="AC36" s="46">
        <f>Costs!AC$20</f>
        <v/>
      </c>
      <c r="AD36" s="46">
        <f>Costs!AD$20</f>
        <v/>
      </c>
      <c r="AE36" s="46">
        <f>Costs!AE$20</f>
        <v/>
      </c>
      <c r="AF36" s="46">
        <f>Costs!AF$20</f>
        <v/>
      </c>
      <c r="AG36" s="46">
        <f>Costs!AG$20</f>
        <v/>
      </c>
      <c r="AH36" s="46">
        <f>Costs!AH$20</f>
        <v/>
      </c>
      <c r="AI36" s="46">
        <f>Costs!AI$20</f>
        <v/>
      </c>
      <c r="AJ36" s="46">
        <f>Costs!AJ$20</f>
        <v/>
      </c>
      <c r="AK36" s="46">
        <f>Costs!AK$20</f>
        <v/>
      </c>
      <c r="AL36" s="46">
        <f>Costs!AL$20</f>
        <v/>
      </c>
      <c r="AM36" s="46">
        <f>Costs!AM$20</f>
        <v/>
      </c>
      <c r="AN36" s="46">
        <f>Costs!AN$20</f>
        <v/>
      </c>
      <c r="AO36" s="46">
        <f>Costs!AO$20</f>
        <v/>
      </c>
      <c r="AP36" s="46">
        <f>Costs!AP$20</f>
        <v/>
      </c>
      <c r="AQ36" s="46">
        <f>Costs!AQ$20</f>
        <v/>
      </c>
      <c r="AR36" s="46">
        <f>Costs!AR$20</f>
        <v/>
      </c>
      <c r="AS36" s="46">
        <f>Costs!AS$20</f>
        <v/>
      </c>
      <c r="AT36" s="46">
        <f>Costs!AT$20</f>
        <v/>
      </c>
      <c r="AU36" s="46">
        <f>Costs!AU$20</f>
        <v/>
      </c>
      <c r="AV36" s="46">
        <f>Costs!AV$20</f>
        <v/>
      </c>
      <c r="AW36" s="46">
        <f>Costs!AW$20</f>
        <v/>
      </c>
      <c r="AX36" s="46">
        <f>Costs!AX$20</f>
        <v/>
      </c>
      <c r="AY36" s="46">
        <f>Costs!AY$20</f>
        <v/>
      </c>
      <c r="AZ36" s="46">
        <f>Costs!AZ$20</f>
        <v/>
      </c>
      <c r="BA36" s="46">
        <f>Costs!BA$20</f>
        <v/>
      </c>
      <c r="BB36" s="46">
        <f>Costs!BB$20</f>
        <v/>
      </c>
      <c r="BC36" s="46">
        <f>Costs!BC$20</f>
        <v/>
      </c>
      <c r="BD36" s="46">
        <f>Costs!BD$20</f>
        <v/>
      </c>
      <c r="BE36" s="46">
        <f>Costs!BE$20</f>
        <v/>
      </c>
      <c r="BF36" s="46">
        <f>Costs!BF$20</f>
        <v/>
      </c>
      <c r="BG36" s="46">
        <f>Costs!BG$20</f>
        <v/>
      </c>
      <c r="BH36" s="46">
        <f>Costs!BH$20</f>
        <v/>
      </c>
      <c r="BI36" s="46">
        <f>Costs!BI$20</f>
        <v/>
      </c>
      <c r="BJ36" s="46">
        <f>Costs!BJ$20</f>
        <v/>
      </c>
      <c r="BK36" s="46">
        <f>Costs!BK$20</f>
        <v/>
      </c>
      <c r="BL36" s="46">
        <f>Costs!BL$20</f>
        <v/>
      </c>
    </row>
    <row r="37">
      <c r="A37" s="44" t="inlineStr">
        <is>
          <t>USD term loan (in LCY)</t>
        </is>
      </c>
      <c r="B37" s="13" t="inlineStr">
        <is>
          <t>LCY</t>
        </is>
      </c>
      <c r="C37" s="45">
        <f>BL37</f>
        <v/>
      </c>
      <c r="E37" s="46">
        <f>Financing!E$19</f>
        <v/>
      </c>
      <c r="F37" s="46">
        <f>Financing!F$19</f>
        <v/>
      </c>
      <c r="G37" s="46">
        <f>Financing!G$19</f>
        <v/>
      </c>
      <c r="H37" s="46">
        <f>Financing!H$19</f>
        <v/>
      </c>
      <c r="I37" s="46">
        <f>Financing!I$19</f>
        <v/>
      </c>
      <c r="J37" s="46">
        <f>Financing!J$19</f>
        <v/>
      </c>
      <c r="K37" s="46">
        <f>Financing!K$19</f>
        <v/>
      </c>
      <c r="L37" s="46">
        <f>Financing!L$19</f>
        <v/>
      </c>
      <c r="M37" s="46">
        <f>Financing!M$19</f>
        <v/>
      </c>
      <c r="N37" s="46">
        <f>Financing!N$19</f>
        <v/>
      </c>
      <c r="O37" s="46">
        <f>Financing!O$19</f>
        <v/>
      </c>
      <c r="P37" s="46">
        <f>Financing!P$19</f>
        <v/>
      </c>
      <c r="Q37" s="46">
        <f>Financing!Q$19</f>
        <v/>
      </c>
      <c r="R37" s="46">
        <f>Financing!R$19</f>
        <v/>
      </c>
      <c r="S37" s="46">
        <f>Financing!S$19</f>
        <v/>
      </c>
      <c r="T37" s="46">
        <f>Financing!T$19</f>
        <v/>
      </c>
      <c r="U37" s="46">
        <f>Financing!U$19</f>
        <v/>
      </c>
      <c r="V37" s="46">
        <f>Financing!V$19</f>
        <v/>
      </c>
      <c r="W37" s="46">
        <f>Financing!W$19</f>
        <v/>
      </c>
      <c r="X37" s="46">
        <f>Financing!X$19</f>
        <v/>
      </c>
      <c r="Y37" s="46">
        <f>Financing!Y$19</f>
        <v/>
      </c>
      <c r="Z37" s="46">
        <f>Financing!Z$19</f>
        <v/>
      </c>
      <c r="AA37" s="46">
        <f>Financing!AA$19</f>
        <v/>
      </c>
      <c r="AB37" s="46">
        <f>Financing!AB$19</f>
        <v/>
      </c>
      <c r="AC37" s="46">
        <f>Financing!AC$19</f>
        <v/>
      </c>
      <c r="AD37" s="46">
        <f>Financing!AD$19</f>
        <v/>
      </c>
      <c r="AE37" s="46">
        <f>Financing!AE$19</f>
        <v/>
      </c>
      <c r="AF37" s="46">
        <f>Financing!AF$19</f>
        <v/>
      </c>
      <c r="AG37" s="46">
        <f>Financing!AG$19</f>
        <v/>
      </c>
      <c r="AH37" s="46">
        <f>Financing!AH$19</f>
        <v/>
      </c>
      <c r="AI37" s="46">
        <f>Financing!AI$19</f>
        <v/>
      </c>
      <c r="AJ37" s="46">
        <f>Financing!AJ$19</f>
        <v/>
      </c>
      <c r="AK37" s="46">
        <f>Financing!AK$19</f>
        <v/>
      </c>
      <c r="AL37" s="46">
        <f>Financing!AL$19</f>
        <v/>
      </c>
      <c r="AM37" s="46">
        <f>Financing!AM$19</f>
        <v/>
      </c>
      <c r="AN37" s="46">
        <f>Financing!AN$19</f>
        <v/>
      </c>
      <c r="AO37" s="46">
        <f>Financing!AO$19</f>
        <v/>
      </c>
      <c r="AP37" s="46">
        <f>Financing!AP$19</f>
        <v/>
      </c>
      <c r="AQ37" s="46">
        <f>Financing!AQ$19</f>
        <v/>
      </c>
      <c r="AR37" s="46">
        <f>Financing!AR$19</f>
        <v/>
      </c>
      <c r="AS37" s="46">
        <f>Financing!AS$19</f>
        <v/>
      </c>
      <c r="AT37" s="46">
        <f>Financing!AT$19</f>
        <v/>
      </c>
      <c r="AU37" s="46">
        <f>Financing!AU$19</f>
        <v/>
      </c>
      <c r="AV37" s="46">
        <f>Financing!AV$19</f>
        <v/>
      </c>
      <c r="AW37" s="46">
        <f>Financing!AW$19</f>
        <v/>
      </c>
      <c r="AX37" s="46">
        <f>Financing!AX$19</f>
        <v/>
      </c>
      <c r="AY37" s="46">
        <f>Financing!AY$19</f>
        <v/>
      </c>
      <c r="AZ37" s="46">
        <f>Financing!AZ$19</f>
        <v/>
      </c>
      <c r="BA37" s="46">
        <f>Financing!BA$19</f>
        <v/>
      </c>
      <c r="BB37" s="46">
        <f>Financing!BB$19</f>
        <v/>
      </c>
      <c r="BC37" s="46">
        <f>Financing!BC$19</f>
        <v/>
      </c>
      <c r="BD37" s="46">
        <f>Financing!BD$19</f>
        <v/>
      </c>
      <c r="BE37" s="46">
        <f>Financing!BE$19</f>
        <v/>
      </c>
      <c r="BF37" s="46">
        <f>Financing!BF$19</f>
        <v/>
      </c>
      <c r="BG37" s="46">
        <f>Financing!BG$19</f>
        <v/>
      </c>
      <c r="BH37" s="46">
        <f>Financing!BH$19</f>
        <v/>
      </c>
      <c r="BI37" s="46">
        <f>Financing!BI$19</f>
        <v/>
      </c>
      <c r="BJ37" s="46">
        <f>Financing!BJ$19</f>
        <v/>
      </c>
      <c r="BK37" s="46">
        <f>Financing!BK$19</f>
        <v/>
      </c>
      <c r="BL37" s="46">
        <f>Financing!BL$19</f>
        <v/>
      </c>
    </row>
    <row r="38">
      <c r="A38" s="44" t="inlineStr">
        <is>
          <t>Receivables facility</t>
        </is>
      </c>
      <c r="B38" s="13" t="inlineStr">
        <is>
          <t>LCY</t>
        </is>
      </c>
      <c r="C38" s="45">
        <f>BL38</f>
        <v/>
      </c>
      <c r="E38" s="46">
        <f>Financing!E$24</f>
        <v/>
      </c>
      <c r="F38" s="46">
        <f>Financing!F$24</f>
        <v/>
      </c>
      <c r="G38" s="46">
        <f>Financing!G$24</f>
        <v/>
      </c>
      <c r="H38" s="46">
        <f>Financing!H$24</f>
        <v/>
      </c>
      <c r="I38" s="46">
        <f>Financing!I$24</f>
        <v/>
      </c>
      <c r="J38" s="46">
        <f>Financing!J$24</f>
        <v/>
      </c>
      <c r="K38" s="46">
        <f>Financing!K$24</f>
        <v/>
      </c>
      <c r="L38" s="46">
        <f>Financing!L$24</f>
        <v/>
      </c>
      <c r="M38" s="46">
        <f>Financing!M$24</f>
        <v/>
      </c>
      <c r="N38" s="46">
        <f>Financing!N$24</f>
        <v/>
      </c>
      <c r="O38" s="46">
        <f>Financing!O$24</f>
        <v/>
      </c>
      <c r="P38" s="46">
        <f>Financing!P$24</f>
        <v/>
      </c>
      <c r="Q38" s="46">
        <f>Financing!Q$24</f>
        <v/>
      </c>
      <c r="R38" s="46">
        <f>Financing!R$24</f>
        <v/>
      </c>
      <c r="S38" s="46">
        <f>Financing!S$24</f>
        <v/>
      </c>
      <c r="T38" s="46">
        <f>Financing!T$24</f>
        <v/>
      </c>
      <c r="U38" s="46">
        <f>Financing!U$24</f>
        <v/>
      </c>
      <c r="V38" s="46">
        <f>Financing!V$24</f>
        <v/>
      </c>
      <c r="W38" s="46">
        <f>Financing!W$24</f>
        <v/>
      </c>
      <c r="X38" s="46">
        <f>Financing!X$24</f>
        <v/>
      </c>
      <c r="Y38" s="46">
        <f>Financing!Y$24</f>
        <v/>
      </c>
      <c r="Z38" s="46">
        <f>Financing!Z$24</f>
        <v/>
      </c>
      <c r="AA38" s="46">
        <f>Financing!AA$24</f>
        <v/>
      </c>
      <c r="AB38" s="46">
        <f>Financing!AB$24</f>
        <v/>
      </c>
      <c r="AC38" s="46">
        <f>Financing!AC$24</f>
        <v/>
      </c>
      <c r="AD38" s="46">
        <f>Financing!AD$24</f>
        <v/>
      </c>
      <c r="AE38" s="46">
        <f>Financing!AE$24</f>
        <v/>
      </c>
      <c r="AF38" s="46">
        <f>Financing!AF$24</f>
        <v/>
      </c>
      <c r="AG38" s="46">
        <f>Financing!AG$24</f>
        <v/>
      </c>
      <c r="AH38" s="46">
        <f>Financing!AH$24</f>
        <v/>
      </c>
      <c r="AI38" s="46">
        <f>Financing!AI$24</f>
        <v/>
      </c>
      <c r="AJ38" s="46">
        <f>Financing!AJ$24</f>
        <v/>
      </c>
      <c r="AK38" s="46">
        <f>Financing!AK$24</f>
        <v/>
      </c>
      <c r="AL38" s="46">
        <f>Financing!AL$24</f>
        <v/>
      </c>
      <c r="AM38" s="46">
        <f>Financing!AM$24</f>
        <v/>
      </c>
      <c r="AN38" s="46">
        <f>Financing!AN$24</f>
        <v/>
      </c>
      <c r="AO38" s="46">
        <f>Financing!AO$24</f>
        <v/>
      </c>
      <c r="AP38" s="46">
        <f>Financing!AP$24</f>
        <v/>
      </c>
      <c r="AQ38" s="46">
        <f>Financing!AQ$24</f>
        <v/>
      </c>
      <c r="AR38" s="46">
        <f>Financing!AR$24</f>
        <v/>
      </c>
      <c r="AS38" s="46">
        <f>Financing!AS$24</f>
        <v/>
      </c>
      <c r="AT38" s="46">
        <f>Financing!AT$24</f>
        <v/>
      </c>
      <c r="AU38" s="46">
        <f>Financing!AU$24</f>
        <v/>
      </c>
      <c r="AV38" s="46">
        <f>Financing!AV$24</f>
        <v/>
      </c>
      <c r="AW38" s="46">
        <f>Financing!AW$24</f>
        <v/>
      </c>
      <c r="AX38" s="46">
        <f>Financing!AX$24</f>
        <v/>
      </c>
      <c r="AY38" s="46">
        <f>Financing!AY$24</f>
        <v/>
      </c>
      <c r="AZ38" s="46">
        <f>Financing!AZ$24</f>
        <v/>
      </c>
      <c r="BA38" s="46">
        <f>Financing!BA$24</f>
        <v/>
      </c>
      <c r="BB38" s="46">
        <f>Financing!BB$24</f>
        <v/>
      </c>
      <c r="BC38" s="46">
        <f>Financing!BC$24</f>
        <v/>
      </c>
      <c r="BD38" s="46">
        <f>Financing!BD$24</f>
        <v/>
      </c>
      <c r="BE38" s="46">
        <f>Financing!BE$24</f>
        <v/>
      </c>
      <c r="BF38" s="46">
        <f>Financing!BF$24</f>
        <v/>
      </c>
      <c r="BG38" s="46">
        <f>Financing!BG$24</f>
        <v/>
      </c>
      <c r="BH38" s="46">
        <f>Financing!BH$24</f>
        <v/>
      </c>
      <c r="BI38" s="46">
        <f>Financing!BI$24</f>
        <v/>
      </c>
      <c r="BJ38" s="46">
        <f>Financing!BJ$24</f>
        <v/>
      </c>
      <c r="BK38" s="46">
        <f>Financing!BK$24</f>
        <v/>
      </c>
      <c r="BL38" s="46">
        <f>Financing!BL$24</f>
        <v/>
      </c>
    </row>
    <row r="39">
      <c r="A39" s="44" t="inlineStr">
        <is>
          <t>Total liabilities</t>
        </is>
      </c>
      <c r="B39" s="13" t="inlineStr">
        <is>
          <t>LCY</t>
        </is>
      </c>
      <c r="C39" s="45">
        <f>BL39</f>
        <v/>
      </c>
      <c r="E39" s="25">
        <f>E36+E37+E38</f>
        <v/>
      </c>
      <c r="F39" s="25">
        <f>F36+F37+F38</f>
        <v/>
      </c>
      <c r="G39" s="25">
        <f>G36+G37+G38</f>
        <v/>
      </c>
      <c r="H39" s="25">
        <f>H36+H37+H38</f>
        <v/>
      </c>
      <c r="I39" s="25">
        <f>I36+I37+I38</f>
        <v/>
      </c>
      <c r="J39" s="25">
        <f>J36+J37+J38</f>
        <v/>
      </c>
      <c r="K39" s="25">
        <f>K36+K37+K38</f>
        <v/>
      </c>
      <c r="L39" s="25">
        <f>L36+L37+L38</f>
        <v/>
      </c>
      <c r="M39" s="25">
        <f>M36+M37+M38</f>
        <v/>
      </c>
      <c r="N39" s="25">
        <f>N36+N37+N38</f>
        <v/>
      </c>
      <c r="O39" s="25">
        <f>O36+O37+O38</f>
        <v/>
      </c>
      <c r="P39" s="25">
        <f>P36+P37+P38</f>
        <v/>
      </c>
      <c r="Q39" s="25">
        <f>Q36+Q37+Q38</f>
        <v/>
      </c>
      <c r="R39" s="25">
        <f>R36+R37+R38</f>
        <v/>
      </c>
      <c r="S39" s="25">
        <f>S36+S37+S38</f>
        <v/>
      </c>
      <c r="T39" s="25">
        <f>T36+T37+T38</f>
        <v/>
      </c>
      <c r="U39" s="25">
        <f>U36+U37+U38</f>
        <v/>
      </c>
      <c r="V39" s="25">
        <f>V36+V37+V38</f>
        <v/>
      </c>
      <c r="W39" s="25">
        <f>W36+W37+W38</f>
        <v/>
      </c>
      <c r="X39" s="25">
        <f>X36+X37+X38</f>
        <v/>
      </c>
      <c r="Y39" s="25">
        <f>Y36+Y37+Y38</f>
        <v/>
      </c>
      <c r="Z39" s="25">
        <f>Z36+Z37+Z38</f>
        <v/>
      </c>
      <c r="AA39" s="25">
        <f>AA36+AA37+AA38</f>
        <v/>
      </c>
      <c r="AB39" s="25">
        <f>AB36+AB37+AB38</f>
        <v/>
      </c>
      <c r="AC39" s="25">
        <f>AC36+AC37+AC38</f>
        <v/>
      </c>
      <c r="AD39" s="25">
        <f>AD36+AD37+AD38</f>
        <v/>
      </c>
      <c r="AE39" s="25">
        <f>AE36+AE37+AE38</f>
        <v/>
      </c>
      <c r="AF39" s="25">
        <f>AF36+AF37+AF38</f>
        <v/>
      </c>
      <c r="AG39" s="25">
        <f>AG36+AG37+AG38</f>
        <v/>
      </c>
      <c r="AH39" s="25">
        <f>AH36+AH37+AH38</f>
        <v/>
      </c>
      <c r="AI39" s="25">
        <f>AI36+AI37+AI38</f>
        <v/>
      </c>
      <c r="AJ39" s="25">
        <f>AJ36+AJ37+AJ38</f>
        <v/>
      </c>
      <c r="AK39" s="25">
        <f>AK36+AK37+AK38</f>
        <v/>
      </c>
      <c r="AL39" s="25">
        <f>AL36+AL37+AL38</f>
        <v/>
      </c>
      <c r="AM39" s="25">
        <f>AM36+AM37+AM38</f>
        <v/>
      </c>
      <c r="AN39" s="25">
        <f>AN36+AN37+AN38</f>
        <v/>
      </c>
      <c r="AO39" s="25">
        <f>AO36+AO37+AO38</f>
        <v/>
      </c>
      <c r="AP39" s="25">
        <f>AP36+AP37+AP38</f>
        <v/>
      </c>
      <c r="AQ39" s="25">
        <f>AQ36+AQ37+AQ38</f>
        <v/>
      </c>
      <c r="AR39" s="25">
        <f>AR36+AR37+AR38</f>
        <v/>
      </c>
      <c r="AS39" s="25">
        <f>AS36+AS37+AS38</f>
        <v/>
      </c>
      <c r="AT39" s="25">
        <f>AT36+AT37+AT38</f>
        <v/>
      </c>
      <c r="AU39" s="25">
        <f>AU36+AU37+AU38</f>
        <v/>
      </c>
      <c r="AV39" s="25">
        <f>AV36+AV37+AV38</f>
        <v/>
      </c>
      <c r="AW39" s="25">
        <f>AW36+AW37+AW38</f>
        <v/>
      </c>
      <c r="AX39" s="25">
        <f>AX36+AX37+AX38</f>
        <v/>
      </c>
      <c r="AY39" s="25">
        <f>AY36+AY37+AY38</f>
        <v/>
      </c>
      <c r="AZ39" s="25">
        <f>AZ36+AZ37+AZ38</f>
        <v/>
      </c>
      <c r="BA39" s="25">
        <f>BA36+BA37+BA38</f>
        <v/>
      </c>
      <c r="BB39" s="25">
        <f>BB36+BB37+BB38</f>
        <v/>
      </c>
      <c r="BC39" s="25">
        <f>BC36+BC37+BC38</f>
        <v/>
      </c>
      <c r="BD39" s="25">
        <f>BD36+BD37+BD38</f>
        <v/>
      </c>
      <c r="BE39" s="25">
        <f>BE36+BE37+BE38</f>
        <v/>
      </c>
      <c r="BF39" s="25">
        <f>BF36+BF37+BF38</f>
        <v/>
      </c>
      <c r="BG39" s="25">
        <f>BG36+BG37+BG38</f>
        <v/>
      </c>
      <c r="BH39" s="25">
        <f>BH36+BH37+BH38</f>
        <v/>
      </c>
      <c r="BI39" s="25">
        <f>BI36+BI37+BI38</f>
        <v/>
      </c>
      <c r="BJ39" s="25">
        <f>BJ36+BJ37+BJ38</f>
        <v/>
      </c>
      <c r="BK39" s="25">
        <f>BK36+BK37+BK38</f>
        <v/>
      </c>
      <c r="BL39" s="25">
        <f>BL36+BL37+BL38</f>
        <v/>
      </c>
    </row>
    <row r="40">
      <c r="A40" s="44" t="inlineStr">
        <is>
          <t>Share capital</t>
        </is>
      </c>
      <c r="B40" s="13" t="inlineStr">
        <is>
          <t>LCY</t>
        </is>
      </c>
      <c r="C40" s="45">
        <f>BL40</f>
        <v/>
      </c>
      <c r="E40" s="46">
        <f>Financing!E$11</f>
        <v/>
      </c>
      <c r="F40" s="46">
        <f>Financing!F$11</f>
        <v/>
      </c>
      <c r="G40" s="46">
        <f>Financing!G$11</f>
        <v/>
      </c>
      <c r="H40" s="46">
        <f>Financing!H$11</f>
        <v/>
      </c>
      <c r="I40" s="46">
        <f>Financing!I$11</f>
        <v/>
      </c>
      <c r="J40" s="46">
        <f>Financing!J$11</f>
        <v/>
      </c>
      <c r="K40" s="46">
        <f>Financing!K$11</f>
        <v/>
      </c>
      <c r="L40" s="46">
        <f>Financing!L$11</f>
        <v/>
      </c>
      <c r="M40" s="46">
        <f>Financing!M$11</f>
        <v/>
      </c>
      <c r="N40" s="46">
        <f>Financing!N$11</f>
        <v/>
      </c>
      <c r="O40" s="46">
        <f>Financing!O$11</f>
        <v/>
      </c>
      <c r="P40" s="46">
        <f>Financing!P$11</f>
        <v/>
      </c>
      <c r="Q40" s="46">
        <f>Financing!Q$11</f>
        <v/>
      </c>
      <c r="R40" s="46">
        <f>Financing!R$11</f>
        <v/>
      </c>
      <c r="S40" s="46">
        <f>Financing!S$11</f>
        <v/>
      </c>
      <c r="T40" s="46">
        <f>Financing!T$11</f>
        <v/>
      </c>
      <c r="U40" s="46">
        <f>Financing!U$11</f>
        <v/>
      </c>
      <c r="V40" s="46">
        <f>Financing!V$11</f>
        <v/>
      </c>
      <c r="W40" s="46">
        <f>Financing!W$11</f>
        <v/>
      </c>
      <c r="X40" s="46">
        <f>Financing!X$11</f>
        <v/>
      </c>
      <c r="Y40" s="46">
        <f>Financing!Y$11</f>
        <v/>
      </c>
      <c r="Z40" s="46">
        <f>Financing!Z$11</f>
        <v/>
      </c>
      <c r="AA40" s="46">
        <f>Financing!AA$11</f>
        <v/>
      </c>
      <c r="AB40" s="46">
        <f>Financing!AB$11</f>
        <v/>
      </c>
      <c r="AC40" s="46">
        <f>Financing!AC$11</f>
        <v/>
      </c>
      <c r="AD40" s="46">
        <f>Financing!AD$11</f>
        <v/>
      </c>
      <c r="AE40" s="46">
        <f>Financing!AE$11</f>
        <v/>
      </c>
      <c r="AF40" s="46">
        <f>Financing!AF$11</f>
        <v/>
      </c>
      <c r="AG40" s="46">
        <f>Financing!AG$11</f>
        <v/>
      </c>
      <c r="AH40" s="46">
        <f>Financing!AH$11</f>
        <v/>
      </c>
      <c r="AI40" s="46">
        <f>Financing!AI$11</f>
        <v/>
      </c>
      <c r="AJ40" s="46">
        <f>Financing!AJ$11</f>
        <v/>
      </c>
      <c r="AK40" s="46">
        <f>Financing!AK$11</f>
        <v/>
      </c>
      <c r="AL40" s="46">
        <f>Financing!AL$11</f>
        <v/>
      </c>
      <c r="AM40" s="46">
        <f>Financing!AM$11</f>
        <v/>
      </c>
      <c r="AN40" s="46">
        <f>Financing!AN$11</f>
        <v/>
      </c>
      <c r="AO40" s="46">
        <f>Financing!AO$11</f>
        <v/>
      </c>
      <c r="AP40" s="46">
        <f>Financing!AP$11</f>
        <v/>
      </c>
      <c r="AQ40" s="46">
        <f>Financing!AQ$11</f>
        <v/>
      </c>
      <c r="AR40" s="46">
        <f>Financing!AR$11</f>
        <v/>
      </c>
      <c r="AS40" s="46">
        <f>Financing!AS$11</f>
        <v/>
      </c>
      <c r="AT40" s="46">
        <f>Financing!AT$11</f>
        <v/>
      </c>
      <c r="AU40" s="46">
        <f>Financing!AU$11</f>
        <v/>
      </c>
      <c r="AV40" s="46">
        <f>Financing!AV$11</f>
        <v/>
      </c>
      <c r="AW40" s="46">
        <f>Financing!AW$11</f>
        <v/>
      </c>
      <c r="AX40" s="46">
        <f>Financing!AX$11</f>
        <v/>
      </c>
      <c r="AY40" s="46">
        <f>Financing!AY$11</f>
        <v/>
      </c>
      <c r="AZ40" s="46">
        <f>Financing!AZ$11</f>
        <v/>
      </c>
      <c r="BA40" s="46">
        <f>Financing!BA$11</f>
        <v/>
      </c>
      <c r="BB40" s="46">
        <f>Financing!BB$11</f>
        <v/>
      </c>
      <c r="BC40" s="46">
        <f>Financing!BC$11</f>
        <v/>
      </c>
      <c r="BD40" s="46">
        <f>Financing!BD$11</f>
        <v/>
      </c>
      <c r="BE40" s="46">
        <f>Financing!BE$11</f>
        <v/>
      </c>
      <c r="BF40" s="46">
        <f>Financing!BF$11</f>
        <v/>
      </c>
      <c r="BG40" s="46">
        <f>Financing!BG$11</f>
        <v/>
      </c>
      <c r="BH40" s="46">
        <f>Financing!BH$11</f>
        <v/>
      </c>
      <c r="BI40" s="46">
        <f>Financing!BI$11</f>
        <v/>
      </c>
      <c r="BJ40" s="46">
        <f>Financing!BJ$11</f>
        <v/>
      </c>
      <c r="BK40" s="46">
        <f>Financing!BK$11</f>
        <v/>
      </c>
      <c r="BL40" s="46">
        <f>Financing!BL$11</f>
        <v/>
      </c>
    </row>
    <row r="41">
      <c r="A41" s="44" t="inlineStr">
        <is>
          <t>Retained earnings</t>
        </is>
      </c>
      <c r="B41" s="13" t="inlineStr">
        <is>
          <t>LCY</t>
        </is>
      </c>
      <c r="C41" s="45">
        <f>BL41</f>
        <v/>
      </c>
      <c r="E41" s="25">
        <f>D41+E26</f>
        <v/>
      </c>
      <c r="F41" s="25">
        <f>E41+F26</f>
        <v/>
      </c>
      <c r="G41" s="25">
        <f>F41+G26</f>
        <v/>
      </c>
      <c r="H41" s="25">
        <f>G41+H26</f>
        <v/>
      </c>
      <c r="I41" s="25">
        <f>H41+I26</f>
        <v/>
      </c>
      <c r="J41" s="25">
        <f>I41+J26</f>
        <v/>
      </c>
      <c r="K41" s="25">
        <f>J41+K26</f>
        <v/>
      </c>
      <c r="L41" s="25">
        <f>K41+L26</f>
        <v/>
      </c>
      <c r="M41" s="25">
        <f>L41+M26</f>
        <v/>
      </c>
      <c r="N41" s="25">
        <f>M41+N26</f>
        <v/>
      </c>
      <c r="O41" s="25">
        <f>N41+O26</f>
        <v/>
      </c>
      <c r="P41" s="25">
        <f>O41+P26</f>
        <v/>
      </c>
      <c r="Q41" s="25">
        <f>P41+Q26</f>
        <v/>
      </c>
      <c r="R41" s="25">
        <f>Q41+R26</f>
        <v/>
      </c>
      <c r="S41" s="25">
        <f>R41+S26</f>
        <v/>
      </c>
      <c r="T41" s="25">
        <f>S41+T26</f>
        <v/>
      </c>
      <c r="U41" s="25">
        <f>T41+U26</f>
        <v/>
      </c>
      <c r="V41" s="25">
        <f>U41+V26</f>
        <v/>
      </c>
      <c r="W41" s="25">
        <f>V41+W26</f>
        <v/>
      </c>
      <c r="X41" s="25">
        <f>W41+X26</f>
        <v/>
      </c>
      <c r="Y41" s="25">
        <f>X41+Y26</f>
        <v/>
      </c>
      <c r="Z41" s="25">
        <f>Y41+Z26</f>
        <v/>
      </c>
      <c r="AA41" s="25">
        <f>Z41+AA26</f>
        <v/>
      </c>
      <c r="AB41" s="25">
        <f>AA41+AB26</f>
        <v/>
      </c>
      <c r="AC41" s="25">
        <f>AB41+AC26</f>
        <v/>
      </c>
      <c r="AD41" s="25">
        <f>AC41+AD26</f>
        <v/>
      </c>
      <c r="AE41" s="25">
        <f>AD41+AE26</f>
        <v/>
      </c>
      <c r="AF41" s="25">
        <f>AE41+AF26</f>
        <v/>
      </c>
      <c r="AG41" s="25">
        <f>AF41+AG26</f>
        <v/>
      </c>
      <c r="AH41" s="25">
        <f>AG41+AH26</f>
        <v/>
      </c>
      <c r="AI41" s="25">
        <f>AH41+AI26</f>
        <v/>
      </c>
      <c r="AJ41" s="25">
        <f>AI41+AJ26</f>
        <v/>
      </c>
      <c r="AK41" s="25">
        <f>AJ41+AK26</f>
        <v/>
      </c>
      <c r="AL41" s="25">
        <f>AK41+AL26</f>
        <v/>
      </c>
      <c r="AM41" s="25">
        <f>AL41+AM26</f>
        <v/>
      </c>
      <c r="AN41" s="25">
        <f>AM41+AN26</f>
        <v/>
      </c>
      <c r="AO41" s="25">
        <f>AN41+AO26</f>
        <v/>
      </c>
      <c r="AP41" s="25">
        <f>AO41+AP26</f>
        <v/>
      </c>
      <c r="AQ41" s="25">
        <f>AP41+AQ26</f>
        <v/>
      </c>
      <c r="AR41" s="25">
        <f>AQ41+AR26</f>
        <v/>
      </c>
      <c r="AS41" s="25">
        <f>AR41+AS26</f>
        <v/>
      </c>
      <c r="AT41" s="25">
        <f>AS41+AT26</f>
        <v/>
      </c>
      <c r="AU41" s="25">
        <f>AT41+AU26</f>
        <v/>
      </c>
      <c r="AV41" s="25">
        <f>AU41+AV26</f>
        <v/>
      </c>
      <c r="AW41" s="25">
        <f>AV41+AW26</f>
        <v/>
      </c>
      <c r="AX41" s="25">
        <f>AW41+AX26</f>
        <v/>
      </c>
      <c r="AY41" s="25">
        <f>AX41+AY26</f>
        <v/>
      </c>
      <c r="AZ41" s="25">
        <f>AY41+AZ26</f>
        <v/>
      </c>
      <c r="BA41" s="25">
        <f>AZ41+BA26</f>
        <v/>
      </c>
      <c r="BB41" s="25">
        <f>BA41+BB26</f>
        <v/>
      </c>
      <c r="BC41" s="25">
        <f>BB41+BC26</f>
        <v/>
      </c>
      <c r="BD41" s="25">
        <f>BC41+BD26</f>
        <v/>
      </c>
      <c r="BE41" s="25">
        <f>BD41+BE26</f>
        <v/>
      </c>
      <c r="BF41" s="25">
        <f>BE41+BF26</f>
        <v/>
      </c>
      <c r="BG41" s="25">
        <f>BF41+BG26</f>
        <v/>
      </c>
      <c r="BH41" s="25">
        <f>BG41+BH26</f>
        <v/>
      </c>
      <c r="BI41" s="25">
        <f>BH41+BI26</f>
        <v/>
      </c>
      <c r="BJ41" s="25">
        <f>BI41+BJ26</f>
        <v/>
      </c>
      <c r="BK41" s="25">
        <f>BJ41+BK26</f>
        <v/>
      </c>
      <c r="BL41" s="25">
        <f>BK41+BL26</f>
        <v/>
      </c>
    </row>
    <row r="42">
      <c r="A42" s="44" t="inlineStr">
        <is>
          <t>Total equity</t>
        </is>
      </c>
      <c r="B42" s="13" t="inlineStr">
        <is>
          <t>LCY</t>
        </is>
      </c>
      <c r="C42" s="45">
        <f>BL42</f>
        <v/>
      </c>
      <c r="E42" s="25">
        <f>E40+E41</f>
        <v/>
      </c>
      <c r="F42" s="25">
        <f>F40+F41</f>
        <v/>
      </c>
      <c r="G42" s="25">
        <f>G40+G41</f>
        <v/>
      </c>
      <c r="H42" s="25">
        <f>H40+H41</f>
        <v/>
      </c>
      <c r="I42" s="25">
        <f>I40+I41</f>
        <v/>
      </c>
      <c r="J42" s="25">
        <f>J40+J41</f>
        <v/>
      </c>
      <c r="K42" s="25">
        <f>K40+K41</f>
        <v/>
      </c>
      <c r="L42" s="25">
        <f>L40+L41</f>
        <v/>
      </c>
      <c r="M42" s="25">
        <f>M40+M41</f>
        <v/>
      </c>
      <c r="N42" s="25">
        <f>N40+N41</f>
        <v/>
      </c>
      <c r="O42" s="25">
        <f>O40+O41</f>
        <v/>
      </c>
      <c r="P42" s="25">
        <f>P40+P41</f>
        <v/>
      </c>
      <c r="Q42" s="25">
        <f>Q40+Q41</f>
        <v/>
      </c>
      <c r="R42" s="25">
        <f>R40+R41</f>
        <v/>
      </c>
      <c r="S42" s="25">
        <f>S40+S41</f>
        <v/>
      </c>
      <c r="T42" s="25">
        <f>T40+T41</f>
        <v/>
      </c>
      <c r="U42" s="25">
        <f>U40+U41</f>
        <v/>
      </c>
      <c r="V42" s="25">
        <f>V40+V41</f>
        <v/>
      </c>
      <c r="W42" s="25">
        <f>W40+W41</f>
        <v/>
      </c>
      <c r="X42" s="25">
        <f>X40+X41</f>
        <v/>
      </c>
      <c r="Y42" s="25">
        <f>Y40+Y41</f>
        <v/>
      </c>
      <c r="Z42" s="25">
        <f>Z40+Z41</f>
        <v/>
      </c>
      <c r="AA42" s="25">
        <f>AA40+AA41</f>
        <v/>
      </c>
      <c r="AB42" s="25">
        <f>AB40+AB41</f>
        <v/>
      </c>
      <c r="AC42" s="25">
        <f>AC40+AC41</f>
        <v/>
      </c>
      <c r="AD42" s="25">
        <f>AD40+AD41</f>
        <v/>
      </c>
      <c r="AE42" s="25">
        <f>AE40+AE41</f>
        <v/>
      </c>
      <c r="AF42" s="25">
        <f>AF40+AF41</f>
        <v/>
      </c>
      <c r="AG42" s="25">
        <f>AG40+AG41</f>
        <v/>
      </c>
      <c r="AH42" s="25">
        <f>AH40+AH41</f>
        <v/>
      </c>
      <c r="AI42" s="25">
        <f>AI40+AI41</f>
        <v/>
      </c>
      <c r="AJ42" s="25">
        <f>AJ40+AJ41</f>
        <v/>
      </c>
      <c r="AK42" s="25">
        <f>AK40+AK41</f>
        <v/>
      </c>
      <c r="AL42" s="25">
        <f>AL40+AL41</f>
        <v/>
      </c>
      <c r="AM42" s="25">
        <f>AM40+AM41</f>
        <v/>
      </c>
      <c r="AN42" s="25">
        <f>AN40+AN41</f>
        <v/>
      </c>
      <c r="AO42" s="25">
        <f>AO40+AO41</f>
        <v/>
      </c>
      <c r="AP42" s="25">
        <f>AP40+AP41</f>
        <v/>
      </c>
      <c r="AQ42" s="25">
        <f>AQ40+AQ41</f>
        <v/>
      </c>
      <c r="AR42" s="25">
        <f>AR40+AR41</f>
        <v/>
      </c>
      <c r="AS42" s="25">
        <f>AS40+AS41</f>
        <v/>
      </c>
      <c r="AT42" s="25">
        <f>AT40+AT41</f>
        <v/>
      </c>
      <c r="AU42" s="25">
        <f>AU40+AU41</f>
        <v/>
      </c>
      <c r="AV42" s="25">
        <f>AV40+AV41</f>
        <v/>
      </c>
      <c r="AW42" s="25">
        <f>AW40+AW41</f>
        <v/>
      </c>
      <c r="AX42" s="25">
        <f>AX40+AX41</f>
        <v/>
      </c>
      <c r="AY42" s="25">
        <f>AY40+AY41</f>
        <v/>
      </c>
      <c r="AZ42" s="25">
        <f>AZ40+AZ41</f>
        <v/>
      </c>
      <c r="BA42" s="25">
        <f>BA40+BA41</f>
        <v/>
      </c>
      <c r="BB42" s="25">
        <f>BB40+BB41</f>
        <v/>
      </c>
      <c r="BC42" s="25">
        <f>BC40+BC41</f>
        <v/>
      </c>
      <c r="BD42" s="25">
        <f>BD40+BD41</f>
        <v/>
      </c>
      <c r="BE42" s="25">
        <f>BE40+BE41</f>
        <v/>
      </c>
      <c r="BF42" s="25">
        <f>BF40+BF41</f>
        <v/>
      </c>
      <c r="BG42" s="25">
        <f>BG40+BG41</f>
        <v/>
      </c>
      <c r="BH42" s="25">
        <f>BH40+BH41</f>
        <v/>
      </c>
      <c r="BI42" s="25">
        <f>BI40+BI41</f>
        <v/>
      </c>
      <c r="BJ42" s="25">
        <f>BJ40+BJ41</f>
        <v/>
      </c>
      <c r="BK42" s="25">
        <f>BK40+BK41</f>
        <v/>
      </c>
      <c r="BL42" s="25">
        <f>BL40+BL41</f>
        <v/>
      </c>
    </row>
    <row r="43">
      <c r="A43" s="47" t="inlineStr">
        <is>
          <t>Total liabilities &amp; equity</t>
        </is>
      </c>
      <c r="B43" s="48" t="inlineStr">
        <is>
          <t>LCY</t>
        </is>
      </c>
      <c r="C43" s="49">
        <f>BL43</f>
        <v/>
      </c>
      <c r="D43" s="50" t="n"/>
      <c r="E43" s="51">
        <f>E39+E42</f>
        <v/>
      </c>
      <c r="F43" s="51">
        <f>F39+F42</f>
        <v/>
      </c>
      <c r="G43" s="51">
        <f>G39+G42</f>
        <v/>
      </c>
      <c r="H43" s="51">
        <f>H39+H42</f>
        <v/>
      </c>
      <c r="I43" s="51">
        <f>I39+I42</f>
        <v/>
      </c>
      <c r="J43" s="51">
        <f>J39+J42</f>
        <v/>
      </c>
      <c r="K43" s="51">
        <f>K39+K42</f>
        <v/>
      </c>
      <c r="L43" s="51">
        <f>L39+L42</f>
        <v/>
      </c>
      <c r="M43" s="51">
        <f>M39+M42</f>
        <v/>
      </c>
      <c r="N43" s="51">
        <f>N39+N42</f>
        <v/>
      </c>
      <c r="O43" s="51">
        <f>O39+O42</f>
        <v/>
      </c>
      <c r="P43" s="51">
        <f>P39+P42</f>
        <v/>
      </c>
      <c r="Q43" s="51">
        <f>Q39+Q42</f>
        <v/>
      </c>
      <c r="R43" s="51">
        <f>R39+R42</f>
        <v/>
      </c>
      <c r="S43" s="51">
        <f>S39+S42</f>
        <v/>
      </c>
      <c r="T43" s="51">
        <f>T39+T42</f>
        <v/>
      </c>
      <c r="U43" s="51">
        <f>U39+U42</f>
        <v/>
      </c>
      <c r="V43" s="51">
        <f>V39+V42</f>
        <v/>
      </c>
      <c r="W43" s="51">
        <f>W39+W42</f>
        <v/>
      </c>
      <c r="X43" s="51">
        <f>X39+X42</f>
        <v/>
      </c>
      <c r="Y43" s="51">
        <f>Y39+Y42</f>
        <v/>
      </c>
      <c r="Z43" s="51">
        <f>Z39+Z42</f>
        <v/>
      </c>
      <c r="AA43" s="51">
        <f>AA39+AA42</f>
        <v/>
      </c>
      <c r="AB43" s="51">
        <f>AB39+AB42</f>
        <v/>
      </c>
      <c r="AC43" s="51">
        <f>AC39+AC42</f>
        <v/>
      </c>
      <c r="AD43" s="51">
        <f>AD39+AD42</f>
        <v/>
      </c>
      <c r="AE43" s="51">
        <f>AE39+AE42</f>
        <v/>
      </c>
      <c r="AF43" s="51">
        <f>AF39+AF42</f>
        <v/>
      </c>
      <c r="AG43" s="51">
        <f>AG39+AG42</f>
        <v/>
      </c>
      <c r="AH43" s="51">
        <f>AH39+AH42</f>
        <v/>
      </c>
      <c r="AI43" s="51">
        <f>AI39+AI42</f>
        <v/>
      </c>
      <c r="AJ43" s="51">
        <f>AJ39+AJ42</f>
        <v/>
      </c>
      <c r="AK43" s="51">
        <f>AK39+AK42</f>
        <v/>
      </c>
      <c r="AL43" s="51">
        <f>AL39+AL42</f>
        <v/>
      </c>
      <c r="AM43" s="51">
        <f>AM39+AM42</f>
        <v/>
      </c>
      <c r="AN43" s="51">
        <f>AN39+AN42</f>
        <v/>
      </c>
      <c r="AO43" s="51">
        <f>AO39+AO42</f>
        <v/>
      </c>
      <c r="AP43" s="51">
        <f>AP39+AP42</f>
        <v/>
      </c>
      <c r="AQ43" s="51">
        <f>AQ39+AQ42</f>
        <v/>
      </c>
      <c r="AR43" s="51">
        <f>AR39+AR42</f>
        <v/>
      </c>
      <c r="AS43" s="51">
        <f>AS39+AS42</f>
        <v/>
      </c>
      <c r="AT43" s="51">
        <f>AT39+AT42</f>
        <v/>
      </c>
      <c r="AU43" s="51">
        <f>AU39+AU42</f>
        <v/>
      </c>
      <c r="AV43" s="51">
        <f>AV39+AV42</f>
        <v/>
      </c>
      <c r="AW43" s="51">
        <f>AW39+AW42</f>
        <v/>
      </c>
      <c r="AX43" s="51">
        <f>AX39+AX42</f>
        <v/>
      </c>
      <c r="AY43" s="51">
        <f>AY39+AY42</f>
        <v/>
      </c>
      <c r="AZ43" s="51">
        <f>AZ39+AZ42</f>
        <v/>
      </c>
      <c r="BA43" s="51">
        <f>BA39+BA42</f>
        <v/>
      </c>
      <c r="BB43" s="51">
        <f>BB39+BB42</f>
        <v/>
      </c>
      <c r="BC43" s="51">
        <f>BC39+BC42</f>
        <v/>
      </c>
      <c r="BD43" s="51">
        <f>BD39+BD42</f>
        <v/>
      </c>
      <c r="BE43" s="51">
        <f>BE39+BE42</f>
        <v/>
      </c>
      <c r="BF43" s="51">
        <f>BF39+BF42</f>
        <v/>
      </c>
      <c r="BG43" s="51">
        <f>BG39+BG42</f>
        <v/>
      </c>
      <c r="BH43" s="51">
        <f>BH39+BH42</f>
        <v/>
      </c>
      <c r="BI43" s="51">
        <f>BI39+BI42</f>
        <v/>
      </c>
      <c r="BJ43" s="51">
        <f>BJ39+BJ42</f>
        <v/>
      </c>
      <c r="BK43" s="51">
        <f>BK39+BK42</f>
        <v/>
      </c>
      <c r="BL43" s="51">
        <f>BL39+BL42</f>
        <v/>
      </c>
    </row>
    <row r="44">
      <c r="A44" s="44" t="inlineStr">
        <is>
          <t>Balance check (should be 0)</t>
        </is>
      </c>
      <c r="B44" s="13" t="inlineStr">
        <is>
          <t>LCY</t>
        </is>
      </c>
      <c r="C44" s="45">
        <f>MAX(E44:BL44)</f>
        <v/>
      </c>
      <c r="E44" s="25">
        <f>ROUND(E35-E43,0)</f>
        <v/>
      </c>
      <c r="F44" s="25">
        <f>ROUND(F35-F43,0)</f>
        <v/>
      </c>
      <c r="G44" s="25">
        <f>ROUND(G35-G43,0)</f>
        <v/>
      </c>
      <c r="H44" s="25">
        <f>ROUND(H35-H43,0)</f>
        <v/>
      </c>
      <c r="I44" s="25">
        <f>ROUND(I35-I43,0)</f>
        <v/>
      </c>
      <c r="J44" s="25">
        <f>ROUND(J35-J43,0)</f>
        <v/>
      </c>
      <c r="K44" s="25">
        <f>ROUND(K35-K43,0)</f>
        <v/>
      </c>
      <c r="L44" s="25">
        <f>ROUND(L35-L43,0)</f>
        <v/>
      </c>
      <c r="M44" s="25">
        <f>ROUND(M35-M43,0)</f>
        <v/>
      </c>
      <c r="N44" s="25">
        <f>ROUND(N35-N43,0)</f>
        <v/>
      </c>
      <c r="O44" s="25">
        <f>ROUND(O35-O43,0)</f>
        <v/>
      </c>
      <c r="P44" s="25">
        <f>ROUND(P35-P43,0)</f>
        <v/>
      </c>
      <c r="Q44" s="25">
        <f>ROUND(Q35-Q43,0)</f>
        <v/>
      </c>
      <c r="R44" s="25">
        <f>ROUND(R35-R43,0)</f>
        <v/>
      </c>
      <c r="S44" s="25">
        <f>ROUND(S35-S43,0)</f>
        <v/>
      </c>
      <c r="T44" s="25">
        <f>ROUND(T35-T43,0)</f>
        <v/>
      </c>
      <c r="U44" s="25">
        <f>ROUND(U35-U43,0)</f>
        <v/>
      </c>
      <c r="V44" s="25">
        <f>ROUND(V35-V43,0)</f>
        <v/>
      </c>
      <c r="W44" s="25">
        <f>ROUND(W35-W43,0)</f>
        <v/>
      </c>
      <c r="X44" s="25">
        <f>ROUND(X35-X43,0)</f>
        <v/>
      </c>
      <c r="Y44" s="25">
        <f>ROUND(Y35-Y43,0)</f>
        <v/>
      </c>
      <c r="Z44" s="25">
        <f>ROUND(Z35-Z43,0)</f>
        <v/>
      </c>
      <c r="AA44" s="25">
        <f>ROUND(AA35-AA43,0)</f>
        <v/>
      </c>
      <c r="AB44" s="25">
        <f>ROUND(AB35-AB43,0)</f>
        <v/>
      </c>
      <c r="AC44" s="25">
        <f>ROUND(AC35-AC43,0)</f>
        <v/>
      </c>
      <c r="AD44" s="25">
        <f>ROUND(AD35-AD43,0)</f>
        <v/>
      </c>
      <c r="AE44" s="25">
        <f>ROUND(AE35-AE43,0)</f>
        <v/>
      </c>
      <c r="AF44" s="25">
        <f>ROUND(AF35-AF43,0)</f>
        <v/>
      </c>
      <c r="AG44" s="25">
        <f>ROUND(AG35-AG43,0)</f>
        <v/>
      </c>
      <c r="AH44" s="25">
        <f>ROUND(AH35-AH43,0)</f>
        <v/>
      </c>
      <c r="AI44" s="25">
        <f>ROUND(AI35-AI43,0)</f>
        <v/>
      </c>
      <c r="AJ44" s="25">
        <f>ROUND(AJ35-AJ43,0)</f>
        <v/>
      </c>
      <c r="AK44" s="25">
        <f>ROUND(AK35-AK43,0)</f>
        <v/>
      </c>
      <c r="AL44" s="25">
        <f>ROUND(AL35-AL43,0)</f>
        <v/>
      </c>
      <c r="AM44" s="25">
        <f>ROUND(AM35-AM43,0)</f>
        <v/>
      </c>
      <c r="AN44" s="25">
        <f>ROUND(AN35-AN43,0)</f>
        <v/>
      </c>
      <c r="AO44" s="25">
        <f>ROUND(AO35-AO43,0)</f>
        <v/>
      </c>
      <c r="AP44" s="25">
        <f>ROUND(AP35-AP43,0)</f>
        <v/>
      </c>
      <c r="AQ44" s="25">
        <f>ROUND(AQ35-AQ43,0)</f>
        <v/>
      </c>
      <c r="AR44" s="25">
        <f>ROUND(AR35-AR43,0)</f>
        <v/>
      </c>
      <c r="AS44" s="25">
        <f>ROUND(AS35-AS43,0)</f>
        <v/>
      </c>
      <c r="AT44" s="25">
        <f>ROUND(AT35-AT43,0)</f>
        <v/>
      </c>
      <c r="AU44" s="25">
        <f>ROUND(AU35-AU43,0)</f>
        <v/>
      </c>
      <c r="AV44" s="25">
        <f>ROUND(AV35-AV43,0)</f>
        <v/>
      </c>
      <c r="AW44" s="25">
        <f>ROUND(AW35-AW43,0)</f>
        <v/>
      </c>
      <c r="AX44" s="25">
        <f>ROUND(AX35-AX43,0)</f>
        <v/>
      </c>
      <c r="AY44" s="25">
        <f>ROUND(AY35-AY43,0)</f>
        <v/>
      </c>
      <c r="AZ44" s="25">
        <f>ROUND(AZ35-AZ43,0)</f>
        <v/>
      </c>
      <c r="BA44" s="25">
        <f>ROUND(BA35-BA43,0)</f>
        <v/>
      </c>
      <c r="BB44" s="25">
        <f>ROUND(BB35-BB43,0)</f>
        <v/>
      </c>
      <c r="BC44" s="25">
        <f>ROUND(BC35-BC43,0)</f>
        <v/>
      </c>
      <c r="BD44" s="25">
        <f>ROUND(BD35-BD43,0)</f>
        <v/>
      </c>
      <c r="BE44" s="25">
        <f>ROUND(BE35-BE43,0)</f>
        <v/>
      </c>
      <c r="BF44" s="25">
        <f>ROUND(BF35-BF43,0)</f>
        <v/>
      </c>
      <c r="BG44" s="25">
        <f>ROUND(BG35-BG43,0)</f>
        <v/>
      </c>
      <c r="BH44" s="25">
        <f>ROUND(BH35-BH43,0)</f>
        <v/>
      </c>
      <c r="BI44" s="25">
        <f>ROUND(BI35-BI43,0)</f>
        <v/>
      </c>
      <c r="BJ44" s="25">
        <f>ROUND(BJ35-BJ43,0)</f>
        <v/>
      </c>
      <c r="BK44" s="25">
        <f>ROUND(BK35-BK43,0)</f>
        <v/>
      </c>
      <c r="BL44" s="25">
        <f>ROUND(BL35-BL43,0)</f>
        <v/>
      </c>
    </row>
    <row r="45"/>
    <row r="46">
      <c r="A46" s="11" t="inlineStr">
        <is>
          <t>CASH FLOW STATEMENT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  <c r="AW46" s="12" t="n"/>
      <c r="AX46" s="12" t="n"/>
      <c r="AY46" s="12" t="n"/>
      <c r="AZ46" s="12" t="n"/>
      <c r="BA46" s="12" t="n"/>
      <c r="BB46" s="12" t="n"/>
      <c r="BC46" s="12" t="n"/>
      <c r="BD46" s="12" t="n"/>
      <c r="BE46" s="12" t="n"/>
      <c r="BF46" s="12" t="n"/>
      <c r="BG46" s="12" t="n"/>
      <c r="BH46" s="12" t="n"/>
      <c r="BI46" s="12" t="n"/>
      <c r="BJ46" s="12" t="n"/>
      <c r="BK46" s="12" t="n"/>
      <c r="BL46" s="12" t="n"/>
    </row>
    <row r="47">
      <c r="A47" s="44" t="inlineStr">
        <is>
          <t>Net income</t>
        </is>
      </c>
      <c r="B47" s="13" t="inlineStr">
        <is>
          <t>LCY</t>
        </is>
      </c>
      <c r="C47" s="45">
        <f>SUM(E47:BL47)</f>
        <v/>
      </c>
      <c r="E47" s="25">
        <f>E26</f>
        <v/>
      </c>
      <c r="F47" s="25">
        <f>F26</f>
        <v/>
      </c>
      <c r="G47" s="25">
        <f>G26</f>
        <v/>
      </c>
      <c r="H47" s="25">
        <f>H26</f>
        <v/>
      </c>
      <c r="I47" s="25">
        <f>I26</f>
        <v/>
      </c>
      <c r="J47" s="25">
        <f>J26</f>
        <v/>
      </c>
      <c r="K47" s="25">
        <f>K26</f>
        <v/>
      </c>
      <c r="L47" s="25">
        <f>L26</f>
        <v/>
      </c>
      <c r="M47" s="25">
        <f>M26</f>
        <v/>
      </c>
      <c r="N47" s="25">
        <f>N26</f>
        <v/>
      </c>
      <c r="O47" s="25">
        <f>O26</f>
        <v/>
      </c>
      <c r="P47" s="25">
        <f>P26</f>
        <v/>
      </c>
      <c r="Q47" s="25">
        <f>Q26</f>
        <v/>
      </c>
      <c r="R47" s="25">
        <f>R26</f>
        <v/>
      </c>
      <c r="S47" s="25">
        <f>S26</f>
        <v/>
      </c>
      <c r="T47" s="25">
        <f>T26</f>
        <v/>
      </c>
      <c r="U47" s="25">
        <f>U26</f>
        <v/>
      </c>
      <c r="V47" s="25">
        <f>V26</f>
        <v/>
      </c>
      <c r="W47" s="25">
        <f>W26</f>
        <v/>
      </c>
      <c r="X47" s="25">
        <f>X26</f>
        <v/>
      </c>
      <c r="Y47" s="25">
        <f>Y26</f>
        <v/>
      </c>
      <c r="Z47" s="25">
        <f>Z26</f>
        <v/>
      </c>
      <c r="AA47" s="25">
        <f>AA26</f>
        <v/>
      </c>
      <c r="AB47" s="25">
        <f>AB26</f>
        <v/>
      </c>
      <c r="AC47" s="25">
        <f>AC26</f>
        <v/>
      </c>
      <c r="AD47" s="25">
        <f>AD26</f>
        <v/>
      </c>
      <c r="AE47" s="25">
        <f>AE26</f>
        <v/>
      </c>
      <c r="AF47" s="25">
        <f>AF26</f>
        <v/>
      </c>
      <c r="AG47" s="25">
        <f>AG26</f>
        <v/>
      </c>
      <c r="AH47" s="25">
        <f>AH26</f>
        <v/>
      </c>
      <c r="AI47" s="25">
        <f>AI26</f>
        <v/>
      </c>
      <c r="AJ47" s="25">
        <f>AJ26</f>
        <v/>
      </c>
      <c r="AK47" s="25">
        <f>AK26</f>
        <v/>
      </c>
      <c r="AL47" s="25">
        <f>AL26</f>
        <v/>
      </c>
      <c r="AM47" s="25">
        <f>AM26</f>
        <v/>
      </c>
      <c r="AN47" s="25">
        <f>AN26</f>
        <v/>
      </c>
      <c r="AO47" s="25">
        <f>AO26</f>
        <v/>
      </c>
      <c r="AP47" s="25">
        <f>AP26</f>
        <v/>
      </c>
      <c r="AQ47" s="25">
        <f>AQ26</f>
        <v/>
      </c>
      <c r="AR47" s="25">
        <f>AR26</f>
        <v/>
      </c>
      <c r="AS47" s="25">
        <f>AS26</f>
        <v/>
      </c>
      <c r="AT47" s="25">
        <f>AT26</f>
        <v/>
      </c>
      <c r="AU47" s="25">
        <f>AU26</f>
        <v/>
      </c>
      <c r="AV47" s="25">
        <f>AV26</f>
        <v/>
      </c>
      <c r="AW47" s="25">
        <f>AW26</f>
        <v/>
      </c>
      <c r="AX47" s="25">
        <f>AX26</f>
        <v/>
      </c>
      <c r="AY47" s="25">
        <f>AY26</f>
        <v/>
      </c>
      <c r="AZ47" s="25">
        <f>AZ26</f>
        <v/>
      </c>
      <c r="BA47" s="25">
        <f>BA26</f>
        <v/>
      </c>
      <c r="BB47" s="25">
        <f>BB26</f>
        <v/>
      </c>
      <c r="BC47" s="25">
        <f>BC26</f>
        <v/>
      </c>
      <c r="BD47" s="25">
        <f>BD26</f>
        <v/>
      </c>
      <c r="BE47" s="25">
        <f>BE26</f>
        <v/>
      </c>
      <c r="BF47" s="25">
        <f>BF26</f>
        <v/>
      </c>
      <c r="BG47" s="25">
        <f>BG26</f>
        <v/>
      </c>
      <c r="BH47" s="25">
        <f>BH26</f>
        <v/>
      </c>
      <c r="BI47" s="25">
        <f>BI26</f>
        <v/>
      </c>
      <c r="BJ47" s="25">
        <f>BJ26</f>
        <v/>
      </c>
      <c r="BK47" s="25">
        <f>BK26</f>
        <v/>
      </c>
      <c r="BL47" s="25">
        <f>BL26</f>
        <v/>
      </c>
    </row>
    <row r="48">
      <c r="A48" s="44" t="inlineStr">
        <is>
          <t>Add back: depreciation</t>
        </is>
      </c>
      <c r="B48" s="13" t="inlineStr">
        <is>
          <t>LCY</t>
        </is>
      </c>
      <c r="C48" s="45">
        <f>SUM(E48:BL48)</f>
        <v/>
      </c>
      <c r="E48" s="25">
        <f>-E17</f>
        <v/>
      </c>
      <c r="F48" s="25">
        <f>-F17</f>
        <v/>
      </c>
      <c r="G48" s="25">
        <f>-G17</f>
        <v/>
      </c>
      <c r="H48" s="25">
        <f>-H17</f>
        <v/>
      </c>
      <c r="I48" s="25">
        <f>-I17</f>
        <v/>
      </c>
      <c r="J48" s="25">
        <f>-J17</f>
        <v/>
      </c>
      <c r="K48" s="25">
        <f>-K17</f>
        <v/>
      </c>
      <c r="L48" s="25">
        <f>-L17</f>
        <v/>
      </c>
      <c r="M48" s="25">
        <f>-M17</f>
        <v/>
      </c>
      <c r="N48" s="25">
        <f>-N17</f>
        <v/>
      </c>
      <c r="O48" s="25">
        <f>-O17</f>
        <v/>
      </c>
      <c r="P48" s="25">
        <f>-P17</f>
        <v/>
      </c>
      <c r="Q48" s="25">
        <f>-Q17</f>
        <v/>
      </c>
      <c r="R48" s="25">
        <f>-R17</f>
        <v/>
      </c>
      <c r="S48" s="25">
        <f>-S17</f>
        <v/>
      </c>
      <c r="T48" s="25">
        <f>-T17</f>
        <v/>
      </c>
      <c r="U48" s="25">
        <f>-U17</f>
        <v/>
      </c>
      <c r="V48" s="25">
        <f>-V17</f>
        <v/>
      </c>
      <c r="W48" s="25">
        <f>-W17</f>
        <v/>
      </c>
      <c r="X48" s="25">
        <f>-X17</f>
        <v/>
      </c>
      <c r="Y48" s="25">
        <f>-Y17</f>
        <v/>
      </c>
      <c r="Z48" s="25">
        <f>-Z17</f>
        <v/>
      </c>
      <c r="AA48" s="25">
        <f>-AA17</f>
        <v/>
      </c>
      <c r="AB48" s="25">
        <f>-AB17</f>
        <v/>
      </c>
      <c r="AC48" s="25">
        <f>-AC17</f>
        <v/>
      </c>
      <c r="AD48" s="25">
        <f>-AD17</f>
        <v/>
      </c>
      <c r="AE48" s="25">
        <f>-AE17</f>
        <v/>
      </c>
      <c r="AF48" s="25">
        <f>-AF17</f>
        <v/>
      </c>
      <c r="AG48" s="25">
        <f>-AG17</f>
        <v/>
      </c>
      <c r="AH48" s="25">
        <f>-AH17</f>
        <v/>
      </c>
      <c r="AI48" s="25">
        <f>-AI17</f>
        <v/>
      </c>
      <c r="AJ48" s="25">
        <f>-AJ17</f>
        <v/>
      </c>
      <c r="AK48" s="25">
        <f>-AK17</f>
        <v/>
      </c>
      <c r="AL48" s="25">
        <f>-AL17</f>
        <v/>
      </c>
      <c r="AM48" s="25">
        <f>-AM17</f>
        <v/>
      </c>
      <c r="AN48" s="25">
        <f>-AN17</f>
        <v/>
      </c>
      <c r="AO48" s="25">
        <f>-AO17</f>
        <v/>
      </c>
      <c r="AP48" s="25">
        <f>-AP17</f>
        <v/>
      </c>
      <c r="AQ48" s="25">
        <f>-AQ17</f>
        <v/>
      </c>
      <c r="AR48" s="25">
        <f>-AR17</f>
        <v/>
      </c>
      <c r="AS48" s="25">
        <f>-AS17</f>
        <v/>
      </c>
      <c r="AT48" s="25">
        <f>-AT17</f>
        <v/>
      </c>
      <c r="AU48" s="25">
        <f>-AU17</f>
        <v/>
      </c>
      <c r="AV48" s="25">
        <f>-AV17</f>
        <v/>
      </c>
      <c r="AW48" s="25">
        <f>-AW17</f>
        <v/>
      </c>
      <c r="AX48" s="25">
        <f>-AX17</f>
        <v/>
      </c>
      <c r="AY48" s="25">
        <f>-AY17</f>
        <v/>
      </c>
      <c r="AZ48" s="25">
        <f>-AZ17</f>
        <v/>
      </c>
      <c r="BA48" s="25">
        <f>-BA17</f>
        <v/>
      </c>
      <c r="BB48" s="25">
        <f>-BB17</f>
        <v/>
      </c>
      <c r="BC48" s="25">
        <f>-BC17</f>
        <v/>
      </c>
      <c r="BD48" s="25">
        <f>-BD17</f>
        <v/>
      </c>
      <c r="BE48" s="25">
        <f>-BE17</f>
        <v/>
      </c>
      <c r="BF48" s="25">
        <f>-BF17</f>
        <v/>
      </c>
      <c r="BG48" s="25">
        <f>-BG17</f>
        <v/>
      </c>
      <c r="BH48" s="25">
        <f>-BH17</f>
        <v/>
      </c>
      <c r="BI48" s="25">
        <f>-BI17</f>
        <v/>
      </c>
      <c r="BJ48" s="25">
        <f>-BJ17</f>
        <v/>
      </c>
      <c r="BK48" s="25">
        <f>-BK17</f>
        <v/>
      </c>
      <c r="BL48" s="25">
        <f>-BL17</f>
        <v/>
      </c>
    </row>
    <row r="49">
      <c r="A49" s="44" t="inlineStr">
        <is>
          <t>Add back: unrealised FX loss</t>
        </is>
      </c>
      <c r="B49" s="13" t="inlineStr">
        <is>
          <t>LCY</t>
        </is>
      </c>
      <c r="C49" s="45">
        <f>SUM(E49:BL49)</f>
        <v/>
      </c>
      <c r="E49" s="25">
        <f>-E21</f>
        <v/>
      </c>
      <c r="F49" s="25">
        <f>-F21</f>
        <v/>
      </c>
      <c r="G49" s="25">
        <f>-G21</f>
        <v/>
      </c>
      <c r="H49" s="25">
        <f>-H21</f>
        <v/>
      </c>
      <c r="I49" s="25">
        <f>-I21</f>
        <v/>
      </c>
      <c r="J49" s="25">
        <f>-J21</f>
        <v/>
      </c>
      <c r="K49" s="25">
        <f>-K21</f>
        <v/>
      </c>
      <c r="L49" s="25">
        <f>-L21</f>
        <v/>
      </c>
      <c r="M49" s="25">
        <f>-M21</f>
        <v/>
      </c>
      <c r="N49" s="25">
        <f>-N21</f>
        <v/>
      </c>
      <c r="O49" s="25">
        <f>-O21</f>
        <v/>
      </c>
      <c r="P49" s="25">
        <f>-P21</f>
        <v/>
      </c>
      <c r="Q49" s="25">
        <f>-Q21</f>
        <v/>
      </c>
      <c r="R49" s="25">
        <f>-R21</f>
        <v/>
      </c>
      <c r="S49" s="25">
        <f>-S21</f>
        <v/>
      </c>
      <c r="T49" s="25">
        <f>-T21</f>
        <v/>
      </c>
      <c r="U49" s="25">
        <f>-U21</f>
        <v/>
      </c>
      <c r="V49" s="25">
        <f>-V21</f>
        <v/>
      </c>
      <c r="W49" s="25">
        <f>-W21</f>
        <v/>
      </c>
      <c r="X49" s="25">
        <f>-X21</f>
        <v/>
      </c>
      <c r="Y49" s="25">
        <f>-Y21</f>
        <v/>
      </c>
      <c r="Z49" s="25">
        <f>-Z21</f>
        <v/>
      </c>
      <c r="AA49" s="25">
        <f>-AA21</f>
        <v/>
      </c>
      <c r="AB49" s="25">
        <f>-AB21</f>
        <v/>
      </c>
      <c r="AC49" s="25">
        <f>-AC21</f>
        <v/>
      </c>
      <c r="AD49" s="25">
        <f>-AD21</f>
        <v/>
      </c>
      <c r="AE49" s="25">
        <f>-AE21</f>
        <v/>
      </c>
      <c r="AF49" s="25">
        <f>-AF21</f>
        <v/>
      </c>
      <c r="AG49" s="25">
        <f>-AG21</f>
        <v/>
      </c>
      <c r="AH49" s="25">
        <f>-AH21</f>
        <v/>
      </c>
      <c r="AI49" s="25">
        <f>-AI21</f>
        <v/>
      </c>
      <c r="AJ49" s="25">
        <f>-AJ21</f>
        <v/>
      </c>
      <c r="AK49" s="25">
        <f>-AK21</f>
        <v/>
      </c>
      <c r="AL49" s="25">
        <f>-AL21</f>
        <v/>
      </c>
      <c r="AM49" s="25">
        <f>-AM21</f>
        <v/>
      </c>
      <c r="AN49" s="25">
        <f>-AN21</f>
        <v/>
      </c>
      <c r="AO49" s="25">
        <f>-AO21</f>
        <v/>
      </c>
      <c r="AP49" s="25">
        <f>-AP21</f>
        <v/>
      </c>
      <c r="AQ49" s="25">
        <f>-AQ21</f>
        <v/>
      </c>
      <c r="AR49" s="25">
        <f>-AR21</f>
        <v/>
      </c>
      <c r="AS49" s="25">
        <f>-AS21</f>
        <v/>
      </c>
      <c r="AT49" s="25">
        <f>-AT21</f>
        <v/>
      </c>
      <c r="AU49" s="25">
        <f>-AU21</f>
        <v/>
      </c>
      <c r="AV49" s="25">
        <f>-AV21</f>
        <v/>
      </c>
      <c r="AW49" s="25">
        <f>-AW21</f>
        <v/>
      </c>
      <c r="AX49" s="25">
        <f>-AX21</f>
        <v/>
      </c>
      <c r="AY49" s="25">
        <f>-AY21</f>
        <v/>
      </c>
      <c r="AZ49" s="25">
        <f>-AZ21</f>
        <v/>
      </c>
      <c r="BA49" s="25">
        <f>-BA21</f>
        <v/>
      </c>
      <c r="BB49" s="25">
        <f>-BB21</f>
        <v/>
      </c>
      <c r="BC49" s="25">
        <f>-BC21</f>
        <v/>
      </c>
      <c r="BD49" s="25">
        <f>-BD21</f>
        <v/>
      </c>
      <c r="BE49" s="25">
        <f>-BE21</f>
        <v/>
      </c>
      <c r="BF49" s="25">
        <f>-BF21</f>
        <v/>
      </c>
      <c r="BG49" s="25">
        <f>-BG21</f>
        <v/>
      </c>
      <c r="BH49" s="25">
        <f>-BH21</f>
        <v/>
      </c>
      <c r="BI49" s="25">
        <f>-BI21</f>
        <v/>
      </c>
      <c r="BJ49" s="25">
        <f>-BJ21</f>
        <v/>
      </c>
      <c r="BK49" s="25">
        <f>-BK21</f>
        <v/>
      </c>
      <c r="BL49" s="25">
        <f>-BL21</f>
        <v/>
      </c>
    </row>
    <row r="50">
      <c r="A50" s="44" t="inlineStr">
        <is>
          <t>(Increase) / decrease in net receivables</t>
        </is>
      </c>
      <c r="B50" s="13" t="inlineStr">
        <is>
          <t>LCY</t>
        </is>
      </c>
      <c r="C50" s="45">
        <f>SUM(E50:BL50)</f>
        <v/>
      </c>
      <c r="E50" s="25">
        <f>-(E32-D32)</f>
        <v/>
      </c>
      <c r="F50" s="25">
        <f>-(F32-E32)</f>
        <v/>
      </c>
      <c r="G50" s="25">
        <f>-(G32-F32)</f>
        <v/>
      </c>
      <c r="H50" s="25">
        <f>-(H32-G32)</f>
        <v/>
      </c>
      <c r="I50" s="25">
        <f>-(I32-H32)</f>
        <v/>
      </c>
      <c r="J50" s="25">
        <f>-(J32-I32)</f>
        <v/>
      </c>
      <c r="K50" s="25">
        <f>-(K32-J32)</f>
        <v/>
      </c>
      <c r="L50" s="25">
        <f>-(L32-K32)</f>
        <v/>
      </c>
      <c r="M50" s="25">
        <f>-(M32-L32)</f>
        <v/>
      </c>
      <c r="N50" s="25">
        <f>-(N32-M32)</f>
        <v/>
      </c>
      <c r="O50" s="25">
        <f>-(O32-N32)</f>
        <v/>
      </c>
      <c r="P50" s="25">
        <f>-(P32-O32)</f>
        <v/>
      </c>
      <c r="Q50" s="25">
        <f>-(Q32-P32)</f>
        <v/>
      </c>
      <c r="R50" s="25">
        <f>-(R32-Q32)</f>
        <v/>
      </c>
      <c r="S50" s="25">
        <f>-(S32-R32)</f>
        <v/>
      </c>
      <c r="T50" s="25">
        <f>-(T32-S32)</f>
        <v/>
      </c>
      <c r="U50" s="25">
        <f>-(U32-T32)</f>
        <v/>
      </c>
      <c r="V50" s="25">
        <f>-(V32-U32)</f>
        <v/>
      </c>
      <c r="W50" s="25">
        <f>-(W32-V32)</f>
        <v/>
      </c>
      <c r="X50" s="25">
        <f>-(X32-W32)</f>
        <v/>
      </c>
      <c r="Y50" s="25">
        <f>-(Y32-X32)</f>
        <v/>
      </c>
      <c r="Z50" s="25">
        <f>-(Z32-Y32)</f>
        <v/>
      </c>
      <c r="AA50" s="25">
        <f>-(AA32-Z32)</f>
        <v/>
      </c>
      <c r="AB50" s="25">
        <f>-(AB32-AA32)</f>
        <v/>
      </c>
      <c r="AC50" s="25">
        <f>-(AC32-AB32)</f>
        <v/>
      </c>
      <c r="AD50" s="25">
        <f>-(AD32-AC32)</f>
        <v/>
      </c>
      <c r="AE50" s="25">
        <f>-(AE32-AD32)</f>
        <v/>
      </c>
      <c r="AF50" s="25">
        <f>-(AF32-AE32)</f>
        <v/>
      </c>
      <c r="AG50" s="25">
        <f>-(AG32-AF32)</f>
        <v/>
      </c>
      <c r="AH50" s="25">
        <f>-(AH32-AG32)</f>
        <v/>
      </c>
      <c r="AI50" s="25">
        <f>-(AI32-AH32)</f>
        <v/>
      </c>
      <c r="AJ50" s="25">
        <f>-(AJ32-AI32)</f>
        <v/>
      </c>
      <c r="AK50" s="25">
        <f>-(AK32-AJ32)</f>
        <v/>
      </c>
      <c r="AL50" s="25">
        <f>-(AL32-AK32)</f>
        <v/>
      </c>
      <c r="AM50" s="25">
        <f>-(AM32-AL32)</f>
        <v/>
      </c>
      <c r="AN50" s="25">
        <f>-(AN32-AM32)</f>
        <v/>
      </c>
      <c r="AO50" s="25">
        <f>-(AO32-AN32)</f>
        <v/>
      </c>
      <c r="AP50" s="25">
        <f>-(AP32-AO32)</f>
        <v/>
      </c>
      <c r="AQ50" s="25">
        <f>-(AQ32-AP32)</f>
        <v/>
      </c>
      <c r="AR50" s="25">
        <f>-(AR32-AQ32)</f>
        <v/>
      </c>
      <c r="AS50" s="25">
        <f>-(AS32-AR32)</f>
        <v/>
      </c>
      <c r="AT50" s="25">
        <f>-(AT32-AS32)</f>
        <v/>
      </c>
      <c r="AU50" s="25">
        <f>-(AU32-AT32)</f>
        <v/>
      </c>
      <c r="AV50" s="25">
        <f>-(AV32-AU32)</f>
        <v/>
      </c>
      <c r="AW50" s="25">
        <f>-(AW32-AV32)</f>
        <v/>
      </c>
      <c r="AX50" s="25">
        <f>-(AX32-AW32)</f>
        <v/>
      </c>
      <c r="AY50" s="25">
        <f>-(AY32-AX32)</f>
        <v/>
      </c>
      <c r="AZ50" s="25">
        <f>-(AZ32-AY32)</f>
        <v/>
      </c>
      <c r="BA50" s="25">
        <f>-(BA32-AZ32)</f>
        <v/>
      </c>
      <c r="BB50" s="25">
        <f>-(BB32-BA32)</f>
        <v/>
      </c>
      <c r="BC50" s="25">
        <f>-(BC32-BB32)</f>
        <v/>
      </c>
      <c r="BD50" s="25">
        <f>-(BD32-BC32)</f>
        <v/>
      </c>
      <c r="BE50" s="25">
        <f>-(BE32-BD32)</f>
        <v/>
      </c>
      <c r="BF50" s="25">
        <f>-(BF32-BE32)</f>
        <v/>
      </c>
      <c r="BG50" s="25">
        <f>-(BG32-BF32)</f>
        <v/>
      </c>
      <c r="BH50" s="25">
        <f>-(BH32-BG32)</f>
        <v/>
      </c>
      <c r="BI50" s="25">
        <f>-(BI32-BH32)</f>
        <v/>
      </c>
      <c r="BJ50" s="25">
        <f>-(BJ32-BI32)</f>
        <v/>
      </c>
      <c r="BK50" s="25">
        <f>-(BK32-BJ32)</f>
        <v/>
      </c>
      <c r="BL50" s="25">
        <f>-(BL32-BK32)</f>
        <v/>
      </c>
    </row>
    <row r="51">
      <c r="A51" s="44" t="inlineStr">
        <is>
          <t>(Increase) / decrease in inventory</t>
        </is>
      </c>
      <c r="B51" s="13" t="inlineStr">
        <is>
          <t>LCY</t>
        </is>
      </c>
      <c r="C51" s="45">
        <f>SUM(E51:BL51)</f>
        <v/>
      </c>
      <c r="E51" s="25">
        <f>-(E33-D33)</f>
        <v/>
      </c>
      <c r="F51" s="25">
        <f>-(F33-E33)</f>
        <v/>
      </c>
      <c r="G51" s="25">
        <f>-(G33-F33)</f>
        <v/>
      </c>
      <c r="H51" s="25">
        <f>-(H33-G33)</f>
        <v/>
      </c>
      <c r="I51" s="25">
        <f>-(I33-H33)</f>
        <v/>
      </c>
      <c r="J51" s="25">
        <f>-(J33-I33)</f>
        <v/>
      </c>
      <c r="K51" s="25">
        <f>-(K33-J33)</f>
        <v/>
      </c>
      <c r="L51" s="25">
        <f>-(L33-K33)</f>
        <v/>
      </c>
      <c r="M51" s="25">
        <f>-(M33-L33)</f>
        <v/>
      </c>
      <c r="N51" s="25">
        <f>-(N33-M33)</f>
        <v/>
      </c>
      <c r="O51" s="25">
        <f>-(O33-N33)</f>
        <v/>
      </c>
      <c r="P51" s="25">
        <f>-(P33-O33)</f>
        <v/>
      </c>
      <c r="Q51" s="25">
        <f>-(Q33-P33)</f>
        <v/>
      </c>
      <c r="R51" s="25">
        <f>-(R33-Q33)</f>
        <v/>
      </c>
      <c r="S51" s="25">
        <f>-(S33-R33)</f>
        <v/>
      </c>
      <c r="T51" s="25">
        <f>-(T33-S33)</f>
        <v/>
      </c>
      <c r="U51" s="25">
        <f>-(U33-T33)</f>
        <v/>
      </c>
      <c r="V51" s="25">
        <f>-(V33-U33)</f>
        <v/>
      </c>
      <c r="W51" s="25">
        <f>-(W33-V33)</f>
        <v/>
      </c>
      <c r="X51" s="25">
        <f>-(X33-W33)</f>
        <v/>
      </c>
      <c r="Y51" s="25">
        <f>-(Y33-X33)</f>
        <v/>
      </c>
      <c r="Z51" s="25">
        <f>-(Z33-Y33)</f>
        <v/>
      </c>
      <c r="AA51" s="25">
        <f>-(AA33-Z33)</f>
        <v/>
      </c>
      <c r="AB51" s="25">
        <f>-(AB33-AA33)</f>
        <v/>
      </c>
      <c r="AC51" s="25">
        <f>-(AC33-AB33)</f>
        <v/>
      </c>
      <c r="AD51" s="25">
        <f>-(AD33-AC33)</f>
        <v/>
      </c>
      <c r="AE51" s="25">
        <f>-(AE33-AD33)</f>
        <v/>
      </c>
      <c r="AF51" s="25">
        <f>-(AF33-AE33)</f>
        <v/>
      </c>
      <c r="AG51" s="25">
        <f>-(AG33-AF33)</f>
        <v/>
      </c>
      <c r="AH51" s="25">
        <f>-(AH33-AG33)</f>
        <v/>
      </c>
      <c r="AI51" s="25">
        <f>-(AI33-AH33)</f>
        <v/>
      </c>
      <c r="AJ51" s="25">
        <f>-(AJ33-AI33)</f>
        <v/>
      </c>
      <c r="AK51" s="25">
        <f>-(AK33-AJ33)</f>
        <v/>
      </c>
      <c r="AL51" s="25">
        <f>-(AL33-AK33)</f>
        <v/>
      </c>
      <c r="AM51" s="25">
        <f>-(AM33-AL33)</f>
        <v/>
      </c>
      <c r="AN51" s="25">
        <f>-(AN33-AM33)</f>
        <v/>
      </c>
      <c r="AO51" s="25">
        <f>-(AO33-AN33)</f>
        <v/>
      </c>
      <c r="AP51" s="25">
        <f>-(AP33-AO33)</f>
        <v/>
      </c>
      <c r="AQ51" s="25">
        <f>-(AQ33-AP33)</f>
        <v/>
      </c>
      <c r="AR51" s="25">
        <f>-(AR33-AQ33)</f>
        <v/>
      </c>
      <c r="AS51" s="25">
        <f>-(AS33-AR33)</f>
        <v/>
      </c>
      <c r="AT51" s="25">
        <f>-(AT33-AS33)</f>
        <v/>
      </c>
      <c r="AU51" s="25">
        <f>-(AU33-AT33)</f>
        <v/>
      </c>
      <c r="AV51" s="25">
        <f>-(AV33-AU33)</f>
        <v/>
      </c>
      <c r="AW51" s="25">
        <f>-(AW33-AV33)</f>
        <v/>
      </c>
      <c r="AX51" s="25">
        <f>-(AX33-AW33)</f>
        <v/>
      </c>
      <c r="AY51" s="25">
        <f>-(AY33-AX33)</f>
        <v/>
      </c>
      <c r="AZ51" s="25">
        <f>-(AZ33-AY33)</f>
        <v/>
      </c>
      <c r="BA51" s="25">
        <f>-(BA33-AZ33)</f>
        <v/>
      </c>
      <c r="BB51" s="25">
        <f>-(BB33-BA33)</f>
        <v/>
      </c>
      <c r="BC51" s="25">
        <f>-(BC33-BB33)</f>
        <v/>
      </c>
      <c r="BD51" s="25">
        <f>-(BD33-BC33)</f>
        <v/>
      </c>
      <c r="BE51" s="25">
        <f>-(BE33-BD33)</f>
        <v/>
      </c>
      <c r="BF51" s="25">
        <f>-(BF33-BE33)</f>
        <v/>
      </c>
      <c r="BG51" s="25">
        <f>-(BG33-BF33)</f>
        <v/>
      </c>
      <c r="BH51" s="25">
        <f>-(BH33-BG33)</f>
        <v/>
      </c>
      <c r="BI51" s="25">
        <f>-(BI33-BH33)</f>
        <v/>
      </c>
      <c r="BJ51" s="25">
        <f>-(BJ33-BI33)</f>
        <v/>
      </c>
      <c r="BK51" s="25">
        <f>-(BK33-BJ33)</f>
        <v/>
      </c>
      <c r="BL51" s="25">
        <f>-(BL33-BK33)</f>
        <v/>
      </c>
    </row>
    <row r="52">
      <c r="A52" s="44" t="inlineStr">
        <is>
          <t>Increase / (decrease) in payables</t>
        </is>
      </c>
      <c r="B52" s="13" t="inlineStr">
        <is>
          <t>LCY</t>
        </is>
      </c>
      <c r="C52" s="45">
        <f>SUM(E52:BL52)</f>
        <v/>
      </c>
      <c r="E52" s="25">
        <f>E36-D36</f>
        <v/>
      </c>
      <c r="F52" s="25">
        <f>F36-E36</f>
        <v/>
      </c>
      <c r="G52" s="25">
        <f>G36-F36</f>
        <v/>
      </c>
      <c r="H52" s="25">
        <f>H36-G36</f>
        <v/>
      </c>
      <c r="I52" s="25">
        <f>I36-H36</f>
        <v/>
      </c>
      <c r="J52" s="25">
        <f>J36-I36</f>
        <v/>
      </c>
      <c r="K52" s="25">
        <f>K36-J36</f>
        <v/>
      </c>
      <c r="L52" s="25">
        <f>L36-K36</f>
        <v/>
      </c>
      <c r="M52" s="25">
        <f>M36-L36</f>
        <v/>
      </c>
      <c r="N52" s="25">
        <f>N36-M36</f>
        <v/>
      </c>
      <c r="O52" s="25">
        <f>O36-N36</f>
        <v/>
      </c>
      <c r="P52" s="25">
        <f>P36-O36</f>
        <v/>
      </c>
      <c r="Q52" s="25">
        <f>Q36-P36</f>
        <v/>
      </c>
      <c r="R52" s="25">
        <f>R36-Q36</f>
        <v/>
      </c>
      <c r="S52" s="25">
        <f>S36-R36</f>
        <v/>
      </c>
      <c r="T52" s="25">
        <f>T36-S36</f>
        <v/>
      </c>
      <c r="U52" s="25">
        <f>U36-T36</f>
        <v/>
      </c>
      <c r="V52" s="25">
        <f>V36-U36</f>
        <v/>
      </c>
      <c r="W52" s="25">
        <f>W36-V36</f>
        <v/>
      </c>
      <c r="X52" s="25">
        <f>X36-W36</f>
        <v/>
      </c>
      <c r="Y52" s="25">
        <f>Y36-X36</f>
        <v/>
      </c>
      <c r="Z52" s="25">
        <f>Z36-Y36</f>
        <v/>
      </c>
      <c r="AA52" s="25">
        <f>AA36-Z36</f>
        <v/>
      </c>
      <c r="AB52" s="25">
        <f>AB36-AA36</f>
        <v/>
      </c>
      <c r="AC52" s="25">
        <f>AC36-AB36</f>
        <v/>
      </c>
      <c r="AD52" s="25">
        <f>AD36-AC36</f>
        <v/>
      </c>
      <c r="AE52" s="25">
        <f>AE36-AD36</f>
        <v/>
      </c>
      <c r="AF52" s="25">
        <f>AF36-AE36</f>
        <v/>
      </c>
      <c r="AG52" s="25">
        <f>AG36-AF36</f>
        <v/>
      </c>
      <c r="AH52" s="25">
        <f>AH36-AG36</f>
        <v/>
      </c>
      <c r="AI52" s="25">
        <f>AI36-AH36</f>
        <v/>
      </c>
      <c r="AJ52" s="25">
        <f>AJ36-AI36</f>
        <v/>
      </c>
      <c r="AK52" s="25">
        <f>AK36-AJ36</f>
        <v/>
      </c>
      <c r="AL52" s="25">
        <f>AL36-AK36</f>
        <v/>
      </c>
      <c r="AM52" s="25">
        <f>AM36-AL36</f>
        <v/>
      </c>
      <c r="AN52" s="25">
        <f>AN36-AM36</f>
        <v/>
      </c>
      <c r="AO52" s="25">
        <f>AO36-AN36</f>
        <v/>
      </c>
      <c r="AP52" s="25">
        <f>AP36-AO36</f>
        <v/>
      </c>
      <c r="AQ52" s="25">
        <f>AQ36-AP36</f>
        <v/>
      </c>
      <c r="AR52" s="25">
        <f>AR36-AQ36</f>
        <v/>
      </c>
      <c r="AS52" s="25">
        <f>AS36-AR36</f>
        <v/>
      </c>
      <c r="AT52" s="25">
        <f>AT36-AS36</f>
        <v/>
      </c>
      <c r="AU52" s="25">
        <f>AU36-AT36</f>
        <v/>
      </c>
      <c r="AV52" s="25">
        <f>AV36-AU36</f>
        <v/>
      </c>
      <c r="AW52" s="25">
        <f>AW36-AV36</f>
        <v/>
      </c>
      <c r="AX52" s="25">
        <f>AX36-AW36</f>
        <v/>
      </c>
      <c r="AY52" s="25">
        <f>AY36-AX36</f>
        <v/>
      </c>
      <c r="AZ52" s="25">
        <f>AZ36-AY36</f>
        <v/>
      </c>
      <c r="BA52" s="25">
        <f>BA36-AZ36</f>
        <v/>
      </c>
      <c r="BB52" s="25">
        <f>BB36-BA36</f>
        <v/>
      </c>
      <c r="BC52" s="25">
        <f>BC36-BB36</f>
        <v/>
      </c>
      <c r="BD52" s="25">
        <f>BD36-BC36</f>
        <v/>
      </c>
      <c r="BE52" s="25">
        <f>BE36-BD36</f>
        <v/>
      </c>
      <c r="BF52" s="25">
        <f>BF36-BE36</f>
        <v/>
      </c>
      <c r="BG52" s="25">
        <f>BG36-BF36</f>
        <v/>
      </c>
      <c r="BH52" s="25">
        <f>BH36-BG36</f>
        <v/>
      </c>
      <c r="BI52" s="25">
        <f>BI36-BH36</f>
        <v/>
      </c>
      <c r="BJ52" s="25">
        <f>BJ36-BI36</f>
        <v/>
      </c>
      <c r="BK52" s="25">
        <f>BK36-BJ36</f>
        <v/>
      </c>
      <c r="BL52" s="25">
        <f>BL36-BK36</f>
        <v/>
      </c>
    </row>
    <row r="53">
      <c r="A53" s="47" t="inlineStr">
        <is>
          <t>Cash flow from operations</t>
        </is>
      </c>
      <c r="B53" s="48" t="inlineStr">
        <is>
          <t>LCY</t>
        </is>
      </c>
      <c r="C53" s="49">
        <f>SUM(E53:BL53)</f>
        <v/>
      </c>
      <c r="D53" s="50" t="n"/>
      <c r="E53" s="51">
        <f>SUM(E47:E52)</f>
        <v/>
      </c>
      <c r="F53" s="51">
        <f>SUM(F47:F52)</f>
        <v/>
      </c>
      <c r="G53" s="51">
        <f>SUM(G47:G52)</f>
        <v/>
      </c>
      <c r="H53" s="51">
        <f>SUM(H47:H52)</f>
        <v/>
      </c>
      <c r="I53" s="51">
        <f>SUM(I47:I52)</f>
        <v/>
      </c>
      <c r="J53" s="51">
        <f>SUM(J47:J52)</f>
        <v/>
      </c>
      <c r="K53" s="51">
        <f>SUM(K47:K52)</f>
        <v/>
      </c>
      <c r="L53" s="51">
        <f>SUM(L47:L52)</f>
        <v/>
      </c>
      <c r="M53" s="51">
        <f>SUM(M47:M52)</f>
        <v/>
      </c>
      <c r="N53" s="51">
        <f>SUM(N47:N52)</f>
        <v/>
      </c>
      <c r="O53" s="51">
        <f>SUM(O47:O52)</f>
        <v/>
      </c>
      <c r="P53" s="51">
        <f>SUM(P47:P52)</f>
        <v/>
      </c>
      <c r="Q53" s="51">
        <f>SUM(Q47:Q52)</f>
        <v/>
      </c>
      <c r="R53" s="51">
        <f>SUM(R47:R52)</f>
        <v/>
      </c>
      <c r="S53" s="51">
        <f>SUM(S47:S52)</f>
        <v/>
      </c>
      <c r="T53" s="51">
        <f>SUM(T47:T52)</f>
        <v/>
      </c>
      <c r="U53" s="51">
        <f>SUM(U47:U52)</f>
        <v/>
      </c>
      <c r="V53" s="51">
        <f>SUM(V47:V52)</f>
        <v/>
      </c>
      <c r="W53" s="51">
        <f>SUM(W47:W52)</f>
        <v/>
      </c>
      <c r="X53" s="51">
        <f>SUM(X47:X52)</f>
        <v/>
      </c>
      <c r="Y53" s="51">
        <f>SUM(Y47:Y52)</f>
        <v/>
      </c>
      <c r="Z53" s="51">
        <f>SUM(Z47:Z52)</f>
        <v/>
      </c>
      <c r="AA53" s="51">
        <f>SUM(AA47:AA52)</f>
        <v/>
      </c>
      <c r="AB53" s="51">
        <f>SUM(AB47:AB52)</f>
        <v/>
      </c>
      <c r="AC53" s="51">
        <f>SUM(AC47:AC52)</f>
        <v/>
      </c>
      <c r="AD53" s="51">
        <f>SUM(AD47:AD52)</f>
        <v/>
      </c>
      <c r="AE53" s="51">
        <f>SUM(AE47:AE52)</f>
        <v/>
      </c>
      <c r="AF53" s="51">
        <f>SUM(AF47:AF52)</f>
        <v/>
      </c>
      <c r="AG53" s="51">
        <f>SUM(AG47:AG52)</f>
        <v/>
      </c>
      <c r="AH53" s="51">
        <f>SUM(AH47:AH52)</f>
        <v/>
      </c>
      <c r="AI53" s="51">
        <f>SUM(AI47:AI52)</f>
        <v/>
      </c>
      <c r="AJ53" s="51">
        <f>SUM(AJ47:AJ52)</f>
        <v/>
      </c>
      <c r="AK53" s="51">
        <f>SUM(AK47:AK52)</f>
        <v/>
      </c>
      <c r="AL53" s="51">
        <f>SUM(AL47:AL52)</f>
        <v/>
      </c>
      <c r="AM53" s="51">
        <f>SUM(AM47:AM52)</f>
        <v/>
      </c>
      <c r="AN53" s="51">
        <f>SUM(AN47:AN52)</f>
        <v/>
      </c>
      <c r="AO53" s="51">
        <f>SUM(AO47:AO52)</f>
        <v/>
      </c>
      <c r="AP53" s="51">
        <f>SUM(AP47:AP52)</f>
        <v/>
      </c>
      <c r="AQ53" s="51">
        <f>SUM(AQ47:AQ52)</f>
        <v/>
      </c>
      <c r="AR53" s="51">
        <f>SUM(AR47:AR52)</f>
        <v/>
      </c>
      <c r="AS53" s="51">
        <f>SUM(AS47:AS52)</f>
        <v/>
      </c>
      <c r="AT53" s="51">
        <f>SUM(AT47:AT52)</f>
        <v/>
      </c>
      <c r="AU53" s="51">
        <f>SUM(AU47:AU52)</f>
        <v/>
      </c>
      <c r="AV53" s="51">
        <f>SUM(AV47:AV52)</f>
        <v/>
      </c>
      <c r="AW53" s="51">
        <f>SUM(AW47:AW52)</f>
        <v/>
      </c>
      <c r="AX53" s="51">
        <f>SUM(AX47:AX52)</f>
        <v/>
      </c>
      <c r="AY53" s="51">
        <f>SUM(AY47:AY52)</f>
        <v/>
      </c>
      <c r="AZ53" s="51">
        <f>SUM(AZ47:AZ52)</f>
        <v/>
      </c>
      <c r="BA53" s="51">
        <f>SUM(BA47:BA52)</f>
        <v/>
      </c>
      <c r="BB53" s="51">
        <f>SUM(BB47:BB52)</f>
        <v/>
      </c>
      <c r="BC53" s="51">
        <f>SUM(BC47:BC52)</f>
        <v/>
      </c>
      <c r="BD53" s="51">
        <f>SUM(BD47:BD52)</f>
        <v/>
      </c>
      <c r="BE53" s="51">
        <f>SUM(BE47:BE52)</f>
        <v/>
      </c>
      <c r="BF53" s="51">
        <f>SUM(BF47:BF52)</f>
        <v/>
      </c>
      <c r="BG53" s="51">
        <f>SUM(BG47:BG52)</f>
        <v/>
      </c>
      <c r="BH53" s="51">
        <f>SUM(BH47:BH52)</f>
        <v/>
      </c>
      <c r="BI53" s="51">
        <f>SUM(BI47:BI52)</f>
        <v/>
      </c>
      <c r="BJ53" s="51">
        <f>SUM(BJ47:BJ52)</f>
        <v/>
      </c>
      <c r="BK53" s="51">
        <f>SUM(BK47:BK52)</f>
        <v/>
      </c>
      <c r="BL53" s="51">
        <f>SUM(BL47:BL52)</f>
        <v/>
      </c>
    </row>
    <row r="54">
      <c r="A54" s="44" t="inlineStr">
        <is>
          <t>Cash flow from investing (capex)</t>
        </is>
      </c>
      <c r="B54" s="13" t="inlineStr">
        <is>
          <t>LCY</t>
        </is>
      </c>
      <c r="C54" s="45">
        <f>SUM(E54:BL54)</f>
        <v/>
      </c>
      <c r="E54" s="25">
        <f>-Costs!E$22</f>
        <v/>
      </c>
      <c r="F54" s="25">
        <f>-Costs!F$22</f>
        <v/>
      </c>
      <c r="G54" s="25">
        <f>-Costs!G$22</f>
        <v/>
      </c>
      <c r="H54" s="25">
        <f>-Costs!H$22</f>
        <v/>
      </c>
      <c r="I54" s="25">
        <f>-Costs!I$22</f>
        <v/>
      </c>
      <c r="J54" s="25">
        <f>-Costs!J$22</f>
        <v/>
      </c>
      <c r="K54" s="25">
        <f>-Costs!K$22</f>
        <v/>
      </c>
      <c r="L54" s="25">
        <f>-Costs!L$22</f>
        <v/>
      </c>
      <c r="M54" s="25">
        <f>-Costs!M$22</f>
        <v/>
      </c>
      <c r="N54" s="25">
        <f>-Costs!N$22</f>
        <v/>
      </c>
      <c r="O54" s="25">
        <f>-Costs!O$22</f>
        <v/>
      </c>
      <c r="P54" s="25">
        <f>-Costs!P$22</f>
        <v/>
      </c>
      <c r="Q54" s="25">
        <f>-Costs!Q$22</f>
        <v/>
      </c>
      <c r="R54" s="25">
        <f>-Costs!R$22</f>
        <v/>
      </c>
      <c r="S54" s="25">
        <f>-Costs!S$22</f>
        <v/>
      </c>
      <c r="T54" s="25">
        <f>-Costs!T$22</f>
        <v/>
      </c>
      <c r="U54" s="25">
        <f>-Costs!U$22</f>
        <v/>
      </c>
      <c r="V54" s="25">
        <f>-Costs!V$22</f>
        <v/>
      </c>
      <c r="W54" s="25">
        <f>-Costs!W$22</f>
        <v/>
      </c>
      <c r="X54" s="25">
        <f>-Costs!X$22</f>
        <v/>
      </c>
      <c r="Y54" s="25">
        <f>-Costs!Y$22</f>
        <v/>
      </c>
      <c r="Z54" s="25">
        <f>-Costs!Z$22</f>
        <v/>
      </c>
      <c r="AA54" s="25">
        <f>-Costs!AA$22</f>
        <v/>
      </c>
      <c r="AB54" s="25">
        <f>-Costs!AB$22</f>
        <v/>
      </c>
      <c r="AC54" s="25">
        <f>-Costs!AC$22</f>
        <v/>
      </c>
      <c r="AD54" s="25">
        <f>-Costs!AD$22</f>
        <v/>
      </c>
      <c r="AE54" s="25">
        <f>-Costs!AE$22</f>
        <v/>
      </c>
      <c r="AF54" s="25">
        <f>-Costs!AF$22</f>
        <v/>
      </c>
      <c r="AG54" s="25">
        <f>-Costs!AG$22</f>
        <v/>
      </c>
      <c r="AH54" s="25">
        <f>-Costs!AH$22</f>
        <v/>
      </c>
      <c r="AI54" s="25">
        <f>-Costs!AI$22</f>
        <v/>
      </c>
      <c r="AJ54" s="25">
        <f>-Costs!AJ$22</f>
        <v/>
      </c>
      <c r="AK54" s="25">
        <f>-Costs!AK$22</f>
        <v/>
      </c>
      <c r="AL54" s="25">
        <f>-Costs!AL$22</f>
        <v/>
      </c>
      <c r="AM54" s="25">
        <f>-Costs!AM$22</f>
        <v/>
      </c>
      <c r="AN54" s="25">
        <f>-Costs!AN$22</f>
        <v/>
      </c>
      <c r="AO54" s="25">
        <f>-Costs!AO$22</f>
        <v/>
      </c>
      <c r="AP54" s="25">
        <f>-Costs!AP$22</f>
        <v/>
      </c>
      <c r="AQ54" s="25">
        <f>-Costs!AQ$22</f>
        <v/>
      </c>
      <c r="AR54" s="25">
        <f>-Costs!AR$22</f>
        <v/>
      </c>
      <c r="AS54" s="25">
        <f>-Costs!AS$22</f>
        <v/>
      </c>
      <c r="AT54" s="25">
        <f>-Costs!AT$22</f>
        <v/>
      </c>
      <c r="AU54" s="25">
        <f>-Costs!AU$22</f>
        <v/>
      </c>
      <c r="AV54" s="25">
        <f>-Costs!AV$22</f>
        <v/>
      </c>
      <c r="AW54" s="25">
        <f>-Costs!AW$22</f>
        <v/>
      </c>
      <c r="AX54" s="25">
        <f>-Costs!AX$22</f>
        <v/>
      </c>
      <c r="AY54" s="25">
        <f>-Costs!AY$22</f>
        <v/>
      </c>
      <c r="AZ54" s="25">
        <f>-Costs!AZ$22</f>
        <v/>
      </c>
      <c r="BA54" s="25">
        <f>-Costs!BA$22</f>
        <v/>
      </c>
      <c r="BB54" s="25">
        <f>-Costs!BB$22</f>
        <v/>
      </c>
      <c r="BC54" s="25">
        <f>-Costs!BC$22</f>
        <v/>
      </c>
      <c r="BD54" s="25">
        <f>-Costs!BD$22</f>
        <v/>
      </c>
      <c r="BE54" s="25">
        <f>-Costs!BE$22</f>
        <v/>
      </c>
      <c r="BF54" s="25">
        <f>-Costs!BF$22</f>
        <v/>
      </c>
      <c r="BG54" s="25">
        <f>-Costs!BG$22</f>
        <v/>
      </c>
      <c r="BH54" s="25">
        <f>-Costs!BH$22</f>
        <v/>
      </c>
      <c r="BI54" s="25">
        <f>-Costs!BI$22</f>
        <v/>
      </c>
      <c r="BJ54" s="25">
        <f>-Costs!BJ$22</f>
        <v/>
      </c>
      <c r="BK54" s="25">
        <f>-Costs!BK$22</f>
        <v/>
      </c>
      <c r="BL54" s="25">
        <f>-Costs!BL$22</f>
        <v/>
      </c>
    </row>
    <row r="55">
      <c r="A55" s="44" t="inlineStr">
        <is>
          <t>Term loan drawdown / (repayment)</t>
        </is>
      </c>
      <c r="B55" s="13" t="inlineStr">
        <is>
          <t>LCY</t>
        </is>
      </c>
      <c r="C55" s="45">
        <f>SUM(E55:BL55)</f>
        <v/>
      </c>
      <c r="E55" s="25">
        <f>Financing!E$17-Financing!E$18</f>
        <v/>
      </c>
      <c r="F55" s="25">
        <f>Financing!F$17-Financing!F$18</f>
        <v/>
      </c>
      <c r="G55" s="25">
        <f>Financing!G$17-Financing!G$18</f>
        <v/>
      </c>
      <c r="H55" s="25">
        <f>Financing!H$17-Financing!H$18</f>
        <v/>
      </c>
      <c r="I55" s="25">
        <f>Financing!I$17-Financing!I$18</f>
        <v/>
      </c>
      <c r="J55" s="25">
        <f>Financing!J$17-Financing!J$18</f>
        <v/>
      </c>
      <c r="K55" s="25">
        <f>Financing!K$17-Financing!K$18</f>
        <v/>
      </c>
      <c r="L55" s="25">
        <f>Financing!L$17-Financing!L$18</f>
        <v/>
      </c>
      <c r="M55" s="25">
        <f>Financing!M$17-Financing!M$18</f>
        <v/>
      </c>
      <c r="N55" s="25">
        <f>Financing!N$17-Financing!N$18</f>
        <v/>
      </c>
      <c r="O55" s="25">
        <f>Financing!O$17-Financing!O$18</f>
        <v/>
      </c>
      <c r="P55" s="25">
        <f>Financing!P$17-Financing!P$18</f>
        <v/>
      </c>
      <c r="Q55" s="25">
        <f>Financing!Q$17-Financing!Q$18</f>
        <v/>
      </c>
      <c r="R55" s="25">
        <f>Financing!R$17-Financing!R$18</f>
        <v/>
      </c>
      <c r="S55" s="25">
        <f>Financing!S$17-Financing!S$18</f>
        <v/>
      </c>
      <c r="T55" s="25">
        <f>Financing!T$17-Financing!T$18</f>
        <v/>
      </c>
      <c r="U55" s="25">
        <f>Financing!U$17-Financing!U$18</f>
        <v/>
      </c>
      <c r="V55" s="25">
        <f>Financing!V$17-Financing!V$18</f>
        <v/>
      </c>
      <c r="W55" s="25">
        <f>Financing!W$17-Financing!W$18</f>
        <v/>
      </c>
      <c r="X55" s="25">
        <f>Financing!X$17-Financing!X$18</f>
        <v/>
      </c>
      <c r="Y55" s="25">
        <f>Financing!Y$17-Financing!Y$18</f>
        <v/>
      </c>
      <c r="Z55" s="25">
        <f>Financing!Z$17-Financing!Z$18</f>
        <v/>
      </c>
      <c r="AA55" s="25">
        <f>Financing!AA$17-Financing!AA$18</f>
        <v/>
      </c>
      <c r="AB55" s="25">
        <f>Financing!AB$17-Financing!AB$18</f>
        <v/>
      </c>
      <c r="AC55" s="25">
        <f>Financing!AC$17-Financing!AC$18</f>
        <v/>
      </c>
      <c r="AD55" s="25">
        <f>Financing!AD$17-Financing!AD$18</f>
        <v/>
      </c>
      <c r="AE55" s="25">
        <f>Financing!AE$17-Financing!AE$18</f>
        <v/>
      </c>
      <c r="AF55" s="25">
        <f>Financing!AF$17-Financing!AF$18</f>
        <v/>
      </c>
      <c r="AG55" s="25">
        <f>Financing!AG$17-Financing!AG$18</f>
        <v/>
      </c>
      <c r="AH55" s="25">
        <f>Financing!AH$17-Financing!AH$18</f>
        <v/>
      </c>
      <c r="AI55" s="25">
        <f>Financing!AI$17-Financing!AI$18</f>
        <v/>
      </c>
      <c r="AJ55" s="25">
        <f>Financing!AJ$17-Financing!AJ$18</f>
        <v/>
      </c>
      <c r="AK55" s="25">
        <f>Financing!AK$17-Financing!AK$18</f>
        <v/>
      </c>
      <c r="AL55" s="25">
        <f>Financing!AL$17-Financing!AL$18</f>
        <v/>
      </c>
      <c r="AM55" s="25">
        <f>Financing!AM$17-Financing!AM$18</f>
        <v/>
      </c>
      <c r="AN55" s="25">
        <f>Financing!AN$17-Financing!AN$18</f>
        <v/>
      </c>
      <c r="AO55" s="25">
        <f>Financing!AO$17-Financing!AO$18</f>
        <v/>
      </c>
      <c r="AP55" s="25">
        <f>Financing!AP$17-Financing!AP$18</f>
        <v/>
      </c>
      <c r="AQ55" s="25">
        <f>Financing!AQ$17-Financing!AQ$18</f>
        <v/>
      </c>
      <c r="AR55" s="25">
        <f>Financing!AR$17-Financing!AR$18</f>
        <v/>
      </c>
      <c r="AS55" s="25">
        <f>Financing!AS$17-Financing!AS$18</f>
        <v/>
      </c>
      <c r="AT55" s="25">
        <f>Financing!AT$17-Financing!AT$18</f>
        <v/>
      </c>
      <c r="AU55" s="25">
        <f>Financing!AU$17-Financing!AU$18</f>
        <v/>
      </c>
      <c r="AV55" s="25">
        <f>Financing!AV$17-Financing!AV$18</f>
        <v/>
      </c>
      <c r="AW55" s="25">
        <f>Financing!AW$17-Financing!AW$18</f>
        <v/>
      </c>
      <c r="AX55" s="25">
        <f>Financing!AX$17-Financing!AX$18</f>
        <v/>
      </c>
      <c r="AY55" s="25">
        <f>Financing!AY$17-Financing!AY$18</f>
        <v/>
      </c>
      <c r="AZ55" s="25">
        <f>Financing!AZ$17-Financing!AZ$18</f>
        <v/>
      </c>
      <c r="BA55" s="25">
        <f>Financing!BA$17-Financing!BA$18</f>
        <v/>
      </c>
      <c r="BB55" s="25">
        <f>Financing!BB$17-Financing!BB$18</f>
        <v/>
      </c>
      <c r="BC55" s="25">
        <f>Financing!BC$17-Financing!BC$18</f>
        <v/>
      </c>
      <c r="BD55" s="25">
        <f>Financing!BD$17-Financing!BD$18</f>
        <v/>
      </c>
      <c r="BE55" s="25">
        <f>Financing!BE$17-Financing!BE$18</f>
        <v/>
      </c>
      <c r="BF55" s="25">
        <f>Financing!BF$17-Financing!BF$18</f>
        <v/>
      </c>
      <c r="BG55" s="25">
        <f>Financing!BG$17-Financing!BG$18</f>
        <v/>
      </c>
      <c r="BH55" s="25">
        <f>Financing!BH$17-Financing!BH$18</f>
        <v/>
      </c>
      <c r="BI55" s="25">
        <f>Financing!BI$17-Financing!BI$18</f>
        <v/>
      </c>
      <c r="BJ55" s="25">
        <f>Financing!BJ$17-Financing!BJ$18</f>
        <v/>
      </c>
      <c r="BK55" s="25">
        <f>Financing!BK$17-Financing!BK$18</f>
        <v/>
      </c>
      <c r="BL55" s="25">
        <f>Financing!BL$17-Financing!BL$18</f>
        <v/>
      </c>
    </row>
    <row r="56">
      <c r="A56" s="44" t="inlineStr">
        <is>
          <t>Receivables facility drawdown / (repayment)</t>
        </is>
      </c>
      <c r="B56" s="13" t="inlineStr">
        <is>
          <t>LCY</t>
        </is>
      </c>
      <c r="C56" s="45">
        <f>SUM(E56:BL56)</f>
        <v/>
      </c>
      <c r="E56" s="25">
        <f>Financing!E$25</f>
        <v/>
      </c>
      <c r="F56" s="25">
        <f>Financing!F$25</f>
        <v/>
      </c>
      <c r="G56" s="25">
        <f>Financing!G$25</f>
        <v/>
      </c>
      <c r="H56" s="25">
        <f>Financing!H$25</f>
        <v/>
      </c>
      <c r="I56" s="25">
        <f>Financing!I$25</f>
        <v/>
      </c>
      <c r="J56" s="25">
        <f>Financing!J$25</f>
        <v/>
      </c>
      <c r="K56" s="25">
        <f>Financing!K$25</f>
        <v/>
      </c>
      <c r="L56" s="25">
        <f>Financing!L$25</f>
        <v/>
      </c>
      <c r="M56" s="25">
        <f>Financing!M$25</f>
        <v/>
      </c>
      <c r="N56" s="25">
        <f>Financing!N$25</f>
        <v/>
      </c>
      <c r="O56" s="25">
        <f>Financing!O$25</f>
        <v/>
      </c>
      <c r="P56" s="25">
        <f>Financing!P$25</f>
        <v/>
      </c>
      <c r="Q56" s="25">
        <f>Financing!Q$25</f>
        <v/>
      </c>
      <c r="R56" s="25">
        <f>Financing!R$25</f>
        <v/>
      </c>
      <c r="S56" s="25">
        <f>Financing!S$25</f>
        <v/>
      </c>
      <c r="T56" s="25">
        <f>Financing!T$25</f>
        <v/>
      </c>
      <c r="U56" s="25">
        <f>Financing!U$25</f>
        <v/>
      </c>
      <c r="V56" s="25">
        <f>Financing!V$25</f>
        <v/>
      </c>
      <c r="W56" s="25">
        <f>Financing!W$25</f>
        <v/>
      </c>
      <c r="X56" s="25">
        <f>Financing!X$25</f>
        <v/>
      </c>
      <c r="Y56" s="25">
        <f>Financing!Y$25</f>
        <v/>
      </c>
      <c r="Z56" s="25">
        <f>Financing!Z$25</f>
        <v/>
      </c>
      <c r="AA56" s="25">
        <f>Financing!AA$25</f>
        <v/>
      </c>
      <c r="AB56" s="25">
        <f>Financing!AB$25</f>
        <v/>
      </c>
      <c r="AC56" s="25">
        <f>Financing!AC$25</f>
        <v/>
      </c>
      <c r="AD56" s="25">
        <f>Financing!AD$25</f>
        <v/>
      </c>
      <c r="AE56" s="25">
        <f>Financing!AE$25</f>
        <v/>
      </c>
      <c r="AF56" s="25">
        <f>Financing!AF$25</f>
        <v/>
      </c>
      <c r="AG56" s="25">
        <f>Financing!AG$25</f>
        <v/>
      </c>
      <c r="AH56" s="25">
        <f>Financing!AH$25</f>
        <v/>
      </c>
      <c r="AI56" s="25">
        <f>Financing!AI$25</f>
        <v/>
      </c>
      <c r="AJ56" s="25">
        <f>Financing!AJ$25</f>
        <v/>
      </c>
      <c r="AK56" s="25">
        <f>Financing!AK$25</f>
        <v/>
      </c>
      <c r="AL56" s="25">
        <f>Financing!AL$25</f>
        <v/>
      </c>
      <c r="AM56" s="25">
        <f>Financing!AM$25</f>
        <v/>
      </c>
      <c r="AN56" s="25">
        <f>Financing!AN$25</f>
        <v/>
      </c>
      <c r="AO56" s="25">
        <f>Financing!AO$25</f>
        <v/>
      </c>
      <c r="AP56" s="25">
        <f>Financing!AP$25</f>
        <v/>
      </c>
      <c r="AQ56" s="25">
        <f>Financing!AQ$25</f>
        <v/>
      </c>
      <c r="AR56" s="25">
        <f>Financing!AR$25</f>
        <v/>
      </c>
      <c r="AS56" s="25">
        <f>Financing!AS$25</f>
        <v/>
      </c>
      <c r="AT56" s="25">
        <f>Financing!AT$25</f>
        <v/>
      </c>
      <c r="AU56" s="25">
        <f>Financing!AU$25</f>
        <v/>
      </c>
      <c r="AV56" s="25">
        <f>Financing!AV$25</f>
        <v/>
      </c>
      <c r="AW56" s="25">
        <f>Financing!AW$25</f>
        <v/>
      </c>
      <c r="AX56" s="25">
        <f>Financing!AX$25</f>
        <v/>
      </c>
      <c r="AY56" s="25">
        <f>Financing!AY$25</f>
        <v/>
      </c>
      <c r="AZ56" s="25">
        <f>Financing!AZ$25</f>
        <v/>
      </c>
      <c r="BA56" s="25">
        <f>Financing!BA$25</f>
        <v/>
      </c>
      <c r="BB56" s="25">
        <f>Financing!BB$25</f>
        <v/>
      </c>
      <c r="BC56" s="25">
        <f>Financing!BC$25</f>
        <v/>
      </c>
      <c r="BD56" s="25">
        <f>Financing!BD$25</f>
        <v/>
      </c>
      <c r="BE56" s="25">
        <f>Financing!BE$25</f>
        <v/>
      </c>
      <c r="BF56" s="25">
        <f>Financing!BF$25</f>
        <v/>
      </c>
      <c r="BG56" s="25">
        <f>Financing!BG$25</f>
        <v/>
      </c>
      <c r="BH56" s="25">
        <f>Financing!BH$25</f>
        <v/>
      </c>
      <c r="BI56" s="25">
        <f>Financing!BI$25</f>
        <v/>
      </c>
      <c r="BJ56" s="25">
        <f>Financing!BJ$25</f>
        <v/>
      </c>
      <c r="BK56" s="25">
        <f>Financing!BK$25</f>
        <v/>
      </c>
      <c r="BL56" s="25">
        <f>Financing!BL$25</f>
        <v/>
      </c>
    </row>
    <row r="57">
      <c r="A57" s="44" t="inlineStr">
        <is>
          <t>Equity - initial / scheduled</t>
        </is>
      </c>
      <c r="B57" s="13" t="inlineStr">
        <is>
          <t>LCY</t>
        </is>
      </c>
      <c r="C57" s="45">
        <f>SUM(E57:BL57)</f>
        <v/>
      </c>
      <c r="E57" s="25">
        <f>Financing!E$9</f>
        <v/>
      </c>
      <c r="F57" s="25">
        <f>Financing!F$9</f>
        <v/>
      </c>
      <c r="G57" s="25">
        <f>Financing!G$9</f>
        <v/>
      </c>
      <c r="H57" s="25">
        <f>Financing!H$9</f>
        <v/>
      </c>
      <c r="I57" s="25">
        <f>Financing!I$9</f>
        <v/>
      </c>
      <c r="J57" s="25">
        <f>Financing!J$9</f>
        <v/>
      </c>
      <c r="K57" s="25">
        <f>Financing!K$9</f>
        <v/>
      </c>
      <c r="L57" s="25">
        <f>Financing!L$9</f>
        <v/>
      </c>
      <c r="M57" s="25">
        <f>Financing!M$9</f>
        <v/>
      </c>
      <c r="N57" s="25">
        <f>Financing!N$9</f>
        <v/>
      </c>
      <c r="O57" s="25">
        <f>Financing!O$9</f>
        <v/>
      </c>
      <c r="P57" s="25">
        <f>Financing!P$9</f>
        <v/>
      </c>
      <c r="Q57" s="25">
        <f>Financing!Q$9</f>
        <v/>
      </c>
      <c r="R57" s="25">
        <f>Financing!R$9</f>
        <v/>
      </c>
      <c r="S57" s="25">
        <f>Financing!S$9</f>
        <v/>
      </c>
      <c r="T57" s="25">
        <f>Financing!T$9</f>
        <v/>
      </c>
      <c r="U57" s="25">
        <f>Financing!U$9</f>
        <v/>
      </c>
      <c r="V57" s="25">
        <f>Financing!V$9</f>
        <v/>
      </c>
      <c r="W57" s="25">
        <f>Financing!W$9</f>
        <v/>
      </c>
      <c r="X57" s="25">
        <f>Financing!X$9</f>
        <v/>
      </c>
      <c r="Y57" s="25">
        <f>Financing!Y$9</f>
        <v/>
      </c>
      <c r="Z57" s="25">
        <f>Financing!Z$9</f>
        <v/>
      </c>
      <c r="AA57" s="25">
        <f>Financing!AA$9</f>
        <v/>
      </c>
      <c r="AB57" s="25">
        <f>Financing!AB$9</f>
        <v/>
      </c>
      <c r="AC57" s="25">
        <f>Financing!AC$9</f>
        <v/>
      </c>
      <c r="AD57" s="25">
        <f>Financing!AD$9</f>
        <v/>
      </c>
      <c r="AE57" s="25">
        <f>Financing!AE$9</f>
        <v/>
      </c>
      <c r="AF57" s="25">
        <f>Financing!AF$9</f>
        <v/>
      </c>
      <c r="AG57" s="25">
        <f>Financing!AG$9</f>
        <v/>
      </c>
      <c r="AH57" s="25">
        <f>Financing!AH$9</f>
        <v/>
      </c>
      <c r="AI57" s="25">
        <f>Financing!AI$9</f>
        <v/>
      </c>
      <c r="AJ57" s="25">
        <f>Financing!AJ$9</f>
        <v/>
      </c>
      <c r="AK57" s="25">
        <f>Financing!AK$9</f>
        <v/>
      </c>
      <c r="AL57" s="25">
        <f>Financing!AL$9</f>
        <v/>
      </c>
      <c r="AM57" s="25">
        <f>Financing!AM$9</f>
        <v/>
      </c>
      <c r="AN57" s="25">
        <f>Financing!AN$9</f>
        <v/>
      </c>
      <c r="AO57" s="25">
        <f>Financing!AO$9</f>
        <v/>
      </c>
      <c r="AP57" s="25">
        <f>Financing!AP$9</f>
        <v/>
      </c>
      <c r="AQ57" s="25">
        <f>Financing!AQ$9</f>
        <v/>
      </c>
      <c r="AR57" s="25">
        <f>Financing!AR$9</f>
        <v/>
      </c>
      <c r="AS57" s="25">
        <f>Financing!AS$9</f>
        <v/>
      </c>
      <c r="AT57" s="25">
        <f>Financing!AT$9</f>
        <v/>
      </c>
      <c r="AU57" s="25">
        <f>Financing!AU$9</f>
        <v/>
      </c>
      <c r="AV57" s="25">
        <f>Financing!AV$9</f>
        <v/>
      </c>
      <c r="AW57" s="25">
        <f>Financing!AW$9</f>
        <v/>
      </c>
      <c r="AX57" s="25">
        <f>Financing!AX$9</f>
        <v/>
      </c>
      <c r="AY57" s="25">
        <f>Financing!AY$9</f>
        <v/>
      </c>
      <c r="AZ57" s="25">
        <f>Financing!AZ$9</f>
        <v/>
      </c>
      <c r="BA57" s="25">
        <f>Financing!BA$9</f>
        <v/>
      </c>
      <c r="BB57" s="25">
        <f>Financing!BB$9</f>
        <v/>
      </c>
      <c r="BC57" s="25">
        <f>Financing!BC$9</f>
        <v/>
      </c>
      <c r="BD57" s="25">
        <f>Financing!BD$9</f>
        <v/>
      </c>
      <c r="BE57" s="25">
        <f>Financing!BE$9</f>
        <v/>
      </c>
      <c r="BF57" s="25">
        <f>Financing!BF$9</f>
        <v/>
      </c>
      <c r="BG57" s="25">
        <f>Financing!BG$9</f>
        <v/>
      </c>
      <c r="BH57" s="25">
        <f>Financing!BH$9</f>
        <v/>
      </c>
      <c r="BI57" s="25">
        <f>Financing!BI$9</f>
        <v/>
      </c>
      <c r="BJ57" s="25">
        <f>Financing!BJ$9</f>
        <v/>
      </c>
      <c r="BK57" s="25">
        <f>Financing!BK$9</f>
        <v/>
      </c>
      <c r="BL57" s="25">
        <f>Financing!BL$9</f>
        <v/>
      </c>
    </row>
    <row r="58">
      <c r="A58" s="44" t="inlineStr">
        <is>
          <t>Cash before equity top-up</t>
        </is>
      </c>
      <c r="B58" s="13" t="inlineStr">
        <is>
          <t>LCY</t>
        </is>
      </c>
      <c r="C58" s="45">
        <f>BL58</f>
        <v/>
      </c>
      <c r="E58" s="25">
        <f>D60+E53+E54+E55+E56+E57</f>
        <v/>
      </c>
      <c r="F58" s="25">
        <f>E60+F53+F54+F55+F56+F57</f>
        <v/>
      </c>
      <c r="G58" s="25">
        <f>F60+G53+G54+G55+G56+G57</f>
        <v/>
      </c>
      <c r="H58" s="25">
        <f>G60+H53+H54+H55+H56+H57</f>
        <v/>
      </c>
      <c r="I58" s="25">
        <f>H60+I53+I54+I55+I56+I57</f>
        <v/>
      </c>
      <c r="J58" s="25">
        <f>I60+J53+J54+J55+J56+J57</f>
        <v/>
      </c>
      <c r="K58" s="25">
        <f>J60+K53+K54+K55+K56+K57</f>
        <v/>
      </c>
      <c r="L58" s="25">
        <f>K60+L53+L54+L55+L56+L57</f>
        <v/>
      </c>
      <c r="M58" s="25">
        <f>L60+M53+M54+M55+M56+M57</f>
        <v/>
      </c>
      <c r="N58" s="25">
        <f>M60+N53+N54+N55+N56+N57</f>
        <v/>
      </c>
      <c r="O58" s="25">
        <f>N60+O53+O54+O55+O56+O57</f>
        <v/>
      </c>
      <c r="P58" s="25">
        <f>O60+P53+P54+P55+P56+P57</f>
        <v/>
      </c>
      <c r="Q58" s="25">
        <f>P60+Q53+Q54+Q55+Q56+Q57</f>
        <v/>
      </c>
      <c r="R58" s="25">
        <f>Q60+R53+R54+R55+R56+R57</f>
        <v/>
      </c>
      <c r="S58" s="25">
        <f>R60+S53+S54+S55+S56+S57</f>
        <v/>
      </c>
      <c r="T58" s="25">
        <f>S60+T53+T54+T55+T56+T57</f>
        <v/>
      </c>
      <c r="U58" s="25">
        <f>T60+U53+U54+U55+U56+U57</f>
        <v/>
      </c>
      <c r="V58" s="25">
        <f>U60+V53+V54+V55+V56+V57</f>
        <v/>
      </c>
      <c r="W58" s="25">
        <f>V60+W53+W54+W55+W56+W57</f>
        <v/>
      </c>
      <c r="X58" s="25">
        <f>W60+X53+X54+X55+X56+X57</f>
        <v/>
      </c>
      <c r="Y58" s="25">
        <f>X60+Y53+Y54+Y55+Y56+Y57</f>
        <v/>
      </c>
      <c r="Z58" s="25">
        <f>Y60+Z53+Z54+Z55+Z56+Z57</f>
        <v/>
      </c>
      <c r="AA58" s="25">
        <f>Z60+AA53+AA54+AA55+AA56+AA57</f>
        <v/>
      </c>
      <c r="AB58" s="25">
        <f>AA60+AB53+AB54+AB55+AB56+AB57</f>
        <v/>
      </c>
      <c r="AC58" s="25">
        <f>AB60+AC53+AC54+AC55+AC56+AC57</f>
        <v/>
      </c>
      <c r="AD58" s="25">
        <f>AC60+AD53+AD54+AD55+AD56+AD57</f>
        <v/>
      </c>
      <c r="AE58" s="25">
        <f>AD60+AE53+AE54+AE55+AE56+AE57</f>
        <v/>
      </c>
      <c r="AF58" s="25">
        <f>AE60+AF53+AF54+AF55+AF56+AF57</f>
        <v/>
      </c>
      <c r="AG58" s="25">
        <f>AF60+AG53+AG54+AG55+AG56+AG57</f>
        <v/>
      </c>
      <c r="AH58" s="25">
        <f>AG60+AH53+AH54+AH55+AH56+AH57</f>
        <v/>
      </c>
      <c r="AI58" s="25">
        <f>AH60+AI53+AI54+AI55+AI56+AI57</f>
        <v/>
      </c>
      <c r="AJ58" s="25">
        <f>AI60+AJ53+AJ54+AJ55+AJ56+AJ57</f>
        <v/>
      </c>
      <c r="AK58" s="25">
        <f>AJ60+AK53+AK54+AK55+AK56+AK57</f>
        <v/>
      </c>
      <c r="AL58" s="25">
        <f>AK60+AL53+AL54+AL55+AL56+AL57</f>
        <v/>
      </c>
      <c r="AM58" s="25">
        <f>AL60+AM53+AM54+AM55+AM56+AM57</f>
        <v/>
      </c>
      <c r="AN58" s="25">
        <f>AM60+AN53+AN54+AN55+AN56+AN57</f>
        <v/>
      </c>
      <c r="AO58" s="25">
        <f>AN60+AO53+AO54+AO55+AO56+AO57</f>
        <v/>
      </c>
      <c r="AP58" s="25">
        <f>AO60+AP53+AP54+AP55+AP56+AP57</f>
        <v/>
      </c>
      <c r="AQ58" s="25">
        <f>AP60+AQ53+AQ54+AQ55+AQ56+AQ57</f>
        <v/>
      </c>
      <c r="AR58" s="25">
        <f>AQ60+AR53+AR54+AR55+AR56+AR57</f>
        <v/>
      </c>
      <c r="AS58" s="25">
        <f>AR60+AS53+AS54+AS55+AS56+AS57</f>
        <v/>
      </c>
      <c r="AT58" s="25">
        <f>AS60+AT53+AT54+AT55+AT56+AT57</f>
        <v/>
      </c>
      <c r="AU58" s="25">
        <f>AT60+AU53+AU54+AU55+AU56+AU57</f>
        <v/>
      </c>
      <c r="AV58" s="25">
        <f>AU60+AV53+AV54+AV55+AV56+AV57</f>
        <v/>
      </c>
      <c r="AW58" s="25">
        <f>AV60+AW53+AW54+AW55+AW56+AW57</f>
        <v/>
      </c>
      <c r="AX58" s="25">
        <f>AW60+AX53+AX54+AX55+AX56+AX57</f>
        <v/>
      </c>
      <c r="AY58" s="25">
        <f>AX60+AY53+AY54+AY55+AY56+AY57</f>
        <v/>
      </c>
      <c r="AZ58" s="25">
        <f>AY60+AZ53+AZ54+AZ55+AZ56+AZ57</f>
        <v/>
      </c>
      <c r="BA58" s="25">
        <f>AZ60+BA53+BA54+BA55+BA56+BA57</f>
        <v/>
      </c>
      <c r="BB58" s="25">
        <f>BA60+BB53+BB54+BB55+BB56+BB57</f>
        <v/>
      </c>
      <c r="BC58" s="25">
        <f>BB60+BC53+BC54+BC55+BC56+BC57</f>
        <v/>
      </c>
      <c r="BD58" s="25">
        <f>BC60+BD53+BD54+BD55+BD56+BD57</f>
        <v/>
      </c>
      <c r="BE58" s="25">
        <f>BD60+BE53+BE54+BE55+BE56+BE57</f>
        <v/>
      </c>
      <c r="BF58" s="25">
        <f>BE60+BF53+BF54+BF55+BF56+BF57</f>
        <v/>
      </c>
      <c r="BG58" s="25">
        <f>BF60+BG53+BG54+BG55+BG56+BG57</f>
        <v/>
      </c>
      <c r="BH58" s="25">
        <f>BG60+BH53+BH54+BH55+BH56+BH57</f>
        <v/>
      </c>
      <c r="BI58" s="25">
        <f>BH60+BI53+BI54+BI55+BI56+BI57</f>
        <v/>
      </c>
      <c r="BJ58" s="25">
        <f>BI60+BJ53+BJ54+BJ55+BJ56+BJ57</f>
        <v/>
      </c>
      <c r="BK58" s="25">
        <f>BJ60+BK53+BK54+BK55+BK56+BK57</f>
        <v/>
      </c>
      <c r="BL58" s="25">
        <f>BK60+BL53+BL54+BL55+BL56+BL57</f>
        <v/>
      </c>
    </row>
    <row r="59">
      <c r="A59" s="44" t="inlineStr">
        <is>
          <t>Equity top-up to maintain minimum cash</t>
        </is>
      </c>
      <c r="B59" s="13" t="inlineStr">
        <is>
          <t>LCY</t>
        </is>
      </c>
      <c r="C59" s="45">
        <f>SUM(E59:BL59)</f>
        <v/>
      </c>
      <c r="E59" s="25">
        <f>MAX(0,Inputs!$C$35-E58)</f>
        <v/>
      </c>
      <c r="F59" s="25">
        <f>MAX(0,Inputs!$C$35-F58)</f>
        <v/>
      </c>
      <c r="G59" s="25">
        <f>MAX(0,Inputs!$C$35-G58)</f>
        <v/>
      </c>
      <c r="H59" s="25">
        <f>MAX(0,Inputs!$C$35-H58)</f>
        <v/>
      </c>
      <c r="I59" s="25">
        <f>MAX(0,Inputs!$C$35-I58)</f>
        <v/>
      </c>
      <c r="J59" s="25">
        <f>MAX(0,Inputs!$C$35-J58)</f>
        <v/>
      </c>
      <c r="K59" s="25">
        <f>MAX(0,Inputs!$C$35-K58)</f>
        <v/>
      </c>
      <c r="L59" s="25">
        <f>MAX(0,Inputs!$C$35-L58)</f>
        <v/>
      </c>
      <c r="M59" s="25">
        <f>MAX(0,Inputs!$C$35-M58)</f>
        <v/>
      </c>
      <c r="N59" s="25">
        <f>MAX(0,Inputs!$C$35-N58)</f>
        <v/>
      </c>
      <c r="O59" s="25">
        <f>MAX(0,Inputs!$C$35-O58)</f>
        <v/>
      </c>
      <c r="P59" s="25">
        <f>MAX(0,Inputs!$C$35-P58)</f>
        <v/>
      </c>
      <c r="Q59" s="25">
        <f>MAX(0,Inputs!$C$35-Q58)</f>
        <v/>
      </c>
      <c r="R59" s="25">
        <f>MAX(0,Inputs!$C$35-R58)</f>
        <v/>
      </c>
      <c r="S59" s="25">
        <f>MAX(0,Inputs!$C$35-S58)</f>
        <v/>
      </c>
      <c r="T59" s="25">
        <f>MAX(0,Inputs!$C$35-T58)</f>
        <v/>
      </c>
      <c r="U59" s="25">
        <f>MAX(0,Inputs!$C$35-U58)</f>
        <v/>
      </c>
      <c r="V59" s="25">
        <f>MAX(0,Inputs!$C$35-V58)</f>
        <v/>
      </c>
      <c r="W59" s="25">
        <f>MAX(0,Inputs!$C$35-W58)</f>
        <v/>
      </c>
      <c r="X59" s="25">
        <f>MAX(0,Inputs!$C$35-X58)</f>
        <v/>
      </c>
      <c r="Y59" s="25">
        <f>MAX(0,Inputs!$C$35-Y58)</f>
        <v/>
      </c>
      <c r="Z59" s="25">
        <f>MAX(0,Inputs!$C$35-Z58)</f>
        <v/>
      </c>
      <c r="AA59" s="25">
        <f>MAX(0,Inputs!$C$35-AA58)</f>
        <v/>
      </c>
      <c r="AB59" s="25">
        <f>MAX(0,Inputs!$C$35-AB58)</f>
        <v/>
      </c>
      <c r="AC59" s="25">
        <f>MAX(0,Inputs!$C$35-AC58)</f>
        <v/>
      </c>
      <c r="AD59" s="25">
        <f>MAX(0,Inputs!$C$35-AD58)</f>
        <v/>
      </c>
      <c r="AE59" s="25">
        <f>MAX(0,Inputs!$C$35-AE58)</f>
        <v/>
      </c>
      <c r="AF59" s="25">
        <f>MAX(0,Inputs!$C$35-AF58)</f>
        <v/>
      </c>
      <c r="AG59" s="25">
        <f>MAX(0,Inputs!$C$35-AG58)</f>
        <v/>
      </c>
      <c r="AH59" s="25">
        <f>MAX(0,Inputs!$C$35-AH58)</f>
        <v/>
      </c>
      <c r="AI59" s="25">
        <f>MAX(0,Inputs!$C$35-AI58)</f>
        <v/>
      </c>
      <c r="AJ59" s="25">
        <f>MAX(0,Inputs!$C$35-AJ58)</f>
        <v/>
      </c>
      <c r="AK59" s="25">
        <f>MAX(0,Inputs!$C$35-AK58)</f>
        <v/>
      </c>
      <c r="AL59" s="25">
        <f>MAX(0,Inputs!$C$35-AL58)</f>
        <v/>
      </c>
      <c r="AM59" s="25">
        <f>MAX(0,Inputs!$C$35-AM58)</f>
        <v/>
      </c>
      <c r="AN59" s="25">
        <f>MAX(0,Inputs!$C$35-AN58)</f>
        <v/>
      </c>
      <c r="AO59" s="25">
        <f>MAX(0,Inputs!$C$35-AO58)</f>
        <v/>
      </c>
      <c r="AP59" s="25">
        <f>MAX(0,Inputs!$C$35-AP58)</f>
        <v/>
      </c>
      <c r="AQ59" s="25">
        <f>MAX(0,Inputs!$C$35-AQ58)</f>
        <v/>
      </c>
      <c r="AR59" s="25">
        <f>MAX(0,Inputs!$C$35-AR58)</f>
        <v/>
      </c>
      <c r="AS59" s="25">
        <f>MAX(0,Inputs!$C$35-AS58)</f>
        <v/>
      </c>
      <c r="AT59" s="25">
        <f>MAX(0,Inputs!$C$35-AT58)</f>
        <v/>
      </c>
      <c r="AU59" s="25">
        <f>MAX(0,Inputs!$C$35-AU58)</f>
        <v/>
      </c>
      <c r="AV59" s="25">
        <f>MAX(0,Inputs!$C$35-AV58)</f>
        <v/>
      </c>
      <c r="AW59" s="25">
        <f>MAX(0,Inputs!$C$35-AW58)</f>
        <v/>
      </c>
      <c r="AX59" s="25">
        <f>MAX(0,Inputs!$C$35-AX58)</f>
        <v/>
      </c>
      <c r="AY59" s="25">
        <f>MAX(0,Inputs!$C$35-AY58)</f>
        <v/>
      </c>
      <c r="AZ59" s="25">
        <f>MAX(0,Inputs!$C$35-AZ58)</f>
        <v/>
      </c>
      <c r="BA59" s="25">
        <f>MAX(0,Inputs!$C$35-BA58)</f>
        <v/>
      </c>
      <c r="BB59" s="25">
        <f>MAX(0,Inputs!$C$35-BB58)</f>
        <v/>
      </c>
      <c r="BC59" s="25">
        <f>MAX(0,Inputs!$C$35-BC58)</f>
        <v/>
      </c>
      <c r="BD59" s="25">
        <f>MAX(0,Inputs!$C$35-BD58)</f>
        <v/>
      </c>
      <c r="BE59" s="25">
        <f>MAX(0,Inputs!$C$35-BE58)</f>
        <v/>
      </c>
      <c r="BF59" s="25">
        <f>MAX(0,Inputs!$C$35-BF58)</f>
        <v/>
      </c>
      <c r="BG59" s="25">
        <f>MAX(0,Inputs!$C$35-BG58)</f>
        <v/>
      </c>
      <c r="BH59" s="25">
        <f>MAX(0,Inputs!$C$35-BH58)</f>
        <v/>
      </c>
      <c r="BI59" s="25">
        <f>MAX(0,Inputs!$C$35-BI58)</f>
        <v/>
      </c>
      <c r="BJ59" s="25">
        <f>MAX(0,Inputs!$C$35-BJ58)</f>
        <v/>
      </c>
      <c r="BK59" s="25">
        <f>MAX(0,Inputs!$C$35-BK58)</f>
        <v/>
      </c>
      <c r="BL59" s="25">
        <f>MAX(0,Inputs!$C$35-BL58)</f>
        <v/>
      </c>
    </row>
    <row r="60">
      <c r="A60" s="47" t="inlineStr">
        <is>
          <t>Closing cash</t>
        </is>
      </c>
      <c r="B60" s="48" t="inlineStr">
        <is>
          <t>LCY</t>
        </is>
      </c>
      <c r="C60" s="49">
        <f>BL60</f>
        <v/>
      </c>
      <c r="D60" s="50" t="n"/>
      <c r="E60" s="51">
        <f>E58+E59</f>
        <v/>
      </c>
      <c r="F60" s="51">
        <f>F58+F59</f>
        <v/>
      </c>
      <c r="G60" s="51">
        <f>G58+G59</f>
        <v/>
      </c>
      <c r="H60" s="51">
        <f>H58+H59</f>
        <v/>
      </c>
      <c r="I60" s="51">
        <f>I58+I59</f>
        <v/>
      </c>
      <c r="J60" s="51">
        <f>J58+J59</f>
        <v/>
      </c>
      <c r="K60" s="51">
        <f>K58+K59</f>
        <v/>
      </c>
      <c r="L60" s="51">
        <f>L58+L59</f>
        <v/>
      </c>
      <c r="M60" s="51">
        <f>M58+M59</f>
        <v/>
      </c>
      <c r="N60" s="51">
        <f>N58+N59</f>
        <v/>
      </c>
      <c r="O60" s="51">
        <f>O58+O59</f>
        <v/>
      </c>
      <c r="P60" s="51">
        <f>P58+P59</f>
        <v/>
      </c>
      <c r="Q60" s="51">
        <f>Q58+Q59</f>
        <v/>
      </c>
      <c r="R60" s="51">
        <f>R58+R59</f>
        <v/>
      </c>
      <c r="S60" s="51">
        <f>S58+S59</f>
        <v/>
      </c>
      <c r="T60" s="51">
        <f>T58+T59</f>
        <v/>
      </c>
      <c r="U60" s="51">
        <f>U58+U59</f>
        <v/>
      </c>
      <c r="V60" s="51">
        <f>V58+V59</f>
        <v/>
      </c>
      <c r="W60" s="51">
        <f>W58+W59</f>
        <v/>
      </c>
      <c r="X60" s="51">
        <f>X58+X59</f>
        <v/>
      </c>
      <c r="Y60" s="51">
        <f>Y58+Y59</f>
        <v/>
      </c>
      <c r="Z60" s="51">
        <f>Z58+Z59</f>
        <v/>
      </c>
      <c r="AA60" s="51">
        <f>AA58+AA59</f>
        <v/>
      </c>
      <c r="AB60" s="51">
        <f>AB58+AB59</f>
        <v/>
      </c>
      <c r="AC60" s="51">
        <f>AC58+AC59</f>
        <v/>
      </c>
      <c r="AD60" s="51">
        <f>AD58+AD59</f>
        <v/>
      </c>
      <c r="AE60" s="51">
        <f>AE58+AE59</f>
        <v/>
      </c>
      <c r="AF60" s="51">
        <f>AF58+AF59</f>
        <v/>
      </c>
      <c r="AG60" s="51">
        <f>AG58+AG59</f>
        <v/>
      </c>
      <c r="AH60" s="51">
        <f>AH58+AH59</f>
        <v/>
      </c>
      <c r="AI60" s="51">
        <f>AI58+AI59</f>
        <v/>
      </c>
      <c r="AJ60" s="51">
        <f>AJ58+AJ59</f>
        <v/>
      </c>
      <c r="AK60" s="51">
        <f>AK58+AK59</f>
        <v/>
      </c>
      <c r="AL60" s="51">
        <f>AL58+AL59</f>
        <v/>
      </c>
      <c r="AM60" s="51">
        <f>AM58+AM59</f>
        <v/>
      </c>
      <c r="AN60" s="51">
        <f>AN58+AN59</f>
        <v/>
      </c>
      <c r="AO60" s="51">
        <f>AO58+AO59</f>
        <v/>
      </c>
      <c r="AP60" s="51">
        <f>AP58+AP59</f>
        <v/>
      </c>
      <c r="AQ60" s="51">
        <f>AQ58+AQ59</f>
        <v/>
      </c>
      <c r="AR60" s="51">
        <f>AR58+AR59</f>
        <v/>
      </c>
      <c r="AS60" s="51">
        <f>AS58+AS59</f>
        <v/>
      </c>
      <c r="AT60" s="51">
        <f>AT58+AT59</f>
        <v/>
      </c>
      <c r="AU60" s="51">
        <f>AU58+AU59</f>
        <v/>
      </c>
      <c r="AV60" s="51">
        <f>AV58+AV59</f>
        <v/>
      </c>
      <c r="AW60" s="51">
        <f>AW58+AW59</f>
        <v/>
      </c>
      <c r="AX60" s="51">
        <f>AX58+AX59</f>
        <v/>
      </c>
      <c r="AY60" s="51">
        <f>AY58+AY59</f>
        <v/>
      </c>
      <c r="AZ60" s="51">
        <f>AZ58+AZ59</f>
        <v/>
      </c>
      <c r="BA60" s="51">
        <f>BA58+BA59</f>
        <v/>
      </c>
      <c r="BB60" s="51">
        <f>BB58+BB59</f>
        <v/>
      </c>
      <c r="BC60" s="51">
        <f>BC58+BC59</f>
        <v/>
      </c>
      <c r="BD60" s="51">
        <f>BD58+BD59</f>
        <v/>
      </c>
      <c r="BE60" s="51">
        <f>BE58+BE59</f>
        <v/>
      </c>
      <c r="BF60" s="51">
        <f>BF58+BF59</f>
        <v/>
      </c>
      <c r="BG60" s="51">
        <f>BG58+BG59</f>
        <v/>
      </c>
      <c r="BH60" s="51">
        <f>BH58+BH59</f>
        <v/>
      </c>
      <c r="BI60" s="51">
        <f>BI58+BI59</f>
        <v/>
      </c>
      <c r="BJ60" s="51">
        <f>BJ58+BJ59</f>
        <v/>
      </c>
      <c r="BK60" s="51">
        <f>BK58+BK59</f>
        <v/>
      </c>
      <c r="BL60" s="51">
        <f>BL58+BL59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69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</cols>
  <sheetData>
    <row r="1">
      <c r="A1" s="1" t="inlineStr">
        <is>
          <t>Operations &amp; portfolio</t>
        </is>
      </c>
    </row>
    <row r="2">
      <c r="A2" s="2" t="inlineStr">
        <is>
          <t>Per product, then totals. LCY unless stated.</t>
        </is>
      </c>
    </row>
    <row r="3"/>
    <row r="4">
      <c r="A4" s="40" t="inlineStr">
        <is>
          <t>Month #</t>
        </is>
      </c>
      <c r="B4" s="41" t="n"/>
      <c r="C4" s="41" t="n"/>
      <c r="D4" s="40" t="inlineStr">
        <is>
          <t>Opening</t>
        </is>
      </c>
      <c r="E4" s="42">
        <f>Timeline!E4</f>
        <v/>
      </c>
      <c r="F4" s="42">
        <f>Timeline!F4</f>
        <v/>
      </c>
      <c r="G4" s="42">
        <f>Timeline!G4</f>
        <v/>
      </c>
      <c r="H4" s="42">
        <f>Timeline!H4</f>
        <v/>
      </c>
      <c r="I4" s="42">
        <f>Timeline!I4</f>
        <v/>
      </c>
      <c r="J4" s="42">
        <f>Timeline!J4</f>
        <v/>
      </c>
      <c r="K4" s="42">
        <f>Timeline!K4</f>
        <v/>
      </c>
      <c r="L4" s="42">
        <f>Timeline!L4</f>
        <v/>
      </c>
      <c r="M4" s="42">
        <f>Timeline!M4</f>
        <v/>
      </c>
      <c r="N4" s="42">
        <f>Timeline!N4</f>
        <v/>
      </c>
      <c r="O4" s="42">
        <f>Timeline!O4</f>
        <v/>
      </c>
      <c r="P4" s="42">
        <f>Timeline!P4</f>
        <v/>
      </c>
      <c r="Q4" s="42">
        <f>Timeline!Q4</f>
        <v/>
      </c>
      <c r="R4" s="42">
        <f>Timeline!R4</f>
        <v/>
      </c>
      <c r="S4" s="42">
        <f>Timeline!S4</f>
        <v/>
      </c>
      <c r="T4" s="42">
        <f>Timeline!T4</f>
        <v/>
      </c>
      <c r="U4" s="42">
        <f>Timeline!U4</f>
        <v/>
      </c>
      <c r="V4" s="42">
        <f>Timeline!V4</f>
        <v/>
      </c>
      <c r="W4" s="42">
        <f>Timeline!W4</f>
        <v/>
      </c>
      <c r="X4" s="42">
        <f>Timeline!X4</f>
        <v/>
      </c>
      <c r="Y4" s="42">
        <f>Timeline!Y4</f>
        <v/>
      </c>
      <c r="Z4" s="42">
        <f>Timeline!Z4</f>
        <v/>
      </c>
      <c r="AA4" s="42">
        <f>Timeline!AA4</f>
        <v/>
      </c>
      <c r="AB4" s="42">
        <f>Timeline!AB4</f>
        <v/>
      </c>
      <c r="AC4" s="42">
        <f>Timeline!AC4</f>
        <v/>
      </c>
      <c r="AD4" s="42">
        <f>Timeline!AD4</f>
        <v/>
      </c>
      <c r="AE4" s="42">
        <f>Timeline!AE4</f>
        <v/>
      </c>
      <c r="AF4" s="42">
        <f>Timeline!AF4</f>
        <v/>
      </c>
      <c r="AG4" s="42">
        <f>Timeline!AG4</f>
        <v/>
      </c>
      <c r="AH4" s="42">
        <f>Timeline!AH4</f>
        <v/>
      </c>
      <c r="AI4" s="42">
        <f>Timeline!AI4</f>
        <v/>
      </c>
      <c r="AJ4" s="42">
        <f>Timeline!AJ4</f>
        <v/>
      </c>
      <c r="AK4" s="42">
        <f>Timeline!AK4</f>
        <v/>
      </c>
      <c r="AL4" s="42">
        <f>Timeline!AL4</f>
        <v/>
      </c>
      <c r="AM4" s="42">
        <f>Timeline!AM4</f>
        <v/>
      </c>
      <c r="AN4" s="42">
        <f>Timeline!AN4</f>
        <v/>
      </c>
      <c r="AO4" s="42">
        <f>Timeline!AO4</f>
        <v/>
      </c>
      <c r="AP4" s="42">
        <f>Timeline!AP4</f>
        <v/>
      </c>
      <c r="AQ4" s="42">
        <f>Timeline!AQ4</f>
        <v/>
      </c>
      <c r="AR4" s="42">
        <f>Timeline!AR4</f>
        <v/>
      </c>
      <c r="AS4" s="42">
        <f>Timeline!AS4</f>
        <v/>
      </c>
      <c r="AT4" s="42">
        <f>Timeline!AT4</f>
        <v/>
      </c>
      <c r="AU4" s="42">
        <f>Timeline!AU4</f>
        <v/>
      </c>
      <c r="AV4" s="42">
        <f>Timeline!AV4</f>
        <v/>
      </c>
      <c r="AW4" s="42">
        <f>Timeline!AW4</f>
        <v/>
      </c>
      <c r="AX4" s="42">
        <f>Timeline!AX4</f>
        <v/>
      </c>
      <c r="AY4" s="42">
        <f>Timeline!AY4</f>
        <v/>
      </c>
      <c r="AZ4" s="42">
        <f>Timeline!AZ4</f>
        <v/>
      </c>
      <c r="BA4" s="42">
        <f>Timeline!BA4</f>
        <v/>
      </c>
      <c r="BB4" s="42">
        <f>Timeline!BB4</f>
        <v/>
      </c>
      <c r="BC4" s="42">
        <f>Timeline!BC4</f>
        <v/>
      </c>
      <c r="BD4" s="42">
        <f>Timeline!BD4</f>
        <v/>
      </c>
      <c r="BE4" s="42">
        <f>Timeline!BE4</f>
        <v/>
      </c>
      <c r="BF4" s="42">
        <f>Timeline!BF4</f>
        <v/>
      </c>
      <c r="BG4" s="42">
        <f>Timeline!BG4</f>
        <v/>
      </c>
      <c r="BH4" s="42">
        <f>Timeline!BH4</f>
        <v/>
      </c>
      <c r="BI4" s="42">
        <f>Timeline!BI4</f>
        <v/>
      </c>
      <c r="BJ4" s="42">
        <f>Timeline!BJ4</f>
        <v/>
      </c>
      <c r="BK4" s="42">
        <f>Timeline!BK4</f>
        <v/>
      </c>
      <c r="BL4" s="42">
        <f>Timeline!BL4</f>
        <v/>
      </c>
    </row>
    <row r="5">
      <c r="A5" s="40" t="inlineStr">
        <is>
          <t>Period end</t>
        </is>
      </c>
      <c r="B5" s="41" t="n"/>
      <c r="C5" s="41" t="n"/>
      <c r="D5" s="40" t="n"/>
      <c r="E5" s="43">
        <f>Timeline!E5</f>
        <v/>
      </c>
      <c r="F5" s="43">
        <f>Timeline!F5</f>
        <v/>
      </c>
      <c r="G5" s="43">
        <f>Timeline!G5</f>
        <v/>
      </c>
      <c r="H5" s="43">
        <f>Timeline!H5</f>
        <v/>
      </c>
      <c r="I5" s="43">
        <f>Timeline!I5</f>
        <v/>
      </c>
      <c r="J5" s="43">
        <f>Timeline!J5</f>
        <v/>
      </c>
      <c r="K5" s="43">
        <f>Timeline!K5</f>
        <v/>
      </c>
      <c r="L5" s="43">
        <f>Timeline!L5</f>
        <v/>
      </c>
      <c r="M5" s="43">
        <f>Timeline!M5</f>
        <v/>
      </c>
      <c r="N5" s="43">
        <f>Timeline!N5</f>
        <v/>
      </c>
      <c r="O5" s="43">
        <f>Timeline!O5</f>
        <v/>
      </c>
      <c r="P5" s="43">
        <f>Timeline!P5</f>
        <v/>
      </c>
      <c r="Q5" s="43">
        <f>Timeline!Q5</f>
        <v/>
      </c>
      <c r="R5" s="43">
        <f>Timeline!R5</f>
        <v/>
      </c>
      <c r="S5" s="43">
        <f>Timeline!S5</f>
        <v/>
      </c>
      <c r="T5" s="43">
        <f>Timeline!T5</f>
        <v/>
      </c>
      <c r="U5" s="43">
        <f>Timeline!U5</f>
        <v/>
      </c>
      <c r="V5" s="43">
        <f>Timeline!V5</f>
        <v/>
      </c>
      <c r="W5" s="43">
        <f>Timeline!W5</f>
        <v/>
      </c>
      <c r="X5" s="43">
        <f>Timeline!X5</f>
        <v/>
      </c>
      <c r="Y5" s="43">
        <f>Timeline!Y5</f>
        <v/>
      </c>
      <c r="Z5" s="43">
        <f>Timeline!Z5</f>
        <v/>
      </c>
      <c r="AA5" s="43">
        <f>Timeline!AA5</f>
        <v/>
      </c>
      <c r="AB5" s="43">
        <f>Timeline!AB5</f>
        <v/>
      </c>
      <c r="AC5" s="43">
        <f>Timeline!AC5</f>
        <v/>
      </c>
      <c r="AD5" s="43">
        <f>Timeline!AD5</f>
        <v/>
      </c>
      <c r="AE5" s="43">
        <f>Timeline!AE5</f>
        <v/>
      </c>
      <c r="AF5" s="43">
        <f>Timeline!AF5</f>
        <v/>
      </c>
      <c r="AG5" s="43">
        <f>Timeline!AG5</f>
        <v/>
      </c>
      <c r="AH5" s="43">
        <f>Timeline!AH5</f>
        <v/>
      </c>
      <c r="AI5" s="43">
        <f>Timeline!AI5</f>
        <v/>
      </c>
      <c r="AJ5" s="43">
        <f>Timeline!AJ5</f>
        <v/>
      </c>
      <c r="AK5" s="43">
        <f>Timeline!AK5</f>
        <v/>
      </c>
      <c r="AL5" s="43">
        <f>Timeline!AL5</f>
        <v/>
      </c>
      <c r="AM5" s="43">
        <f>Timeline!AM5</f>
        <v/>
      </c>
      <c r="AN5" s="43">
        <f>Timeline!AN5</f>
        <v/>
      </c>
      <c r="AO5" s="43">
        <f>Timeline!AO5</f>
        <v/>
      </c>
      <c r="AP5" s="43">
        <f>Timeline!AP5</f>
        <v/>
      </c>
      <c r="AQ5" s="43">
        <f>Timeline!AQ5</f>
        <v/>
      </c>
      <c r="AR5" s="43">
        <f>Timeline!AR5</f>
        <v/>
      </c>
      <c r="AS5" s="43">
        <f>Timeline!AS5</f>
        <v/>
      </c>
      <c r="AT5" s="43">
        <f>Timeline!AT5</f>
        <v/>
      </c>
      <c r="AU5" s="43">
        <f>Timeline!AU5</f>
        <v/>
      </c>
      <c r="AV5" s="43">
        <f>Timeline!AV5</f>
        <v/>
      </c>
      <c r="AW5" s="43">
        <f>Timeline!AW5</f>
        <v/>
      </c>
      <c r="AX5" s="43">
        <f>Timeline!AX5</f>
        <v/>
      </c>
      <c r="AY5" s="43">
        <f>Timeline!AY5</f>
        <v/>
      </c>
      <c r="AZ5" s="43">
        <f>Timeline!AZ5</f>
        <v/>
      </c>
      <c r="BA5" s="43">
        <f>Timeline!BA5</f>
        <v/>
      </c>
      <c r="BB5" s="43">
        <f>Timeline!BB5</f>
        <v/>
      </c>
      <c r="BC5" s="43">
        <f>Timeline!BC5</f>
        <v/>
      </c>
      <c r="BD5" s="43">
        <f>Timeline!BD5</f>
        <v/>
      </c>
      <c r="BE5" s="43">
        <f>Timeline!BE5</f>
        <v/>
      </c>
      <c r="BF5" s="43">
        <f>Timeline!BF5</f>
        <v/>
      </c>
      <c r="BG5" s="43">
        <f>Timeline!BG5</f>
        <v/>
      </c>
      <c r="BH5" s="43">
        <f>Timeline!BH5</f>
        <v/>
      </c>
      <c r="BI5" s="43">
        <f>Timeline!BI5</f>
        <v/>
      </c>
      <c r="BJ5" s="43">
        <f>Timeline!BJ5</f>
        <v/>
      </c>
      <c r="BK5" s="43">
        <f>Timeline!BK5</f>
        <v/>
      </c>
      <c r="BL5" s="43">
        <f>Timeline!BL5</f>
        <v/>
      </c>
    </row>
    <row r="6">
      <c r="A6" s="40" t="inlineStr">
        <is>
          <t>Year #</t>
        </is>
      </c>
      <c r="B6" s="41" t="n"/>
      <c r="C6" s="41" t="n"/>
      <c r="D6" s="40" t="n"/>
      <c r="E6" s="42">
        <f>Timeline!E6</f>
        <v/>
      </c>
      <c r="F6" s="42">
        <f>Timeline!F6</f>
        <v/>
      </c>
      <c r="G6" s="42">
        <f>Timeline!G6</f>
        <v/>
      </c>
      <c r="H6" s="42">
        <f>Timeline!H6</f>
        <v/>
      </c>
      <c r="I6" s="42">
        <f>Timeline!I6</f>
        <v/>
      </c>
      <c r="J6" s="42">
        <f>Timeline!J6</f>
        <v/>
      </c>
      <c r="K6" s="42">
        <f>Timeline!K6</f>
        <v/>
      </c>
      <c r="L6" s="42">
        <f>Timeline!L6</f>
        <v/>
      </c>
      <c r="M6" s="42">
        <f>Timeline!M6</f>
        <v/>
      </c>
      <c r="N6" s="42">
        <f>Timeline!N6</f>
        <v/>
      </c>
      <c r="O6" s="42">
        <f>Timeline!O6</f>
        <v/>
      </c>
      <c r="P6" s="42">
        <f>Timeline!P6</f>
        <v/>
      </c>
      <c r="Q6" s="42">
        <f>Timeline!Q6</f>
        <v/>
      </c>
      <c r="R6" s="42">
        <f>Timeline!R6</f>
        <v/>
      </c>
      <c r="S6" s="42">
        <f>Timeline!S6</f>
        <v/>
      </c>
      <c r="T6" s="42">
        <f>Timeline!T6</f>
        <v/>
      </c>
      <c r="U6" s="42">
        <f>Timeline!U6</f>
        <v/>
      </c>
      <c r="V6" s="42">
        <f>Timeline!V6</f>
        <v/>
      </c>
      <c r="W6" s="42">
        <f>Timeline!W6</f>
        <v/>
      </c>
      <c r="X6" s="42">
        <f>Timeline!X6</f>
        <v/>
      </c>
      <c r="Y6" s="42">
        <f>Timeline!Y6</f>
        <v/>
      </c>
      <c r="Z6" s="42">
        <f>Timeline!Z6</f>
        <v/>
      </c>
      <c r="AA6" s="42">
        <f>Timeline!AA6</f>
        <v/>
      </c>
      <c r="AB6" s="42">
        <f>Timeline!AB6</f>
        <v/>
      </c>
      <c r="AC6" s="42">
        <f>Timeline!AC6</f>
        <v/>
      </c>
      <c r="AD6" s="42">
        <f>Timeline!AD6</f>
        <v/>
      </c>
      <c r="AE6" s="42">
        <f>Timeline!AE6</f>
        <v/>
      </c>
      <c r="AF6" s="42">
        <f>Timeline!AF6</f>
        <v/>
      </c>
      <c r="AG6" s="42">
        <f>Timeline!AG6</f>
        <v/>
      </c>
      <c r="AH6" s="42">
        <f>Timeline!AH6</f>
        <v/>
      </c>
      <c r="AI6" s="42">
        <f>Timeline!AI6</f>
        <v/>
      </c>
      <c r="AJ6" s="42">
        <f>Timeline!AJ6</f>
        <v/>
      </c>
      <c r="AK6" s="42">
        <f>Timeline!AK6</f>
        <v/>
      </c>
      <c r="AL6" s="42">
        <f>Timeline!AL6</f>
        <v/>
      </c>
      <c r="AM6" s="42">
        <f>Timeline!AM6</f>
        <v/>
      </c>
      <c r="AN6" s="42">
        <f>Timeline!AN6</f>
        <v/>
      </c>
      <c r="AO6" s="42">
        <f>Timeline!AO6</f>
        <v/>
      </c>
      <c r="AP6" s="42">
        <f>Timeline!AP6</f>
        <v/>
      </c>
      <c r="AQ6" s="42">
        <f>Timeline!AQ6</f>
        <v/>
      </c>
      <c r="AR6" s="42">
        <f>Timeline!AR6</f>
        <v/>
      </c>
      <c r="AS6" s="42">
        <f>Timeline!AS6</f>
        <v/>
      </c>
      <c r="AT6" s="42">
        <f>Timeline!AT6</f>
        <v/>
      </c>
      <c r="AU6" s="42">
        <f>Timeline!AU6</f>
        <v/>
      </c>
      <c r="AV6" s="42">
        <f>Timeline!AV6</f>
        <v/>
      </c>
      <c r="AW6" s="42">
        <f>Timeline!AW6</f>
        <v/>
      </c>
      <c r="AX6" s="42">
        <f>Timeline!AX6</f>
        <v/>
      </c>
      <c r="AY6" s="42">
        <f>Timeline!AY6</f>
        <v/>
      </c>
      <c r="AZ6" s="42">
        <f>Timeline!AZ6</f>
        <v/>
      </c>
      <c r="BA6" s="42">
        <f>Timeline!BA6</f>
        <v/>
      </c>
      <c r="BB6" s="42">
        <f>Timeline!BB6</f>
        <v/>
      </c>
      <c r="BC6" s="42">
        <f>Timeline!BC6</f>
        <v/>
      </c>
      <c r="BD6" s="42">
        <f>Timeline!BD6</f>
        <v/>
      </c>
      <c r="BE6" s="42">
        <f>Timeline!BE6</f>
        <v/>
      </c>
      <c r="BF6" s="42">
        <f>Timeline!BF6</f>
        <v/>
      </c>
      <c r="BG6" s="42">
        <f>Timeline!BG6</f>
        <v/>
      </c>
      <c r="BH6" s="42">
        <f>Timeline!BH6</f>
        <v/>
      </c>
      <c r="BI6" s="42">
        <f>Timeline!BI6</f>
        <v/>
      </c>
      <c r="BJ6" s="42">
        <f>Timeline!BJ6</f>
        <v/>
      </c>
      <c r="BK6" s="42">
        <f>Timeline!BK6</f>
        <v/>
      </c>
      <c r="BL6" s="42">
        <f>Timeline!BL6</f>
        <v/>
      </c>
    </row>
    <row r="7"/>
    <row r="8">
      <c r="A8" s="11">
        <f>Products!$C$5</f>
        <v/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  <c r="BJ8" s="12" t="n"/>
      <c r="BK8" s="12" t="n"/>
      <c r="BL8" s="12" t="n"/>
    </row>
    <row r="9">
      <c r="A9" s="44" t="inlineStr">
        <is>
          <t>Units sold</t>
        </is>
      </c>
      <c r="B9" s="13" t="inlineStr">
        <is>
          <t>units</t>
        </is>
      </c>
      <c r="C9" s="45">
        <f>SUM(E9:BL9)</f>
        <v/>
      </c>
      <c r="E9" s="46">
        <f>Timeline!E$11*Products!$C$13</f>
        <v/>
      </c>
      <c r="F9" s="46">
        <f>Timeline!F$11*Products!$C$13</f>
        <v/>
      </c>
      <c r="G9" s="46">
        <f>Timeline!G$11*Products!$C$13</f>
        <v/>
      </c>
      <c r="H9" s="46">
        <f>Timeline!H$11*Products!$C$13</f>
        <v/>
      </c>
      <c r="I9" s="46">
        <f>Timeline!I$11*Products!$C$13</f>
        <v/>
      </c>
      <c r="J9" s="46">
        <f>Timeline!J$11*Products!$C$13</f>
        <v/>
      </c>
      <c r="K9" s="46">
        <f>Timeline!K$11*Products!$C$13</f>
        <v/>
      </c>
      <c r="L9" s="46">
        <f>Timeline!L$11*Products!$C$13</f>
        <v/>
      </c>
      <c r="M9" s="46">
        <f>Timeline!M$11*Products!$C$13</f>
        <v/>
      </c>
      <c r="N9" s="46">
        <f>Timeline!N$11*Products!$C$13</f>
        <v/>
      </c>
      <c r="O9" s="46">
        <f>Timeline!O$11*Products!$C$13</f>
        <v/>
      </c>
      <c r="P9" s="46">
        <f>Timeline!P$11*Products!$C$13</f>
        <v/>
      </c>
      <c r="Q9" s="46">
        <f>Timeline!Q$11*Products!$C$13</f>
        <v/>
      </c>
      <c r="R9" s="46">
        <f>Timeline!R$11*Products!$C$13</f>
        <v/>
      </c>
      <c r="S9" s="46">
        <f>Timeline!S$11*Products!$C$13</f>
        <v/>
      </c>
      <c r="T9" s="46">
        <f>Timeline!T$11*Products!$C$13</f>
        <v/>
      </c>
      <c r="U9" s="46">
        <f>Timeline!U$11*Products!$C$13</f>
        <v/>
      </c>
      <c r="V9" s="46">
        <f>Timeline!V$11*Products!$C$13</f>
        <v/>
      </c>
      <c r="W9" s="46">
        <f>Timeline!W$11*Products!$C$13</f>
        <v/>
      </c>
      <c r="X9" s="46">
        <f>Timeline!X$11*Products!$C$13</f>
        <v/>
      </c>
      <c r="Y9" s="46">
        <f>Timeline!Y$11*Products!$C$13</f>
        <v/>
      </c>
      <c r="Z9" s="46">
        <f>Timeline!Z$11*Products!$C$13</f>
        <v/>
      </c>
      <c r="AA9" s="46">
        <f>Timeline!AA$11*Products!$C$13</f>
        <v/>
      </c>
      <c r="AB9" s="46">
        <f>Timeline!AB$11*Products!$C$13</f>
        <v/>
      </c>
      <c r="AC9" s="46">
        <f>Timeline!AC$11*Products!$C$13</f>
        <v/>
      </c>
      <c r="AD9" s="46">
        <f>Timeline!AD$11*Products!$C$13</f>
        <v/>
      </c>
      <c r="AE9" s="46">
        <f>Timeline!AE$11*Products!$C$13</f>
        <v/>
      </c>
      <c r="AF9" s="46">
        <f>Timeline!AF$11*Products!$C$13</f>
        <v/>
      </c>
      <c r="AG9" s="46">
        <f>Timeline!AG$11*Products!$C$13</f>
        <v/>
      </c>
      <c r="AH9" s="46">
        <f>Timeline!AH$11*Products!$C$13</f>
        <v/>
      </c>
      <c r="AI9" s="46">
        <f>Timeline!AI$11*Products!$C$13</f>
        <v/>
      </c>
      <c r="AJ9" s="46">
        <f>Timeline!AJ$11*Products!$C$13</f>
        <v/>
      </c>
      <c r="AK9" s="46">
        <f>Timeline!AK$11*Products!$C$13</f>
        <v/>
      </c>
      <c r="AL9" s="46">
        <f>Timeline!AL$11*Products!$C$13</f>
        <v/>
      </c>
      <c r="AM9" s="46">
        <f>Timeline!AM$11*Products!$C$13</f>
        <v/>
      </c>
      <c r="AN9" s="46">
        <f>Timeline!AN$11*Products!$C$13</f>
        <v/>
      </c>
      <c r="AO9" s="46">
        <f>Timeline!AO$11*Products!$C$13</f>
        <v/>
      </c>
      <c r="AP9" s="46">
        <f>Timeline!AP$11*Products!$C$13</f>
        <v/>
      </c>
      <c r="AQ9" s="46">
        <f>Timeline!AQ$11*Products!$C$13</f>
        <v/>
      </c>
      <c r="AR9" s="46">
        <f>Timeline!AR$11*Products!$C$13</f>
        <v/>
      </c>
      <c r="AS9" s="46">
        <f>Timeline!AS$11*Products!$C$13</f>
        <v/>
      </c>
      <c r="AT9" s="46">
        <f>Timeline!AT$11*Products!$C$13</f>
        <v/>
      </c>
      <c r="AU9" s="46">
        <f>Timeline!AU$11*Products!$C$13</f>
        <v/>
      </c>
      <c r="AV9" s="46">
        <f>Timeline!AV$11*Products!$C$13</f>
        <v/>
      </c>
      <c r="AW9" s="46">
        <f>Timeline!AW$11*Products!$C$13</f>
        <v/>
      </c>
      <c r="AX9" s="46">
        <f>Timeline!AX$11*Products!$C$13</f>
        <v/>
      </c>
      <c r="AY9" s="46">
        <f>Timeline!AY$11*Products!$C$13</f>
        <v/>
      </c>
      <c r="AZ9" s="46">
        <f>Timeline!AZ$11*Products!$C$13</f>
        <v/>
      </c>
      <c r="BA9" s="46">
        <f>Timeline!BA$11*Products!$C$13</f>
        <v/>
      </c>
      <c r="BB9" s="46">
        <f>Timeline!BB$11*Products!$C$13</f>
        <v/>
      </c>
      <c r="BC9" s="46">
        <f>Timeline!BC$11*Products!$C$13</f>
        <v/>
      </c>
      <c r="BD9" s="46">
        <f>Timeline!BD$11*Products!$C$13</f>
        <v/>
      </c>
      <c r="BE9" s="46">
        <f>Timeline!BE$11*Products!$C$13</f>
        <v/>
      </c>
      <c r="BF9" s="46">
        <f>Timeline!BF$11*Products!$C$13</f>
        <v/>
      </c>
      <c r="BG9" s="46">
        <f>Timeline!BG$11*Products!$C$13</f>
        <v/>
      </c>
      <c r="BH9" s="46">
        <f>Timeline!BH$11*Products!$C$13</f>
        <v/>
      </c>
      <c r="BI9" s="46">
        <f>Timeline!BI$11*Products!$C$13</f>
        <v/>
      </c>
      <c r="BJ9" s="46">
        <f>Timeline!BJ$11*Products!$C$13</f>
        <v/>
      </c>
      <c r="BK9" s="46">
        <f>Timeline!BK$11*Products!$C$13</f>
        <v/>
      </c>
      <c r="BL9" s="46">
        <f>Timeline!BL$11*Products!$C$13</f>
        <v/>
      </c>
    </row>
    <row r="10">
      <c r="A10" s="44" t="inlineStr">
        <is>
          <t>Price-indexed units (units x price index)</t>
        </is>
      </c>
      <c r="B10" s="13" t="inlineStr">
        <is>
          <t>units</t>
        </is>
      </c>
      <c r="C10" s="45">
        <f>SUM(E10:BL10)</f>
        <v/>
      </c>
      <c r="E10" s="25">
        <f>E$9*Timeline!E$10</f>
        <v/>
      </c>
      <c r="F10" s="25">
        <f>F$9*Timeline!F$10</f>
        <v/>
      </c>
      <c r="G10" s="25">
        <f>G$9*Timeline!G$10</f>
        <v/>
      </c>
      <c r="H10" s="25">
        <f>H$9*Timeline!H$10</f>
        <v/>
      </c>
      <c r="I10" s="25">
        <f>I$9*Timeline!I$10</f>
        <v/>
      </c>
      <c r="J10" s="25">
        <f>J$9*Timeline!J$10</f>
        <v/>
      </c>
      <c r="K10" s="25">
        <f>K$9*Timeline!K$10</f>
        <v/>
      </c>
      <c r="L10" s="25">
        <f>L$9*Timeline!L$10</f>
        <v/>
      </c>
      <c r="M10" s="25">
        <f>M$9*Timeline!M$10</f>
        <v/>
      </c>
      <c r="N10" s="25">
        <f>N$9*Timeline!N$10</f>
        <v/>
      </c>
      <c r="O10" s="25">
        <f>O$9*Timeline!O$10</f>
        <v/>
      </c>
      <c r="P10" s="25">
        <f>P$9*Timeline!P$10</f>
        <v/>
      </c>
      <c r="Q10" s="25">
        <f>Q$9*Timeline!Q$10</f>
        <v/>
      </c>
      <c r="R10" s="25">
        <f>R$9*Timeline!R$10</f>
        <v/>
      </c>
      <c r="S10" s="25">
        <f>S$9*Timeline!S$10</f>
        <v/>
      </c>
      <c r="T10" s="25">
        <f>T$9*Timeline!T$10</f>
        <v/>
      </c>
      <c r="U10" s="25">
        <f>U$9*Timeline!U$10</f>
        <v/>
      </c>
      <c r="V10" s="25">
        <f>V$9*Timeline!V$10</f>
        <v/>
      </c>
      <c r="W10" s="25">
        <f>W$9*Timeline!W$10</f>
        <v/>
      </c>
      <c r="X10" s="25">
        <f>X$9*Timeline!X$10</f>
        <v/>
      </c>
      <c r="Y10" s="25">
        <f>Y$9*Timeline!Y$10</f>
        <v/>
      </c>
      <c r="Z10" s="25">
        <f>Z$9*Timeline!Z$10</f>
        <v/>
      </c>
      <c r="AA10" s="25">
        <f>AA$9*Timeline!AA$10</f>
        <v/>
      </c>
      <c r="AB10" s="25">
        <f>AB$9*Timeline!AB$10</f>
        <v/>
      </c>
      <c r="AC10" s="25">
        <f>AC$9*Timeline!AC$10</f>
        <v/>
      </c>
      <c r="AD10" s="25">
        <f>AD$9*Timeline!AD$10</f>
        <v/>
      </c>
      <c r="AE10" s="25">
        <f>AE$9*Timeline!AE$10</f>
        <v/>
      </c>
      <c r="AF10" s="25">
        <f>AF$9*Timeline!AF$10</f>
        <v/>
      </c>
      <c r="AG10" s="25">
        <f>AG$9*Timeline!AG$10</f>
        <v/>
      </c>
      <c r="AH10" s="25">
        <f>AH$9*Timeline!AH$10</f>
        <v/>
      </c>
      <c r="AI10" s="25">
        <f>AI$9*Timeline!AI$10</f>
        <v/>
      </c>
      <c r="AJ10" s="25">
        <f>AJ$9*Timeline!AJ$10</f>
        <v/>
      </c>
      <c r="AK10" s="25">
        <f>AK$9*Timeline!AK$10</f>
        <v/>
      </c>
      <c r="AL10" s="25">
        <f>AL$9*Timeline!AL$10</f>
        <v/>
      </c>
      <c r="AM10" s="25">
        <f>AM$9*Timeline!AM$10</f>
        <v/>
      </c>
      <c r="AN10" s="25">
        <f>AN$9*Timeline!AN$10</f>
        <v/>
      </c>
      <c r="AO10" s="25">
        <f>AO$9*Timeline!AO$10</f>
        <v/>
      </c>
      <c r="AP10" s="25">
        <f>AP$9*Timeline!AP$10</f>
        <v/>
      </c>
      <c r="AQ10" s="25">
        <f>AQ$9*Timeline!AQ$10</f>
        <v/>
      </c>
      <c r="AR10" s="25">
        <f>AR$9*Timeline!AR$10</f>
        <v/>
      </c>
      <c r="AS10" s="25">
        <f>AS$9*Timeline!AS$10</f>
        <v/>
      </c>
      <c r="AT10" s="25">
        <f>AT$9*Timeline!AT$10</f>
        <v/>
      </c>
      <c r="AU10" s="25">
        <f>AU$9*Timeline!AU$10</f>
        <v/>
      </c>
      <c r="AV10" s="25">
        <f>AV$9*Timeline!AV$10</f>
        <v/>
      </c>
      <c r="AW10" s="25">
        <f>AW$9*Timeline!AW$10</f>
        <v/>
      </c>
      <c r="AX10" s="25">
        <f>AX$9*Timeline!AX$10</f>
        <v/>
      </c>
      <c r="AY10" s="25">
        <f>AY$9*Timeline!AY$10</f>
        <v/>
      </c>
      <c r="AZ10" s="25">
        <f>AZ$9*Timeline!AZ$10</f>
        <v/>
      </c>
      <c r="BA10" s="25">
        <f>BA$9*Timeline!BA$10</f>
        <v/>
      </c>
      <c r="BB10" s="25">
        <f>BB$9*Timeline!BB$10</f>
        <v/>
      </c>
      <c r="BC10" s="25">
        <f>BC$9*Timeline!BC$10</f>
        <v/>
      </c>
      <c r="BD10" s="25">
        <f>BD$9*Timeline!BD$10</f>
        <v/>
      </c>
      <c r="BE10" s="25">
        <f>BE$9*Timeline!BE$10</f>
        <v/>
      </c>
      <c r="BF10" s="25">
        <f>BF$9*Timeline!BF$10</f>
        <v/>
      </c>
      <c r="BG10" s="25">
        <f>BG$9*Timeline!BG$10</f>
        <v/>
      </c>
      <c r="BH10" s="25">
        <f>BH$9*Timeline!BH$10</f>
        <v/>
      </c>
      <c r="BI10" s="25">
        <f>BI$9*Timeline!BI$10</f>
        <v/>
      </c>
      <c r="BJ10" s="25">
        <f>BJ$9*Timeline!BJ$10</f>
        <v/>
      </c>
      <c r="BK10" s="25">
        <f>BK$9*Timeline!BK$10</f>
        <v/>
      </c>
      <c r="BL10" s="25">
        <f>BL$9*Timeline!BL$10</f>
        <v/>
      </c>
    </row>
    <row r="11">
      <c r="A11" s="44" t="inlineStr">
        <is>
          <t>Deposits collected</t>
        </is>
      </c>
      <c r="B11" s="13" t="inlineStr">
        <is>
          <t>LCY</t>
        </is>
      </c>
      <c r="C11" s="45">
        <f>SUM(E11:BL11)</f>
        <v/>
      </c>
      <c r="E11" s="25">
        <f>E$10*Products!$C$7</f>
        <v/>
      </c>
      <c r="F11" s="25">
        <f>F$10*Products!$C$7</f>
        <v/>
      </c>
      <c r="G11" s="25">
        <f>G$10*Products!$C$7</f>
        <v/>
      </c>
      <c r="H11" s="25">
        <f>H$10*Products!$C$7</f>
        <v/>
      </c>
      <c r="I11" s="25">
        <f>I$10*Products!$C$7</f>
        <v/>
      </c>
      <c r="J11" s="25">
        <f>J$10*Products!$C$7</f>
        <v/>
      </c>
      <c r="K11" s="25">
        <f>K$10*Products!$C$7</f>
        <v/>
      </c>
      <c r="L11" s="25">
        <f>L$10*Products!$C$7</f>
        <v/>
      </c>
      <c r="M11" s="25">
        <f>M$10*Products!$C$7</f>
        <v/>
      </c>
      <c r="N11" s="25">
        <f>N$10*Products!$C$7</f>
        <v/>
      </c>
      <c r="O11" s="25">
        <f>O$10*Products!$C$7</f>
        <v/>
      </c>
      <c r="P11" s="25">
        <f>P$10*Products!$C$7</f>
        <v/>
      </c>
      <c r="Q11" s="25">
        <f>Q$10*Products!$C$7</f>
        <v/>
      </c>
      <c r="R11" s="25">
        <f>R$10*Products!$C$7</f>
        <v/>
      </c>
      <c r="S11" s="25">
        <f>S$10*Products!$C$7</f>
        <v/>
      </c>
      <c r="T11" s="25">
        <f>T$10*Products!$C$7</f>
        <v/>
      </c>
      <c r="U11" s="25">
        <f>U$10*Products!$C$7</f>
        <v/>
      </c>
      <c r="V11" s="25">
        <f>V$10*Products!$C$7</f>
        <v/>
      </c>
      <c r="W11" s="25">
        <f>W$10*Products!$C$7</f>
        <v/>
      </c>
      <c r="X11" s="25">
        <f>X$10*Products!$C$7</f>
        <v/>
      </c>
      <c r="Y11" s="25">
        <f>Y$10*Products!$C$7</f>
        <v/>
      </c>
      <c r="Z11" s="25">
        <f>Z$10*Products!$C$7</f>
        <v/>
      </c>
      <c r="AA11" s="25">
        <f>AA$10*Products!$C$7</f>
        <v/>
      </c>
      <c r="AB11" s="25">
        <f>AB$10*Products!$C$7</f>
        <v/>
      </c>
      <c r="AC11" s="25">
        <f>AC$10*Products!$C$7</f>
        <v/>
      </c>
      <c r="AD11" s="25">
        <f>AD$10*Products!$C$7</f>
        <v/>
      </c>
      <c r="AE11" s="25">
        <f>AE$10*Products!$C$7</f>
        <v/>
      </c>
      <c r="AF11" s="25">
        <f>AF$10*Products!$C$7</f>
        <v/>
      </c>
      <c r="AG11" s="25">
        <f>AG$10*Products!$C$7</f>
        <v/>
      </c>
      <c r="AH11" s="25">
        <f>AH$10*Products!$C$7</f>
        <v/>
      </c>
      <c r="AI11" s="25">
        <f>AI$10*Products!$C$7</f>
        <v/>
      </c>
      <c r="AJ11" s="25">
        <f>AJ$10*Products!$C$7</f>
        <v/>
      </c>
      <c r="AK11" s="25">
        <f>AK$10*Products!$C$7</f>
        <v/>
      </c>
      <c r="AL11" s="25">
        <f>AL$10*Products!$C$7</f>
        <v/>
      </c>
      <c r="AM11" s="25">
        <f>AM$10*Products!$C$7</f>
        <v/>
      </c>
      <c r="AN11" s="25">
        <f>AN$10*Products!$C$7</f>
        <v/>
      </c>
      <c r="AO11" s="25">
        <f>AO$10*Products!$C$7</f>
        <v/>
      </c>
      <c r="AP11" s="25">
        <f>AP$10*Products!$C$7</f>
        <v/>
      </c>
      <c r="AQ11" s="25">
        <f>AQ$10*Products!$C$7</f>
        <v/>
      </c>
      <c r="AR11" s="25">
        <f>AR$10*Products!$C$7</f>
        <v/>
      </c>
      <c r="AS11" s="25">
        <f>AS$10*Products!$C$7</f>
        <v/>
      </c>
      <c r="AT11" s="25">
        <f>AT$10*Products!$C$7</f>
        <v/>
      </c>
      <c r="AU11" s="25">
        <f>AU$10*Products!$C$7</f>
        <v/>
      </c>
      <c r="AV11" s="25">
        <f>AV$10*Products!$C$7</f>
        <v/>
      </c>
      <c r="AW11" s="25">
        <f>AW$10*Products!$C$7</f>
        <v/>
      </c>
      <c r="AX11" s="25">
        <f>AX$10*Products!$C$7</f>
        <v/>
      </c>
      <c r="AY11" s="25">
        <f>AY$10*Products!$C$7</f>
        <v/>
      </c>
      <c r="AZ11" s="25">
        <f>AZ$10*Products!$C$7</f>
        <v/>
      </c>
      <c r="BA11" s="25">
        <f>BA$10*Products!$C$7</f>
        <v/>
      </c>
      <c r="BB11" s="25">
        <f>BB$10*Products!$C$7</f>
        <v/>
      </c>
      <c r="BC11" s="25">
        <f>BC$10*Products!$C$7</f>
        <v/>
      </c>
      <c r="BD11" s="25">
        <f>BD$10*Products!$C$7</f>
        <v/>
      </c>
      <c r="BE11" s="25">
        <f>BE$10*Products!$C$7</f>
        <v/>
      </c>
      <c r="BF11" s="25">
        <f>BF$10*Products!$C$7</f>
        <v/>
      </c>
      <c r="BG11" s="25">
        <f>BG$10*Products!$C$7</f>
        <v/>
      </c>
      <c r="BH11" s="25">
        <f>BH$10*Products!$C$7</f>
        <v/>
      </c>
      <c r="BI11" s="25">
        <f>BI$10*Products!$C$7</f>
        <v/>
      </c>
      <c r="BJ11" s="25">
        <f>BJ$10*Products!$C$7</f>
        <v/>
      </c>
      <c r="BK11" s="25">
        <f>BK$10*Products!$C$7</f>
        <v/>
      </c>
      <c r="BL11" s="25">
        <f>BL$10*Products!$C$7</f>
        <v/>
      </c>
    </row>
    <row r="12">
      <c r="A12" s="44" t="inlineStr">
        <is>
          <t>Hardware revenue (cash price)</t>
        </is>
      </c>
      <c r="B12" s="13" t="inlineStr">
        <is>
          <t>LCY</t>
        </is>
      </c>
      <c r="C12" s="45">
        <f>SUM(E12:BL12)</f>
        <v/>
      </c>
      <c r="E12" s="25">
        <f>E$10*Products!$C$6</f>
        <v/>
      </c>
      <c r="F12" s="25">
        <f>F$10*Products!$C$6</f>
        <v/>
      </c>
      <c r="G12" s="25">
        <f>G$10*Products!$C$6</f>
        <v/>
      </c>
      <c r="H12" s="25">
        <f>H$10*Products!$C$6</f>
        <v/>
      </c>
      <c r="I12" s="25">
        <f>I$10*Products!$C$6</f>
        <v/>
      </c>
      <c r="J12" s="25">
        <f>J$10*Products!$C$6</f>
        <v/>
      </c>
      <c r="K12" s="25">
        <f>K$10*Products!$C$6</f>
        <v/>
      </c>
      <c r="L12" s="25">
        <f>L$10*Products!$C$6</f>
        <v/>
      </c>
      <c r="M12" s="25">
        <f>M$10*Products!$C$6</f>
        <v/>
      </c>
      <c r="N12" s="25">
        <f>N$10*Products!$C$6</f>
        <v/>
      </c>
      <c r="O12" s="25">
        <f>O$10*Products!$C$6</f>
        <v/>
      </c>
      <c r="P12" s="25">
        <f>P$10*Products!$C$6</f>
        <v/>
      </c>
      <c r="Q12" s="25">
        <f>Q$10*Products!$C$6</f>
        <v/>
      </c>
      <c r="R12" s="25">
        <f>R$10*Products!$C$6</f>
        <v/>
      </c>
      <c r="S12" s="25">
        <f>S$10*Products!$C$6</f>
        <v/>
      </c>
      <c r="T12" s="25">
        <f>T$10*Products!$C$6</f>
        <v/>
      </c>
      <c r="U12" s="25">
        <f>U$10*Products!$C$6</f>
        <v/>
      </c>
      <c r="V12" s="25">
        <f>V$10*Products!$C$6</f>
        <v/>
      </c>
      <c r="W12" s="25">
        <f>W$10*Products!$C$6</f>
        <v/>
      </c>
      <c r="X12" s="25">
        <f>X$10*Products!$C$6</f>
        <v/>
      </c>
      <c r="Y12" s="25">
        <f>Y$10*Products!$C$6</f>
        <v/>
      </c>
      <c r="Z12" s="25">
        <f>Z$10*Products!$C$6</f>
        <v/>
      </c>
      <c r="AA12" s="25">
        <f>AA$10*Products!$C$6</f>
        <v/>
      </c>
      <c r="AB12" s="25">
        <f>AB$10*Products!$C$6</f>
        <v/>
      </c>
      <c r="AC12" s="25">
        <f>AC$10*Products!$C$6</f>
        <v/>
      </c>
      <c r="AD12" s="25">
        <f>AD$10*Products!$C$6</f>
        <v/>
      </c>
      <c r="AE12" s="25">
        <f>AE$10*Products!$C$6</f>
        <v/>
      </c>
      <c r="AF12" s="25">
        <f>AF$10*Products!$C$6</f>
        <v/>
      </c>
      <c r="AG12" s="25">
        <f>AG$10*Products!$C$6</f>
        <v/>
      </c>
      <c r="AH12" s="25">
        <f>AH$10*Products!$C$6</f>
        <v/>
      </c>
      <c r="AI12" s="25">
        <f>AI$10*Products!$C$6</f>
        <v/>
      </c>
      <c r="AJ12" s="25">
        <f>AJ$10*Products!$C$6</f>
        <v/>
      </c>
      <c r="AK12" s="25">
        <f>AK$10*Products!$C$6</f>
        <v/>
      </c>
      <c r="AL12" s="25">
        <f>AL$10*Products!$C$6</f>
        <v/>
      </c>
      <c r="AM12" s="25">
        <f>AM$10*Products!$C$6</f>
        <v/>
      </c>
      <c r="AN12" s="25">
        <f>AN$10*Products!$C$6</f>
        <v/>
      </c>
      <c r="AO12" s="25">
        <f>AO$10*Products!$C$6</f>
        <v/>
      </c>
      <c r="AP12" s="25">
        <f>AP$10*Products!$C$6</f>
        <v/>
      </c>
      <c r="AQ12" s="25">
        <f>AQ$10*Products!$C$6</f>
        <v/>
      </c>
      <c r="AR12" s="25">
        <f>AR$10*Products!$C$6</f>
        <v/>
      </c>
      <c r="AS12" s="25">
        <f>AS$10*Products!$C$6</f>
        <v/>
      </c>
      <c r="AT12" s="25">
        <f>AT$10*Products!$C$6</f>
        <v/>
      </c>
      <c r="AU12" s="25">
        <f>AU$10*Products!$C$6</f>
        <v/>
      </c>
      <c r="AV12" s="25">
        <f>AV$10*Products!$C$6</f>
        <v/>
      </c>
      <c r="AW12" s="25">
        <f>AW$10*Products!$C$6</f>
        <v/>
      </c>
      <c r="AX12" s="25">
        <f>AX$10*Products!$C$6</f>
        <v/>
      </c>
      <c r="AY12" s="25">
        <f>AY$10*Products!$C$6</f>
        <v/>
      </c>
      <c r="AZ12" s="25">
        <f>AZ$10*Products!$C$6</f>
        <v/>
      </c>
      <c r="BA12" s="25">
        <f>BA$10*Products!$C$6</f>
        <v/>
      </c>
      <c r="BB12" s="25">
        <f>BB$10*Products!$C$6</f>
        <v/>
      </c>
      <c r="BC12" s="25">
        <f>BC$10*Products!$C$6</f>
        <v/>
      </c>
      <c r="BD12" s="25">
        <f>BD$10*Products!$C$6</f>
        <v/>
      </c>
      <c r="BE12" s="25">
        <f>BE$10*Products!$C$6</f>
        <v/>
      </c>
      <c r="BF12" s="25">
        <f>BF$10*Products!$C$6</f>
        <v/>
      </c>
      <c r="BG12" s="25">
        <f>BG$10*Products!$C$6</f>
        <v/>
      </c>
      <c r="BH12" s="25">
        <f>BH$10*Products!$C$6</f>
        <v/>
      </c>
      <c r="BI12" s="25">
        <f>BI$10*Products!$C$6</f>
        <v/>
      </c>
      <c r="BJ12" s="25">
        <f>BJ$10*Products!$C$6</f>
        <v/>
      </c>
      <c r="BK12" s="25">
        <f>BK$10*Products!$C$6</f>
        <v/>
      </c>
      <c r="BL12" s="25">
        <f>BL$10*Products!$C$6</f>
        <v/>
      </c>
    </row>
    <row r="13">
      <c r="A13" s="44" t="inlineStr">
        <is>
          <t>New receivables originated (cash price - deposit)</t>
        </is>
      </c>
      <c r="B13" s="13" t="inlineStr">
        <is>
          <t>LCY</t>
        </is>
      </c>
      <c r="C13" s="45">
        <f>SUM(E13:BL13)</f>
        <v/>
      </c>
      <c r="E13" s="25">
        <f>E$10*Products!$C$22</f>
        <v/>
      </c>
      <c r="F13" s="25">
        <f>F$10*Products!$C$22</f>
        <v/>
      </c>
      <c r="G13" s="25">
        <f>G$10*Products!$C$22</f>
        <v/>
      </c>
      <c r="H13" s="25">
        <f>H$10*Products!$C$22</f>
        <v/>
      </c>
      <c r="I13" s="25">
        <f>I$10*Products!$C$22</f>
        <v/>
      </c>
      <c r="J13" s="25">
        <f>J$10*Products!$C$22</f>
        <v/>
      </c>
      <c r="K13" s="25">
        <f>K$10*Products!$C$22</f>
        <v/>
      </c>
      <c r="L13" s="25">
        <f>L$10*Products!$C$22</f>
        <v/>
      </c>
      <c r="M13" s="25">
        <f>M$10*Products!$C$22</f>
        <v/>
      </c>
      <c r="N13" s="25">
        <f>N$10*Products!$C$22</f>
        <v/>
      </c>
      <c r="O13" s="25">
        <f>O$10*Products!$C$22</f>
        <v/>
      </c>
      <c r="P13" s="25">
        <f>P$10*Products!$C$22</f>
        <v/>
      </c>
      <c r="Q13" s="25">
        <f>Q$10*Products!$C$22</f>
        <v/>
      </c>
      <c r="R13" s="25">
        <f>R$10*Products!$C$22</f>
        <v/>
      </c>
      <c r="S13" s="25">
        <f>S$10*Products!$C$22</f>
        <v/>
      </c>
      <c r="T13" s="25">
        <f>T$10*Products!$C$22</f>
        <v/>
      </c>
      <c r="U13" s="25">
        <f>U$10*Products!$C$22</f>
        <v/>
      </c>
      <c r="V13" s="25">
        <f>V$10*Products!$C$22</f>
        <v/>
      </c>
      <c r="W13" s="25">
        <f>W$10*Products!$C$22</f>
        <v/>
      </c>
      <c r="X13" s="25">
        <f>X$10*Products!$C$22</f>
        <v/>
      </c>
      <c r="Y13" s="25">
        <f>Y$10*Products!$C$22</f>
        <v/>
      </c>
      <c r="Z13" s="25">
        <f>Z$10*Products!$C$22</f>
        <v/>
      </c>
      <c r="AA13" s="25">
        <f>AA$10*Products!$C$22</f>
        <v/>
      </c>
      <c r="AB13" s="25">
        <f>AB$10*Products!$C$22</f>
        <v/>
      </c>
      <c r="AC13" s="25">
        <f>AC$10*Products!$C$22</f>
        <v/>
      </c>
      <c r="AD13" s="25">
        <f>AD$10*Products!$C$22</f>
        <v/>
      </c>
      <c r="AE13" s="25">
        <f>AE$10*Products!$C$22</f>
        <v/>
      </c>
      <c r="AF13" s="25">
        <f>AF$10*Products!$C$22</f>
        <v/>
      </c>
      <c r="AG13" s="25">
        <f>AG$10*Products!$C$22</f>
        <v/>
      </c>
      <c r="AH13" s="25">
        <f>AH$10*Products!$C$22</f>
        <v/>
      </c>
      <c r="AI13" s="25">
        <f>AI$10*Products!$C$22</f>
        <v/>
      </c>
      <c r="AJ13" s="25">
        <f>AJ$10*Products!$C$22</f>
        <v/>
      </c>
      <c r="AK13" s="25">
        <f>AK$10*Products!$C$22</f>
        <v/>
      </c>
      <c r="AL13" s="25">
        <f>AL$10*Products!$C$22</f>
        <v/>
      </c>
      <c r="AM13" s="25">
        <f>AM$10*Products!$C$22</f>
        <v/>
      </c>
      <c r="AN13" s="25">
        <f>AN$10*Products!$C$22</f>
        <v/>
      </c>
      <c r="AO13" s="25">
        <f>AO$10*Products!$C$22</f>
        <v/>
      </c>
      <c r="AP13" s="25">
        <f>AP$10*Products!$C$22</f>
        <v/>
      </c>
      <c r="AQ13" s="25">
        <f>AQ$10*Products!$C$22</f>
        <v/>
      </c>
      <c r="AR13" s="25">
        <f>AR$10*Products!$C$22</f>
        <v/>
      </c>
      <c r="AS13" s="25">
        <f>AS$10*Products!$C$22</f>
        <v/>
      </c>
      <c r="AT13" s="25">
        <f>AT$10*Products!$C$22</f>
        <v/>
      </c>
      <c r="AU13" s="25">
        <f>AU$10*Products!$C$22</f>
        <v/>
      </c>
      <c r="AV13" s="25">
        <f>AV$10*Products!$C$22</f>
        <v/>
      </c>
      <c r="AW13" s="25">
        <f>AW$10*Products!$C$22</f>
        <v/>
      </c>
      <c r="AX13" s="25">
        <f>AX$10*Products!$C$22</f>
        <v/>
      </c>
      <c r="AY13" s="25">
        <f>AY$10*Products!$C$22</f>
        <v/>
      </c>
      <c r="AZ13" s="25">
        <f>AZ$10*Products!$C$22</f>
        <v/>
      </c>
      <c r="BA13" s="25">
        <f>BA$10*Products!$C$22</f>
        <v/>
      </c>
      <c r="BB13" s="25">
        <f>BB$10*Products!$C$22</f>
        <v/>
      </c>
      <c r="BC13" s="25">
        <f>BC$10*Products!$C$22</f>
        <v/>
      </c>
      <c r="BD13" s="25">
        <f>BD$10*Products!$C$22</f>
        <v/>
      </c>
      <c r="BE13" s="25">
        <f>BE$10*Products!$C$22</f>
        <v/>
      </c>
      <c r="BF13" s="25">
        <f>BF$10*Products!$C$22</f>
        <v/>
      </c>
      <c r="BG13" s="25">
        <f>BG$10*Products!$C$22</f>
        <v/>
      </c>
      <c r="BH13" s="25">
        <f>BH$10*Products!$C$22</f>
        <v/>
      </c>
      <c r="BI13" s="25">
        <f>BI$10*Products!$C$22</f>
        <v/>
      </c>
      <c r="BJ13" s="25">
        <f>BJ$10*Products!$C$22</f>
        <v/>
      </c>
      <c r="BK13" s="25">
        <f>BK$10*Products!$C$22</f>
        <v/>
      </c>
      <c r="BL13" s="25">
        <f>BL$10*Products!$C$22</f>
        <v/>
      </c>
    </row>
    <row r="14">
      <c r="A14" s="44" t="inlineStr">
        <is>
          <t>Instalments due</t>
        </is>
      </c>
      <c r="B14" s="13" t="inlineStr">
        <is>
          <t>LCY</t>
        </is>
      </c>
      <c r="C14" s="45">
        <f>SUM(E14:BL14)</f>
        <v/>
      </c>
      <c r="E14" s="25">
        <f>Products!$C$18*SUMIFS($E$10:$BL$10,Timeline!$E$4:$BL$4,"&gt;="&amp;(E$4-Products!$C$9),Timeline!$E$4:$BL$4,"&lt;="&amp;(E$4-1))</f>
        <v/>
      </c>
      <c r="F14" s="25">
        <f>Products!$C$18*SUMIFS($E$10:$BL$10,Timeline!$E$4:$BL$4,"&gt;="&amp;(F$4-Products!$C$9),Timeline!$E$4:$BL$4,"&lt;="&amp;(F$4-1))</f>
        <v/>
      </c>
      <c r="G14" s="25">
        <f>Products!$C$18*SUMIFS($E$10:$BL$10,Timeline!$E$4:$BL$4,"&gt;="&amp;(G$4-Products!$C$9),Timeline!$E$4:$BL$4,"&lt;="&amp;(G$4-1))</f>
        <v/>
      </c>
      <c r="H14" s="25">
        <f>Products!$C$18*SUMIFS($E$10:$BL$10,Timeline!$E$4:$BL$4,"&gt;="&amp;(H$4-Products!$C$9),Timeline!$E$4:$BL$4,"&lt;="&amp;(H$4-1))</f>
        <v/>
      </c>
      <c r="I14" s="25">
        <f>Products!$C$18*SUMIFS($E$10:$BL$10,Timeline!$E$4:$BL$4,"&gt;="&amp;(I$4-Products!$C$9),Timeline!$E$4:$BL$4,"&lt;="&amp;(I$4-1))</f>
        <v/>
      </c>
      <c r="J14" s="25">
        <f>Products!$C$18*SUMIFS($E$10:$BL$10,Timeline!$E$4:$BL$4,"&gt;="&amp;(J$4-Products!$C$9),Timeline!$E$4:$BL$4,"&lt;="&amp;(J$4-1))</f>
        <v/>
      </c>
      <c r="K14" s="25">
        <f>Products!$C$18*SUMIFS($E$10:$BL$10,Timeline!$E$4:$BL$4,"&gt;="&amp;(K$4-Products!$C$9),Timeline!$E$4:$BL$4,"&lt;="&amp;(K$4-1))</f>
        <v/>
      </c>
      <c r="L14" s="25">
        <f>Products!$C$18*SUMIFS($E$10:$BL$10,Timeline!$E$4:$BL$4,"&gt;="&amp;(L$4-Products!$C$9),Timeline!$E$4:$BL$4,"&lt;="&amp;(L$4-1))</f>
        <v/>
      </c>
      <c r="M14" s="25">
        <f>Products!$C$18*SUMIFS($E$10:$BL$10,Timeline!$E$4:$BL$4,"&gt;="&amp;(M$4-Products!$C$9),Timeline!$E$4:$BL$4,"&lt;="&amp;(M$4-1))</f>
        <v/>
      </c>
      <c r="N14" s="25">
        <f>Products!$C$18*SUMIFS($E$10:$BL$10,Timeline!$E$4:$BL$4,"&gt;="&amp;(N$4-Products!$C$9),Timeline!$E$4:$BL$4,"&lt;="&amp;(N$4-1))</f>
        <v/>
      </c>
      <c r="O14" s="25">
        <f>Products!$C$18*SUMIFS($E$10:$BL$10,Timeline!$E$4:$BL$4,"&gt;="&amp;(O$4-Products!$C$9),Timeline!$E$4:$BL$4,"&lt;="&amp;(O$4-1))</f>
        <v/>
      </c>
      <c r="P14" s="25">
        <f>Products!$C$18*SUMIFS($E$10:$BL$10,Timeline!$E$4:$BL$4,"&gt;="&amp;(P$4-Products!$C$9),Timeline!$E$4:$BL$4,"&lt;="&amp;(P$4-1))</f>
        <v/>
      </c>
      <c r="Q14" s="25">
        <f>Products!$C$18*SUMIFS($E$10:$BL$10,Timeline!$E$4:$BL$4,"&gt;="&amp;(Q$4-Products!$C$9),Timeline!$E$4:$BL$4,"&lt;="&amp;(Q$4-1))</f>
        <v/>
      </c>
      <c r="R14" s="25">
        <f>Products!$C$18*SUMIFS($E$10:$BL$10,Timeline!$E$4:$BL$4,"&gt;="&amp;(R$4-Products!$C$9),Timeline!$E$4:$BL$4,"&lt;="&amp;(R$4-1))</f>
        <v/>
      </c>
      <c r="S14" s="25">
        <f>Products!$C$18*SUMIFS($E$10:$BL$10,Timeline!$E$4:$BL$4,"&gt;="&amp;(S$4-Products!$C$9),Timeline!$E$4:$BL$4,"&lt;="&amp;(S$4-1))</f>
        <v/>
      </c>
      <c r="T14" s="25">
        <f>Products!$C$18*SUMIFS($E$10:$BL$10,Timeline!$E$4:$BL$4,"&gt;="&amp;(T$4-Products!$C$9),Timeline!$E$4:$BL$4,"&lt;="&amp;(T$4-1))</f>
        <v/>
      </c>
      <c r="U14" s="25">
        <f>Products!$C$18*SUMIFS($E$10:$BL$10,Timeline!$E$4:$BL$4,"&gt;="&amp;(U$4-Products!$C$9),Timeline!$E$4:$BL$4,"&lt;="&amp;(U$4-1))</f>
        <v/>
      </c>
      <c r="V14" s="25">
        <f>Products!$C$18*SUMIFS($E$10:$BL$10,Timeline!$E$4:$BL$4,"&gt;="&amp;(V$4-Products!$C$9),Timeline!$E$4:$BL$4,"&lt;="&amp;(V$4-1))</f>
        <v/>
      </c>
      <c r="W14" s="25">
        <f>Products!$C$18*SUMIFS($E$10:$BL$10,Timeline!$E$4:$BL$4,"&gt;="&amp;(W$4-Products!$C$9),Timeline!$E$4:$BL$4,"&lt;="&amp;(W$4-1))</f>
        <v/>
      </c>
      <c r="X14" s="25">
        <f>Products!$C$18*SUMIFS($E$10:$BL$10,Timeline!$E$4:$BL$4,"&gt;="&amp;(X$4-Products!$C$9),Timeline!$E$4:$BL$4,"&lt;="&amp;(X$4-1))</f>
        <v/>
      </c>
      <c r="Y14" s="25">
        <f>Products!$C$18*SUMIFS($E$10:$BL$10,Timeline!$E$4:$BL$4,"&gt;="&amp;(Y$4-Products!$C$9),Timeline!$E$4:$BL$4,"&lt;="&amp;(Y$4-1))</f>
        <v/>
      </c>
      <c r="Z14" s="25">
        <f>Products!$C$18*SUMIFS($E$10:$BL$10,Timeline!$E$4:$BL$4,"&gt;="&amp;(Z$4-Products!$C$9),Timeline!$E$4:$BL$4,"&lt;="&amp;(Z$4-1))</f>
        <v/>
      </c>
      <c r="AA14" s="25">
        <f>Products!$C$18*SUMIFS($E$10:$BL$10,Timeline!$E$4:$BL$4,"&gt;="&amp;(AA$4-Products!$C$9),Timeline!$E$4:$BL$4,"&lt;="&amp;(AA$4-1))</f>
        <v/>
      </c>
      <c r="AB14" s="25">
        <f>Products!$C$18*SUMIFS($E$10:$BL$10,Timeline!$E$4:$BL$4,"&gt;="&amp;(AB$4-Products!$C$9),Timeline!$E$4:$BL$4,"&lt;="&amp;(AB$4-1))</f>
        <v/>
      </c>
      <c r="AC14" s="25">
        <f>Products!$C$18*SUMIFS($E$10:$BL$10,Timeline!$E$4:$BL$4,"&gt;="&amp;(AC$4-Products!$C$9),Timeline!$E$4:$BL$4,"&lt;="&amp;(AC$4-1))</f>
        <v/>
      </c>
      <c r="AD14" s="25">
        <f>Products!$C$18*SUMIFS($E$10:$BL$10,Timeline!$E$4:$BL$4,"&gt;="&amp;(AD$4-Products!$C$9),Timeline!$E$4:$BL$4,"&lt;="&amp;(AD$4-1))</f>
        <v/>
      </c>
      <c r="AE14" s="25">
        <f>Products!$C$18*SUMIFS($E$10:$BL$10,Timeline!$E$4:$BL$4,"&gt;="&amp;(AE$4-Products!$C$9),Timeline!$E$4:$BL$4,"&lt;="&amp;(AE$4-1))</f>
        <v/>
      </c>
      <c r="AF14" s="25">
        <f>Products!$C$18*SUMIFS($E$10:$BL$10,Timeline!$E$4:$BL$4,"&gt;="&amp;(AF$4-Products!$C$9),Timeline!$E$4:$BL$4,"&lt;="&amp;(AF$4-1))</f>
        <v/>
      </c>
      <c r="AG14" s="25">
        <f>Products!$C$18*SUMIFS($E$10:$BL$10,Timeline!$E$4:$BL$4,"&gt;="&amp;(AG$4-Products!$C$9),Timeline!$E$4:$BL$4,"&lt;="&amp;(AG$4-1))</f>
        <v/>
      </c>
      <c r="AH14" s="25">
        <f>Products!$C$18*SUMIFS($E$10:$BL$10,Timeline!$E$4:$BL$4,"&gt;="&amp;(AH$4-Products!$C$9),Timeline!$E$4:$BL$4,"&lt;="&amp;(AH$4-1))</f>
        <v/>
      </c>
      <c r="AI14" s="25">
        <f>Products!$C$18*SUMIFS($E$10:$BL$10,Timeline!$E$4:$BL$4,"&gt;="&amp;(AI$4-Products!$C$9),Timeline!$E$4:$BL$4,"&lt;="&amp;(AI$4-1))</f>
        <v/>
      </c>
      <c r="AJ14" s="25">
        <f>Products!$C$18*SUMIFS($E$10:$BL$10,Timeline!$E$4:$BL$4,"&gt;="&amp;(AJ$4-Products!$C$9),Timeline!$E$4:$BL$4,"&lt;="&amp;(AJ$4-1))</f>
        <v/>
      </c>
      <c r="AK14" s="25">
        <f>Products!$C$18*SUMIFS($E$10:$BL$10,Timeline!$E$4:$BL$4,"&gt;="&amp;(AK$4-Products!$C$9),Timeline!$E$4:$BL$4,"&lt;="&amp;(AK$4-1))</f>
        <v/>
      </c>
      <c r="AL14" s="25">
        <f>Products!$C$18*SUMIFS($E$10:$BL$10,Timeline!$E$4:$BL$4,"&gt;="&amp;(AL$4-Products!$C$9),Timeline!$E$4:$BL$4,"&lt;="&amp;(AL$4-1))</f>
        <v/>
      </c>
      <c r="AM14" s="25">
        <f>Products!$C$18*SUMIFS($E$10:$BL$10,Timeline!$E$4:$BL$4,"&gt;="&amp;(AM$4-Products!$C$9),Timeline!$E$4:$BL$4,"&lt;="&amp;(AM$4-1))</f>
        <v/>
      </c>
      <c r="AN14" s="25">
        <f>Products!$C$18*SUMIFS($E$10:$BL$10,Timeline!$E$4:$BL$4,"&gt;="&amp;(AN$4-Products!$C$9),Timeline!$E$4:$BL$4,"&lt;="&amp;(AN$4-1))</f>
        <v/>
      </c>
      <c r="AO14" s="25">
        <f>Products!$C$18*SUMIFS($E$10:$BL$10,Timeline!$E$4:$BL$4,"&gt;="&amp;(AO$4-Products!$C$9),Timeline!$E$4:$BL$4,"&lt;="&amp;(AO$4-1))</f>
        <v/>
      </c>
      <c r="AP14" s="25">
        <f>Products!$C$18*SUMIFS($E$10:$BL$10,Timeline!$E$4:$BL$4,"&gt;="&amp;(AP$4-Products!$C$9),Timeline!$E$4:$BL$4,"&lt;="&amp;(AP$4-1))</f>
        <v/>
      </c>
      <c r="AQ14" s="25">
        <f>Products!$C$18*SUMIFS($E$10:$BL$10,Timeline!$E$4:$BL$4,"&gt;="&amp;(AQ$4-Products!$C$9),Timeline!$E$4:$BL$4,"&lt;="&amp;(AQ$4-1))</f>
        <v/>
      </c>
      <c r="AR14" s="25">
        <f>Products!$C$18*SUMIFS($E$10:$BL$10,Timeline!$E$4:$BL$4,"&gt;="&amp;(AR$4-Products!$C$9),Timeline!$E$4:$BL$4,"&lt;="&amp;(AR$4-1))</f>
        <v/>
      </c>
      <c r="AS14" s="25">
        <f>Products!$C$18*SUMIFS($E$10:$BL$10,Timeline!$E$4:$BL$4,"&gt;="&amp;(AS$4-Products!$C$9),Timeline!$E$4:$BL$4,"&lt;="&amp;(AS$4-1))</f>
        <v/>
      </c>
      <c r="AT14" s="25">
        <f>Products!$C$18*SUMIFS($E$10:$BL$10,Timeline!$E$4:$BL$4,"&gt;="&amp;(AT$4-Products!$C$9),Timeline!$E$4:$BL$4,"&lt;="&amp;(AT$4-1))</f>
        <v/>
      </c>
      <c r="AU14" s="25">
        <f>Products!$C$18*SUMIFS($E$10:$BL$10,Timeline!$E$4:$BL$4,"&gt;="&amp;(AU$4-Products!$C$9),Timeline!$E$4:$BL$4,"&lt;="&amp;(AU$4-1))</f>
        <v/>
      </c>
      <c r="AV14" s="25">
        <f>Products!$C$18*SUMIFS($E$10:$BL$10,Timeline!$E$4:$BL$4,"&gt;="&amp;(AV$4-Products!$C$9),Timeline!$E$4:$BL$4,"&lt;="&amp;(AV$4-1))</f>
        <v/>
      </c>
      <c r="AW14" s="25">
        <f>Products!$C$18*SUMIFS($E$10:$BL$10,Timeline!$E$4:$BL$4,"&gt;="&amp;(AW$4-Products!$C$9),Timeline!$E$4:$BL$4,"&lt;="&amp;(AW$4-1))</f>
        <v/>
      </c>
      <c r="AX14" s="25">
        <f>Products!$C$18*SUMIFS($E$10:$BL$10,Timeline!$E$4:$BL$4,"&gt;="&amp;(AX$4-Products!$C$9),Timeline!$E$4:$BL$4,"&lt;="&amp;(AX$4-1))</f>
        <v/>
      </c>
      <c r="AY14" s="25">
        <f>Products!$C$18*SUMIFS($E$10:$BL$10,Timeline!$E$4:$BL$4,"&gt;="&amp;(AY$4-Products!$C$9),Timeline!$E$4:$BL$4,"&lt;="&amp;(AY$4-1))</f>
        <v/>
      </c>
      <c r="AZ14" s="25">
        <f>Products!$C$18*SUMIFS($E$10:$BL$10,Timeline!$E$4:$BL$4,"&gt;="&amp;(AZ$4-Products!$C$9),Timeline!$E$4:$BL$4,"&lt;="&amp;(AZ$4-1))</f>
        <v/>
      </c>
      <c r="BA14" s="25">
        <f>Products!$C$18*SUMIFS($E$10:$BL$10,Timeline!$E$4:$BL$4,"&gt;="&amp;(BA$4-Products!$C$9),Timeline!$E$4:$BL$4,"&lt;="&amp;(BA$4-1))</f>
        <v/>
      </c>
      <c r="BB14" s="25">
        <f>Products!$C$18*SUMIFS($E$10:$BL$10,Timeline!$E$4:$BL$4,"&gt;="&amp;(BB$4-Products!$C$9),Timeline!$E$4:$BL$4,"&lt;="&amp;(BB$4-1))</f>
        <v/>
      </c>
      <c r="BC14" s="25">
        <f>Products!$C$18*SUMIFS($E$10:$BL$10,Timeline!$E$4:$BL$4,"&gt;="&amp;(BC$4-Products!$C$9),Timeline!$E$4:$BL$4,"&lt;="&amp;(BC$4-1))</f>
        <v/>
      </c>
      <c r="BD14" s="25">
        <f>Products!$C$18*SUMIFS($E$10:$BL$10,Timeline!$E$4:$BL$4,"&gt;="&amp;(BD$4-Products!$C$9),Timeline!$E$4:$BL$4,"&lt;="&amp;(BD$4-1))</f>
        <v/>
      </c>
      <c r="BE14" s="25">
        <f>Products!$C$18*SUMIFS($E$10:$BL$10,Timeline!$E$4:$BL$4,"&gt;="&amp;(BE$4-Products!$C$9),Timeline!$E$4:$BL$4,"&lt;="&amp;(BE$4-1))</f>
        <v/>
      </c>
      <c r="BF14" s="25">
        <f>Products!$C$18*SUMIFS($E$10:$BL$10,Timeline!$E$4:$BL$4,"&gt;="&amp;(BF$4-Products!$C$9),Timeline!$E$4:$BL$4,"&lt;="&amp;(BF$4-1))</f>
        <v/>
      </c>
      <c r="BG14" s="25">
        <f>Products!$C$18*SUMIFS($E$10:$BL$10,Timeline!$E$4:$BL$4,"&gt;="&amp;(BG$4-Products!$C$9),Timeline!$E$4:$BL$4,"&lt;="&amp;(BG$4-1))</f>
        <v/>
      </c>
      <c r="BH14" s="25">
        <f>Products!$C$18*SUMIFS($E$10:$BL$10,Timeline!$E$4:$BL$4,"&gt;="&amp;(BH$4-Products!$C$9),Timeline!$E$4:$BL$4,"&lt;="&amp;(BH$4-1))</f>
        <v/>
      </c>
      <c r="BI14" s="25">
        <f>Products!$C$18*SUMIFS($E$10:$BL$10,Timeline!$E$4:$BL$4,"&gt;="&amp;(BI$4-Products!$C$9),Timeline!$E$4:$BL$4,"&lt;="&amp;(BI$4-1))</f>
        <v/>
      </c>
      <c r="BJ14" s="25">
        <f>Products!$C$18*SUMIFS($E$10:$BL$10,Timeline!$E$4:$BL$4,"&gt;="&amp;(BJ$4-Products!$C$9),Timeline!$E$4:$BL$4,"&lt;="&amp;(BJ$4-1))</f>
        <v/>
      </c>
      <c r="BK14" s="25">
        <f>Products!$C$18*SUMIFS($E$10:$BL$10,Timeline!$E$4:$BL$4,"&gt;="&amp;(BK$4-Products!$C$9),Timeline!$E$4:$BL$4,"&lt;="&amp;(BK$4-1))</f>
        <v/>
      </c>
      <c r="BL14" s="25">
        <f>Products!$C$18*SUMIFS($E$10:$BL$10,Timeline!$E$4:$BL$4,"&gt;="&amp;(BL$4-Products!$C$9),Timeline!$E$4:$BL$4,"&lt;="&amp;(BL$4-1))</f>
        <v/>
      </c>
    </row>
    <row r="15">
      <c r="A15" s="44" t="inlineStr">
        <is>
          <t>Instalments collected</t>
        </is>
      </c>
      <c r="B15" s="13" t="inlineStr">
        <is>
          <t>LCY</t>
        </is>
      </c>
      <c r="C15" s="45">
        <f>SUM(E15:BL15)</f>
        <v/>
      </c>
      <c r="E15" s="46">
        <f>Cohort_P1!E$9</f>
        <v/>
      </c>
      <c r="F15" s="46">
        <f>Cohort_P1!F$9</f>
        <v/>
      </c>
      <c r="G15" s="46">
        <f>Cohort_P1!G$9</f>
        <v/>
      </c>
      <c r="H15" s="46">
        <f>Cohort_P1!H$9</f>
        <v/>
      </c>
      <c r="I15" s="46">
        <f>Cohort_P1!I$9</f>
        <v/>
      </c>
      <c r="J15" s="46">
        <f>Cohort_P1!J$9</f>
        <v/>
      </c>
      <c r="K15" s="46">
        <f>Cohort_P1!K$9</f>
        <v/>
      </c>
      <c r="L15" s="46">
        <f>Cohort_P1!L$9</f>
        <v/>
      </c>
      <c r="M15" s="46">
        <f>Cohort_P1!M$9</f>
        <v/>
      </c>
      <c r="N15" s="46">
        <f>Cohort_P1!N$9</f>
        <v/>
      </c>
      <c r="O15" s="46">
        <f>Cohort_P1!O$9</f>
        <v/>
      </c>
      <c r="P15" s="46">
        <f>Cohort_P1!P$9</f>
        <v/>
      </c>
      <c r="Q15" s="46">
        <f>Cohort_P1!Q$9</f>
        <v/>
      </c>
      <c r="R15" s="46">
        <f>Cohort_P1!R$9</f>
        <v/>
      </c>
      <c r="S15" s="46">
        <f>Cohort_P1!S$9</f>
        <v/>
      </c>
      <c r="T15" s="46">
        <f>Cohort_P1!T$9</f>
        <v/>
      </c>
      <c r="U15" s="46">
        <f>Cohort_P1!U$9</f>
        <v/>
      </c>
      <c r="V15" s="46">
        <f>Cohort_P1!V$9</f>
        <v/>
      </c>
      <c r="W15" s="46">
        <f>Cohort_P1!W$9</f>
        <v/>
      </c>
      <c r="X15" s="46">
        <f>Cohort_P1!X$9</f>
        <v/>
      </c>
      <c r="Y15" s="46">
        <f>Cohort_P1!Y$9</f>
        <v/>
      </c>
      <c r="Z15" s="46">
        <f>Cohort_P1!Z$9</f>
        <v/>
      </c>
      <c r="AA15" s="46">
        <f>Cohort_P1!AA$9</f>
        <v/>
      </c>
      <c r="AB15" s="46">
        <f>Cohort_P1!AB$9</f>
        <v/>
      </c>
      <c r="AC15" s="46">
        <f>Cohort_P1!AC$9</f>
        <v/>
      </c>
      <c r="AD15" s="46">
        <f>Cohort_P1!AD$9</f>
        <v/>
      </c>
      <c r="AE15" s="46">
        <f>Cohort_P1!AE$9</f>
        <v/>
      </c>
      <c r="AF15" s="46">
        <f>Cohort_P1!AF$9</f>
        <v/>
      </c>
      <c r="AG15" s="46">
        <f>Cohort_P1!AG$9</f>
        <v/>
      </c>
      <c r="AH15" s="46">
        <f>Cohort_P1!AH$9</f>
        <v/>
      </c>
      <c r="AI15" s="46">
        <f>Cohort_P1!AI$9</f>
        <v/>
      </c>
      <c r="AJ15" s="46">
        <f>Cohort_P1!AJ$9</f>
        <v/>
      </c>
      <c r="AK15" s="46">
        <f>Cohort_P1!AK$9</f>
        <v/>
      </c>
      <c r="AL15" s="46">
        <f>Cohort_P1!AL$9</f>
        <v/>
      </c>
      <c r="AM15" s="46">
        <f>Cohort_P1!AM$9</f>
        <v/>
      </c>
      <c r="AN15" s="46">
        <f>Cohort_P1!AN$9</f>
        <v/>
      </c>
      <c r="AO15" s="46">
        <f>Cohort_P1!AO$9</f>
        <v/>
      </c>
      <c r="AP15" s="46">
        <f>Cohort_P1!AP$9</f>
        <v/>
      </c>
      <c r="AQ15" s="46">
        <f>Cohort_P1!AQ$9</f>
        <v/>
      </c>
      <c r="AR15" s="46">
        <f>Cohort_P1!AR$9</f>
        <v/>
      </c>
      <c r="AS15" s="46">
        <f>Cohort_P1!AS$9</f>
        <v/>
      </c>
      <c r="AT15" s="46">
        <f>Cohort_P1!AT$9</f>
        <v/>
      </c>
      <c r="AU15" s="46">
        <f>Cohort_P1!AU$9</f>
        <v/>
      </c>
      <c r="AV15" s="46">
        <f>Cohort_P1!AV$9</f>
        <v/>
      </c>
      <c r="AW15" s="46">
        <f>Cohort_P1!AW$9</f>
        <v/>
      </c>
      <c r="AX15" s="46">
        <f>Cohort_P1!AX$9</f>
        <v/>
      </c>
      <c r="AY15" s="46">
        <f>Cohort_P1!AY$9</f>
        <v/>
      </c>
      <c r="AZ15" s="46">
        <f>Cohort_P1!AZ$9</f>
        <v/>
      </c>
      <c r="BA15" s="46">
        <f>Cohort_P1!BA$9</f>
        <v/>
      </c>
      <c r="BB15" s="46">
        <f>Cohort_P1!BB$9</f>
        <v/>
      </c>
      <c r="BC15" s="46">
        <f>Cohort_P1!BC$9</f>
        <v/>
      </c>
      <c r="BD15" s="46">
        <f>Cohort_P1!BD$9</f>
        <v/>
      </c>
      <c r="BE15" s="46">
        <f>Cohort_P1!BE$9</f>
        <v/>
      </c>
      <c r="BF15" s="46">
        <f>Cohort_P1!BF$9</f>
        <v/>
      </c>
      <c r="BG15" s="46">
        <f>Cohort_P1!BG$9</f>
        <v/>
      </c>
      <c r="BH15" s="46">
        <f>Cohort_P1!BH$9</f>
        <v/>
      </c>
      <c r="BI15" s="46">
        <f>Cohort_P1!BI$9</f>
        <v/>
      </c>
      <c r="BJ15" s="46">
        <f>Cohort_P1!BJ$9</f>
        <v/>
      </c>
      <c r="BK15" s="46">
        <f>Cohort_P1!BK$9</f>
        <v/>
      </c>
      <c r="BL15" s="46">
        <f>Cohort_P1!BL$9</f>
        <v/>
      </c>
    </row>
    <row r="16">
      <c r="A16" s="44" t="inlineStr">
        <is>
          <t>Missed instalments written off</t>
        </is>
      </c>
      <c r="B16" s="13" t="inlineStr">
        <is>
          <t>LCY</t>
        </is>
      </c>
      <c r="C16" s="45">
        <f>SUM(E16:BL16)</f>
        <v/>
      </c>
      <c r="E16" s="25">
        <f>E$14-E$15</f>
        <v/>
      </c>
      <c r="F16" s="25">
        <f>F$14-F$15</f>
        <v/>
      </c>
      <c r="G16" s="25">
        <f>G$14-G$15</f>
        <v/>
      </c>
      <c r="H16" s="25">
        <f>H$14-H$15</f>
        <v/>
      </c>
      <c r="I16" s="25">
        <f>I$14-I$15</f>
        <v/>
      </c>
      <c r="J16" s="25">
        <f>J$14-J$15</f>
        <v/>
      </c>
      <c r="K16" s="25">
        <f>K$14-K$15</f>
        <v/>
      </c>
      <c r="L16" s="25">
        <f>L$14-L$15</f>
        <v/>
      </c>
      <c r="M16" s="25">
        <f>M$14-M$15</f>
        <v/>
      </c>
      <c r="N16" s="25">
        <f>N$14-N$15</f>
        <v/>
      </c>
      <c r="O16" s="25">
        <f>O$14-O$15</f>
        <v/>
      </c>
      <c r="P16" s="25">
        <f>P$14-P$15</f>
        <v/>
      </c>
      <c r="Q16" s="25">
        <f>Q$14-Q$15</f>
        <v/>
      </c>
      <c r="R16" s="25">
        <f>R$14-R$15</f>
        <v/>
      </c>
      <c r="S16" s="25">
        <f>S$14-S$15</f>
        <v/>
      </c>
      <c r="T16" s="25">
        <f>T$14-T$15</f>
        <v/>
      </c>
      <c r="U16" s="25">
        <f>U$14-U$15</f>
        <v/>
      </c>
      <c r="V16" s="25">
        <f>V$14-V$15</f>
        <v/>
      </c>
      <c r="W16" s="25">
        <f>W$14-W$15</f>
        <v/>
      </c>
      <c r="X16" s="25">
        <f>X$14-X$15</f>
        <v/>
      </c>
      <c r="Y16" s="25">
        <f>Y$14-Y$15</f>
        <v/>
      </c>
      <c r="Z16" s="25">
        <f>Z$14-Z$15</f>
        <v/>
      </c>
      <c r="AA16" s="25">
        <f>AA$14-AA$15</f>
        <v/>
      </c>
      <c r="AB16" s="25">
        <f>AB$14-AB$15</f>
        <v/>
      </c>
      <c r="AC16" s="25">
        <f>AC$14-AC$15</f>
        <v/>
      </c>
      <c r="AD16" s="25">
        <f>AD$14-AD$15</f>
        <v/>
      </c>
      <c r="AE16" s="25">
        <f>AE$14-AE$15</f>
        <v/>
      </c>
      <c r="AF16" s="25">
        <f>AF$14-AF$15</f>
        <v/>
      </c>
      <c r="AG16" s="25">
        <f>AG$14-AG$15</f>
        <v/>
      </c>
      <c r="AH16" s="25">
        <f>AH$14-AH$15</f>
        <v/>
      </c>
      <c r="AI16" s="25">
        <f>AI$14-AI$15</f>
        <v/>
      </c>
      <c r="AJ16" s="25">
        <f>AJ$14-AJ$15</f>
        <v/>
      </c>
      <c r="AK16" s="25">
        <f>AK$14-AK$15</f>
        <v/>
      </c>
      <c r="AL16" s="25">
        <f>AL$14-AL$15</f>
        <v/>
      </c>
      <c r="AM16" s="25">
        <f>AM$14-AM$15</f>
        <v/>
      </c>
      <c r="AN16" s="25">
        <f>AN$14-AN$15</f>
        <v/>
      </c>
      <c r="AO16" s="25">
        <f>AO$14-AO$15</f>
        <v/>
      </c>
      <c r="AP16" s="25">
        <f>AP$14-AP$15</f>
        <v/>
      </c>
      <c r="AQ16" s="25">
        <f>AQ$14-AQ$15</f>
        <v/>
      </c>
      <c r="AR16" s="25">
        <f>AR$14-AR$15</f>
        <v/>
      </c>
      <c r="AS16" s="25">
        <f>AS$14-AS$15</f>
        <v/>
      </c>
      <c r="AT16" s="25">
        <f>AT$14-AT$15</f>
        <v/>
      </c>
      <c r="AU16" s="25">
        <f>AU$14-AU$15</f>
        <v/>
      </c>
      <c r="AV16" s="25">
        <f>AV$14-AV$15</f>
        <v/>
      </c>
      <c r="AW16" s="25">
        <f>AW$14-AW$15</f>
        <v/>
      </c>
      <c r="AX16" s="25">
        <f>AX$14-AX$15</f>
        <v/>
      </c>
      <c r="AY16" s="25">
        <f>AY$14-AY$15</f>
        <v/>
      </c>
      <c r="AZ16" s="25">
        <f>AZ$14-AZ$15</f>
        <v/>
      </c>
      <c r="BA16" s="25">
        <f>BA$14-BA$15</f>
        <v/>
      </c>
      <c r="BB16" s="25">
        <f>BB$14-BB$15</f>
        <v/>
      </c>
      <c r="BC16" s="25">
        <f>BC$14-BC$15</f>
        <v/>
      </c>
      <c r="BD16" s="25">
        <f>BD$14-BD$15</f>
        <v/>
      </c>
      <c r="BE16" s="25">
        <f>BE$14-BE$15</f>
        <v/>
      </c>
      <c r="BF16" s="25">
        <f>BF$14-BF$15</f>
        <v/>
      </c>
      <c r="BG16" s="25">
        <f>BG$14-BG$15</f>
        <v/>
      </c>
      <c r="BH16" s="25">
        <f>BH$14-BH$15</f>
        <v/>
      </c>
      <c r="BI16" s="25">
        <f>BI$14-BI$15</f>
        <v/>
      </c>
      <c r="BJ16" s="25">
        <f>BJ$14-BJ$15</f>
        <v/>
      </c>
      <c r="BK16" s="25">
        <f>BK$14-BK$15</f>
        <v/>
      </c>
      <c r="BL16" s="25">
        <f>BL$14-BL$15</f>
        <v/>
      </c>
    </row>
    <row r="17">
      <c r="A17" s="44" t="inlineStr">
        <is>
          <t>PAYGo financing income (straight-line over tenor)</t>
        </is>
      </c>
      <c r="B17" s="13" t="inlineStr">
        <is>
          <t>LCY</t>
        </is>
      </c>
      <c r="C17" s="45">
        <f>SUM(E17:BL17)</f>
        <v/>
      </c>
      <c r="E17" s="25">
        <f>IF(Products!$C$9=0,0,Products!$C$20/Products!$C$9*SUMIFS($E$10:$BL$10,Timeline!$E$4:$BL$4,"&gt;="&amp;(E$4-Products!$C$9),Timeline!$E$4:$BL$4,"&lt;="&amp;(E$4-1)))</f>
        <v/>
      </c>
      <c r="F17" s="25">
        <f>IF(Products!$C$9=0,0,Products!$C$20/Products!$C$9*SUMIFS($E$10:$BL$10,Timeline!$E$4:$BL$4,"&gt;="&amp;(F$4-Products!$C$9),Timeline!$E$4:$BL$4,"&lt;="&amp;(F$4-1)))</f>
        <v/>
      </c>
      <c r="G17" s="25">
        <f>IF(Products!$C$9=0,0,Products!$C$20/Products!$C$9*SUMIFS($E$10:$BL$10,Timeline!$E$4:$BL$4,"&gt;="&amp;(G$4-Products!$C$9),Timeline!$E$4:$BL$4,"&lt;="&amp;(G$4-1)))</f>
        <v/>
      </c>
      <c r="H17" s="25">
        <f>IF(Products!$C$9=0,0,Products!$C$20/Products!$C$9*SUMIFS($E$10:$BL$10,Timeline!$E$4:$BL$4,"&gt;="&amp;(H$4-Products!$C$9),Timeline!$E$4:$BL$4,"&lt;="&amp;(H$4-1)))</f>
        <v/>
      </c>
      <c r="I17" s="25">
        <f>IF(Products!$C$9=0,0,Products!$C$20/Products!$C$9*SUMIFS($E$10:$BL$10,Timeline!$E$4:$BL$4,"&gt;="&amp;(I$4-Products!$C$9),Timeline!$E$4:$BL$4,"&lt;="&amp;(I$4-1)))</f>
        <v/>
      </c>
      <c r="J17" s="25">
        <f>IF(Products!$C$9=0,0,Products!$C$20/Products!$C$9*SUMIFS($E$10:$BL$10,Timeline!$E$4:$BL$4,"&gt;="&amp;(J$4-Products!$C$9),Timeline!$E$4:$BL$4,"&lt;="&amp;(J$4-1)))</f>
        <v/>
      </c>
      <c r="K17" s="25">
        <f>IF(Products!$C$9=0,0,Products!$C$20/Products!$C$9*SUMIFS($E$10:$BL$10,Timeline!$E$4:$BL$4,"&gt;="&amp;(K$4-Products!$C$9),Timeline!$E$4:$BL$4,"&lt;="&amp;(K$4-1)))</f>
        <v/>
      </c>
      <c r="L17" s="25">
        <f>IF(Products!$C$9=0,0,Products!$C$20/Products!$C$9*SUMIFS($E$10:$BL$10,Timeline!$E$4:$BL$4,"&gt;="&amp;(L$4-Products!$C$9),Timeline!$E$4:$BL$4,"&lt;="&amp;(L$4-1)))</f>
        <v/>
      </c>
      <c r="M17" s="25">
        <f>IF(Products!$C$9=0,0,Products!$C$20/Products!$C$9*SUMIFS($E$10:$BL$10,Timeline!$E$4:$BL$4,"&gt;="&amp;(M$4-Products!$C$9),Timeline!$E$4:$BL$4,"&lt;="&amp;(M$4-1)))</f>
        <v/>
      </c>
      <c r="N17" s="25">
        <f>IF(Products!$C$9=0,0,Products!$C$20/Products!$C$9*SUMIFS($E$10:$BL$10,Timeline!$E$4:$BL$4,"&gt;="&amp;(N$4-Products!$C$9),Timeline!$E$4:$BL$4,"&lt;="&amp;(N$4-1)))</f>
        <v/>
      </c>
      <c r="O17" s="25">
        <f>IF(Products!$C$9=0,0,Products!$C$20/Products!$C$9*SUMIFS($E$10:$BL$10,Timeline!$E$4:$BL$4,"&gt;="&amp;(O$4-Products!$C$9),Timeline!$E$4:$BL$4,"&lt;="&amp;(O$4-1)))</f>
        <v/>
      </c>
      <c r="P17" s="25">
        <f>IF(Products!$C$9=0,0,Products!$C$20/Products!$C$9*SUMIFS($E$10:$BL$10,Timeline!$E$4:$BL$4,"&gt;="&amp;(P$4-Products!$C$9),Timeline!$E$4:$BL$4,"&lt;="&amp;(P$4-1)))</f>
        <v/>
      </c>
      <c r="Q17" s="25">
        <f>IF(Products!$C$9=0,0,Products!$C$20/Products!$C$9*SUMIFS($E$10:$BL$10,Timeline!$E$4:$BL$4,"&gt;="&amp;(Q$4-Products!$C$9),Timeline!$E$4:$BL$4,"&lt;="&amp;(Q$4-1)))</f>
        <v/>
      </c>
      <c r="R17" s="25">
        <f>IF(Products!$C$9=0,0,Products!$C$20/Products!$C$9*SUMIFS($E$10:$BL$10,Timeline!$E$4:$BL$4,"&gt;="&amp;(R$4-Products!$C$9),Timeline!$E$4:$BL$4,"&lt;="&amp;(R$4-1)))</f>
        <v/>
      </c>
      <c r="S17" s="25">
        <f>IF(Products!$C$9=0,0,Products!$C$20/Products!$C$9*SUMIFS($E$10:$BL$10,Timeline!$E$4:$BL$4,"&gt;="&amp;(S$4-Products!$C$9),Timeline!$E$4:$BL$4,"&lt;="&amp;(S$4-1)))</f>
        <v/>
      </c>
      <c r="T17" s="25">
        <f>IF(Products!$C$9=0,0,Products!$C$20/Products!$C$9*SUMIFS($E$10:$BL$10,Timeline!$E$4:$BL$4,"&gt;="&amp;(T$4-Products!$C$9),Timeline!$E$4:$BL$4,"&lt;="&amp;(T$4-1)))</f>
        <v/>
      </c>
      <c r="U17" s="25">
        <f>IF(Products!$C$9=0,0,Products!$C$20/Products!$C$9*SUMIFS($E$10:$BL$10,Timeline!$E$4:$BL$4,"&gt;="&amp;(U$4-Products!$C$9),Timeline!$E$4:$BL$4,"&lt;="&amp;(U$4-1)))</f>
        <v/>
      </c>
      <c r="V17" s="25">
        <f>IF(Products!$C$9=0,0,Products!$C$20/Products!$C$9*SUMIFS($E$10:$BL$10,Timeline!$E$4:$BL$4,"&gt;="&amp;(V$4-Products!$C$9),Timeline!$E$4:$BL$4,"&lt;="&amp;(V$4-1)))</f>
        <v/>
      </c>
      <c r="W17" s="25">
        <f>IF(Products!$C$9=0,0,Products!$C$20/Products!$C$9*SUMIFS($E$10:$BL$10,Timeline!$E$4:$BL$4,"&gt;="&amp;(W$4-Products!$C$9),Timeline!$E$4:$BL$4,"&lt;="&amp;(W$4-1)))</f>
        <v/>
      </c>
      <c r="X17" s="25">
        <f>IF(Products!$C$9=0,0,Products!$C$20/Products!$C$9*SUMIFS($E$10:$BL$10,Timeline!$E$4:$BL$4,"&gt;="&amp;(X$4-Products!$C$9),Timeline!$E$4:$BL$4,"&lt;="&amp;(X$4-1)))</f>
        <v/>
      </c>
      <c r="Y17" s="25">
        <f>IF(Products!$C$9=0,0,Products!$C$20/Products!$C$9*SUMIFS($E$10:$BL$10,Timeline!$E$4:$BL$4,"&gt;="&amp;(Y$4-Products!$C$9),Timeline!$E$4:$BL$4,"&lt;="&amp;(Y$4-1)))</f>
        <v/>
      </c>
      <c r="Z17" s="25">
        <f>IF(Products!$C$9=0,0,Products!$C$20/Products!$C$9*SUMIFS($E$10:$BL$10,Timeline!$E$4:$BL$4,"&gt;="&amp;(Z$4-Products!$C$9),Timeline!$E$4:$BL$4,"&lt;="&amp;(Z$4-1)))</f>
        <v/>
      </c>
      <c r="AA17" s="25">
        <f>IF(Products!$C$9=0,0,Products!$C$20/Products!$C$9*SUMIFS($E$10:$BL$10,Timeline!$E$4:$BL$4,"&gt;="&amp;(AA$4-Products!$C$9),Timeline!$E$4:$BL$4,"&lt;="&amp;(AA$4-1)))</f>
        <v/>
      </c>
      <c r="AB17" s="25">
        <f>IF(Products!$C$9=0,0,Products!$C$20/Products!$C$9*SUMIFS($E$10:$BL$10,Timeline!$E$4:$BL$4,"&gt;="&amp;(AB$4-Products!$C$9),Timeline!$E$4:$BL$4,"&lt;="&amp;(AB$4-1)))</f>
        <v/>
      </c>
      <c r="AC17" s="25">
        <f>IF(Products!$C$9=0,0,Products!$C$20/Products!$C$9*SUMIFS($E$10:$BL$10,Timeline!$E$4:$BL$4,"&gt;="&amp;(AC$4-Products!$C$9),Timeline!$E$4:$BL$4,"&lt;="&amp;(AC$4-1)))</f>
        <v/>
      </c>
      <c r="AD17" s="25">
        <f>IF(Products!$C$9=0,0,Products!$C$20/Products!$C$9*SUMIFS($E$10:$BL$10,Timeline!$E$4:$BL$4,"&gt;="&amp;(AD$4-Products!$C$9),Timeline!$E$4:$BL$4,"&lt;="&amp;(AD$4-1)))</f>
        <v/>
      </c>
      <c r="AE17" s="25">
        <f>IF(Products!$C$9=0,0,Products!$C$20/Products!$C$9*SUMIFS($E$10:$BL$10,Timeline!$E$4:$BL$4,"&gt;="&amp;(AE$4-Products!$C$9),Timeline!$E$4:$BL$4,"&lt;="&amp;(AE$4-1)))</f>
        <v/>
      </c>
      <c r="AF17" s="25">
        <f>IF(Products!$C$9=0,0,Products!$C$20/Products!$C$9*SUMIFS($E$10:$BL$10,Timeline!$E$4:$BL$4,"&gt;="&amp;(AF$4-Products!$C$9),Timeline!$E$4:$BL$4,"&lt;="&amp;(AF$4-1)))</f>
        <v/>
      </c>
      <c r="AG17" s="25">
        <f>IF(Products!$C$9=0,0,Products!$C$20/Products!$C$9*SUMIFS($E$10:$BL$10,Timeline!$E$4:$BL$4,"&gt;="&amp;(AG$4-Products!$C$9),Timeline!$E$4:$BL$4,"&lt;="&amp;(AG$4-1)))</f>
        <v/>
      </c>
      <c r="AH17" s="25">
        <f>IF(Products!$C$9=0,0,Products!$C$20/Products!$C$9*SUMIFS($E$10:$BL$10,Timeline!$E$4:$BL$4,"&gt;="&amp;(AH$4-Products!$C$9),Timeline!$E$4:$BL$4,"&lt;="&amp;(AH$4-1)))</f>
        <v/>
      </c>
      <c r="AI17" s="25">
        <f>IF(Products!$C$9=0,0,Products!$C$20/Products!$C$9*SUMIFS($E$10:$BL$10,Timeline!$E$4:$BL$4,"&gt;="&amp;(AI$4-Products!$C$9),Timeline!$E$4:$BL$4,"&lt;="&amp;(AI$4-1)))</f>
        <v/>
      </c>
      <c r="AJ17" s="25">
        <f>IF(Products!$C$9=0,0,Products!$C$20/Products!$C$9*SUMIFS($E$10:$BL$10,Timeline!$E$4:$BL$4,"&gt;="&amp;(AJ$4-Products!$C$9),Timeline!$E$4:$BL$4,"&lt;="&amp;(AJ$4-1)))</f>
        <v/>
      </c>
      <c r="AK17" s="25">
        <f>IF(Products!$C$9=0,0,Products!$C$20/Products!$C$9*SUMIFS($E$10:$BL$10,Timeline!$E$4:$BL$4,"&gt;="&amp;(AK$4-Products!$C$9),Timeline!$E$4:$BL$4,"&lt;="&amp;(AK$4-1)))</f>
        <v/>
      </c>
      <c r="AL17" s="25">
        <f>IF(Products!$C$9=0,0,Products!$C$20/Products!$C$9*SUMIFS($E$10:$BL$10,Timeline!$E$4:$BL$4,"&gt;="&amp;(AL$4-Products!$C$9),Timeline!$E$4:$BL$4,"&lt;="&amp;(AL$4-1)))</f>
        <v/>
      </c>
      <c r="AM17" s="25">
        <f>IF(Products!$C$9=0,0,Products!$C$20/Products!$C$9*SUMIFS($E$10:$BL$10,Timeline!$E$4:$BL$4,"&gt;="&amp;(AM$4-Products!$C$9),Timeline!$E$4:$BL$4,"&lt;="&amp;(AM$4-1)))</f>
        <v/>
      </c>
      <c r="AN17" s="25">
        <f>IF(Products!$C$9=0,0,Products!$C$20/Products!$C$9*SUMIFS($E$10:$BL$10,Timeline!$E$4:$BL$4,"&gt;="&amp;(AN$4-Products!$C$9),Timeline!$E$4:$BL$4,"&lt;="&amp;(AN$4-1)))</f>
        <v/>
      </c>
      <c r="AO17" s="25">
        <f>IF(Products!$C$9=0,0,Products!$C$20/Products!$C$9*SUMIFS($E$10:$BL$10,Timeline!$E$4:$BL$4,"&gt;="&amp;(AO$4-Products!$C$9),Timeline!$E$4:$BL$4,"&lt;="&amp;(AO$4-1)))</f>
        <v/>
      </c>
      <c r="AP17" s="25">
        <f>IF(Products!$C$9=0,0,Products!$C$20/Products!$C$9*SUMIFS($E$10:$BL$10,Timeline!$E$4:$BL$4,"&gt;="&amp;(AP$4-Products!$C$9),Timeline!$E$4:$BL$4,"&lt;="&amp;(AP$4-1)))</f>
        <v/>
      </c>
      <c r="AQ17" s="25">
        <f>IF(Products!$C$9=0,0,Products!$C$20/Products!$C$9*SUMIFS($E$10:$BL$10,Timeline!$E$4:$BL$4,"&gt;="&amp;(AQ$4-Products!$C$9),Timeline!$E$4:$BL$4,"&lt;="&amp;(AQ$4-1)))</f>
        <v/>
      </c>
      <c r="AR17" s="25">
        <f>IF(Products!$C$9=0,0,Products!$C$20/Products!$C$9*SUMIFS($E$10:$BL$10,Timeline!$E$4:$BL$4,"&gt;="&amp;(AR$4-Products!$C$9),Timeline!$E$4:$BL$4,"&lt;="&amp;(AR$4-1)))</f>
        <v/>
      </c>
      <c r="AS17" s="25">
        <f>IF(Products!$C$9=0,0,Products!$C$20/Products!$C$9*SUMIFS($E$10:$BL$10,Timeline!$E$4:$BL$4,"&gt;="&amp;(AS$4-Products!$C$9),Timeline!$E$4:$BL$4,"&lt;="&amp;(AS$4-1)))</f>
        <v/>
      </c>
      <c r="AT17" s="25">
        <f>IF(Products!$C$9=0,0,Products!$C$20/Products!$C$9*SUMIFS($E$10:$BL$10,Timeline!$E$4:$BL$4,"&gt;="&amp;(AT$4-Products!$C$9),Timeline!$E$4:$BL$4,"&lt;="&amp;(AT$4-1)))</f>
        <v/>
      </c>
      <c r="AU17" s="25">
        <f>IF(Products!$C$9=0,0,Products!$C$20/Products!$C$9*SUMIFS($E$10:$BL$10,Timeline!$E$4:$BL$4,"&gt;="&amp;(AU$4-Products!$C$9),Timeline!$E$4:$BL$4,"&lt;="&amp;(AU$4-1)))</f>
        <v/>
      </c>
      <c r="AV17" s="25">
        <f>IF(Products!$C$9=0,0,Products!$C$20/Products!$C$9*SUMIFS($E$10:$BL$10,Timeline!$E$4:$BL$4,"&gt;="&amp;(AV$4-Products!$C$9),Timeline!$E$4:$BL$4,"&lt;="&amp;(AV$4-1)))</f>
        <v/>
      </c>
      <c r="AW17" s="25">
        <f>IF(Products!$C$9=0,0,Products!$C$20/Products!$C$9*SUMIFS($E$10:$BL$10,Timeline!$E$4:$BL$4,"&gt;="&amp;(AW$4-Products!$C$9),Timeline!$E$4:$BL$4,"&lt;="&amp;(AW$4-1)))</f>
        <v/>
      </c>
      <c r="AX17" s="25">
        <f>IF(Products!$C$9=0,0,Products!$C$20/Products!$C$9*SUMIFS($E$10:$BL$10,Timeline!$E$4:$BL$4,"&gt;="&amp;(AX$4-Products!$C$9),Timeline!$E$4:$BL$4,"&lt;="&amp;(AX$4-1)))</f>
        <v/>
      </c>
      <c r="AY17" s="25">
        <f>IF(Products!$C$9=0,0,Products!$C$20/Products!$C$9*SUMIFS($E$10:$BL$10,Timeline!$E$4:$BL$4,"&gt;="&amp;(AY$4-Products!$C$9),Timeline!$E$4:$BL$4,"&lt;="&amp;(AY$4-1)))</f>
        <v/>
      </c>
      <c r="AZ17" s="25">
        <f>IF(Products!$C$9=0,0,Products!$C$20/Products!$C$9*SUMIFS($E$10:$BL$10,Timeline!$E$4:$BL$4,"&gt;="&amp;(AZ$4-Products!$C$9),Timeline!$E$4:$BL$4,"&lt;="&amp;(AZ$4-1)))</f>
        <v/>
      </c>
      <c r="BA17" s="25">
        <f>IF(Products!$C$9=0,0,Products!$C$20/Products!$C$9*SUMIFS($E$10:$BL$10,Timeline!$E$4:$BL$4,"&gt;="&amp;(BA$4-Products!$C$9),Timeline!$E$4:$BL$4,"&lt;="&amp;(BA$4-1)))</f>
        <v/>
      </c>
      <c r="BB17" s="25">
        <f>IF(Products!$C$9=0,0,Products!$C$20/Products!$C$9*SUMIFS($E$10:$BL$10,Timeline!$E$4:$BL$4,"&gt;="&amp;(BB$4-Products!$C$9),Timeline!$E$4:$BL$4,"&lt;="&amp;(BB$4-1)))</f>
        <v/>
      </c>
      <c r="BC17" s="25">
        <f>IF(Products!$C$9=0,0,Products!$C$20/Products!$C$9*SUMIFS($E$10:$BL$10,Timeline!$E$4:$BL$4,"&gt;="&amp;(BC$4-Products!$C$9),Timeline!$E$4:$BL$4,"&lt;="&amp;(BC$4-1)))</f>
        <v/>
      </c>
      <c r="BD17" s="25">
        <f>IF(Products!$C$9=0,0,Products!$C$20/Products!$C$9*SUMIFS($E$10:$BL$10,Timeline!$E$4:$BL$4,"&gt;="&amp;(BD$4-Products!$C$9),Timeline!$E$4:$BL$4,"&lt;="&amp;(BD$4-1)))</f>
        <v/>
      </c>
      <c r="BE17" s="25">
        <f>IF(Products!$C$9=0,0,Products!$C$20/Products!$C$9*SUMIFS($E$10:$BL$10,Timeline!$E$4:$BL$4,"&gt;="&amp;(BE$4-Products!$C$9),Timeline!$E$4:$BL$4,"&lt;="&amp;(BE$4-1)))</f>
        <v/>
      </c>
      <c r="BF17" s="25">
        <f>IF(Products!$C$9=0,0,Products!$C$20/Products!$C$9*SUMIFS($E$10:$BL$10,Timeline!$E$4:$BL$4,"&gt;="&amp;(BF$4-Products!$C$9),Timeline!$E$4:$BL$4,"&lt;="&amp;(BF$4-1)))</f>
        <v/>
      </c>
      <c r="BG17" s="25">
        <f>IF(Products!$C$9=0,0,Products!$C$20/Products!$C$9*SUMIFS($E$10:$BL$10,Timeline!$E$4:$BL$4,"&gt;="&amp;(BG$4-Products!$C$9),Timeline!$E$4:$BL$4,"&lt;="&amp;(BG$4-1)))</f>
        <v/>
      </c>
      <c r="BH17" s="25">
        <f>IF(Products!$C$9=0,0,Products!$C$20/Products!$C$9*SUMIFS($E$10:$BL$10,Timeline!$E$4:$BL$4,"&gt;="&amp;(BH$4-Products!$C$9),Timeline!$E$4:$BL$4,"&lt;="&amp;(BH$4-1)))</f>
        <v/>
      </c>
      <c r="BI17" s="25">
        <f>IF(Products!$C$9=0,0,Products!$C$20/Products!$C$9*SUMIFS($E$10:$BL$10,Timeline!$E$4:$BL$4,"&gt;="&amp;(BI$4-Products!$C$9),Timeline!$E$4:$BL$4,"&lt;="&amp;(BI$4-1)))</f>
        <v/>
      </c>
      <c r="BJ17" s="25">
        <f>IF(Products!$C$9=0,0,Products!$C$20/Products!$C$9*SUMIFS($E$10:$BL$10,Timeline!$E$4:$BL$4,"&gt;="&amp;(BJ$4-Products!$C$9),Timeline!$E$4:$BL$4,"&lt;="&amp;(BJ$4-1)))</f>
        <v/>
      </c>
      <c r="BK17" s="25">
        <f>IF(Products!$C$9=0,0,Products!$C$20/Products!$C$9*SUMIFS($E$10:$BL$10,Timeline!$E$4:$BL$4,"&gt;="&amp;(BK$4-Products!$C$9),Timeline!$E$4:$BL$4,"&lt;="&amp;(BK$4-1)))</f>
        <v/>
      </c>
      <c r="BL17" s="25">
        <f>IF(Products!$C$9=0,0,Products!$C$20/Products!$C$9*SUMIFS($E$10:$BL$10,Timeline!$E$4:$BL$4,"&gt;="&amp;(BL$4-Products!$C$9),Timeline!$E$4:$BL$4,"&lt;="&amp;(BL$4-1)))</f>
        <v/>
      </c>
    </row>
    <row r="18">
      <c r="A18" s="44" t="inlineStr">
        <is>
          <t>Expected credit loss charge at origination</t>
        </is>
      </c>
      <c r="B18" s="13" t="inlineStr">
        <is>
          <t>LCY</t>
        </is>
      </c>
      <c r="C18" s="45">
        <f>SUM(E18:BL18)</f>
        <v/>
      </c>
      <c r="E18" s="25">
        <f>E$10*Curves!$E$70</f>
        <v/>
      </c>
      <c r="F18" s="25">
        <f>F$10*Curves!$E$70</f>
        <v/>
      </c>
      <c r="G18" s="25">
        <f>G$10*Curves!$E$70</f>
        <v/>
      </c>
      <c r="H18" s="25">
        <f>H$10*Curves!$E$70</f>
        <v/>
      </c>
      <c r="I18" s="25">
        <f>I$10*Curves!$E$70</f>
        <v/>
      </c>
      <c r="J18" s="25">
        <f>J$10*Curves!$E$70</f>
        <v/>
      </c>
      <c r="K18" s="25">
        <f>K$10*Curves!$E$70</f>
        <v/>
      </c>
      <c r="L18" s="25">
        <f>L$10*Curves!$E$70</f>
        <v/>
      </c>
      <c r="M18" s="25">
        <f>M$10*Curves!$E$70</f>
        <v/>
      </c>
      <c r="N18" s="25">
        <f>N$10*Curves!$E$70</f>
        <v/>
      </c>
      <c r="O18" s="25">
        <f>O$10*Curves!$E$70</f>
        <v/>
      </c>
      <c r="P18" s="25">
        <f>P$10*Curves!$E$70</f>
        <v/>
      </c>
      <c r="Q18" s="25">
        <f>Q$10*Curves!$E$70</f>
        <v/>
      </c>
      <c r="R18" s="25">
        <f>R$10*Curves!$E$70</f>
        <v/>
      </c>
      <c r="S18" s="25">
        <f>S$10*Curves!$E$70</f>
        <v/>
      </c>
      <c r="T18" s="25">
        <f>T$10*Curves!$E$70</f>
        <v/>
      </c>
      <c r="U18" s="25">
        <f>U$10*Curves!$E$70</f>
        <v/>
      </c>
      <c r="V18" s="25">
        <f>V$10*Curves!$E$70</f>
        <v/>
      </c>
      <c r="W18" s="25">
        <f>W$10*Curves!$E$70</f>
        <v/>
      </c>
      <c r="X18" s="25">
        <f>X$10*Curves!$E$70</f>
        <v/>
      </c>
      <c r="Y18" s="25">
        <f>Y$10*Curves!$E$70</f>
        <v/>
      </c>
      <c r="Z18" s="25">
        <f>Z$10*Curves!$E$70</f>
        <v/>
      </c>
      <c r="AA18" s="25">
        <f>AA$10*Curves!$E$70</f>
        <v/>
      </c>
      <c r="AB18" s="25">
        <f>AB$10*Curves!$E$70</f>
        <v/>
      </c>
      <c r="AC18" s="25">
        <f>AC$10*Curves!$E$70</f>
        <v/>
      </c>
      <c r="AD18" s="25">
        <f>AD$10*Curves!$E$70</f>
        <v/>
      </c>
      <c r="AE18" s="25">
        <f>AE$10*Curves!$E$70</f>
        <v/>
      </c>
      <c r="AF18" s="25">
        <f>AF$10*Curves!$E$70</f>
        <v/>
      </c>
      <c r="AG18" s="25">
        <f>AG$10*Curves!$E$70</f>
        <v/>
      </c>
      <c r="AH18" s="25">
        <f>AH$10*Curves!$E$70</f>
        <v/>
      </c>
      <c r="AI18" s="25">
        <f>AI$10*Curves!$E$70</f>
        <v/>
      </c>
      <c r="AJ18" s="25">
        <f>AJ$10*Curves!$E$70</f>
        <v/>
      </c>
      <c r="AK18" s="25">
        <f>AK$10*Curves!$E$70</f>
        <v/>
      </c>
      <c r="AL18" s="25">
        <f>AL$10*Curves!$E$70</f>
        <v/>
      </c>
      <c r="AM18" s="25">
        <f>AM$10*Curves!$E$70</f>
        <v/>
      </c>
      <c r="AN18" s="25">
        <f>AN$10*Curves!$E$70</f>
        <v/>
      </c>
      <c r="AO18" s="25">
        <f>AO$10*Curves!$E$70</f>
        <v/>
      </c>
      <c r="AP18" s="25">
        <f>AP$10*Curves!$E$70</f>
        <v/>
      </c>
      <c r="AQ18" s="25">
        <f>AQ$10*Curves!$E$70</f>
        <v/>
      </c>
      <c r="AR18" s="25">
        <f>AR$10*Curves!$E$70</f>
        <v/>
      </c>
      <c r="AS18" s="25">
        <f>AS$10*Curves!$E$70</f>
        <v/>
      </c>
      <c r="AT18" s="25">
        <f>AT$10*Curves!$E$70</f>
        <v/>
      </c>
      <c r="AU18" s="25">
        <f>AU$10*Curves!$E$70</f>
        <v/>
      </c>
      <c r="AV18" s="25">
        <f>AV$10*Curves!$E$70</f>
        <v/>
      </c>
      <c r="AW18" s="25">
        <f>AW$10*Curves!$E$70</f>
        <v/>
      </c>
      <c r="AX18" s="25">
        <f>AX$10*Curves!$E$70</f>
        <v/>
      </c>
      <c r="AY18" s="25">
        <f>AY$10*Curves!$E$70</f>
        <v/>
      </c>
      <c r="AZ18" s="25">
        <f>AZ$10*Curves!$E$70</f>
        <v/>
      </c>
      <c r="BA18" s="25">
        <f>BA$10*Curves!$E$70</f>
        <v/>
      </c>
      <c r="BB18" s="25">
        <f>BB$10*Curves!$E$70</f>
        <v/>
      </c>
      <c r="BC18" s="25">
        <f>BC$10*Curves!$E$70</f>
        <v/>
      </c>
      <c r="BD18" s="25">
        <f>BD$10*Curves!$E$70</f>
        <v/>
      </c>
      <c r="BE18" s="25">
        <f>BE$10*Curves!$E$70</f>
        <v/>
      </c>
      <c r="BF18" s="25">
        <f>BF$10*Curves!$E$70</f>
        <v/>
      </c>
      <c r="BG18" s="25">
        <f>BG$10*Curves!$E$70</f>
        <v/>
      </c>
      <c r="BH18" s="25">
        <f>BH$10*Curves!$E$70</f>
        <v/>
      </c>
      <c r="BI18" s="25">
        <f>BI$10*Curves!$E$70</f>
        <v/>
      </c>
      <c r="BJ18" s="25">
        <f>BJ$10*Curves!$E$70</f>
        <v/>
      </c>
      <c r="BK18" s="25">
        <f>BK$10*Curves!$E$70</f>
        <v/>
      </c>
      <c r="BL18" s="25">
        <f>BL$10*Curves!$E$70</f>
        <v/>
      </c>
    </row>
    <row r="19">
      <c r="A19" s="44" t="inlineStr">
        <is>
          <t>Active (paying, in-tenor) accounts</t>
        </is>
      </c>
      <c r="B19" s="13" t="inlineStr">
        <is>
          <t>accounts</t>
        </is>
      </c>
      <c r="C19" s="45">
        <f>BL19</f>
        <v/>
      </c>
      <c r="E19" s="46">
        <f>Cohort_P1!E$72</f>
        <v/>
      </c>
      <c r="F19" s="46">
        <f>Cohort_P1!F$72</f>
        <v/>
      </c>
      <c r="G19" s="46">
        <f>Cohort_P1!G$72</f>
        <v/>
      </c>
      <c r="H19" s="46">
        <f>Cohort_P1!H$72</f>
        <v/>
      </c>
      <c r="I19" s="46">
        <f>Cohort_P1!I$72</f>
        <v/>
      </c>
      <c r="J19" s="46">
        <f>Cohort_P1!J$72</f>
        <v/>
      </c>
      <c r="K19" s="46">
        <f>Cohort_P1!K$72</f>
        <v/>
      </c>
      <c r="L19" s="46">
        <f>Cohort_P1!L$72</f>
        <v/>
      </c>
      <c r="M19" s="46">
        <f>Cohort_P1!M$72</f>
        <v/>
      </c>
      <c r="N19" s="46">
        <f>Cohort_P1!N$72</f>
        <v/>
      </c>
      <c r="O19" s="46">
        <f>Cohort_P1!O$72</f>
        <v/>
      </c>
      <c r="P19" s="46">
        <f>Cohort_P1!P$72</f>
        <v/>
      </c>
      <c r="Q19" s="46">
        <f>Cohort_P1!Q$72</f>
        <v/>
      </c>
      <c r="R19" s="46">
        <f>Cohort_P1!R$72</f>
        <v/>
      </c>
      <c r="S19" s="46">
        <f>Cohort_P1!S$72</f>
        <v/>
      </c>
      <c r="T19" s="46">
        <f>Cohort_P1!T$72</f>
        <v/>
      </c>
      <c r="U19" s="46">
        <f>Cohort_P1!U$72</f>
        <v/>
      </c>
      <c r="V19" s="46">
        <f>Cohort_P1!V$72</f>
        <v/>
      </c>
      <c r="W19" s="46">
        <f>Cohort_P1!W$72</f>
        <v/>
      </c>
      <c r="X19" s="46">
        <f>Cohort_P1!X$72</f>
        <v/>
      </c>
      <c r="Y19" s="46">
        <f>Cohort_P1!Y$72</f>
        <v/>
      </c>
      <c r="Z19" s="46">
        <f>Cohort_P1!Z$72</f>
        <v/>
      </c>
      <c r="AA19" s="46">
        <f>Cohort_P1!AA$72</f>
        <v/>
      </c>
      <c r="AB19" s="46">
        <f>Cohort_P1!AB$72</f>
        <v/>
      </c>
      <c r="AC19" s="46">
        <f>Cohort_P1!AC$72</f>
        <v/>
      </c>
      <c r="AD19" s="46">
        <f>Cohort_P1!AD$72</f>
        <v/>
      </c>
      <c r="AE19" s="46">
        <f>Cohort_P1!AE$72</f>
        <v/>
      </c>
      <c r="AF19" s="46">
        <f>Cohort_P1!AF$72</f>
        <v/>
      </c>
      <c r="AG19" s="46">
        <f>Cohort_P1!AG$72</f>
        <v/>
      </c>
      <c r="AH19" s="46">
        <f>Cohort_P1!AH$72</f>
        <v/>
      </c>
      <c r="AI19" s="46">
        <f>Cohort_P1!AI$72</f>
        <v/>
      </c>
      <c r="AJ19" s="46">
        <f>Cohort_P1!AJ$72</f>
        <v/>
      </c>
      <c r="AK19" s="46">
        <f>Cohort_P1!AK$72</f>
        <v/>
      </c>
      <c r="AL19" s="46">
        <f>Cohort_P1!AL$72</f>
        <v/>
      </c>
      <c r="AM19" s="46">
        <f>Cohort_P1!AM$72</f>
        <v/>
      </c>
      <c r="AN19" s="46">
        <f>Cohort_P1!AN$72</f>
        <v/>
      </c>
      <c r="AO19" s="46">
        <f>Cohort_P1!AO$72</f>
        <v/>
      </c>
      <c r="AP19" s="46">
        <f>Cohort_P1!AP$72</f>
        <v/>
      </c>
      <c r="AQ19" s="46">
        <f>Cohort_P1!AQ$72</f>
        <v/>
      </c>
      <c r="AR19" s="46">
        <f>Cohort_P1!AR$72</f>
        <v/>
      </c>
      <c r="AS19" s="46">
        <f>Cohort_P1!AS$72</f>
        <v/>
      </c>
      <c r="AT19" s="46">
        <f>Cohort_P1!AT$72</f>
        <v/>
      </c>
      <c r="AU19" s="46">
        <f>Cohort_P1!AU$72</f>
        <v/>
      </c>
      <c r="AV19" s="46">
        <f>Cohort_P1!AV$72</f>
        <v/>
      </c>
      <c r="AW19" s="46">
        <f>Cohort_P1!AW$72</f>
        <v/>
      </c>
      <c r="AX19" s="46">
        <f>Cohort_P1!AX$72</f>
        <v/>
      </c>
      <c r="AY19" s="46">
        <f>Cohort_P1!AY$72</f>
        <v/>
      </c>
      <c r="AZ19" s="46">
        <f>Cohort_P1!AZ$72</f>
        <v/>
      </c>
      <c r="BA19" s="46">
        <f>Cohort_P1!BA$72</f>
        <v/>
      </c>
      <c r="BB19" s="46">
        <f>Cohort_P1!BB$72</f>
        <v/>
      </c>
      <c r="BC19" s="46">
        <f>Cohort_P1!BC$72</f>
        <v/>
      </c>
      <c r="BD19" s="46">
        <f>Cohort_P1!BD$72</f>
        <v/>
      </c>
      <c r="BE19" s="46">
        <f>Cohort_P1!BE$72</f>
        <v/>
      </c>
      <c r="BF19" s="46">
        <f>Cohort_P1!BF$72</f>
        <v/>
      </c>
      <c r="BG19" s="46">
        <f>Cohort_P1!BG$72</f>
        <v/>
      </c>
      <c r="BH19" s="46">
        <f>Cohort_P1!BH$72</f>
        <v/>
      </c>
      <c r="BI19" s="46">
        <f>Cohort_P1!BI$72</f>
        <v/>
      </c>
      <c r="BJ19" s="46">
        <f>Cohort_P1!BJ$72</f>
        <v/>
      </c>
      <c r="BK19" s="46">
        <f>Cohort_P1!BK$72</f>
        <v/>
      </c>
      <c r="BL19" s="46">
        <f>Cohort_P1!BL$72</f>
        <v/>
      </c>
    </row>
    <row r="20">
      <c r="A20" s="44" t="inlineStr">
        <is>
          <t>Receivables at risk (carrying amount of accounts that stopped paying)</t>
        </is>
      </c>
      <c r="B20" s="13" t="inlineStr">
        <is>
          <t>LCY</t>
        </is>
      </c>
      <c r="C20" s="45">
        <f>BL20</f>
        <v/>
      </c>
      <c r="E20" s="46">
        <f>Cohort_P1!E$135</f>
        <v/>
      </c>
      <c r="F20" s="46">
        <f>Cohort_P1!F$135</f>
        <v/>
      </c>
      <c r="G20" s="46">
        <f>Cohort_P1!G$135</f>
        <v/>
      </c>
      <c r="H20" s="46">
        <f>Cohort_P1!H$135</f>
        <v/>
      </c>
      <c r="I20" s="46">
        <f>Cohort_P1!I$135</f>
        <v/>
      </c>
      <c r="J20" s="46">
        <f>Cohort_P1!J$135</f>
        <v/>
      </c>
      <c r="K20" s="46">
        <f>Cohort_P1!K$135</f>
        <v/>
      </c>
      <c r="L20" s="46">
        <f>Cohort_P1!L$135</f>
        <v/>
      </c>
      <c r="M20" s="46">
        <f>Cohort_P1!M$135</f>
        <v/>
      </c>
      <c r="N20" s="46">
        <f>Cohort_P1!N$135</f>
        <v/>
      </c>
      <c r="O20" s="46">
        <f>Cohort_P1!O$135</f>
        <v/>
      </c>
      <c r="P20" s="46">
        <f>Cohort_P1!P$135</f>
        <v/>
      </c>
      <c r="Q20" s="46">
        <f>Cohort_P1!Q$135</f>
        <v/>
      </c>
      <c r="R20" s="46">
        <f>Cohort_P1!R$135</f>
        <v/>
      </c>
      <c r="S20" s="46">
        <f>Cohort_P1!S$135</f>
        <v/>
      </c>
      <c r="T20" s="46">
        <f>Cohort_P1!T$135</f>
        <v/>
      </c>
      <c r="U20" s="46">
        <f>Cohort_P1!U$135</f>
        <v/>
      </c>
      <c r="V20" s="46">
        <f>Cohort_P1!V$135</f>
        <v/>
      </c>
      <c r="W20" s="46">
        <f>Cohort_P1!W$135</f>
        <v/>
      </c>
      <c r="X20" s="46">
        <f>Cohort_P1!X$135</f>
        <v/>
      </c>
      <c r="Y20" s="46">
        <f>Cohort_P1!Y$135</f>
        <v/>
      </c>
      <c r="Z20" s="46">
        <f>Cohort_P1!Z$135</f>
        <v/>
      </c>
      <c r="AA20" s="46">
        <f>Cohort_P1!AA$135</f>
        <v/>
      </c>
      <c r="AB20" s="46">
        <f>Cohort_P1!AB$135</f>
        <v/>
      </c>
      <c r="AC20" s="46">
        <f>Cohort_P1!AC$135</f>
        <v/>
      </c>
      <c r="AD20" s="46">
        <f>Cohort_P1!AD$135</f>
        <v/>
      </c>
      <c r="AE20" s="46">
        <f>Cohort_P1!AE$135</f>
        <v/>
      </c>
      <c r="AF20" s="46">
        <f>Cohort_P1!AF$135</f>
        <v/>
      </c>
      <c r="AG20" s="46">
        <f>Cohort_P1!AG$135</f>
        <v/>
      </c>
      <c r="AH20" s="46">
        <f>Cohort_P1!AH$135</f>
        <v/>
      </c>
      <c r="AI20" s="46">
        <f>Cohort_P1!AI$135</f>
        <v/>
      </c>
      <c r="AJ20" s="46">
        <f>Cohort_P1!AJ$135</f>
        <v/>
      </c>
      <c r="AK20" s="46">
        <f>Cohort_P1!AK$135</f>
        <v/>
      </c>
      <c r="AL20" s="46">
        <f>Cohort_P1!AL$135</f>
        <v/>
      </c>
      <c r="AM20" s="46">
        <f>Cohort_P1!AM$135</f>
        <v/>
      </c>
      <c r="AN20" s="46">
        <f>Cohort_P1!AN$135</f>
        <v/>
      </c>
      <c r="AO20" s="46">
        <f>Cohort_P1!AO$135</f>
        <v/>
      </c>
      <c r="AP20" s="46">
        <f>Cohort_P1!AP$135</f>
        <v/>
      </c>
      <c r="AQ20" s="46">
        <f>Cohort_P1!AQ$135</f>
        <v/>
      </c>
      <c r="AR20" s="46">
        <f>Cohort_P1!AR$135</f>
        <v/>
      </c>
      <c r="AS20" s="46">
        <f>Cohort_P1!AS$135</f>
        <v/>
      </c>
      <c r="AT20" s="46">
        <f>Cohort_P1!AT$135</f>
        <v/>
      </c>
      <c r="AU20" s="46">
        <f>Cohort_P1!AU$135</f>
        <v/>
      </c>
      <c r="AV20" s="46">
        <f>Cohort_P1!AV$135</f>
        <v/>
      </c>
      <c r="AW20" s="46">
        <f>Cohort_P1!AW$135</f>
        <v/>
      </c>
      <c r="AX20" s="46">
        <f>Cohort_P1!AX$135</f>
        <v/>
      </c>
      <c r="AY20" s="46">
        <f>Cohort_P1!AY$135</f>
        <v/>
      </c>
      <c r="AZ20" s="46">
        <f>Cohort_P1!AZ$135</f>
        <v/>
      </c>
      <c r="BA20" s="46">
        <f>Cohort_P1!BA$135</f>
        <v/>
      </c>
      <c r="BB20" s="46">
        <f>Cohort_P1!BB$135</f>
        <v/>
      </c>
      <c r="BC20" s="46">
        <f>Cohort_P1!BC$135</f>
        <v/>
      </c>
      <c r="BD20" s="46">
        <f>Cohort_P1!BD$135</f>
        <v/>
      </c>
      <c r="BE20" s="46">
        <f>Cohort_P1!BE$135</f>
        <v/>
      </c>
      <c r="BF20" s="46">
        <f>Cohort_P1!BF$135</f>
        <v/>
      </c>
      <c r="BG20" s="46">
        <f>Cohort_P1!BG$135</f>
        <v/>
      </c>
      <c r="BH20" s="46">
        <f>Cohort_P1!BH$135</f>
        <v/>
      </c>
      <c r="BI20" s="46">
        <f>Cohort_P1!BI$135</f>
        <v/>
      </c>
      <c r="BJ20" s="46">
        <f>Cohort_P1!BJ$135</f>
        <v/>
      </c>
      <c r="BK20" s="46">
        <f>Cohort_P1!BK$135</f>
        <v/>
      </c>
      <c r="BL20" s="46">
        <f>Cohort_P1!BL$135</f>
        <v/>
      </c>
    </row>
    <row r="21">
      <c r="A21" s="44" t="inlineStr">
        <is>
          <t>Landed hardware cost of units sold</t>
        </is>
      </c>
      <c r="B21" s="13" t="inlineStr">
        <is>
          <t>LCY</t>
        </is>
      </c>
      <c r="C21" s="45">
        <f>SUM(E21:BL21)</f>
        <v/>
      </c>
      <c r="E21" s="25">
        <f>E$9*Products!$C$10*(1+Inputs!$C$28)*Timeline!E$8*Scenarios!$G$9</f>
        <v/>
      </c>
      <c r="F21" s="25">
        <f>F$9*Products!$C$10*(1+Inputs!$C$28)*Timeline!F$8*Scenarios!$G$9</f>
        <v/>
      </c>
      <c r="G21" s="25">
        <f>G$9*Products!$C$10*(1+Inputs!$C$28)*Timeline!G$8*Scenarios!$G$9</f>
        <v/>
      </c>
      <c r="H21" s="25">
        <f>H$9*Products!$C$10*(1+Inputs!$C$28)*Timeline!H$8*Scenarios!$G$9</f>
        <v/>
      </c>
      <c r="I21" s="25">
        <f>I$9*Products!$C$10*(1+Inputs!$C$28)*Timeline!I$8*Scenarios!$G$9</f>
        <v/>
      </c>
      <c r="J21" s="25">
        <f>J$9*Products!$C$10*(1+Inputs!$C$28)*Timeline!J$8*Scenarios!$G$9</f>
        <v/>
      </c>
      <c r="K21" s="25">
        <f>K$9*Products!$C$10*(1+Inputs!$C$28)*Timeline!K$8*Scenarios!$G$9</f>
        <v/>
      </c>
      <c r="L21" s="25">
        <f>L$9*Products!$C$10*(1+Inputs!$C$28)*Timeline!L$8*Scenarios!$G$9</f>
        <v/>
      </c>
      <c r="M21" s="25">
        <f>M$9*Products!$C$10*(1+Inputs!$C$28)*Timeline!M$8*Scenarios!$G$9</f>
        <v/>
      </c>
      <c r="N21" s="25">
        <f>N$9*Products!$C$10*(1+Inputs!$C$28)*Timeline!N$8*Scenarios!$G$9</f>
        <v/>
      </c>
      <c r="O21" s="25">
        <f>O$9*Products!$C$10*(1+Inputs!$C$28)*Timeline!O$8*Scenarios!$G$9</f>
        <v/>
      </c>
      <c r="P21" s="25">
        <f>P$9*Products!$C$10*(1+Inputs!$C$28)*Timeline!P$8*Scenarios!$G$9</f>
        <v/>
      </c>
      <c r="Q21" s="25">
        <f>Q$9*Products!$C$10*(1+Inputs!$C$28)*Timeline!Q$8*Scenarios!$G$9</f>
        <v/>
      </c>
      <c r="R21" s="25">
        <f>R$9*Products!$C$10*(1+Inputs!$C$28)*Timeline!R$8*Scenarios!$G$9</f>
        <v/>
      </c>
      <c r="S21" s="25">
        <f>S$9*Products!$C$10*(1+Inputs!$C$28)*Timeline!S$8*Scenarios!$G$9</f>
        <v/>
      </c>
      <c r="T21" s="25">
        <f>T$9*Products!$C$10*(1+Inputs!$C$28)*Timeline!T$8*Scenarios!$G$9</f>
        <v/>
      </c>
      <c r="U21" s="25">
        <f>U$9*Products!$C$10*(1+Inputs!$C$28)*Timeline!U$8*Scenarios!$G$9</f>
        <v/>
      </c>
      <c r="V21" s="25">
        <f>V$9*Products!$C$10*(1+Inputs!$C$28)*Timeline!V$8*Scenarios!$G$9</f>
        <v/>
      </c>
      <c r="W21" s="25">
        <f>W$9*Products!$C$10*(1+Inputs!$C$28)*Timeline!W$8*Scenarios!$G$9</f>
        <v/>
      </c>
      <c r="X21" s="25">
        <f>X$9*Products!$C$10*(1+Inputs!$C$28)*Timeline!X$8*Scenarios!$G$9</f>
        <v/>
      </c>
      <c r="Y21" s="25">
        <f>Y$9*Products!$C$10*(1+Inputs!$C$28)*Timeline!Y$8*Scenarios!$G$9</f>
        <v/>
      </c>
      <c r="Z21" s="25">
        <f>Z$9*Products!$C$10*(1+Inputs!$C$28)*Timeline!Z$8*Scenarios!$G$9</f>
        <v/>
      </c>
      <c r="AA21" s="25">
        <f>AA$9*Products!$C$10*(1+Inputs!$C$28)*Timeline!AA$8*Scenarios!$G$9</f>
        <v/>
      </c>
      <c r="AB21" s="25">
        <f>AB$9*Products!$C$10*(1+Inputs!$C$28)*Timeline!AB$8*Scenarios!$G$9</f>
        <v/>
      </c>
      <c r="AC21" s="25">
        <f>AC$9*Products!$C$10*(1+Inputs!$C$28)*Timeline!AC$8*Scenarios!$G$9</f>
        <v/>
      </c>
      <c r="AD21" s="25">
        <f>AD$9*Products!$C$10*(1+Inputs!$C$28)*Timeline!AD$8*Scenarios!$G$9</f>
        <v/>
      </c>
      <c r="AE21" s="25">
        <f>AE$9*Products!$C$10*(1+Inputs!$C$28)*Timeline!AE$8*Scenarios!$G$9</f>
        <v/>
      </c>
      <c r="AF21" s="25">
        <f>AF$9*Products!$C$10*(1+Inputs!$C$28)*Timeline!AF$8*Scenarios!$G$9</f>
        <v/>
      </c>
      <c r="AG21" s="25">
        <f>AG$9*Products!$C$10*(1+Inputs!$C$28)*Timeline!AG$8*Scenarios!$G$9</f>
        <v/>
      </c>
      <c r="AH21" s="25">
        <f>AH$9*Products!$C$10*(1+Inputs!$C$28)*Timeline!AH$8*Scenarios!$G$9</f>
        <v/>
      </c>
      <c r="AI21" s="25">
        <f>AI$9*Products!$C$10*(1+Inputs!$C$28)*Timeline!AI$8*Scenarios!$G$9</f>
        <v/>
      </c>
      <c r="AJ21" s="25">
        <f>AJ$9*Products!$C$10*(1+Inputs!$C$28)*Timeline!AJ$8*Scenarios!$G$9</f>
        <v/>
      </c>
      <c r="AK21" s="25">
        <f>AK$9*Products!$C$10*(1+Inputs!$C$28)*Timeline!AK$8*Scenarios!$G$9</f>
        <v/>
      </c>
      <c r="AL21" s="25">
        <f>AL$9*Products!$C$10*(1+Inputs!$C$28)*Timeline!AL$8*Scenarios!$G$9</f>
        <v/>
      </c>
      <c r="AM21" s="25">
        <f>AM$9*Products!$C$10*(1+Inputs!$C$28)*Timeline!AM$8*Scenarios!$G$9</f>
        <v/>
      </c>
      <c r="AN21" s="25">
        <f>AN$9*Products!$C$10*(1+Inputs!$C$28)*Timeline!AN$8*Scenarios!$G$9</f>
        <v/>
      </c>
      <c r="AO21" s="25">
        <f>AO$9*Products!$C$10*(1+Inputs!$C$28)*Timeline!AO$8*Scenarios!$G$9</f>
        <v/>
      </c>
      <c r="AP21" s="25">
        <f>AP$9*Products!$C$10*(1+Inputs!$C$28)*Timeline!AP$8*Scenarios!$G$9</f>
        <v/>
      </c>
      <c r="AQ21" s="25">
        <f>AQ$9*Products!$C$10*(1+Inputs!$C$28)*Timeline!AQ$8*Scenarios!$G$9</f>
        <v/>
      </c>
      <c r="AR21" s="25">
        <f>AR$9*Products!$C$10*(1+Inputs!$C$28)*Timeline!AR$8*Scenarios!$G$9</f>
        <v/>
      </c>
      <c r="AS21" s="25">
        <f>AS$9*Products!$C$10*(1+Inputs!$C$28)*Timeline!AS$8*Scenarios!$G$9</f>
        <v/>
      </c>
      <c r="AT21" s="25">
        <f>AT$9*Products!$C$10*(1+Inputs!$C$28)*Timeline!AT$8*Scenarios!$G$9</f>
        <v/>
      </c>
      <c r="AU21" s="25">
        <f>AU$9*Products!$C$10*(1+Inputs!$C$28)*Timeline!AU$8*Scenarios!$G$9</f>
        <v/>
      </c>
      <c r="AV21" s="25">
        <f>AV$9*Products!$C$10*(1+Inputs!$C$28)*Timeline!AV$8*Scenarios!$G$9</f>
        <v/>
      </c>
      <c r="AW21" s="25">
        <f>AW$9*Products!$C$10*(1+Inputs!$C$28)*Timeline!AW$8*Scenarios!$G$9</f>
        <v/>
      </c>
      <c r="AX21" s="25">
        <f>AX$9*Products!$C$10*(1+Inputs!$C$28)*Timeline!AX$8*Scenarios!$G$9</f>
        <v/>
      </c>
      <c r="AY21" s="25">
        <f>AY$9*Products!$C$10*(1+Inputs!$C$28)*Timeline!AY$8*Scenarios!$G$9</f>
        <v/>
      </c>
      <c r="AZ21" s="25">
        <f>AZ$9*Products!$C$10*(1+Inputs!$C$28)*Timeline!AZ$8*Scenarios!$G$9</f>
        <v/>
      </c>
      <c r="BA21" s="25">
        <f>BA$9*Products!$C$10*(1+Inputs!$C$28)*Timeline!BA$8*Scenarios!$G$9</f>
        <v/>
      </c>
      <c r="BB21" s="25">
        <f>BB$9*Products!$C$10*(1+Inputs!$C$28)*Timeline!BB$8*Scenarios!$G$9</f>
        <v/>
      </c>
      <c r="BC21" s="25">
        <f>BC$9*Products!$C$10*(1+Inputs!$C$28)*Timeline!BC$8*Scenarios!$G$9</f>
        <v/>
      </c>
      <c r="BD21" s="25">
        <f>BD$9*Products!$C$10*(1+Inputs!$C$28)*Timeline!BD$8*Scenarios!$G$9</f>
        <v/>
      </c>
      <c r="BE21" s="25">
        <f>BE$9*Products!$C$10*(1+Inputs!$C$28)*Timeline!BE$8*Scenarios!$G$9</f>
        <v/>
      </c>
      <c r="BF21" s="25">
        <f>BF$9*Products!$C$10*(1+Inputs!$C$28)*Timeline!BF$8*Scenarios!$G$9</f>
        <v/>
      </c>
      <c r="BG21" s="25">
        <f>BG$9*Products!$C$10*(1+Inputs!$C$28)*Timeline!BG$8*Scenarios!$G$9</f>
        <v/>
      </c>
      <c r="BH21" s="25">
        <f>BH$9*Products!$C$10*(1+Inputs!$C$28)*Timeline!BH$8*Scenarios!$G$9</f>
        <v/>
      </c>
      <c r="BI21" s="25">
        <f>BI$9*Products!$C$10*(1+Inputs!$C$28)*Timeline!BI$8*Scenarios!$G$9</f>
        <v/>
      </c>
      <c r="BJ21" s="25">
        <f>BJ$9*Products!$C$10*(1+Inputs!$C$28)*Timeline!BJ$8*Scenarios!$G$9</f>
        <v/>
      </c>
      <c r="BK21" s="25">
        <f>BK$9*Products!$C$10*(1+Inputs!$C$28)*Timeline!BK$8*Scenarios!$G$9</f>
        <v/>
      </c>
      <c r="BL21" s="25">
        <f>BL$9*Products!$C$10*(1+Inputs!$C$28)*Timeline!BL$8*Scenarios!$G$9</f>
        <v/>
      </c>
    </row>
    <row r="22"/>
    <row r="23">
      <c r="A23" s="11">
        <f>Products!$D$5</f>
        <v/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</row>
    <row r="24">
      <c r="A24" s="44" t="inlineStr">
        <is>
          <t>Units sold</t>
        </is>
      </c>
      <c r="B24" s="13" t="inlineStr">
        <is>
          <t>units</t>
        </is>
      </c>
      <c r="C24" s="45">
        <f>SUM(E24:BL24)</f>
        <v/>
      </c>
      <c r="E24" s="46">
        <f>Timeline!E$11*Products!$D$13</f>
        <v/>
      </c>
      <c r="F24" s="46">
        <f>Timeline!F$11*Products!$D$13</f>
        <v/>
      </c>
      <c r="G24" s="46">
        <f>Timeline!G$11*Products!$D$13</f>
        <v/>
      </c>
      <c r="H24" s="46">
        <f>Timeline!H$11*Products!$D$13</f>
        <v/>
      </c>
      <c r="I24" s="46">
        <f>Timeline!I$11*Products!$D$13</f>
        <v/>
      </c>
      <c r="J24" s="46">
        <f>Timeline!J$11*Products!$D$13</f>
        <v/>
      </c>
      <c r="K24" s="46">
        <f>Timeline!K$11*Products!$D$13</f>
        <v/>
      </c>
      <c r="L24" s="46">
        <f>Timeline!L$11*Products!$D$13</f>
        <v/>
      </c>
      <c r="M24" s="46">
        <f>Timeline!M$11*Products!$D$13</f>
        <v/>
      </c>
      <c r="N24" s="46">
        <f>Timeline!N$11*Products!$D$13</f>
        <v/>
      </c>
      <c r="O24" s="46">
        <f>Timeline!O$11*Products!$D$13</f>
        <v/>
      </c>
      <c r="P24" s="46">
        <f>Timeline!P$11*Products!$D$13</f>
        <v/>
      </c>
      <c r="Q24" s="46">
        <f>Timeline!Q$11*Products!$D$13</f>
        <v/>
      </c>
      <c r="R24" s="46">
        <f>Timeline!R$11*Products!$D$13</f>
        <v/>
      </c>
      <c r="S24" s="46">
        <f>Timeline!S$11*Products!$D$13</f>
        <v/>
      </c>
      <c r="T24" s="46">
        <f>Timeline!T$11*Products!$D$13</f>
        <v/>
      </c>
      <c r="U24" s="46">
        <f>Timeline!U$11*Products!$D$13</f>
        <v/>
      </c>
      <c r="V24" s="46">
        <f>Timeline!V$11*Products!$D$13</f>
        <v/>
      </c>
      <c r="W24" s="46">
        <f>Timeline!W$11*Products!$D$13</f>
        <v/>
      </c>
      <c r="X24" s="46">
        <f>Timeline!X$11*Products!$D$13</f>
        <v/>
      </c>
      <c r="Y24" s="46">
        <f>Timeline!Y$11*Products!$D$13</f>
        <v/>
      </c>
      <c r="Z24" s="46">
        <f>Timeline!Z$11*Products!$D$13</f>
        <v/>
      </c>
      <c r="AA24" s="46">
        <f>Timeline!AA$11*Products!$D$13</f>
        <v/>
      </c>
      <c r="AB24" s="46">
        <f>Timeline!AB$11*Products!$D$13</f>
        <v/>
      </c>
      <c r="AC24" s="46">
        <f>Timeline!AC$11*Products!$D$13</f>
        <v/>
      </c>
      <c r="AD24" s="46">
        <f>Timeline!AD$11*Products!$D$13</f>
        <v/>
      </c>
      <c r="AE24" s="46">
        <f>Timeline!AE$11*Products!$D$13</f>
        <v/>
      </c>
      <c r="AF24" s="46">
        <f>Timeline!AF$11*Products!$D$13</f>
        <v/>
      </c>
      <c r="AG24" s="46">
        <f>Timeline!AG$11*Products!$D$13</f>
        <v/>
      </c>
      <c r="AH24" s="46">
        <f>Timeline!AH$11*Products!$D$13</f>
        <v/>
      </c>
      <c r="AI24" s="46">
        <f>Timeline!AI$11*Products!$D$13</f>
        <v/>
      </c>
      <c r="AJ24" s="46">
        <f>Timeline!AJ$11*Products!$D$13</f>
        <v/>
      </c>
      <c r="AK24" s="46">
        <f>Timeline!AK$11*Products!$D$13</f>
        <v/>
      </c>
      <c r="AL24" s="46">
        <f>Timeline!AL$11*Products!$D$13</f>
        <v/>
      </c>
      <c r="AM24" s="46">
        <f>Timeline!AM$11*Products!$D$13</f>
        <v/>
      </c>
      <c r="AN24" s="46">
        <f>Timeline!AN$11*Products!$D$13</f>
        <v/>
      </c>
      <c r="AO24" s="46">
        <f>Timeline!AO$11*Products!$D$13</f>
        <v/>
      </c>
      <c r="AP24" s="46">
        <f>Timeline!AP$11*Products!$D$13</f>
        <v/>
      </c>
      <c r="AQ24" s="46">
        <f>Timeline!AQ$11*Products!$D$13</f>
        <v/>
      </c>
      <c r="AR24" s="46">
        <f>Timeline!AR$11*Products!$D$13</f>
        <v/>
      </c>
      <c r="AS24" s="46">
        <f>Timeline!AS$11*Products!$D$13</f>
        <v/>
      </c>
      <c r="AT24" s="46">
        <f>Timeline!AT$11*Products!$D$13</f>
        <v/>
      </c>
      <c r="AU24" s="46">
        <f>Timeline!AU$11*Products!$D$13</f>
        <v/>
      </c>
      <c r="AV24" s="46">
        <f>Timeline!AV$11*Products!$D$13</f>
        <v/>
      </c>
      <c r="AW24" s="46">
        <f>Timeline!AW$11*Products!$D$13</f>
        <v/>
      </c>
      <c r="AX24" s="46">
        <f>Timeline!AX$11*Products!$D$13</f>
        <v/>
      </c>
      <c r="AY24" s="46">
        <f>Timeline!AY$11*Products!$D$13</f>
        <v/>
      </c>
      <c r="AZ24" s="46">
        <f>Timeline!AZ$11*Products!$D$13</f>
        <v/>
      </c>
      <c r="BA24" s="46">
        <f>Timeline!BA$11*Products!$D$13</f>
        <v/>
      </c>
      <c r="BB24" s="46">
        <f>Timeline!BB$11*Products!$D$13</f>
        <v/>
      </c>
      <c r="BC24" s="46">
        <f>Timeline!BC$11*Products!$D$13</f>
        <v/>
      </c>
      <c r="BD24" s="46">
        <f>Timeline!BD$11*Products!$D$13</f>
        <v/>
      </c>
      <c r="BE24" s="46">
        <f>Timeline!BE$11*Products!$D$13</f>
        <v/>
      </c>
      <c r="BF24" s="46">
        <f>Timeline!BF$11*Products!$D$13</f>
        <v/>
      </c>
      <c r="BG24" s="46">
        <f>Timeline!BG$11*Products!$D$13</f>
        <v/>
      </c>
      <c r="BH24" s="46">
        <f>Timeline!BH$11*Products!$D$13</f>
        <v/>
      </c>
      <c r="BI24" s="46">
        <f>Timeline!BI$11*Products!$D$13</f>
        <v/>
      </c>
      <c r="BJ24" s="46">
        <f>Timeline!BJ$11*Products!$D$13</f>
        <v/>
      </c>
      <c r="BK24" s="46">
        <f>Timeline!BK$11*Products!$D$13</f>
        <v/>
      </c>
      <c r="BL24" s="46">
        <f>Timeline!BL$11*Products!$D$13</f>
        <v/>
      </c>
    </row>
    <row r="25">
      <c r="A25" s="44" t="inlineStr">
        <is>
          <t>Price-indexed units (units x price index)</t>
        </is>
      </c>
      <c r="B25" s="13" t="inlineStr">
        <is>
          <t>units</t>
        </is>
      </c>
      <c r="C25" s="45">
        <f>SUM(E25:BL25)</f>
        <v/>
      </c>
      <c r="E25" s="25">
        <f>E$24*Timeline!E$10</f>
        <v/>
      </c>
      <c r="F25" s="25">
        <f>F$24*Timeline!F$10</f>
        <v/>
      </c>
      <c r="G25" s="25">
        <f>G$24*Timeline!G$10</f>
        <v/>
      </c>
      <c r="H25" s="25">
        <f>H$24*Timeline!H$10</f>
        <v/>
      </c>
      <c r="I25" s="25">
        <f>I$24*Timeline!I$10</f>
        <v/>
      </c>
      <c r="J25" s="25">
        <f>J$24*Timeline!J$10</f>
        <v/>
      </c>
      <c r="K25" s="25">
        <f>K$24*Timeline!K$10</f>
        <v/>
      </c>
      <c r="L25" s="25">
        <f>L$24*Timeline!L$10</f>
        <v/>
      </c>
      <c r="M25" s="25">
        <f>M$24*Timeline!M$10</f>
        <v/>
      </c>
      <c r="N25" s="25">
        <f>N$24*Timeline!N$10</f>
        <v/>
      </c>
      <c r="O25" s="25">
        <f>O$24*Timeline!O$10</f>
        <v/>
      </c>
      <c r="P25" s="25">
        <f>P$24*Timeline!P$10</f>
        <v/>
      </c>
      <c r="Q25" s="25">
        <f>Q$24*Timeline!Q$10</f>
        <v/>
      </c>
      <c r="R25" s="25">
        <f>R$24*Timeline!R$10</f>
        <v/>
      </c>
      <c r="S25" s="25">
        <f>S$24*Timeline!S$10</f>
        <v/>
      </c>
      <c r="T25" s="25">
        <f>T$24*Timeline!T$10</f>
        <v/>
      </c>
      <c r="U25" s="25">
        <f>U$24*Timeline!U$10</f>
        <v/>
      </c>
      <c r="V25" s="25">
        <f>V$24*Timeline!V$10</f>
        <v/>
      </c>
      <c r="W25" s="25">
        <f>W$24*Timeline!W$10</f>
        <v/>
      </c>
      <c r="X25" s="25">
        <f>X$24*Timeline!X$10</f>
        <v/>
      </c>
      <c r="Y25" s="25">
        <f>Y$24*Timeline!Y$10</f>
        <v/>
      </c>
      <c r="Z25" s="25">
        <f>Z$24*Timeline!Z$10</f>
        <v/>
      </c>
      <c r="AA25" s="25">
        <f>AA$24*Timeline!AA$10</f>
        <v/>
      </c>
      <c r="AB25" s="25">
        <f>AB$24*Timeline!AB$10</f>
        <v/>
      </c>
      <c r="AC25" s="25">
        <f>AC$24*Timeline!AC$10</f>
        <v/>
      </c>
      <c r="AD25" s="25">
        <f>AD$24*Timeline!AD$10</f>
        <v/>
      </c>
      <c r="AE25" s="25">
        <f>AE$24*Timeline!AE$10</f>
        <v/>
      </c>
      <c r="AF25" s="25">
        <f>AF$24*Timeline!AF$10</f>
        <v/>
      </c>
      <c r="AG25" s="25">
        <f>AG$24*Timeline!AG$10</f>
        <v/>
      </c>
      <c r="AH25" s="25">
        <f>AH$24*Timeline!AH$10</f>
        <v/>
      </c>
      <c r="AI25" s="25">
        <f>AI$24*Timeline!AI$10</f>
        <v/>
      </c>
      <c r="AJ25" s="25">
        <f>AJ$24*Timeline!AJ$10</f>
        <v/>
      </c>
      <c r="AK25" s="25">
        <f>AK$24*Timeline!AK$10</f>
        <v/>
      </c>
      <c r="AL25" s="25">
        <f>AL$24*Timeline!AL$10</f>
        <v/>
      </c>
      <c r="AM25" s="25">
        <f>AM$24*Timeline!AM$10</f>
        <v/>
      </c>
      <c r="AN25" s="25">
        <f>AN$24*Timeline!AN$10</f>
        <v/>
      </c>
      <c r="AO25" s="25">
        <f>AO$24*Timeline!AO$10</f>
        <v/>
      </c>
      <c r="AP25" s="25">
        <f>AP$24*Timeline!AP$10</f>
        <v/>
      </c>
      <c r="AQ25" s="25">
        <f>AQ$24*Timeline!AQ$10</f>
        <v/>
      </c>
      <c r="AR25" s="25">
        <f>AR$24*Timeline!AR$10</f>
        <v/>
      </c>
      <c r="AS25" s="25">
        <f>AS$24*Timeline!AS$10</f>
        <v/>
      </c>
      <c r="AT25" s="25">
        <f>AT$24*Timeline!AT$10</f>
        <v/>
      </c>
      <c r="AU25" s="25">
        <f>AU$24*Timeline!AU$10</f>
        <v/>
      </c>
      <c r="AV25" s="25">
        <f>AV$24*Timeline!AV$10</f>
        <v/>
      </c>
      <c r="AW25" s="25">
        <f>AW$24*Timeline!AW$10</f>
        <v/>
      </c>
      <c r="AX25" s="25">
        <f>AX$24*Timeline!AX$10</f>
        <v/>
      </c>
      <c r="AY25" s="25">
        <f>AY$24*Timeline!AY$10</f>
        <v/>
      </c>
      <c r="AZ25" s="25">
        <f>AZ$24*Timeline!AZ$10</f>
        <v/>
      </c>
      <c r="BA25" s="25">
        <f>BA$24*Timeline!BA$10</f>
        <v/>
      </c>
      <c r="BB25" s="25">
        <f>BB$24*Timeline!BB$10</f>
        <v/>
      </c>
      <c r="BC25" s="25">
        <f>BC$24*Timeline!BC$10</f>
        <v/>
      </c>
      <c r="BD25" s="25">
        <f>BD$24*Timeline!BD$10</f>
        <v/>
      </c>
      <c r="BE25" s="25">
        <f>BE$24*Timeline!BE$10</f>
        <v/>
      </c>
      <c r="BF25" s="25">
        <f>BF$24*Timeline!BF$10</f>
        <v/>
      </c>
      <c r="BG25" s="25">
        <f>BG$24*Timeline!BG$10</f>
        <v/>
      </c>
      <c r="BH25" s="25">
        <f>BH$24*Timeline!BH$10</f>
        <v/>
      </c>
      <c r="BI25" s="25">
        <f>BI$24*Timeline!BI$10</f>
        <v/>
      </c>
      <c r="BJ25" s="25">
        <f>BJ$24*Timeline!BJ$10</f>
        <v/>
      </c>
      <c r="BK25" s="25">
        <f>BK$24*Timeline!BK$10</f>
        <v/>
      </c>
      <c r="BL25" s="25">
        <f>BL$24*Timeline!BL$10</f>
        <v/>
      </c>
    </row>
    <row r="26">
      <c r="A26" s="44" t="inlineStr">
        <is>
          <t>Deposits collected</t>
        </is>
      </c>
      <c r="B26" s="13" t="inlineStr">
        <is>
          <t>LCY</t>
        </is>
      </c>
      <c r="C26" s="45">
        <f>SUM(E26:BL26)</f>
        <v/>
      </c>
      <c r="E26" s="25">
        <f>E$25*Products!$D$7</f>
        <v/>
      </c>
      <c r="F26" s="25">
        <f>F$25*Products!$D$7</f>
        <v/>
      </c>
      <c r="G26" s="25">
        <f>G$25*Products!$D$7</f>
        <v/>
      </c>
      <c r="H26" s="25">
        <f>H$25*Products!$D$7</f>
        <v/>
      </c>
      <c r="I26" s="25">
        <f>I$25*Products!$D$7</f>
        <v/>
      </c>
      <c r="J26" s="25">
        <f>J$25*Products!$D$7</f>
        <v/>
      </c>
      <c r="K26" s="25">
        <f>K$25*Products!$D$7</f>
        <v/>
      </c>
      <c r="L26" s="25">
        <f>L$25*Products!$D$7</f>
        <v/>
      </c>
      <c r="M26" s="25">
        <f>M$25*Products!$D$7</f>
        <v/>
      </c>
      <c r="N26" s="25">
        <f>N$25*Products!$D$7</f>
        <v/>
      </c>
      <c r="O26" s="25">
        <f>O$25*Products!$D$7</f>
        <v/>
      </c>
      <c r="P26" s="25">
        <f>P$25*Products!$D$7</f>
        <v/>
      </c>
      <c r="Q26" s="25">
        <f>Q$25*Products!$D$7</f>
        <v/>
      </c>
      <c r="R26" s="25">
        <f>R$25*Products!$D$7</f>
        <v/>
      </c>
      <c r="S26" s="25">
        <f>S$25*Products!$D$7</f>
        <v/>
      </c>
      <c r="T26" s="25">
        <f>T$25*Products!$D$7</f>
        <v/>
      </c>
      <c r="U26" s="25">
        <f>U$25*Products!$D$7</f>
        <v/>
      </c>
      <c r="V26" s="25">
        <f>V$25*Products!$D$7</f>
        <v/>
      </c>
      <c r="W26" s="25">
        <f>W$25*Products!$D$7</f>
        <v/>
      </c>
      <c r="X26" s="25">
        <f>X$25*Products!$D$7</f>
        <v/>
      </c>
      <c r="Y26" s="25">
        <f>Y$25*Products!$D$7</f>
        <v/>
      </c>
      <c r="Z26" s="25">
        <f>Z$25*Products!$D$7</f>
        <v/>
      </c>
      <c r="AA26" s="25">
        <f>AA$25*Products!$D$7</f>
        <v/>
      </c>
      <c r="AB26" s="25">
        <f>AB$25*Products!$D$7</f>
        <v/>
      </c>
      <c r="AC26" s="25">
        <f>AC$25*Products!$D$7</f>
        <v/>
      </c>
      <c r="AD26" s="25">
        <f>AD$25*Products!$D$7</f>
        <v/>
      </c>
      <c r="AE26" s="25">
        <f>AE$25*Products!$D$7</f>
        <v/>
      </c>
      <c r="AF26" s="25">
        <f>AF$25*Products!$D$7</f>
        <v/>
      </c>
      <c r="AG26" s="25">
        <f>AG$25*Products!$D$7</f>
        <v/>
      </c>
      <c r="AH26" s="25">
        <f>AH$25*Products!$D$7</f>
        <v/>
      </c>
      <c r="AI26" s="25">
        <f>AI$25*Products!$D$7</f>
        <v/>
      </c>
      <c r="AJ26" s="25">
        <f>AJ$25*Products!$D$7</f>
        <v/>
      </c>
      <c r="AK26" s="25">
        <f>AK$25*Products!$D$7</f>
        <v/>
      </c>
      <c r="AL26" s="25">
        <f>AL$25*Products!$D$7</f>
        <v/>
      </c>
      <c r="AM26" s="25">
        <f>AM$25*Products!$D$7</f>
        <v/>
      </c>
      <c r="AN26" s="25">
        <f>AN$25*Products!$D$7</f>
        <v/>
      </c>
      <c r="AO26" s="25">
        <f>AO$25*Products!$D$7</f>
        <v/>
      </c>
      <c r="AP26" s="25">
        <f>AP$25*Products!$D$7</f>
        <v/>
      </c>
      <c r="AQ26" s="25">
        <f>AQ$25*Products!$D$7</f>
        <v/>
      </c>
      <c r="AR26" s="25">
        <f>AR$25*Products!$D$7</f>
        <v/>
      </c>
      <c r="AS26" s="25">
        <f>AS$25*Products!$D$7</f>
        <v/>
      </c>
      <c r="AT26" s="25">
        <f>AT$25*Products!$D$7</f>
        <v/>
      </c>
      <c r="AU26" s="25">
        <f>AU$25*Products!$D$7</f>
        <v/>
      </c>
      <c r="AV26" s="25">
        <f>AV$25*Products!$D$7</f>
        <v/>
      </c>
      <c r="AW26" s="25">
        <f>AW$25*Products!$D$7</f>
        <v/>
      </c>
      <c r="AX26" s="25">
        <f>AX$25*Products!$D$7</f>
        <v/>
      </c>
      <c r="AY26" s="25">
        <f>AY$25*Products!$D$7</f>
        <v/>
      </c>
      <c r="AZ26" s="25">
        <f>AZ$25*Products!$D$7</f>
        <v/>
      </c>
      <c r="BA26" s="25">
        <f>BA$25*Products!$D$7</f>
        <v/>
      </c>
      <c r="BB26" s="25">
        <f>BB$25*Products!$D$7</f>
        <v/>
      </c>
      <c r="BC26" s="25">
        <f>BC$25*Products!$D$7</f>
        <v/>
      </c>
      <c r="BD26" s="25">
        <f>BD$25*Products!$D$7</f>
        <v/>
      </c>
      <c r="BE26" s="25">
        <f>BE$25*Products!$D$7</f>
        <v/>
      </c>
      <c r="BF26" s="25">
        <f>BF$25*Products!$D$7</f>
        <v/>
      </c>
      <c r="BG26" s="25">
        <f>BG$25*Products!$D$7</f>
        <v/>
      </c>
      <c r="BH26" s="25">
        <f>BH$25*Products!$D$7</f>
        <v/>
      </c>
      <c r="BI26" s="25">
        <f>BI$25*Products!$D$7</f>
        <v/>
      </c>
      <c r="BJ26" s="25">
        <f>BJ$25*Products!$D$7</f>
        <v/>
      </c>
      <c r="BK26" s="25">
        <f>BK$25*Products!$D$7</f>
        <v/>
      </c>
      <c r="BL26" s="25">
        <f>BL$25*Products!$D$7</f>
        <v/>
      </c>
    </row>
    <row r="27">
      <c r="A27" s="44" t="inlineStr">
        <is>
          <t>Hardware revenue (cash price)</t>
        </is>
      </c>
      <c r="B27" s="13" t="inlineStr">
        <is>
          <t>LCY</t>
        </is>
      </c>
      <c r="C27" s="45">
        <f>SUM(E27:BL27)</f>
        <v/>
      </c>
      <c r="E27" s="25">
        <f>E$25*Products!$D$6</f>
        <v/>
      </c>
      <c r="F27" s="25">
        <f>F$25*Products!$D$6</f>
        <v/>
      </c>
      <c r="G27" s="25">
        <f>G$25*Products!$D$6</f>
        <v/>
      </c>
      <c r="H27" s="25">
        <f>H$25*Products!$D$6</f>
        <v/>
      </c>
      <c r="I27" s="25">
        <f>I$25*Products!$D$6</f>
        <v/>
      </c>
      <c r="J27" s="25">
        <f>J$25*Products!$D$6</f>
        <v/>
      </c>
      <c r="K27" s="25">
        <f>K$25*Products!$D$6</f>
        <v/>
      </c>
      <c r="L27" s="25">
        <f>L$25*Products!$D$6</f>
        <v/>
      </c>
      <c r="M27" s="25">
        <f>M$25*Products!$D$6</f>
        <v/>
      </c>
      <c r="N27" s="25">
        <f>N$25*Products!$D$6</f>
        <v/>
      </c>
      <c r="O27" s="25">
        <f>O$25*Products!$D$6</f>
        <v/>
      </c>
      <c r="P27" s="25">
        <f>P$25*Products!$D$6</f>
        <v/>
      </c>
      <c r="Q27" s="25">
        <f>Q$25*Products!$D$6</f>
        <v/>
      </c>
      <c r="R27" s="25">
        <f>R$25*Products!$D$6</f>
        <v/>
      </c>
      <c r="S27" s="25">
        <f>S$25*Products!$D$6</f>
        <v/>
      </c>
      <c r="T27" s="25">
        <f>T$25*Products!$D$6</f>
        <v/>
      </c>
      <c r="U27" s="25">
        <f>U$25*Products!$D$6</f>
        <v/>
      </c>
      <c r="V27" s="25">
        <f>V$25*Products!$D$6</f>
        <v/>
      </c>
      <c r="W27" s="25">
        <f>W$25*Products!$D$6</f>
        <v/>
      </c>
      <c r="X27" s="25">
        <f>X$25*Products!$D$6</f>
        <v/>
      </c>
      <c r="Y27" s="25">
        <f>Y$25*Products!$D$6</f>
        <v/>
      </c>
      <c r="Z27" s="25">
        <f>Z$25*Products!$D$6</f>
        <v/>
      </c>
      <c r="AA27" s="25">
        <f>AA$25*Products!$D$6</f>
        <v/>
      </c>
      <c r="AB27" s="25">
        <f>AB$25*Products!$D$6</f>
        <v/>
      </c>
      <c r="AC27" s="25">
        <f>AC$25*Products!$D$6</f>
        <v/>
      </c>
      <c r="AD27" s="25">
        <f>AD$25*Products!$D$6</f>
        <v/>
      </c>
      <c r="AE27" s="25">
        <f>AE$25*Products!$D$6</f>
        <v/>
      </c>
      <c r="AF27" s="25">
        <f>AF$25*Products!$D$6</f>
        <v/>
      </c>
      <c r="AG27" s="25">
        <f>AG$25*Products!$D$6</f>
        <v/>
      </c>
      <c r="AH27" s="25">
        <f>AH$25*Products!$D$6</f>
        <v/>
      </c>
      <c r="AI27" s="25">
        <f>AI$25*Products!$D$6</f>
        <v/>
      </c>
      <c r="AJ27" s="25">
        <f>AJ$25*Products!$D$6</f>
        <v/>
      </c>
      <c r="AK27" s="25">
        <f>AK$25*Products!$D$6</f>
        <v/>
      </c>
      <c r="AL27" s="25">
        <f>AL$25*Products!$D$6</f>
        <v/>
      </c>
      <c r="AM27" s="25">
        <f>AM$25*Products!$D$6</f>
        <v/>
      </c>
      <c r="AN27" s="25">
        <f>AN$25*Products!$D$6</f>
        <v/>
      </c>
      <c r="AO27" s="25">
        <f>AO$25*Products!$D$6</f>
        <v/>
      </c>
      <c r="AP27" s="25">
        <f>AP$25*Products!$D$6</f>
        <v/>
      </c>
      <c r="AQ27" s="25">
        <f>AQ$25*Products!$D$6</f>
        <v/>
      </c>
      <c r="AR27" s="25">
        <f>AR$25*Products!$D$6</f>
        <v/>
      </c>
      <c r="AS27" s="25">
        <f>AS$25*Products!$D$6</f>
        <v/>
      </c>
      <c r="AT27" s="25">
        <f>AT$25*Products!$D$6</f>
        <v/>
      </c>
      <c r="AU27" s="25">
        <f>AU$25*Products!$D$6</f>
        <v/>
      </c>
      <c r="AV27" s="25">
        <f>AV$25*Products!$D$6</f>
        <v/>
      </c>
      <c r="AW27" s="25">
        <f>AW$25*Products!$D$6</f>
        <v/>
      </c>
      <c r="AX27" s="25">
        <f>AX$25*Products!$D$6</f>
        <v/>
      </c>
      <c r="AY27" s="25">
        <f>AY$25*Products!$D$6</f>
        <v/>
      </c>
      <c r="AZ27" s="25">
        <f>AZ$25*Products!$D$6</f>
        <v/>
      </c>
      <c r="BA27" s="25">
        <f>BA$25*Products!$D$6</f>
        <v/>
      </c>
      <c r="BB27" s="25">
        <f>BB$25*Products!$D$6</f>
        <v/>
      </c>
      <c r="BC27" s="25">
        <f>BC$25*Products!$D$6</f>
        <v/>
      </c>
      <c r="BD27" s="25">
        <f>BD$25*Products!$D$6</f>
        <v/>
      </c>
      <c r="BE27" s="25">
        <f>BE$25*Products!$D$6</f>
        <v/>
      </c>
      <c r="BF27" s="25">
        <f>BF$25*Products!$D$6</f>
        <v/>
      </c>
      <c r="BG27" s="25">
        <f>BG$25*Products!$D$6</f>
        <v/>
      </c>
      <c r="BH27" s="25">
        <f>BH$25*Products!$D$6</f>
        <v/>
      </c>
      <c r="BI27" s="25">
        <f>BI$25*Products!$D$6</f>
        <v/>
      </c>
      <c r="BJ27" s="25">
        <f>BJ$25*Products!$D$6</f>
        <v/>
      </c>
      <c r="BK27" s="25">
        <f>BK$25*Products!$D$6</f>
        <v/>
      </c>
      <c r="BL27" s="25">
        <f>BL$25*Products!$D$6</f>
        <v/>
      </c>
    </row>
    <row r="28">
      <c r="A28" s="44" t="inlineStr">
        <is>
          <t>New receivables originated (cash price - deposit)</t>
        </is>
      </c>
      <c r="B28" s="13" t="inlineStr">
        <is>
          <t>LCY</t>
        </is>
      </c>
      <c r="C28" s="45">
        <f>SUM(E28:BL28)</f>
        <v/>
      </c>
      <c r="E28" s="25">
        <f>E$25*Products!$D$22</f>
        <v/>
      </c>
      <c r="F28" s="25">
        <f>F$25*Products!$D$22</f>
        <v/>
      </c>
      <c r="G28" s="25">
        <f>G$25*Products!$D$22</f>
        <v/>
      </c>
      <c r="H28" s="25">
        <f>H$25*Products!$D$22</f>
        <v/>
      </c>
      <c r="I28" s="25">
        <f>I$25*Products!$D$22</f>
        <v/>
      </c>
      <c r="J28" s="25">
        <f>J$25*Products!$D$22</f>
        <v/>
      </c>
      <c r="K28" s="25">
        <f>K$25*Products!$D$22</f>
        <v/>
      </c>
      <c r="L28" s="25">
        <f>L$25*Products!$D$22</f>
        <v/>
      </c>
      <c r="M28" s="25">
        <f>M$25*Products!$D$22</f>
        <v/>
      </c>
      <c r="N28" s="25">
        <f>N$25*Products!$D$22</f>
        <v/>
      </c>
      <c r="O28" s="25">
        <f>O$25*Products!$D$22</f>
        <v/>
      </c>
      <c r="P28" s="25">
        <f>P$25*Products!$D$22</f>
        <v/>
      </c>
      <c r="Q28" s="25">
        <f>Q$25*Products!$D$22</f>
        <v/>
      </c>
      <c r="R28" s="25">
        <f>R$25*Products!$D$22</f>
        <v/>
      </c>
      <c r="S28" s="25">
        <f>S$25*Products!$D$22</f>
        <v/>
      </c>
      <c r="T28" s="25">
        <f>T$25*Products!$D$22</f>
        <v/>
      </c>
      <c r="U28" s="25">
        <f>U$25*Products!$D$22</f>
        <v/>
      </c>
      <c r="V28" s="25">
        <f>V$25*Products!$D$22</f>
        <v/>
      </c>
      <c r="W28" s="25">
        <f>W$25*Products!$D$22</f>
        <v/>
      </c>
      <c r="X28" s="25">
        <f>X$25*Products!$D$22</f>
        <v/>
      </c>
      <c r="Y28" s="25">
        <f>Y$25*Products!$D$22</f>
        <v/>
      </c>
      <c r="Z28" s="25">
        <f>Z$25*Products!$D$22</f>
        <v/>
      </c>
      <c r="AA28" s="25">
        <f>AA$25*Products!$D$22</f>
        <v/>
      </c>
      <c r="AB28" s="25">
        <f>AB$25*Products!$D$22</f>
        <v/>
      </c>
      <c r="AC28" s="25">
        <f>AC$25*Products!$D$22</f>
        <v/>
      </c>
      <c r="AD28" s="25">
        <f>AD$25*Products!$D$22</f>
        <v/>
      </c>
      <c r="AE28" s="25">
        <f>AE$25*Products!$D$22</f>
        <v/>
      </c>
      <c r="AF28" s="25">
        <f>AF$25*Products!$D$22</f>
        <v/>
      </c>
      <c r="AG28" s="25">
        <f>AG$25*Products!$D$22</f>
        <v/>
      </c>
      <c r="AH28" s="25">
        <f>AH$25*Products!$D$22</f>
        <v/>
      </c>
      <c r="AI28" s="25">
        <f>AI$25*Products!$D$22</f>
        <v/>
      </c>
      <c r="AJ28" s="25">
        <f>AJ$25*Products!$D$22</f>
        <v/>
      </c>
      <c r="AK28" s="25">
        <f>AK$25*Products!$D$22</f>
        <v/>
      </c>
      <c r="AL28" s="25">
        <f>AL$25*Products!$D$22</f>
        <v/>
      </c>
      <c r="AM28" s="25">
        <f>AM$25*Products!$D$22</f>
        <v/>
      </c>
      <c r="AN28" s="25">
        <f>AN$25*Products!$D$22</f>
        <v/>
      </c>
      <c r="AO28" s="25">
        <f>AO$25*Products!$D$22</f>
        <v/>
      </c>
      <c r="AP28" s="25">
        <f>AP$25*Products!$D$22</f>
        <v/>
      </c>
      <c r="AQ28" s="25">
        <f>AQ$25*Products!$D$22</f>
        <v/>
      </c>
      <c r="AR28" s="25">
        <f>AR$25*Products!$D$22</f>
        <v/>
      </c>
      <c r="AS28" s="25">
        <f>AS$25*Products!$D$22</f>
        <v/>
      </c>
      <c r="AT28" s="25">
        <f>AT$25*Products!$D$22</f>
        <v/>
      </c>
      <c r="AU28" s="25">
        <f>AU$25*Products!$D$22</f>
        <v/>
      </c>
      <c r="AV28" s="25">
        <f>AV$25*Products!$D$22</f>
        <v/>
      </c>
      <c r="AW28" s="25">
        <f>AW$25*Products!$D$22</f>
        <v/>
      </c>
      <c r="AX28" s="25">
        <f>AX$25*Products!$D$22</f>
        <v/>
      </c>
      <c r="AY28" s="25">
        <f>AY$25*Products!$D$22</f>
        <v/>
      </c>
      <c r="AZ28" s="25">
        <f>AZ$25*Products!$D$22</f>
        <v/>
      </c>
      <c r="BA28" s="25">
        <f>BA$25*Products!$D$22</f>
        <v/>
      </c>
      <c r="BB28" s="25">
        <f>BB$25*Products!$D$22</f>
        <v/>
      </c>
      <c r="BC28" s="25">
        <f>BC$25*Products!$D$22</f>
        <v/>
      </c>
      <c r="BD28" s="25">
        <f>BD$25*Products!$D$22</f>
        <v/>
      </c>
      <c r="BE28" s="25">
        <f>BE$25*Products!$D$22</f>
        <v/>
      </c>
      <c r="BF28" s="25">
        <f>BF$25*Products!$D$22</f>
        <v/>
      </c>
      <c r="BG28" s="25">
        <f>BG$25*Products!$D$22</f>
        <v/>
      </c>
      <c r="BH28" s="25">
        <f>BH$25*Products!$D$22</f>
        <v/>
      </c>
      <c r="BI28" s="25">
        <f>BI$25*Products!$D$22</f>
        <v/>
      </c>
      <c r="BJ28" s="25">
        <f>BJ$25*Products!$D$22</f>
        <v/>
      </c>
      <c r="BK28" s="25">
        <f>BK$25*Products!$D$22</f>
        <v/>
      </c>
      <c r="BL28" s="25">
        <f>BL$25*Products!$D$22</f>
        <v/>
      </c>
    </row>
    <row r="29">
      <c r="A29" s="44" t="inlineStr">
        <is>
          <t>Instalments due</t>
        </is>
      </c>
      <c r="B29" s="13" t="inlineStr">
        <is>
          <t>LCY</t>
        </is>
      </c>
      <c r="C29" s="45">
        <f>SUM(E29:BL29)</f>
        <v/>
      </c>
      <c r="E29" s="25">
        <f>Products!$D$18*SUMIFS($E$25:$BL$25,Timeline!$E$4:$BL$4,"&gt;="&amp;(E$4-Products!$D$9),Timeline!$E$4:$BL$4,"&lt;="&amp;(E$4-1))</f>
        <v/>
      </c>
      <c r="F29" s="25">
        <f>Products!$D$18*SUMIFS($E$25:$BL$25,Timeline!$E$4:$BL$4,"&gt;="&amp;(F$4-Products!$D$9),Timeline!$E$4:$BL$4,"&lt;="&amp;(F$4-1))</f>
        <v/>
      </c>
      <c r="G29" s="25">
        <f>Products!$D$18*SUMIFS($E$25:$BL$25,Timeline!$E$4:$BL$4,"&gt;="&amp;(G$4-Products!$D$9),Timeline!$E$4:$BL$4,"&lt;="&amp;(G$4-1))</f>
        <v/>
      </c>
      <c r="H29" s="25">
        <f>Products!$D$18*SUMIFS($E$25:$BL$25,Timeline!$E$4:$BL$4,"&gt;="&amp;(H$4-Products!$D$9),Timeline!$E$4:$BL$4,"&lt;="&amp;(H$4-1))</f>
        <v/>
      </c>
      <c r="I29" s="25">
        <f>Products!$D$18*SUMIFS($E$25:$BL$25,Timeline!$E$4:$BL$4,"&gt;="&amp;(I$4-Products!$D$9),Timeline!$E$4:$BL$4,"&lt;="&amp;(I$4-1))</f>
        <v/>
      </c>
      <c r="J29" s="25">
        <f>Products!$D$18*SUMIFS($E$25:$BL$25,Timeline!$E$4:$BL$4,"&gt;="&amp;(J$4-Products!$D$9),Timeline!$E$4:$BL$4,"&lt;="&amp;(J$4-1))</f>
        <v/>
      </c>
      <c r="K29" s="25">
        <f>Products!$D$18*SUMIFS($E$25:$BL$25,Timeline!$E$4:$BL$4,"&gt;="&amp;(K$4-Products!$D$9),Timeline!$E$4:$BL$4,"&lt;="&amp;(K$4-1))</f>
        <v/>
      </c>
      <c r="L29" s="25">
        <f>Products!$D$18*SUMIFS($E$25:$BL$25,Timeline!$E$4:$BL$4,"&gt;="&amp;(L$4-Products!$D$9),Timeline!$E$4:$BL$4,"&lt;="&amp;(L$4-1))</f>
        <v/>
      </c>
      <c r="M29" s="25">
        <f>Products!$D$18*SUMIFS($E$25:$BL$25,Timeline!$E$4:$BL$4,"&gt;="&amp;(M$4-Products!$D$9),Timeline!$E$4:$BL$4,"&lt;="&amp;(M$4-1))</f>
        <v/>
      </c>
      <c r="N29" s="25">
        <f>Products!$D$18*SUMIFS($E$25:$BL$25,Timeline!$E$4:$BL$4,"&gt;="&amp;(N$4-Products!$D$9),Timeline!$E$4:$BL$4,"&lt;="&amp;(N$4-1))</f>
        <v/>
      </c>
      <c r="O29" s="25">
        <f>Products!$D$18*SUMIFS($E$25:$BL$25,Timeline!$E$4:$BL$4,"&gt;="&amp;(O$4-Products!$D$9),Timeline!$E$4:$BL$4,"&lt;="&amp;(O$4-1))</f>
        <v/>
      </c>
      <c r="P29" s="25">
        <f>Products!$D$18*SUMIFS($E$25:$BL$25,Timeline!$E$4:$BL$4,"&gt;="&amp;(P$4-Products!$D$9),Timeline!$E$4:$BL$4,"&lt;="&amp;(P$4-1))</f>
        <v/>
      </c>
      <c r="Q29" s="25">
        <f>Products!$D$18*SUMIFS($E$25:$BL$25,Timeline!$E$4:$BL$4,"&gt;="&amp;(Q$4-Products!$D$9),Timeline!$E$4:$BL$4,"&lt;="&amp;(Q$4-1))</f>
        <v/>
      </c>
      <c r="R29" s="25">
        <f>Products!$D$18*SUMIFS($E$25:$BL$25,Timeline!$E$4:$BL$4,"&gt;="&amp;(R$4-Products!$D$9),Timeline!$E$4:$BL$4,"&lt;="&amp;(R$4-1))</f>
        <v/>
      </c>
      <c r="S29" s="25">
        <f>Products!$D$18*SUMIFS($E$25:$BL$25,Timeline!$E$4:$BL$4,"&gt;="&amp;(S$4-Products!$D$9),Timeline!$E$4:$BL$4,"&lt;="&amp;(S$4-1))</f>
        <v/>
      </c>
      <c r="T29" s="25">
        <f>Products!$D$18*SUMIFS($E$25:$BL$25,Timeline!$E$4:$BL$4,"&gt;="&amp;(T$4-Products!$D$9),Timeline!$E$4:$BL$4,"&lt;="&amp;(T$4-1))</f>
        <v/>
      </c>
      <c r="U29" s="25">
        <f>Products!$D$18*SUMIFS($E$25:$BL$25,Timeline!$E$4:$BL$4,"&gt;="&amp;(U$4-Products!$D$9),Timeline!$E$4:$BL$4,"&lt;="&amp;(U$4-1))</f>
        <v/>
      </c>
      <c r="V29" s="25">
        <f>Products!$D$18*SUMIFS($E$25:$BL$25,Timeline!$E$4:$BL$4,"&gt;="&amp;(V$4-Products!$D$9),Timeline!$E$4:$BL$4,"&lt;="&amp;(V$4-1))</f>
        <v/>
      </c>
      <c r="W29" s="25">
        <f>Products!$D$18*SUMIFS($E$25:$BL$25,Timeline!$E$4:$BL$4,"&gt;="&amp;(W$4-Products!$D$9),Timeline!$E$4:$BL$4,"&lt;="&amp;(W$4-1))</f>
        <v/>
      </c>
      <c r="X29" s="25">
        <f>Products!$D$18*SUMIFS($E$25:$BL$25,Timeline!$E$4:$BL$4,"&gt;="&amp;(X$4-Products!$D$9),Timeline!$E$4:$BL$4,"&lt;="&amp;(X$4-1))</f>
        <v/>
      </c>
      <c r="Y29" s="25">
        <f>Products!$D$18*SUMIFS($E$25:$BL$25,Timeline!$E$4:$BL$4,"&gt;="&amp;(Y$4-Products!$D$9),Timeline!$E$4:$BL$4,"&lt;="&amp;(Y$4-1))</f>
        <v/>
      </c>
      <c r="Z29" s="25">
        <f>Products!$D$18*SUMIFS($E$25:$BL$25,Timeline!$E$4:$BL$4,"&gt;="&amp;(Z$4-Products!$D$9),Timeline!$E$4:$BL$4,"&lt;="&amp;(Z$4-1))</f>
        <v/>
      </c>
      <c r="AA29" s="25">
        <f>Products!$D$18*SUMIFS($E$25:$BL$25,Timeline!$E$4:$BL$4,"&gt;="&amp;(AA$4-Products!$D$9),Timeline!$E$4:$BL$4,"&lt;="&amp;(AA$4-1))</f>
        <v/>
      </c>
      <c r="AB29" s="25">
        <f>Products!$D$18*SUMIFS($E$25:$BL$25,Timeline!$E$4:$BL$4,"&gt;="&amp;(AB$4-Products!$D$9),Timeline!$E$4:$BL$4,"&lt;="&amp;(AB$4-1))</f>
        <v/>
      </c>
      <c r="AC29" s="25">
        <f>Products!$D$18*SUMIFS($E$25:$BL$25,Timeline!$E$4:$BL$4,"&gt;="&amp;(AC$4-Products!$D$9),Timeline!$E$4:$BL$4,"&lt;="&amp;(AC$4-1))</f>
        <v/>
      </c>
      <c r="AD29" s="25">
        <f>Products!$D$18*SUMIFS($E$25:$BL$25,Timeline!$E$4:$BL$4,"&gt;="&amp;(AD$4-Products!$D$9),Timeline!$E$4:$BL$4,"&lt;="&amp;(AD$4-1))</f>
        <v/>
      </c>
      <c r="AE29" s="25">
        <f>Products!$D$18*SUMIFS($E$25:$BL$25,Timeline!$E$4:$BL$4,"&gt;="&amp;(AE$4-Products!$D$9),Timeline!$E$4:$BL$4,"&lt;="&amp;(AE$4-1))</f>
        <v/>
      </c>
      <c r="AF29" s="25">
        <f>Products!$D$18*SUMIFS($E$25:$BL$25,Timeline!$E$4:$BL$4,"&gt;="&amp;(AF$4-Products!$D$9),Timeline!$E$4:$BL$4,"&lt;="&amp;(AF$4-1))</f>
        <v/>
      </c>
      <c r="AG29" s="25">
        <f>Products!$D$18*SUMIFS($E$25:$BL$25,Timeline!$E$4:$BL$4,"&gt;="&amp;(AG$4-Products!$D$9),Timeline!$E$4:$BL$4,"&lt;="&amp;(AG$4-1))</f>
        <v/>
      </c>
      <c r="AH29" s="25">
        <f>Products!$D$18*SUMIFS($E$25:$BL$25,Timeline!$E$4:$BL$4,"&gt;="&amp;(AH$4-Products!$D$9),Timeline!$E$4:$BL$4,"&lt;="&amp;(AH$4-1))</f>
        <v/>
      </c>
      <c r="AI29" s="25">
        <f>Products!$D$18*SUMIFS($E$25:$BL$25,Timeline!$E$4:$BL$4,"&gt;="&amp;(AI$4-Products!$D$9),Timeline!$E$4:$BL$4,"&lt;="&amp;(AI$4-1))</f>
        <v/>
      </c>
      <c r="AJ29" s="25">
        <f>Products!$D$18*SUMIFS($E$25:$BL$25,Timeline!$E$4:$BL$4,"&gt;="&amp;(AJ$4-Products!$D$9),Timeline!$E$4:$BL$4,"&lt;="&amp;(AJ$4-1))</f>
        <v/>
      </c>
      <c r="AK29" s="25">
        <f>Products!$D$18*SUMIFS($E$25:$BL$25,Timeline!$E$4:$BL$4,"&gt;="&amp;(AK$4-Products!$D$9),Timeline!$E$4:$BL$4,"&lt;="&amp;(AK$4-1))</f>
        <v/>
      </c>
      <c r="AL29" s="25">
        <f>Products!$D$18*SUMIFS($E$25:$BL$25,Timeline!$E$4:$BL$4,"&gt;="&amp;(AL$4-Products!$D$9),Timeline!$E$4:$BL$4,"&lt;="&amp;(AL$4-1))</f>
        <v/>
      </c>
      <c r="AM29" s="25">
        <f>Products!$D$18*SUMIFS($E$25:$BL$25,Timeline!$E$4:$BL$4,"&gt;="&amp;(AM$4-Products!$D$9),Timeline!$E$4:$BL$4,"&lt;="&amp;(AM$4-1))</f>
        <v/>
      </c>
      <c r="AN29" s="25">
        <f>Products!$D$18*SUMIFS($E$25:$BL$25,Timeline!$E$4:$BL$4,"&gt;="&amp;(AN$4-Products!$D$9),Timeline!$E$4:$BL$4,"&lt;="&amp;(AN$4-1))</f>
        <v/>
      </c>
      <c r="AO29" s="25">
        <f>Products!$D$18*SUMIFS($E$25:$BL$25,Timeline!$E$4:$BL$4,"&gt;="&amp;(AO$4-Products!$D$9),Timeline!$E$4:$BL$4,"&lt;="&amp;(AO$4-1))</f>
        <v/>
      </c>
      <c r="AP29" s="25">
        <f>Products!$D$18*SUMIFS($E$25:$BL$25,Timeline!$E$4:$BL$4,"&gt;="&amp;(AP$4-Products!$D$9),Timeline!$E$4:$BL$4,"&lt;="&amp;(AP$4-1))</f>
        <v/>
      </c>
      <c r="AQ29" s="25">
        <f>Products!$D$18*SUMIFS($E$25:$BL$25,Timeline!$E$4:$BL$4,"&gt;="&amp;(AQ$4-Products!$D$9),Timeline!$E$4:$BL$4,"&lt;="&amp;(AQ$4-1))</f>
        <v/>
      </c>
      <c r="AR29" s="25">
        <f>Products!$D$18*SUMIFS($E$25:$BL$25,Timeline!$E$4:$BL$4,"&gt;="&amp;(AR$4-Products!$D$9),Timeline!$E$4:$BL$4,"&lt;="&amp;(AR$4-1))</f>
        <v/>
      </c>
      <c r="AS29" s="25">
        <f>Products!$D$18*SUMIFS($E$25:$BL$25,Timeline!$E$4:$BL$4,"&gt;="&amp;(AS$4-Products!$D$9),Timeline!$E$4:$BL$4,"&lt;="&amp;(AS$4-1))</f>
        <v/>
      </c>
      <c r="AT29" s="25">
        <f>Products!$D$18*SUMIFS($E$25:$BL$25,Timeline!$E$4:$BL$4,"&gt;="&amp;(AT$4-Products!$D$9),Timeline!$E$4:$BL$4,"&lt;="&amp;(AT$4-1))</f>
        <v/>
      </c>
      <c r="AU29" s="25">
        <f>Products!$D$18*SUMIFS($E$25:$BL$25,Timeline!$E$4:$BL$4,"&gt;="&amp;(AU$4-Products!$D$9),Timeline!$E$4:$BL$4,"&lt;="&amp;(AU$4-1))</f>
        <v/>
      </c>
      <c r="AV29" s="25">
        <f>Products!$D$18*SUMIFS($E$25:$BL$25,Timeline!$E$4:$BL$4,"&gt;="&amp;(AV$4-Products!$D$9),Timeline!$E$4:$BL$4,"&lt;="&amp;(AV$4-1))</f>
        <v/>
      </c>
      <c r="AW29" s="25">
        <f>Products!$D$18*SUMIFS($E$25:$BL$25,Timeline!$E$4:$BL$4,"&gt;="&amp;(AW$4-Products!$D$9),Timeline!$E$4:$BL$4,"&lt;="&amp;(AW$4-1))</f>
        <v/>
      </c>
      <c r="AX29" s="25">
        <f>Products!$D$18*SUMIFS($E$25:$BL$25,Timeline!$E$4:$BL$4,"&gt;="&amp;(AX$4-Products!$D$9),Timeline!$E$4:$BL$4,"&lt;="&amp;(AX$4-1))</f>
        <v/>
      </c>
      <c r="AY29" s="25">
        <f>Products!$D$18*SUMIFS($E$25:$BL$25,Timeline!$E$4:$BL$4,"&gt;="&amp;(AY$4-Products!$D$9),Timeline!$E$4:$BL$4,"&lt;="&amp;(AY$4-1))</f>
        <v/>
      </c>
      <c r="AZ29" s="25">
        <f>Products!$D$18*SUMIFS($E$25:$BL$25,Timeline!$E$4:$BL$4,"&gt;="&amp;(AZ$4-Products!$D$9),Timeline!$E$4:$BL$4,"&lt;="&amp;(AZ$4-1))</f>
        <v/>
      </c>
      <c r="BA29" s="25">
        <f>Products!$D$18*SUMIFS($E$25:$BL$25,Timeline!$E$4:$BL$4,"&gt;="&amp;(BA$4-Products!$D$9),Timeline!$E$4:$BL$4,"&lt;="&amp;(BA$4-1))</f>
        <v/>
      </c>
      <c r="BB29" s="25">
        <f>Products!$D$18*SUMIFS($E$25:$BL$25,Timeline!$E$4:$BL$4,"&gt;="&amp;(BB$4-Products!$D$9),Timeline!$E$4:$BL$4,"&lt;="&amp;(BB$4-1))</f>
        <v/>
      </c>
      <c r="BC29" s="25">
        <f>Products!$D$18*SUMIFS($E$25:$BL$25,Timeline!$E$4:$BL$4,"&gt;="&amp;(BC$4-Products!$D$9),Timeline!$E$4:$BL$4,"&lt;="&amp;(BC$4-1))</f>
        <v/>
      </c>
      <c r="BD29" s="25">
        <f>Products!$D$18*SUMIFS($E$25:$BL$25,Timeline!$E$4:$BL$4,"&gt;="&amp;(BD$4-Products!$D$9),Timeline!$E$4:$BL$4,"&lt;="&amp;(BD$4-1))</f>
        <v/>
      </c>
      <c r="BE29" s="25">
        <f>Products!$D$18*SUMIFS($E$25:$BL$25,Timeline!$E$4:$BL$4,"&gt;="&amp;(BE$4-Products!$D$9),Timeline!$E$4:$BL$4,"&lt;="&amp;(BE$4-1))</f>
        <v/>
      </c>
      <c r="BF29" s="25">
        <f>Products!$D$18*SUMIFS($E$25:$BL$25,Timeline!$E$4:$BL$4,"&gt;="&amp;(BF$4-Products!$D$9),Timeline!$E$4:$BL$4,"&lt;="&amp;(BF$4-1))</f>
        <v/>
      </c>
      <c r="BG29" s="25">
        <f>Products!$D$18*SUMIFS($E$25:$BL$25,Timeline!$E$4:$BL$4,"&gt;="&amp;(BG$4-Products!$D$9),Timeline!$E$4:$BL$4,"&lt;="&amp;(BG$4-1))</f>
        <v/>
      </c>
      <c r="BH29" s="25">
        <f>Products!$D$18*SUMIFS($E$25:$BL$25,Timeline!$E$4:$BL$4,"&gt;="&amp;(BH$4-Products!$D$9),Timeline!$E$4:$BL$4,"&lt;="&amp;(BH$4-1))</f>
        <v/>
      </c>
      <c r="BI29" s="25">
        <f>Products!$D$18*SUMIFS($E$25:$BL$25,Timeline!$E$4:$BL$4,"&gt;="&amp;(BI$4-Products!$D$9),Timeline!$E$4:$BL$4,"&lt;="&amp;(BI$4-1))</f>
        <v/>
      </c>
      <c r="BJ29" s="25">
        <f>Products!$D$18*SUMIFS($E$25:$BL$25,Timeline!$E$4:$BL$4,"&gt;="&amp;(BJ$4-Products!$D$9),Timeline!$E$4:$BL$4,"&lt;="&amp;(BJ$4-1))</f>
        <v/>
      </c>
      <c r="BK29" s="25">
        <f>Products!$D$18*SUMIFS($E$25:$BL$25,Timeline!$E$4:$BL$4,"&gt;="&amp;(BK$4-Products!$D$9),Timeline!$E$4:$BL$4,"&lt;="&amp;(BK$4-1))</f>
        <v/>
      </c>
      <c r="BL29" s="25">
        <f>Products!$D$18*SUMIFS($E$25:$BL$25,Timeline!$E$4:$BL$4,"&gt;="&amp;(BL$4-Products!$D$9),Timeline!$E$4:$BL$4,"&lt;="&amp;(BL$4-1))</f>
        <v/>
      </c>
    </row>
    <row r="30">
      <c r="A30" s="44" t="inlineStr">
        <is>
          <t>Instalments collected</t>
        </is>
      </c>
      <c r="B30" s="13" t="inlineStr">
        <is>
          <t>LCY</t>
        </is>
      </c>
      <c r="C30" s="45">
        <f>SUM(E30:BL30)</f>
        <v/>
      </c>
      <c r="E30" s="46">
        <f>Cohort_P2!E$9</f>
        <v/>
      </c>
      <c r="F30" s="46">
        <f>Cohort_P2!F$9</f>
        <v/>
      </c>
      <c r="G30" s="46">
        <f>Cohort_P2!G$9</f>
        <v/>
      </c>
      <c r="H30" s="46">
        <f>Cohort_P2!H$9</f>
        <v/>
      </c>
      <c r="I30" s="46">
        <f>Cohort_P2!I$9</f>
        <v/>
      </c>
      <c r="J30" s="46">
        <f>Cohort_P2!J$9</f>
        <v/>
      </c>
      <c r="K30" s="46">
        <f>Cohort_P2!K$9</f>
        <v/>
      </c>
      <c r="L30" s="46">
        <f>Cohort_P2!L$9</f>
        <v/>
      </c>
      <c r="M30" s="46">
        <f>Cohort_P2!M$9</f>
        <v/>
      </c>
      <c r="N30" s="46">
        <f>Cohort_P2!N$9</f>
        <v/>
      </c>
      <c r="O30" s="46">
        <f>Cohort_P2!O$9</f>
        <v/>
      </c>
      <c r="P30" s="46">
        <f>Cohort_P2!P$9</f>
        <v/>
      </c>
      <c r="Q30" s="46">
        <f>Cohort_P2!Q$9</f>
        <v/>
      </c>
      <c r="R30" s="46">
        <f>Cohort_P2!R$9</f>
        <v/>
      </c>
      <c r="S30" s="46">
        <f>Cohort_P2!S$9</f>
        <v/>
      </c>
      <c r="T30" s="46">
        <f>Cohort_P2!T$9</f>
        <v/>
      </c>
      <c r="U30" s="46">
        <f>Cohort_P2!U$9</f>
        <v/>
      </c>
      <c r="V30" s="46">
        <f>Cohort_P2!V$9</f>
        <v/>
      </c>
      <c r="W30" s="46">
        <f>Cohort_P2!W$9</f>
        <v/>
      </c>
      <c r="X30" s="46">
        <f>Cohort_P2!X$9</f>
        <v/>
      </c>
      <c r="Y30" s="46">
        <f>Cohort_P2!Y$9</f>
        <v/>
      </c>
      <c r="Z30" s="46">
        <f>Cohort_P2!Z$9</f>
        <v/>
      </c>
      <c r="AA30" s="46">
        <f>Cohort_P2!AA$9</f>
        <v/>
      </c>
      <c r="AB30" s="46">
        <f>Cohort_P2!AB$9</f>
        <v/>
      </c>
      <c r="AC30" s="46">
        <f>Cohort_P2!AC$9</f>
        <v/>
      </c>
      <c r="AD30" s="46">
        <f>Cohort_P2!AD$9</f>
        <v/>
      </c>
      <c r="AE30" s="46">
        <f>Cohort_P2!AE$9</f>
        <v/>
      </c>
      <c r="AF30" s="46">
        <f>Cohort_P2!AF$9</f>
        <v/>
      </c>
      <c r="AG30" s="46">
        <f>Cohort_P2!AG$9</f>
        <v/>
      </c>
      <c r="AH30" s="46">
        <f>Cohort_P2!AH$9</f>
        <v/>
      </c>
      <c r="AI30" s="46">
        <f>Cohort_P2!AI$9</f>
        <v/>
      </c>
      <c r="AJ30" s="46">
        <f>Cohort_P2!AJ$9</f>
        <v/>
      </c>
      <c r="AK30" s="46">
        <f>Cohort_P2!AK$9</f>
        <v/>
      </c>
      <c r="AL30" s="46">
        <f>Cohort_P2!AL$9</f>
        <v/>
      </c>
      <c r="AM30" s="46">
        <f>Cohort_P2!AM$9</f>
        <v/>
      </c>
      <c r="AN30" s="46">
        <f>Cohort_P2!AN$9</f>
        <v/>
      </c>
      <c r="AO30" s="46">
        <f>Cohort_P2!AO$9</f>
        <v/>
      </c>
      <c r="AP30" s="46">
        <f>Cohort_P2!AP$9</f>
        <v/>
      </c>
      <c r="AQ30" s="46">
        <f>Cohort_P2!AQ$9</f>
        <v/>
      </c>
      <c r="AR30" s="46">
        <f>Cohort_P2!AR$9</f>
        <v/>
      </c>
      <c r="AS30" s="46">
        <f>Cohort_P2!AS$9</f>
        <v/>
      </c>
      <c r="AT30" s="46">
        <f>Cohort_P2!AT$9</f>
        <v/>
      </c>
      <c r="AU30" s="46">
        <f>Cohort_P2!AU$9</f>
        <v/>
      </c>
      <c r="AV30" s="46">
        <f>Cohort_P2!AV$9</f>
        <v/>
      </c>
      <c r="AW30" s="46">
        <f>Cohort_P2!AW$9</f>
        <v/>
      </c>
      <c r="AX30" s="46">
        <f>Cohort_P2!AX$9</f>
        <v/>
      </c>
      <c r="AY30" s="46">
        <f>Cohort_P2!AY$9</f>
        <v/>
      </c>
      <c r="AZ30" s="46">
        <f>Cohort_P2!AZ$9</f>
        <v/>
      </c>
      <c r="BA30" s="46">
        <f>Cohort_P2!BA$9</f>
        <v/>
      </c>
      <c r="BB30" s="46">
        <f>Cohort_P2!BB$9</f>
        <v/>
      </c>
      <c r="BC30" s="46">
        <f>Cohort_P2!BC$9</f>
        <v/>
      </c>
      <c r="BD30" s="46">
        <f>Cohort_P2!BD$9</f>
        <v/>
      </c>
      <c r="BE30" s="46">
        <f>Cohort_P2!BE$9</f>
        <v/>
      </c>
      <c r="BF30" s="46">
        <f>Cohort_P2!BF$9</f>
        <v/>
      </c>
      <c r="BG30" s="46">
        <f>Cohort_P2!BG$9</f>
        <v/>
      </c>
      <c r="BH30" s="46">
        <f>Cohort_P2!BH$9</f>
        <v/>
      </c>
      <c r="BI30" s="46">
        <f>Cohort_P2!BI$9</f>
        <v/>
      </c>
      <c r="BJ30" s="46">
        <f>Cohort_P2!BJ$9</f>
        <v/>
      </c>
      <c r="BK30" s="46">
        <f>Cohort_P2!BK$9</f>
        <v/>
      </c>
      <c r="BL30" s="46">
        <f>Cohort_P2!BL$9</f>
        <v/>
      </c>
    </row>
    <row r="31">
      <c r="A31" s="44" t="inlineStr">
        <is>
          <t>Missed instalments written off</t>
        </is>
      </c>
      <c r="B31" s="13" t="inlineStr">
        <is>
          <t>LCY</t>
        </is>
      </c>
      <c r="C31" s="45">
        <f>SUM(E31:BL31)</f>
        <v/>
      </c>
      <c r="E31" s="25">
        <f>E$29-E$30</f>
        <v/>
      </c>
      <c r="F31" s="25">
        <f>F$29-F$30</f>
        <v/>
      </c>
      <c r="G31" s="25">
        <f>G$29-G$30</f>
        <v/>
      </c>
      <c r="H31" s="25">
        <f>H$29-H$30</f>
        <v/>
      </c>
      <c r="I31" s="25">
        <f>I$29-I$30</f>
        <v/>
      </c>
      <c r="J31" s="25">
        <f>J$29-J$30</f>
        <v/>
      </c>
      <c r="K31" s="25">
        <f>K$29-K$30</f>
        <v/>
      </c>
      <c r="L31" s="25">
        <f>L$29-L$30</f>
        <v/>
      </c>
      <c r="M31" s="25">
        <f>M$29-M$30</f>
        <v/>
      </c>
      <c r="N31" s="25">
        <f>N$29-N$30</f>
        <v/>
      </c>
      <c r="O31" s="25">
        <f>O$29-O$30</f>
        <v/>
      </c>
      <c r="P31" s="25">
        <f>P$29-P$30</f>
        <v/>
      </c>
      <c r="Q31" s="25">
        <f>Q$29-Q$30</f>
        <v/>
      </c>
      <c r="R31" s="25">
        <f>R$29-R$30</f>
        <v/>
      </c>
      <c r="S31" s="25">
        <f>S$29-S$30</f>
        <v/>
      </c>
      <c r="T31" s="25">
        <f>T$29-T$30</f>
        <v/>
      </c>
      <c r="U31" s="25">
        <f>U$29-U$30</f>
        <v/>
      </c>
      <c r="V31" s="25">
        <f>V$29-V$30</f>
        <v/>
      </c>
      <c r="W31" s="25">
        <f>W$29-W$30</f>
        <v/>
      </c>
      <c r="X31" s="25">
        <f>X$29-X$30</f>
        <v/>
      </c>
      <c r="Y31" s="25">
        <f>Y$29-Y$30</f>
        <v/>
      </c>
      <c r="Z31" s="25">
        <f>Z$29-Z$30</f>
        <v/>
      </c>
      <c r="AA31" s="25">
        <f>AA$29-AA$30</f>
        <v/>
      </c>
      <c r="AB31" s="25">
        <f>AB$29-AB$30</f>
        <v/>
      </c>
      <c r="AC31" s="25">
        <f>AC$29-AC$30</f>
        <v/>
      </c>
      <c r="AD31" s="25">
        <f>AD$29-AD$30</f>
        <v/>
      </c>
      <c r="AE31" s="25">
        <f>AE$29-AE$30</f>
        <v/>
      </c>
      <c r="AF31" s="25">
        <f>AF$29-AF$30</f>
        <v/>
      </c>
      <c r="AG31" s="25">
        <f>AG$29-AG$30</f>
        <v/>
      </c>
      <c r="AH31" s="25">
        <f>AH$29-AH$30</f>
        <v/>
      </c>
      <c r="AI31" s="25">
        <f>AI$29-AI$30</f>
        <v/>
      </c>
      <c r="AJ31" s="25">
        <f>AJ$29-AJ$30</f>
        <v/>
      </c>
      <c r="AK31" s="25">
        <f>AK$29-AK$30</f>
        <v/>
      </c>
      <c r="AL31" s="25">
        <f>AL$29-AL$30</f>
        <v/>
      </c>
      <c r="AM31" s="25">
        <f>AM$29-AM$30</f>
        <v/>
      </c>
      <c r="AN31" s="25">
        <f>AN$29-AN$30</f>
        <v/>
      </c>
      <c r="AO31" s="25">
        <f>AO$29-AO$30</f>
        <v/>
      </c>
      <c r="AP31" s="25">
        <f>AP$29-AP$30</f>
        <v/>
      </c>
      <c r="AQ31" s="25">
        <f>AQ$29-AQ$30</f>
        <v/>
      </c>
      <c r="AR31" s="25">
        <f>AR$29-AR$30</f>
        <v/>
      </c>
      <c r="AS31" s="25">
        <f>AS$29-AS$30</f>
        <v/>
      </c>
      <c r="AT31" s="25">
        <f>AT$29-AT$30</f>
        <v/>
      </c>
      <c r="AU31" s="25">
        <f>AU$29-AU$30</f>
        <v/>
      </c>
      <c r="AV31" s="25">
        <f>AV$29-AV$30</f>
        <v/>
      </c>
      <c r="AW31" s="25">
        <f>AW$29-AW$30</f>
        <v/>
      </c>
      <c r="AX31" s="25">
        <f>AX$29-AX$30</f>
        <v/>
      </c>
      <c r="AY31" s="25">
        <f>AY$29-AY$30</f>
        <v/>
      </c>
      <c r="AZ31" s="25">
        <f>AZ$29-AZ$30</f>
        <v/>
      </c>
      <c r="BA31" s="25">
        <f>BA$29-BA$30</f>
        <v/>
      </c>
      <c r="BB31" s="25">
        <f>BB$29-BB$30</f>
        <v/>
      </c>
      <c r="BC31" s="25">
        <f>BC$29-BC$30</f>
        <v/>
      </c>
      <c r="BD31" s="25">
        <f>BD$29-BD$30</f>
        <v/>
      </c>
      <c r="BE31" s="25">
        <f>BE$29-BE$30</f>
        <v/>
      </c>
      <c r="BF31" s="25">
        <f>BF$29-BF$30</f>
        <v/>
      </c>
      <c r="BG31" s="25">
        <f>BG$29-BG$30</f>
        <v/>
      </c>
      <c r="BH31" s="25">
        <f>BH$29-BH$30</f>
        <v/>
      </c>
      <c r="BI31" s="25">
        <f>BI$29-BI$30</f>
        <v/>
      </c>
      <c r="BJ31" s="25">
        <f>BJ$29-BJ$30</f>
        <v/>
      </c>
      <c r="BK31" s="25">
        <f>BK$29-BK$30</f>
        <v/>
      </c>
      <c r="BL31" s="25">
        <f>BL$29-BL$30</f>
        <v/>
      </c>
    </row>
    <row r="32">
      <c r="A32" s="44" t="inlineStr">
        <is>
          <t>PAYGo financing income (straight-line over tenor)</t>
        </is>
      </c>
      <c r="B32" s="13" t="inlineStr">
        <is>
          <t>LCY</t>
        </is>
      </c>
      <c r="C32" s="45">
        <f>SUM(E32:BL32)</f>
        <v/>
      </c>
      <c r="E32" s="25">
        <f>IF(Products!$D$9=0,0,Products!$D$20/Products!$D$9*SUMIFS($E$25:$BL$25,Timeline!$E$4:$BL$4,"&gt;="&amp;(E$4-Products!$D$9),Timeline!$E$4:$BL$4,"&lt;="&amp;(E$4-1)))</f>
        <v/>
      </c>
      <c r="F32" s="25">
        <f>IF(Products!$D$9=0,0,Products!$D$20/Products!$D$9*SUMIFS($E$25:$BL$25,Timeline!$E$4:$BL$4,"&gt;="&amp;(F$4-Products!$D$9),Timeline!$E$4:$BL$4,"&lt;="&amp;(F$4-1)))</f>
        <v/>
      </c>
      <c r="G32" s="25">
        <f>IF(Products!$D$9=0,0,Products!$D$20/Products!$D$9*SUMIFS($E$25:$BL$25,Timeline!$E$4:$BL$4,"&gt;="&amp;(G$4-Products!$D$9),Timeline!$E$4:$BL$4,"&lt;="&amp;(G$4-1)))</f>
        <v/>
      </c>
      <c r="H32" s="25">
        <f>IF(Products!$D$9=0,0,Products!$D$20/Products!$D$9*SUMIFS($E$25:$BL$25,Timeline!$E$4:$BL$4,"&gt;="&amp;(H$4-Products!$D$9),Timeline!$E$4:$BL$4,"&lt;="&amp;(H$4-1)))</f>
        <v/>
      </c>
      <c r="I32" s="25">
        <f>IF(Products!$D$9=0,0,Products!$D$20/Products!$D$9*SUMIFS($E$25:$BL$25,Timeline!$E$4:$BL$4,"&gt;="&amp;(I$4-Products!$D$9),Timeline!$E$4:$BL$4,"&lt;="&amp;(I$4-1)))</f>
        <v/>
      </c>
      <c r="J32" s="25">
        <f>IF(Products!$D$9=0,0,Products!$D$20/Products!$D$9*SUMIFS($E$25:$BL$25,Timeline!$E$4:$BL$4,"&gt;="&amp;(J$4-Products!$D$9),Timeline!$E$4:$BL$4,"&lt;="&amp;(J$4-1)))</f>
        <v/>
      </c>
      <c r="K32" s="25">
        <f>IF(Products!$D$9=0,0,Products!$D$20/Products!$D$9*SUMIFS($E$25:$BL$25,Timeline!$E$4:$BL$4,"&gt;="&amp;(K$4-Products!$D$9),Timeline!$E$4:$BL$4,"&lt;="&amp;(K$4-1)))</f>
        <v/>
      </c>
      <c r="L32" s="25">
        <f>IF(Products!$D$9=0,0,Products!$D$20/Products!$D$9*SUMIFS($E$25:$BL$25,Timeline!$E$4:$BL$4,"&gt;="&amp;(L$4-Products!$D$9),Timeline!$E$4:$BL$4,"&lt;="&amp;(L$4-1)))</f>
        <v/>
      </c>
      <c r="M32" s="25">
        <f>IF(Products!$D$9=0,0,Products!$D$20/Products!$D$9*SUMIFS($E$25:$BL$25,Timeline!$E$4:$BL$4,"&gt;="&amp;(M$4-Products!$D$9),Timeline!$E$4:$BL$4,"&lt;="&amp;(M$4-1)))</f>
        <v/>
      </c>
      <c r="N32" s="25">
        <f>IF(Products!$D$9=0,0,Products!$D$20/Products!$D$9*SUMIFS($E$25:$BL$25,Timeline!$E$4:$BL$4,"&gt;="&amp;(N$4-Products!$D$9),Timeline!$E$4:$BL$4,"&lt;="&amp;(N$4-1)))</f>
        <v/>
      </c>
      <c r="O32" s="25">
        <f>IF(Products!$D$9=0,0,Products!$D$20/Products!$D$9*SUMIFS($E$25:$BL$25,Timeline!$E$4:$BL$4,"&gt;="&amp;(O$4-Products!$D$9),Timeline!$E$4:$BL$4,"&lt;="&amp;(O$4-1)))</f>
        <v/>
      </c>
      <c r="P32" s="25">
        <f>IF(Products!$D$9=0,0,Products!$D$20/Products!$D$9*SUMIFS($E$25:$BL$25,Timeline!$E$4:$BL$4,"&gt;="&amp;(P$4-Products!$D$9),Timeline!$E$4:$BL$4,"&lt;="&amp;(P$4-1)))</f>
        <v/>
      </c>
      <c r="Q32" s="25">
        <f>IF(Products!$D$9=0,0,Products!$D$20/Products!$D$9*SUMIFS($E$25:$BL$25,Timeline!$E$4:$BL$4,"&gt;="&amp;(Q$4-Products!$D$9),Timeline!$E$4:$BL$4,"&lt;="&amp;(Q$4-1)))</f>
        <v/>
      </c>
      <c r="R32" s="25">
        <f>IF(Products!$D$9=0,0,Products!$D$20/Products!$D$9*SUMIFS($E$25:$BL$25,Timeline!$E$4:$BL$4,"&gt;="&amp;(R$4-Products!$D$9),Timeline!$E$4:$BL$4,"&lt;="&amp;(R$4-1)))</f>
        <v/>
      </c>
      <c r="S32" s="25">
        <f>IF(Products!$D$9=0,0,Products!$D$20/Products!$D$9*SUMIFS($E$25:$BL$25,Timeline!$E$4:$BL$4,"&gt;="&amp;(S$4-Products!$D$9),Timeline!$E$4:$BL$4,"&lt;="&amp;(S$4-1)))</f>
        <v/>
      </c>
      <c r="T32" s="25">
        <f>IF(Products!$D$9=0,0,Products!$D$20/Products!$D$9*SUMIFS($E$25:$BL$25,Timeline!$E$4:$BL$4,"&gt;="&amp;(T$4-Products!$D$9),Timeline!$E$4:$BL$4,"&lt;="&amp;(T$4-1)))</f>
        <v/>
      </c>
      <c r="U32" s="25">
        <f>IF(Products!$D$9=0,0,Products!$D$20/Products!$D$9*SUMIFS($E$25:$BL$25,Timeline!$E$4:$BL$4,"&gt;="&amp;(U$4-Products!$D$9),Timeline!$E$4:$BL$4,"&lt;="&amp;(U$4-1)))</f>
        <v/>
      </c>
      <c r="V32" s="25">
        <f>IF(Products!$D$9=0,0,Products!$D$20/Products!$D$9*SUMIFS($E$25:$BL$25,Timeline!$E$4:$BL$4,"&gt;="&amp;(V$4-Products!$D$9),Timeline!$E$4:$BL$4,"&lt;="&amp;(V$4-1)))</f>
        <v/>
      </c>
      <c r="W32" s="25">
        <f>IF(Products!$D$9=0,0,Products!$D$20/Products!$D$9*SUMIFS($E$25:$BL$25,Timeline!$E$4:$BL$4,"&gt;="&amp;(W$4-Products!$D$9),Timeline!$E$4:$BL$4,"&lt;="&amp;(W$4-1)))</f>
        <v/>
      </c>
      <c r="X32" s="25">
        <f>IF(Products!$D$9=0,0,Products!$D$20/Products!$D$9*SUMIFS($E$25:$BL$25,Timeline!$E$4:$BL$4,"&gt;="&amp;(X$4-Products!$D$9),Timeline!$E$4:$BL$4,"&lt;="&amp;(X$4-1)))</f>
        <v/>
      </c>
      <c r="Y32" s="25">
        <f>IF(Products!$D$9=0,0,Products!$D$20/Products!$D$9*SUMIFS($E$25:$BL$25,Timeline!$E$4:$BL$4,"&gt;="&amp;(Y$4-Products!$D$9),Timeline!$E$4:$BL$4,"&lt;="&amp;(Y$4-1)))</f>
        <v/>
      </c>
      <c r="Z32" s="25">
        <f>IF(Products!$D$9=0,0,Products!$D$20/Products!$D$9*SUMIFS($E$25:$BL$25,Timeline!$E$4:$BL$4,"&gt;="&amp;(Z$4-Products!$D$9),Timeline!$E$4:$BL$4,"&lt;="&amp;(Z$4-1)))</f>
        <v/>
      </c>
      <c r="AA32" s="25">
        <f>IF(Products!$D$9=0,0,Products!$D$20/Products!$D$9*SUMIFS($E$25:$BL$25,Timeline!$E$4:$BL$4,"&gt;="&amp;(AA$4-Products!$D$9),Timeline!$E$4:$BL$4,"&lt;="&amp;(AA$4-1)))</f>
        <v/>
      </c>
      <c r="AB32" s="25">
        <f>IF(Products!$D$9=0,0,Products!$D$20/Products!$D$9*SUMIFS($E$25:$BL$25,Timeline!$E$4:$BL$4,"&gt;="&amp;(AB$4-Products!$D$9),Timeline!$E$4:$BL$4,"&lt;="&amp;(AB$4-1)))</f>
        <v/>
      </c>
      <c r="AC32" s="25">
        <f>IF(Products!$D$9=0,0,Products!$D$20/Products!$D$9*SUMIFS($E$25:$BL$25,Timeline!$E$4:$BL$4,"&gt;="&amp;(AC$4-Products!$D$9),Timeline!$E$4:$BL$4,"&lt;="&amp;(AC$4-1)))</f>
        <v/>
      </c>
      <c r="AD32" s="25">
        <f>IF(Products!$D$9=0,0,Products!$D$20/Products!$D$9*SUMIFS($E$25:$BL$25,Timeline!$E$4:$BL$4,"&gt;="&amp;(AD$4-Products!$D$9),Timeline!$E$4:$BL$4,"&lt;="&amp;(AD$4-1)))</f>
        <v/>
      </c>
      <c r="AE32" s="25">
        <f>IF(Products!$D$9=0,0,Products!$D$20/Products!$D$9*SUMIFS($E$25:$BL$25,Timeline!$E$4:$BL$4,"&gt;="&amp;(AE$4-Products!$D$9),Timeline!$E$4:$BL$4,"&lt;="&amp;(AE$4-1)))</f>
        <v/>
      </c>
      <c r="AF32" s="25">
        <f>IF(Products!$D$9=0,0,Products!$D$20/Products!$D$9*SUMIFS($E$25:$BL$25,Timeline!$E$4:$BL$4,"&gt;="&amp;(AF$4-Products!$D$9),Timeline!$E$4:$BL$4,"&lt;="&amp;(AF$4-1)))</f>
        <v/>
      </c>
      <c r="AG32" s="25">
        <f>IF(Products!$D$9=0,0,Products!$D$20/Products!$D$9*SUMIFS($E$25:$BL$25,Timeline!$E$4:$BL$4,"&gt;="&amp;(AG$4-Products!$D$9),Timeline!$E$4:$BL$4,"&lt;="&amp;(AG$4-1)))</f>
        <v/>
      </c>
      <c r="AH32" s="25">
        <f>IF(Products!$D$9=0,0,Products!$D$20/Products!$D$9*SUMIFS($E$25:$BL$25,Timeline!$E$4:$BL$4,"&gt;="&amp;(AH$4-Products!$D$9),Timeline!$E$4:$BL$4,"&lt;="&amp;(AH$4-1)))</f>
        <v/>
      </c>
      <c r="AI32" s="25">
        <f>IF(Products!$D$9=0,0,Products!$D$20/Products!$D$9*SUMIFS($E$25:$BL$25,Timeline!$E$4:$BL$4,"&gt;="&amp;(AI$4-Products!$D$9),Timeline!$E$4:$BL$4,"&lt;="&amp;(AI$4-1)))</f>
        <v/>
      </c>
      <c r="AJ32" s="25">
        <f>IF(Products!$D$9=0,0,Products!$D$20/Products!$D$9*SUMIFS($E$25:$BL$25,Timeline!$E$4:$BL$4,"&gt;="&amp;(AJ$4-Products!$D$9),Timeline!$E$4:$BL$4,"&lt;="&amp;(AJ$4-1)))</f>
        <v/>
      </c>
      <c r="AK32" s="25">
        <f>IF(Products!$D$9=0,0,Products!$D$20/Products!$D$9*SUMIFS($E$25:$BL$25,Timeline!$E$4:$BL$4,"&gt;="&amp;(AK$4-Products!$D$9),Timeline!$E$4:$BL$4,"&lt;="&amp;(AK$4-1)))</f>
        <v/>
      </c>
      <c r="AL32" s="25">
        <f>IF(Products!$D$9=0,0,Products!$D$20/Products!$D$9*SUMIFS($E$25:$BL$25,Timeline!$E$4:$BL$4,"&gt;="&amp;(AL$4-Products!$D$9),Timeline!$E$4:$BL$4,"&lt;="&amp;(AL$4-1)))</f>
        <v/>
      </c>
      <c r="AM32" s="25">
        <f>IF(Products!$D$9=0,0,Products!$D$20/Products!$D$9*SUMIFS($E$25:$BL$25,Timeline!$E$4:$BL$4,"&gt;="&amp;(AM$4-Products!$D$9),Timeline!$E$4:$BL$4,"&lt;="&amp;(AM$4-1)))</f>
        <v/>
      </c>
      <c r="AN32" s="25">
        <f>IF(Products!$D$9=0,0,Products!$D$20/Products!$D$9*SUMIFS($E$25:$BL$25,Timeline!$E$4:$BL$4,"&gt;="&amp;(AN$4-Products!$D$9),Timeline!$E$4:$BL$4,"&lt;="&amp;(AN$4-1)))</f>
        <v/>
      </c>
      <c r="AO32" s="25">
        <f>IF(Products!$D$9=0,0,Products!$D$20/Products!$D$9*SUMIFS($E$25:$BL$25,Timeline!$E$4:$BL$4,"&gt;="&amp;(AO$4-Products!$D$9),Timeline!$E$4:$BL$4,"&lt;="&amp;(AO$4-1)))</f>
        <v/>
      </c>
      <c r="AP32" s="25">
        <f>IF(Products!$D$9=0,0,Products!$D$20/Products!$D$9*SUMIFS($E$25:$BL$25,Timeline!$E$4:$BL$4,"&gt;="&amp;(AP$4-Products!$D$9),Timeline!$E$4:$BL$4,"&lt;="&amp;(AP$4-1)))</f>
        <v/>
      </c>
      <c r="AQ32" s="25">
        <f>IF(Products!$D$9=0,0,Products!$D$20/Products!$D$9*SUMIFS($E$25:$BL$25,Timeline!$E$4:$BL$4,"&gt;="&amp;(AQ$4-Products!$D$9),Timeline!$E$4:$BL$4,"&lt;="&amp;(AQ$4-1)))</f>
        <v/>
      </c>
      <c r="AR32" s="25">
        <f>IF(Products!$D$9=0,0,Products!$D$20/Products!$D$9*SUMIFS($E$25:$BL$25,Timeline!$E$4:$BL$4,"&gt;="&amp;(AR$4-Products!$D$9),Timeline!$E$4:$BL$4,"&lt;="&amp;(AR$4-1)))</f>
        <v/>
      </c>
      <c r="AS32" s="25">
        <f>IF(Products!$D$9=0,0,Products!$D$20/Products!$D$9*SUMIFS($E$25:$BL$25,Timeline!$E$4:$BL$4,"&gt;="&amp;(AS$4-Products!$D$9),Timeline!$E$4:$BL$4,"&lt;="&amp;(AS$4-1)))</f>
        <v/>
      </c>
      <c r="AT32" s="25">
        <f>IF(Products!$D$9=0,0,Products!$D$20/Products!$D$9*SUMIFS($E$25:$BL$25,Timeline!$E$4:$BL$4,"&gt;="&amp;(AT$4-Products!$D$9),Timeline!$E$4:$BL$4,"&lt;="&amp;(AT$4-1)))</f>
        <v/>
      </c>
      <c r="AU32" s="25">
        <f>IF(Products!$D$9=0,0,Products!$D$20/Products!$D$9*SUMIFS($E$25:$BL$25,Timeline!$E$4:$BL$4,"&gt;="&amp;(AU$4-Products!$D$9),Timeline!$E$4:$BL$4,"&lt;="&amp;(AU$4-1)))</f>
        <v/>
      </c>
      <c r="AV32" s="25">
        <f>IF(Products!$D$9=0,0,Products!$D$20/Products!$D$9*SUMIFS($E$25:$BL$25,Timeline!$E$4:$BL$4,"&gt;="&amp;(AV$4-Products!$D$9),Timeline!$E$4:$BL$4,"&lt;="&amp;(AV$4-1)))</f>
        <v/>
      </c>
      <c r="AW32" s="25">
        <f>IF(Products!$D$9=0,0,Products!$D$20/Products!$D$9*SUMIFS($E$25:$BL$25,Timeline!$E$4:$BL$4,"&gt;="&amp;(AW$4-Products!$D$9),Timeline!$E$4:$BL$4,"&lt;="&amp;(AW$4-1)))</f>
        <v/>
      </c>
      <c r="AX32" s="25">
        <f>IF(Products!$D$9=0,0,Products!$D$20/Products!$D$9*SUMIFS($E$25:$BL$25,Timeline!$E$4:$BL$4,"&gt;="&amp;(AX$4-Products!$D$9),Timeline!$E$4:$BL$4,"&lt;="&amp;(AX$4-1)))</f>
        <v/>
      </c>
      <c r="AY32" s="25">
        <f>IF(Products!$D$9=0,0,Products!$D$20/Products!$D$9*SUMIFS($E$25:$BL$25,Timeline!$E$4:$BL$4,"&gt;="&amp;(AY$4-Products!$D$9),Timeline!$E$4:$BL$4,"&lt;="&amp;(AY$4-1)))</f>
        <v/>
      </c>
      <c r="AZ32" s="25">
        <f>IF(Products!$D$9=0,0,Products!$D$20/Products!$D$9*SUMIFS($E$25:$BL$25,Timeline!$E$4:$BL$4,"&gt;="&amp;(AZ$4-Products!$D$9),Timeline!$E$4:$BL$4,"&lt;="&amp;(AZ$4-1)))</f>
        <v/>
      </c>
      <c r="BA32" s="25">
        <f>IF(Products!$D$9=0,0,Products!$D$20/Products!$D$9*SUMIFS($E$25:$BL$25,Timeline!$E$4:$BL$4,"&gt;="&amp;(BA$4-Products!$D$9),Timeline!$E$4:$BL$4,"&lt;="&amp;(BA$4-1)))</f>
        <v/>
      </c>
      <c r="BB32" s="25">
        <f>IF(Products!$D$9=0,0,Products!$D$20/Products!$D$9*SUMIFS($E$25:$BL$25,Timeline!$E$4:$BL$4,"&gt;="&amp;(BB$4-Products!$D$9),Timeline!$E$4:$BL$4,"&lt;="&amp;(BB$4-1)))</f>
        <v/>
      </c>
      <c r="BC32" s="25">
        <f>IF(Products!$D$9=0,0,Products!$D$20/Products!$D$9*SUMIFS($E$25:$BL$25,Timeline!$E$4:$BL$4,"&gt;="&amp;(BC$4-Products!$D$9),Timeline!$E$4:$BL$4,"&lt;="&amp;(BC$4-1)))</f>
        <v/>
      </c>
      <c r="BD32" s="25">
        <f>IF(Products!$D$9=0,0,Products!$D$20/Products!$D$9*SUMIFS($E$25:$BL$25,Timeline!$E$4:$BL$4,"&gt;="&amp;(BD$4-Products!$D$9),Timeline!$E$4:$BL$4,"&lt;="&amp;(BD$4-1)))</f>
        <v/>
      </c>
      <c r="BE32" s="25">
        <f>IF(Products!$D$9=0,0,Products!$D$20/Products!$D$9*SUMIFS($E$25:$BL$25,Timeline!$E$4:$BL$4,"&gt;="&amp;(BE$4-Products!$D$9),Timeline!$E$4:$BL$4,"&lt;="&amp;(BE$4-1)))</f>
        <v/>
      </c>
      <c r="BF32" s="25">
        <f>IF(Products!$D$9=0,0,Products!$D$20/Products!$D$9*SUMIFS($E$25:$BL$25,Timeline!$E$4:$BL$4,"&gt;="&amp;(BF$4-Products!$D$9),Timeline!$E$4:$BL$4,"&lt;="&amp;(BF$4-1)))</f>
        <v/>
      </c>
      <c r="BG32" s="25">
        <f>IF(Products!$D$9=0,0,Products!$D$20/Products!$D$9*SUMIFS($E$25:$BL$25,Timeline!$E$4:$BL$4,"&gt;="&amp;(BG$4-Products!$D$9),Timeline!$E$4:$BL$4,"&lt;="&amp;(BG$4-1)))</f>
        <v/>
      </c>
      <c r="BH32" s="25">
        <f>IF(Products!$D$9=0,0,Products!$D$20/Products!$D$9*SUMIFS($E$25:$BL$25,Timeline!$E$4:$BL$4,"&gt;="&amp;(BH$4-Products!$D$9),Timeline!$E$4:$BL$4,"&lt;="&amp;(BH$4-1)))</f>
        <v/>
      </c>
      <c r="BI32" s="25">
        <f>IF(Products!$D$9=0,0,Products!$D$20/Products!$D$9*SUMIFS($E$25:$BL$25,Timeline!$E$4:$BL$4,"&gt;="&amp;(BI$4-Products!$D$9),Timeline!$E$4:$BL$4,"&lt;="&amp;(BI$4-1)))</f>
        <v/>
      </c>
      <c r="BJ32" s="25">
        <f>IF(Products!$D$9=0,0,Products!$D$20/Products!$D$9*SUMIFS($E$25:$BL$25,Timeline!$E$4:$BL$4,"&gt;="&amp;(BJ$4-Products!$D$9),Timeline!$E$4:$BL$4,"&lt;="&amp;(BJ$4-1)))</f>
        <v/>
      </c>
      <c r="BK32" s="25">
        <f>IF(Products!$D$9=0,0,Products!$D$20/Products!$D$9*SUMIFS($E$25:$BL$25,Timeline!$E$4:$BL$4,"&gt;="&amp;(BK$4-Products!$D$9),Timeline!$E$4:$BL$4,"&lt;="&amp;(BK$4-1)))</f>
        <v/>
      </c>
      <c r="BL32" s="25">
        <f>IF(Products!$D$9=0,0,Products!$D$20/Products!$D$9*SUMIFS($E$25:$BL$25,Timeline!$E$4:$BL$4,"&gt;="&amp;(BL$4-Products!$D$9),Timeline!$E$4:$BL$4,"&lt;="&amp;(BL$4-1)))</f>
        <v/>
      </c>
    </row>
    <row r="33">
      <c r="A33" s="44" t="inlineStr">
        <is>
          <t>Expected credit loss charge at origination</t>
        </is>
      </c>
      <c r="B33" s="13" t="inlineStr">
        <is>
          <t>LCY</t>
        </is>
      </c>
      <c r="C33" s="45">
        <f>SUM(E33:BL33)</f>
        <v/>
      </c>
      <c r="E33" s="25">
        <f>E$25*Curves!$N$70</f>
        <v/>
      </c>
      <c r="F33" s="25">
        <f>F$25*Curves!$N$70</f>
        <v/>
      </c>
      <c r="G33" s="25">
        <f>G$25*Curves!$N$70</f>
        <v/>
      </c>
      <c r="H33" s="25">
        <f>H$25*Curves!$N$70</f>
        <v/>
      </c>
      <c r="I33" s="25">
        <f>I$25*Curves!$N$70</f>
        <v/>
      </c>
      <c r="J33" s="25">
        <f>J$25*Curves!$N$70</f>
        <v/>
      </c>
      <c r="K33" s="25">
        <f>K$25*Curves!$N$70</f>
        <v/>
      </c>
      <c r="L33" s="25">
        <f>L$25*Curves!$N$70</f>
        <v/>
      </c>
      <c r="M33" s="25">
        <f>M$25*Curves!$N$70</f>
        <v/>
      </c>
      <c r="N33" s="25">
        <f>N$25*Curves!$N$70</f>
        <v/>
      </c>
      <c r="O33" s="25">
        <f>O$25*Curves!$N$70</f>
        <v/>
      </c>
      <c r="P33" s="25">
        <f>P$25*Curves!$N$70</f>
        <v/>
      </c>
      <c r="Q33" s="25">
        <f>Q$25*Curves!$N$70</f>
        <v/>
      </c>
      <c r="R33" s="25">
        <f>R$25*Curves!$N$70</f>
        <v/>
      </c>
      <c r="S33" s="25">
        <f>S$25*Curves!$N$70</f>
        <v/>
      </c>
      <c r="T33" s="25">
        <f>T$25*Curves!$N$70</f>
        <v/>
      </c>
      <c r="U33" s="25">
        <f>U$25*Curves!$N$70</f>
        <v/>
      </c>
      <c r="V33" s="25">
        <f>V$25*Curves!$N$70</f>
        <v/>
      </c>
      <c r="W33" s="25">
        <f>W$25*Curves!$N$70</f>
        <v/>
      </c>
      <c r="X33" s="25">
        <f>X$25*Curves!$N$70</f>
        <v/>
      </c>
      <c r="Y33" s="25">
        <f>Y$25*Curves!$N$70</f>
        <v/>
      </c>
      <c r="Z33" s="25">
        <f>Z$25*Curves!$N$70</f>
        <v/>
      </c>
      <c r="AA33" s="25">
        <f>AA$25*Curves!$N$70</f>
        <v/>
      </c>
      <c r="AB33" s="25">
        <f>AB$25*Curves!$N$70</f>
        <v/>
      </c>
      <c r="AC33" s="25">
        <f>AC$25*Curves!$N$70</f>
        <v/>
      </c>
      <c r="AD33" s="25">
        <f>AD$25*Curves!$N$70</f>
        <v/>
      </c>
      <c r="AE33" s="25">
        <f>AE$25*Curves!$N$70</f>
        <v/>
      </c>
      <c r="AF33" s="25">
        <f>AF$25*Curves!$N$70</f>
        <v/>
      </c>
      <c r="AG33" s="25">
        <f>AG$25*Curves!$N$70</f>
        <v/>
      </c>
      <c r="AH33" s="25">
        <f>AH$25*Curves!$N$70</f>
        <v/>
      </c>
      <c r="AI33" s="25">
        <f>AI$25*Curves!$N$70</f>
        <v/>
      </c>
      <c r="AJ33" s="25">
        <f>AJ$25*Curves!$N$70</f>
        <v/>
      </c>
      <c r="AK33" s="25">
        <f>AK$25*Curves!$N$70</f>
        <v/>
      </c>
      <c r="AL33" s="25">
        <f>AL$25*Curves!$N$70</f>
        <v/>
      </c>
      <c r="AM33" s="25">
        <f>AM$25*Curves!$N$70</f>
        <v/>
      </c>
      <c r="AN33" s="25">
        <f>AN$25*Curves!$N$70</f>
        <v/>
      </c>
      <c r="AO33" s="25">
        <f>AO$25*Curves!$N$70</f>
        <v/>
      </c>
      <c r="AP33" s="25">
        <f>AP$25*Curves!$N$70</f>
        <v/>
      </c>
      <c r="AQ33" s="25">
        <f>AQ$25*Curves!$N$70</f>
        <v/>
      </c>
      <c r="AR33" s="25">
        <f>AR$25*Curves!$N$70</f>
        <v/>
      </c>
      <c r="AS33" s="25">
        <f>AS$25*Curves!$N$70</f>
        <v/>
      </c>
      <c r="AT33" s="25">
        <f>AT$25*Curves!$N$70</f>
        <v/>
      </c>
      <c r="AU33" s="25">
        <f>AU$25*Curves!$N$70</f>
        <v/>
      </c>
      <c r="AV33" s="25">
        <f>AV$25*Curves!$N$70</f>
        <v/>
      </c>
      <c r="AW33" s="25">
        <f>AW$25*Curves!$N$70</f>
        <v/>
      </c>
      <c r="AX33" s="25">
        <f>AX$25*Curves!$N$70</f>
        <v/>
      </c>
      <c r="AY33" s="25">
        <f>AY$25*Curves!$N$70</f>
        <v/>
      </c>
      <c r="AZ33" s="25">
        <f>AZ$25*Curves!$N$70</f>
        <v/>
      </c>
      <c r="BA33" s="25">
        <f>BA$25*Curves!$N$70</f>
        <v/>
      </c>
      <c r="BB33" s="25">
        <f>BB$25*Curves!$N$70</f>
        <v/>
      </c>
      <c r="BC33" s="25">
        <f>BC$25*Curves!$N$70</f>
        <v/>
      </c>
      <c r="BD33" s="25">
        <f>BD$25*Curves!$N$70</f>
        <v/>
      </c>
      <c r="BE33" s="25">
        <f>BE$25*Curves!$N$70</f>
        <v/>
      </c>
      <c r="BF33" s="25">
        <f>BF$25*Curves!$N$70</f>
        <v/>
      </c>
      <c r="BG33" s="25">
        <f>BG$25*Curves!$N$70</f>
        <v/>
      </c>
      <c r="BH33" s="25">
        <f>BH$25*Curves!$N$70</f>
        <v/>
      </c>
      <c r="BI33" s="25">
        <f>BI$25*Curves!$N$70</f>
        <v/>
      </c>
      <c r="BJ33" s="25">
        <f>BJ$25*Curves!$N$70</f>
        <v/>
      </c>
      <c r="BK33" s="25">
        <f>BK$25*Curves!$N$70</f>
        <v/>
      </c>
      <c r="BL33" s="25">
        <f>BL$25*Curves!$N$70</f>
        <v/>
      </c>
    </row>
    <row r="34">
      <c r="A34" s="44" t="inlineStr">
        <is>
          <t>Active (paying, in-tenor) accounts</t>
        </is>
      </c>
      <c r="B34" s="13" t="inlineStr">
        <is>
          <t>accounts</t>
        </is>
      </c>
      <c r="C34" s="45">
        <f>BL34</f>
        <v/>
      </c>
      <c r="E34" s="46">
        <f>Cohort_P2!E$72</f>
        <v/>
      </c>
      <c r="F34" s="46">
        <f>Cohort_P2!F$72</f>
        <v/>
      </c>
      <c r="G34" s="46">
        <f>Cohort_P2!G$72</f>
        <v/>
      </c>
      <c r="H34" s="46">
        <f>Cohort_P2!H$72</f>
        <v/>
      </c>
      <c r="I34" s="46">
        <f>Cohort_P2!I$72</f>
        <v/>
      </c>
      <c r="J34" s="46">
        <f>Cohort_P2!J$72</f>
        <v/>
      </c>
      <c r="K34" s="46">
        <f>Cohort_P2!K$72</f>
        <v/>
      </c>
      <c r="L34" s="46">
        <f>Cohort_P2!L$72</f>
        <v/>
      </c>
      <c r="M34" s="46">
        <f>Cohort_P2!M$72</f>
        <v/>
      </c>
      <c r="N34" s="46">
        <f>Cohort_P2!N$72</f>
        <v/>
      </c>
      <c r="O34" s="46">
        <f>Cohort_P2!O$72</f>
        <v/>
      </c>
      <c r="P34" s="46">
        <f>Cohort_P2!P$72</f>
        <v/>
      </c>
      <c r="Q34" s="46">
        <f>Cohort_P2!Q$72</f>
        <v/>
      </c>
      <c r="R34" s="46">
        <f>Cohort_P2!R$72</f>
        <v/>
      </c>
      <c r="S34" s="46">
        <f>Cohort_P2!S$72</f>
        <v/>
      </c>
      <c r="T34" s="46">
        <f>Cohort_P2!T$72</f>
        <v/>
      </c>
      <c r="U34" s="46">
        <f>Cohort_P2!U$72</f>
        <v/>
      </c>
      <c r="V34" s="46">
        <f>Cohort_P2!V$72</f>
        <v/>
      </c>
      <c r="W34" s="46">
        <f>Cohort_P2!W$72</f>
        <v/>
      </c>
      <c r="X34" s="46">
        <f>Cohort_P2!X$72</f>
        <v/>
      </c>
      <c r="Y34" s="46">
        <f>Cohort_P2!Y$72</f>
        <v/>
      </c>
      <c r="Z34" s="46">
        <f>Cohort_P2!Z$72</f>
        <v/>
      </c>
      <c r="AA34" s="46">
        <f>Cohort_P2!AA$72</f>
        <v/>
      </c>
      <c r="AB34" s="46">
        <f>Cohort_P2!AB$72</f>
        <v/>
      </c>
      <c r="AC34" s="46">
        <f>Cohort_P2!AC$72</f>
        <v/>
      </c>
      <c r="AD34" s="46">
        <f>Cohort_P2!AD$72</f>
        <v/>
      </c>
      <c r="AE34" s="46">
        <f>Cohort_P2!AE$72</f>
        <v/>
      </c>
      <c r="AF34" s="46">
        <f>Cohort_P2!AF$72</f>
        <v/>
      </c>
      <c r="AG34" s="46">
        <f>Cohort_P2!AG$72</f>
        <v/>
      </c>
      <c r="AH34" s="46">
        <f>Cohort_P2!AH$72</f>
        <v/>
      </c>
      <c r="AI34" s="46">
        <f>Cohort_P2!AI$72</f>
        <v/>
      </c>
      <c r="AJ34" s="46">
        <f>Cohort_P2!AJ$72</f>
        <v/>
      </c>
      <c r="AK34" s="46">
        <f>Cohort_P2!AK$72</f>
        <v/>
      </c>
      <c r="AL34" s="46">
        <f>Cohort_P2!AL$72</f>
        <v/>
      </c>
      <c r="AM34" s="46">
        <f>Cohort_P2!AM$72</f>
        <v/>
      </c>
      <c r="AN34" s="46">
        <f>Cohort_P2!AN$72</f>
        <v/>
      </c>
      <c r="AO34" s="46">
        <f>Cohort_P2!AO$72</f>
        <v/>
      </c>
      <c r="AP34" s="46">
        <f>Cohort_P2!AP$72</f>
        <v/>
      </c>
      <c r="AQ34" s="46">
        <f>Cohort_P2!AQ$72</f>
        <v/>
      </c>
      <c r="AR34" s="46">
        <f>Cohort_P2!AR$72</f>
        <v/>
      </c>
      <c r="AS34" s="46">
        <f>Cohort_P2!AS$72</f>
        <v/>
      </c>
      <c r="AT34" s="46">
        <f>Cohort_P2!AT$72</f>
        <v/>
      </c>
      <c r="AU34" s="46">
        <f>Cohort_P2!AU$72</f>
        <v/>
      </c>
      <c r="AV34" s="46">
        <f>Cohort_P2!AV$72</f>
        <v/>
      </c>
      <c r="AW34" s="46">
        <f>Cohort_P2!AW$72</f>
        <v/>
      </c>
      <c r="AX34" s="46">
        <f>Cohort_P2!AX$72</f>
        <v/>
      </c>
      <c r="AY34" s="46">
        <f>Cohort_P2!AY$72</f>
        <v/>
      </c>
      <c r="AZ34" s="46">
        <f>Cohort_P2!AZ$72</f>
        <v/>
      </c>
      <c r="BA34" s="46">
        <f>Cohort_P2!BA$72</f>
        <v/>
      </c>
      <c r="BB34" s="46">
        <f>Cohort_P2!BB$72</f>
        <v/>
      </c>
      <c r="BC34" s="46">
        <f>Cohort_P2!BC$72</f>
        <v/>
      </c>
      <c r="BD34" s="46">
        <f>Cohort_P2!BD$72</f>
        <v/>
      </c>
      <c r="BE34" s="46">
        <f>Cohort_P2!BE$72</f>
        <v/>
      </c>
      <c r="BF34" s="46">
        <f>Cohort_P2!BF$72</f>
        <v/>
      </c>
      <c r="BG34" s="46">
        <f>Cohort_P2!BG$72</f>
        <v/>
      </c>
      <c r="BH34" s="46">
        <f>Cohort_P2!BH$72</f>
        <v/>
      </c>
      <c r="BI34" s="46">
        <f>Cohort_P2!BI$72</f>
        <v/>
      </c>
      <c r="BJ34" s="46">
        <f>Cohort_P2!BJ$72</f>
        <v/>
      </c>
      <c r="BK34" s="46">
        <f>Cohort_P2!BK$72</f>
        <v/>
      </c>
      <c r="BL34" s="46">
        <f>Cohort_P2!BL$72</f>
        <v/>
      </c>
    </row>
    <row r="35">
      <c r="A35" s="44" t="inlineStr">
        <is>
          <t>Receivables at risk (carrying amount of accounts that stopped paying)</t>
        </is>
      </c>
      <c r="B35" s="13" t="inlineStr">
        <is>
          <t>LCY</t>
        </is>
      </c>
      <c r="C35" s="45">
        <f>BL35</f>
        <v/>
      </c>
      <c r="E35" s="46">
        <f>Cohort_P2!E$135</f>
        <v/>
      </c>
      <c r="F35" s="46">
        <f>Cohort_P2!F$135</f>
        <v/>
      </c>
      <c r="G35" s="46">
        <f>Cohort_P2!G$135</f>
        <v/>
      </c>
      <c r="H35" s="46">
        <f>Cohort_P2!H$135</f>
        <v/>
      </c>
      <c r="I35" s="46">
        <f>Cohort_P2!I$135</f>
        <v/>
      </c>
      <c r="J35" s="46">
        <f>Cohort_P2!J$135</f>
        <v/>
      </c>
      <c r="K35" s="46">
        <f>Cohort_P2!K$135</f>
        <v/>
      </c>
      <c r="L35" s="46">
        <f>Cohort_P2!L$135</f>
        <v/>
      </c>
      <c r="M35" s="46">
        <f>Cohort_P2!M$135</f>
        <v/>
      </c>
      <c r="N35" s="46">
        <f>Cohort_P2!N$135</f>
        <v/>
      </c>
      <c r="O35" s="46">
        <f>Cohort_P2!O$135</f>
        <v/>
      </c>
      <c r="P35" s="46">
        <f>Cohort_P2!P$135</f>
        <v/>
      </c>
      <c r="Q35" s="46">
        <f>Cohort_P2!Q$135</f>
        <v/>
      </c>
      <c r="R35" s="46">
        <f>Cohort_P2!R$135</f>
        <v/>
      </c>
      <c r="S35" s="46">
        <f>Cohort_P2!S$135</f>
        <v/>
      </c>
      <c r="T35" s="46">
        <f>Cohort_P2!T$135</f>
        <v/>
      </c>
      <c r="U35" s="46">
        <f>Cohort_P2!U$135</f>
        <v/>
      </c>
      <c r="V35" s="46">
        <f>Cohort_P2!V$135</f>
        <v/>
      </c>
      <c r="W35" s="46">
        <f>Cohort_P2!W$135</f>
        <v/>
      </c>
      <c r="X35" s="46">
        <f>Cohort_P2!X$135</f>
        <v/>
      </c>
      <c r="Y35" s="46">
        <f>Cohort_P2!Y$135</f>
        <v/>
      </c>
      <c r="Z35" s="46">
        <f>Cohort_P2!Z$135</f>
        <v/>
      </c>
      <c r="AA35" s="46">
        <f>Cohort_P2!AA$135</f>
        <v/>
      </c>
      <c r="AB35" s="46">
        <f>Cohort_P2!AB$135</f>
        <v/>
      </c>
      <c r="AC35" s="46">
        <f>Cohort_P2!AC$135</f>
        <v/>
      </c>
      <c r="AD35" s="46">
        <f>Cohort_P2!AD$135</f>
        <v/>
      </c>
      <c r="AE35" s="46">
        <f>Cohort_P2!AE$135</f>
        <v/>
      </c>
      <c r="AF35" s="46">
        <f>Cohort_P2!AF$135</f>
        <v/>
      </c>
      <c r="AG35" s="46">
        <f>Cohort_P2!AG$135</f>
        <v/>
      </c>
      <c r="AH35" s="46">
        <f>Cohort_P2!AH$135</f>
        <v/>
      </c>
      <c r="AI35" s="46">
        <f>Cohort_P2!AI$135</f>
        <v/>
      </c>
      <c r="AJ35" s="46">
        <f>Cohort_P2!AJ$135</f>
        <v/>
      </c>
      <c r="AK35" s="46">
        <f>Cohort_P2!AK$135</f>
        <v/>
      </c>
      <c r="AL35" s="46">
        <f>Cohort_P2!AL$135</f>
        <v/>
      </c>
      <c r="AM35" s="46">
        <f>Cohort_P2!AM$135</f>
        <v/>
      </c>
      <c r="AN35" s="46">
        <f>Cohort_P2!AN$135</f>
        <v/>
      </c>
      <c r="AO35" s="46">
        <f>Cohort_P2!AO$135</f>
        <v/>
      </c>
      <c r="AP35" s="46">
        <f>Cohort_P2!AP$135</f>
        <v/>
      </c>
      <c r="AQ35" s="46">
        <f>Cohort_P2!AQ$135</f>
        <v/>
      </c>
      <c r="AR35" s="46">
        <f>Cohort_P2!AR$135</f>
        <v/>
      </c>
      <c r="AS35" s="46">
        <f>Cohort_P2!AS$135</f>
        <v/>
      </c>
      <c r="AT35" s="46">
        <f>Cohort_P2!AT$135</f>
        <v/>
      </c>
      <c r="AU35" s="46">
        <f>Cohort_P2!AU$135</f>
        <v/>
      </c>
      <c r="AV35" s="46">
        <f>Cohort_P2!AV$135</f>
        <v/>
      </c>
      <c r="AW35" s="46">
        <f>Cohort_P2!AW$135</f>
        <v/>
      </c>
      <c r="AX35" s="46">
        <f>Cohort_P2!AX$135</f>
        <v/>
      </c>
      <c r="AY35" s="46">
        <f>Cohort_P2!AY$135</f>
        <v/>
      </c>
      <c r="AZ35" s="46">
        <f>Cohort_P2!AZ$135</f>
        <v/>
      </c>
      <c r="BA35" s="46">
        <f>Cohort_P2!BA$135</f>
        <v/>
      </c>
      <c r="BB35" s="46">
        <f>Cohort_P2!BB$135</f>
        <v/>
      </c>
      <c r="BC35" s="46">
        <f>Cohort_P2!BC$135</f>
        <v/>
      </c>
      <c r="BD35" s="46">
        <f>Cohort_P2!BD$135</f>
        <v/>
      </c>
      <c r="BE35" s="46">
        <f>Cohort_P2!BE$135</f>
        <v/>
      </c>
      <c r="BF35" s="46">
        <f>Cohort_P2!BF$135</f>
        <v/>
      </c>
      <c r="BG35" s="46">
        <f>Cohort_P2!BG$135</f>
        <v/>
      </c>
      <c r="BH35" s="46">
        <f>Cohort_P2!BH$135</f>
        <v/>
      </c>
      <c r="BI35" s="46">
        <f>Cohort_P2!BI$135</f>
        <v/>
      </c>
      <c r="BJ35" s="46">
        <f>Cohort_P2!BJ$135</f>
        <v/>
      </c>
      <c r="BK35" s="46">
        <f>Cohort_P2!BK$135</f>
        <v/>
      </c>
      <c r="BL35" s="46">
        <f>Cohort_P2!BL$135</f>
        <v/>
      </c>
    </row>
    <row r="36">
      <c r="A36" s="44" t="inlineStr">
        <is>
          <t>Landed hardware cost of units sold</t>
        </is>
      </c>
      <c r="B36" s="13" t="inlineStr">
        <is>
          <t>LCY</t>
        </is>
      </c>
      <c r="C36" s="45">
        <f>SUM(E36:BL36)</f>
        <v/>
      </c>
      <c r="E36" s="25">
        <f>E$24*Products!$D$10*(1+Inputs!$C$28)*Timeline!E$8*Scenarios!$G$9</f>
        <v/>
      </c>
      <c r="F36" s="25">
        <f>F$24*Products!$D$10*(1+Inputs!$C$28)*Timeline!F$8*Scenarios!$G$9</f>
        <v/>
      </c>
      <c r="G36" s="25">
        <f>G$24*Products!$D$10*(1+Inputs!$C$28)*Timeline!G$8*Scenarios!$G$9</f>
        <v/>
      </c>
      <c r="H36" s="25">
        <f>H$24*Products!$D$10*(1+Inputs!$C$28)*Timeline!H$8*Scenarios!$G$9</f>
        <v/>
      </c>
      <c r="I36" s="25">
        <f>I$24*Products!$D$10*(1+Inputs!$C$28)*Timeline!I$8*Scenarios!$G$9</f>
        <v/>
      </c>
      <c r="J36" s="25">
        <f>J$24*Products!$D$10*(1+Inputs!$C$28)*Timeline!J$8*Scenarios!$G$9</f>
        <v/>
      </c>
      <c r="K36" s="25">
        <f>K$24*Products!$D$10*(1+Inputs!$C$28)*Timeline!K$8*Scenarios!$G$9</f>
        <v/>
      </c>
      <c r="L36" s="25">
        <f>L$24*Products!$D$10*(1+Inputs!$C$28)*Timeline!L$8*Scenarios!$G$9</f>
        <v/>
      </c>
      <c r="M36" s="25">
        <f>M$24*Products!$D$10*(1+Inputs!$C$28)*Timeline!M$8*Scenarios!$G$9</f>
        <v/>
      </c>
      <c r="N36" s="25">
        <f>N$24*Products!$D$10*(1+Inputs!$C$28)*Timeline!N$8*Scenarios!$G$9</f>
        <v/>
      </c>
      <c r="O36" s="25">
        <f>O$24*Products!$D$10*(1+Inputs!$C$28)*Timeline!O$8*Scenarios!$G$9</f>
        <v/>
      </c>
      <c r="P36" s="25">
        <f>P$24*Products!$D$10*(1+Inputs!$C$28)*Timeline!P$8*Scenarios!$G$9</f>
        <v/>
      </c>
      <c r="Q36" s="25">
        <f>Q$24*Products!$D$10*(1+Inputs!$C$28)*Timeline!Q$8*Scenarios!$G$9</f>
        <v/>
      </c>
      <c r="R36" s="25">
        <f>R$24*Products!$D$10*(1+Inputs!$C$28)*Timeline!R$8*Scenarios!$G$9</f>
        <v/>
      </c>
      <c r="S36" s="25">
        <f>S$24*Products!$D$10*(1+Inputs!$C$28)*Timeline!S$8*Scenarios!$G$9</f>
        <v/>
      </c>
      <c r="T36" s="25">
        <f>T$24*Products!$D$10*(1+Inputs!$C$28)*Timeline!T$8*Scenarios!$G$9</f>
        <v/>
      </c>
      <c r="U36" s="25">
        <f>U$24*Products!$D$10*(1+Inputs!$C$28)*Timeline!U$8*Scenarios!$G$9</f>
        <v/>
      </c>
      <c r="V36" s="25">
        <f>V$24*Products!$D$10*(1+Inputs!$C$28)*Timeline!V$8*Scenarios!$G$9</f>
        <v/>
      </c>
      <c r="W36" s="25">
        <f>W$24*Products!$D$10*(1+Inputs!$C$28)*Timeline!W$8*Scenarios!$G$9</f>
        <v/>
      </c>
      <c r="X36" s="25">
        <f>X$24*Products!$D$10*(1+Inputs!$C$28)*Timeline!X$8*Scenarios!$G$9</f>
        <v/>
      </c>
      <c r="Y36" s="25">
        <f>Y$24*Products!$D$10*(1+Inputs!$C$28)*Timeline!Y$8*Scenarios!$G$9</f>
        <v/>
      </c>
      <c r="Z36" s="25">
        <f>Z$24*Products!$D$10*(1+Inputs!$C$28)*Timeline!Z$8*Scenarios!$G$9</f>
        <v/>
      </c>
      <c r="AA36" s="25">
        <f>AA$24*Products!$D$10*(1+Inputs!$C$28)*Timeline!AA$8*Scenarios!$G$9</f>
        <v/>
      </c>
      <c r="AB36" s="25">
        <f>AB$24*Products!$D$10*(1+Inputs!$C$28)*Timeline!AB$8*Scenarios!$G$9</f>
        <v/>
      </c>
      <c r="AC36" s="25">
        <f>AC$24*Products!$D$10*(1+Inputs!$C$28)*Timeline!AC$8*Scenarios!$G$9</f>
        <v/>
      </c>
      <c r="AD36" s="25">
        <f>AD$24*Products!$D$10*(1+Inputs!$C$28)*Timeline!AD$8*Scenarios!$G$9</f>
        <v/>
      </c>
      <c r="AE36" s="25">
        <f>AE$24*Products!$D$10*(1+Inputs!$C$28)*Timeline!AE$8*Scenarios!$G$9</f>
        <v/>
      </c>
      <c r="AF36" s="25">
        <f>AF$24*Products!$D$10*(1+Inputs!$C$28)*Timeline!AF$8*Scenarios!$G$9</f>
        <v/>
      </c>
      <c r="AG36" s="25">
        <f>AG$24*Products!$D$10*(1+Inputs!$C$28)*Timeline!AG$8*Scenarios!$G$9</f>
        <v/>
      </c>
      <c r="AH36" s="25">
        <f>AH$24*Products!$D$10*(1+Inputs!$C$28)*Timeline!AH$8*Scenarios!$G$9</f>
        <v/>
      </c>
      <c r="AI36" s="25">
        <f>AI$24*Products!$D$10*(1+Inputs!$C$28)*Timeline!AI$8*Scenarios!$G$9</f>
        <v/>
      </c>
      <c r="AJ36" s="25">
        <f>AJ$24*Products!$D$10*(1+Inputs!$C$28)*Timeline!AJ$8*Scenarios!$G$9</f>
        <v/>
      </c>
      <c r="AK36" s="25">
        <f>AK$24*Products!$D$10*(1+Inputs!$C$28)*Timeline!AK$8*Scenarios!$G$9</f>
        <v/>
      </c>
      <c r="AL36" s="25">
        <f>AL$24*Products!$D$10*(1+Inputs!$C$28)*Timeline!AL$8*Scenarios!$G$9</f>
        <v/>
      </c>
      <c r="AM36" s="25">
        <f>AM$24*Products!$D$10*(1+Inputs!$C$28)*Timeline!AM$8*Scenarios!$G$9</f>
        <v/>
      </c>
      <c r="AN36" s="25">
        <f>AN$24*Products!$D$10*(1+Inputs!$C$28)*Timeline!AN$8*Scenarios!$G$9</f>
        <v/>
      </c>
      <c r="AO36" s="25">
        <f>AO$24*Products!$D$10*(1+Inputs!$C$28)*Timeline!AO$8*Scenarios!$G$9</f>
        <v/>
      </c>
      <c r="AP36" s="25">
        <f>AP$24*Products!$D$10*(1+Inputs!$C$28)*Timeline!AP$8*Scenarios!$G$9</f>
        <v/>
      </c>
      <c r="AQ36" s="25">
        <f>AQ$24*Products!$D$10*(1+Inputs!$C$28)*Timeline!AQ$8*Scenarios!$G$9</f>
        <v/>
      </c>
      <c r="AR36" s="25">
        <f>AR$24*Products!$D$10*(1+Inputs!$C$28)*Timeline!AR$8*Scenarios!$G$9</f>
        <v/>
      </c>
      <c r="AS36" s="25">
        <f>AS$24*Products!$D$10*(1+Inputs!$C$28)*Timeline!AS$8*Scenarios!$G$9</f>
        <v/>
      </c>
      <c r="AT36" s="25">
        <f>AT$24*Products!$D$10*(1+Inputs!$C$28)*Timeline!AT$8*Scenarios!$G$9</f>
        <v/>
      </c>
      <c r="AU36" s="25">
        <f>AU$24*Products!$D$10*(1+Inputs!$C$28)*Timeline!AU$8*Scenarios!$G$9</f>
        <v/>
      </c>
      <c r="AV36" s="25">
        <f>AV$24*Products!$D$10*(1+Inputs!$C$28)*Timeline!AV$8*Scenarios!$G$9</f>
        <v/>
      </c>
      <c r="AW36" s="25">
        <f>AW$24*Products!$D$10*(1+Inputs!$C$28)*Timeline!AW$8*Scenarios!$G$9</f>
        <v/>
      </c>
      <c r="AX36" s="25">
        <f>AX$24*Products!$D$10*(1+Inputs!$C$28)*Timeline!AX$8*Scenarios!$G$9</f>
        <v/>
      </c>
      <c r="AY36" s="25">
        <f>AY$24*Products!$D$10*(1+Inputs!$C$28)*Timeline!AY$8*Scenarios!$G$9</f>
        <v/>
      </c>
      <c r="AZ36" s="25">
        <f>AZ$24*Products!$D$10*(1+Inputs!$C$28)*Timeline!AZ$8*Scenarios!$G$9</f>
        <v/>
      </c>
      <c r="BA36" s="25">
        <f>BA$24*Products!$D$10*(1+Inputs!$C$28)*Timeline!BA$8*Scenarios!$G$9</f>
        <v/>
      </c>
      <c r="BB36" s="25">
        <f>BB$24*Products!$D$10*(1+Inputs!$C$28)*Timeline!BB$8*Scenarios!$G$9</f>
        <v/>
      </c>
      <c r="BC36" s="25">
        <f>BC$24*Products!$D$10*(1+Inputs!$C$28)*Timeline!BC$8*Scenarios!$G$9</f>
        <v/>
      </c>
      <c r="BD36" s="25">
        <f>BD$24*Products!$D$10*(1+Inputs!$C$28)*Timeline!BD$8*Scenarios!$G$9</f>
        <v/>
      </c>
      <c r="BE36" s="25">
        <f>BE$24*Products!$D$10*(1+Inputs!$C$28)*Timeline!BE$8*Scenarios!$G$9</f>
        <v/>
      </c>
      <c r="BF36" s="25">
        <f>BF$24*Products!$D$10*(1+Inputs!$C$28)*Timeline!BF$8*Scenarios!$G$9</f>
        <v/>
      </c>
      <c r="BG36" s="25">
        <f>BG$24*Products!$D$10*(1+Inputs!$C$28)*Timeline!BG$8*Scenarios!$G$9</f>
        <v/>
      </c>
      <c r="BH36" s="25">
        <f>BH$24*Products!$D$10*(1+Inputs!$C$28)*Timeline!BH$8*Scenarios!$G$9</f>
        <v/>
      </c>
      <c r="BI36" s="25">
        <f>BI$24*Products!$D$10*(1+Inputs!$C$28)*Timeline!BI$8*Scenarios!$G$9</f>
        <v/>
      </c>
      <c r="BJ36" s="25">
        <f>BJ$24*Products!$D$10*(1+Inputs!$C$28)*Timeline!BJ$8*Scenarios!$G$9</f>
        <v/>
      </c>
      <c r="BK36" s="25">
        <f>BK$24*Products!$D$10*(1+Inputs!$C$28)*Timeline!BK$8*Scenarios!$G$9</f>
        <v/>
      </c>
      <c r="BL36" s="25">
        <f>BL$24*Products!$D$10*(1+Inputs!$C$28)*Timeline!BL$8*Scenarios!$G$9</f>
        <v/>
      </c>
    </row>
    <row r="37"/>
    <row r="38">
      <c r="A38" s="11">
        <f>Products!$E$5</f>
        <v/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</row>
    <row r="39">
      <c r="A39" s="44" t="inlineStr">
        <is>
          <t>Units sold</t>
        </is>
      </c>
      <c r="B39" s="13" t="inlineStr">
        <is>
          <t>units</t>
        </is>
      </c>
      <c r="C39" s="45">
        <f>SUM(E39:BL39)</f>
        <v/>
      </c>
      <c r="E39" s="46">
        <f>Timeline!E$11*Products!$E$13</f>
        <v/>
      </c>
      <c r="F39" s="46">
        <f>Timeline!F$11*Products!$E$13</f>
        <v/>
      </c>
      <c r="G39" s="46">
        <f>Timeline!G$11*Products!$E$13</f>
        <v/>
      </c>
      <c r="H39" s="46">
        <f>Timeline!H$11*Products!$E$13</f>
        <v/>
      </c>
      <c r="I39" s="46">
        <f>Timeline!I$11*Products!$E$13</f>
        <v/>
      </c>
      <c r="J39" s="46">
        <f>Timeline!J$11*Products!$E$13</f>
        <v/>
      </c>
      <c r="K39" s="46">
        <f>Timeline!K$11*Products!$E$13</f>
        <v/>
      </c>
      <c r="L39" s="46">
        <f>Timeline!L$11*Products!$E$13</f>
        <v/>
      </c>
      <c r="M39" s="46">
        <f>Timeline!M$11*Products!$E$13</f>
        <v/>
      </c>
      <c r="N39" s="46">
        <f>Timeline!N$11*Products!$E$13</f>
        <v/>
      </c>
      <c r="O39" s="46">
        <f>Timeline!O$11*Products!$E$13</f>
        <v/>
      </c>
      <c r="P39" s="46">
        <f>Timeline!P$11*Products!$E$13</f>
        <v/>
      </c>
      <c r="Q39" s="46">
        <f>Timeline!Q$11*Products!$E$13</f>
        <v/>
      </c>
      <c r="R39" s="46">
        <f>Timeline!R$11*Products!$E$13</f>
        <v/>
      </c>
      <c r="S39" s="46">
        <f>Timeline!S$11*Products!$E$13</f>
        <v/>
      </c>
      <c r="T39" s="46">
        <f>Timeline!T$11*Products!$E$13</f>
        <v/>
      </c>
      <c r="U39" s="46">
        <f>Timeline!U$11*Products!$E$13</f>
        <v/>
      </c>
      <c r="V39" s="46">
        <f>Timeline!V$11*Products!$E$13</f>
        <v/>
      </c>
      <c r="W39" s="46">
        <f>Timeline!W$11*Products!$E$13</f>
        <v/>
      </c>
      <c r="X39" s="46">
        <f>Timeline!X$11*Products!$E$13</f>
        <v/>
      </c>
      <c r="Y39" s="46">
        <f>Timeline!Y$11*Products!$E$13</f>
        <v/>
      </c>
      <c r="Z39" s="46">
        <f>Timeline!Z$11*Products!$E$13</f>
        <v/>
      </c>
      <c r="AA39" s="46">
        <f>Timeline!AA$11*Products!$E$13</f>
        <v/>
      </c>
      <c r="AB39" s="46">
        <f>Timeline!AB$11*Products!$E$13</f>
        <v/>
      </c>
      <c r="AC39" s="46">
        <f>Timeline!AC$11*Products!$E$13</f>
        <v/>
      </c>
      <c r="AD39" s="46">
        <f>Timeline!AD$11*Products!$E$13</f>
        <v/>
      </c>
      <c r="AE39" s="46">
        <f>Timeline!AE$11*Products!$E$13</f>
        <v/>
      </c>
      <c r="AF39" s="46">
        <f>Timeline!AF$11*Products!$E$13</f>
        <v/>
      </c>
      <c r="AG39" s="46">
        <f>Timeline!AG$11*Products!$E$13</f>
        <v/>
      </c>
      <c r="AH39" s="46">
        <f>Timeline!AH$11*Products!$E$13</f>
        <v/>
      </c>
      <c r="AI39" s="46">
        <f>Timeline!AI$11*Products!$E$13</f>
        <v/>
      </c>
      <c r="AJ39" s="46">
        <f>Timeline!AJ$11*Products!$E$13</f>
        <v/>
      </c>
      <c r="AK39" s="46">
        <f>Timeline!AK$11*Products!$E$13</f>
        <v/>
      </c>
      <c r="AL39" s="46">
        <f>Timeline!AL$11*Products!$E$13</f>
        <v/>
      </c>
      <c r="AM39" s="46">
        <f>Timeline!AM$11*Products!$E$13</f>
        <v/>
      </c>
      <c r="AN39" s="46">
        <f>Timeline!AN$11*Products!$E$13</f>
        <v/>
      </c>
      <c r="AO39" s="46">
        <f>Timeline!AO$11*Products!$E$13</f>
        <v/>
      </c>
      <c r="AP39" s="46">
        <f>Timeline!AP$11*Products!$E$13</f>
        <v/>
      </c>
      <c r="AQ39" s="46">
        <f>Timeline!AQ$11*Products!$E$13</f>
        <v/>
      </c>
      <c r="AR39" s="46">
        <f>Timeline!AR$11*Products!$E$13</f>
        <v/>
      </c>
      <c r="AS39" s="46">
        <f>Timeline!AS$11*Products!$E$13</f>
        <v/>
      </c>
      <c r="AT39" s="46">
        <f>Timeline!AT$11*Products!$E$13</f>
        <v/>
      </c>
      <c r="AU39" s="46">
        <f>Timeline!AU$11*Products!$E$13</f>
        <v/>
      </c>
      <c r="AV39" s="46">
        <f>Timeline!AV$11*Products!$E$13</f>
        <v/>
      </c>
      <c r="AW39" s="46">
        <f>Timeline!AW$11*Products!$E$13</f>
        <v/>
      </c>
      <c r="AX39" s="46">
        <f>Timeline!AX$11*Products!$E$13</f>
        <v/>
      </c>
      <c r="AY39" s="46">
        <f>Timeline!AY$11*Products!$E$13</f>
        <v/>
      </c>
      <c r="AZ39" s="46">
        <f>Timeline!AZ$11*Products!$E$13</f>
        <v/>
      </c>
      <c r="BA39" s="46">
        <f>Timeline!BA$11*Products!$E$13</f>
        <v/>
      </c>
      <c r="BB39" s="46">
        <f>Timeline!BB$11*Products!$E$13</f>
        <v/>
      </c>
      <c r="BC39" s="46">
        <f>Timeline!BC$11*Products!$E$13</f>
        <v/>
      </c>
      <c r="BD39" s="46">
        <f>Timeline!BD$11*Products!$E$13</f>
        <v/>
      </c>
      <c r="BE39" s="46">
        <f>Timeline!BE$11*Products!$E$13</f>
        <v/>
      </c>
      <c r="BF39" s="46">
        <f>Timeline!BF$11*Products!$E$13</f>
        <v/>
      </c>
      <c r="BG39" s="46">
        <f>Timeline!BG$11*Products!$E$13</f>
        <v/>
      </c>
      <c r="BH39" s="46">
        <f>Timeline!BH$11*Products!$E$13</f>
        <v/>
      </c>
      <c r="BI39" s="46">
        <f>Timeline!BI$11*Products!$E$13</f>
        <v/>
      </c>
      <c r="BJ39" s="46">
        <f>Timeline!BJ$11*Products!$E$13</f>
        <v/>
      </c>
      <c r="BK39" s="46">
        <f>Timeline!BK$11*Products!$E$13</f>
        <v/>
      </c>
      <c r="BL39" s="46">
        <f>Timeline!BL$11*Products!$E$13</f>
        <v/>
      </c>
    </row>
    <row r="40">
      <c r="A40" s="44" t="inlineStr">
        <is>
          <t>Price-indexed units (units x price index)</t>
        </is>
      </c>
      <c r="B40" s="13" t="inlineStr">
        <is>
          <t>units</t>
        </is>
      </c>
      <c r="C40" s="45">
        <f>SUM(E40:BL40)</f>
        <v/>
      </c>
      <c r="E40" s="25">
        <f>E$39*Timeline!E$10</f>
        <v/>
      </c>
      <c r="F40" s="25">
        <f>F$39*Timeline!F$10</f>
        <v/>
      </c>
      <c r="G40" s="25">
        <f>G$39*Timeline!G$10</f>
        <v/>
      </c>
      <c r="H40" s="25">
        <f>H$39*Timeline!H$10</f>
        <v/>
      </c>
      <c r="I40" s="25">
        <f>I$39*Timeline!I$10</f>
        <v/>
      </c>
      <c r="J40" s="25">
        <f>J$39*Timeline!J$10</f>
        <v/>
      </c>
      <c r="K40" s="25">
        <f>K$39*Timeline!K$10</f>
        <v/>
      </c>
      <c r="L40" s="25">
        <f>L$39*Timeline!L$10</f>
        <v/>
      </c>
      <c r="M40" s="25">
        <f>M$39*Timeline!M$10</f>
        <v/>
      </c>
      <c r="N40" s="25">
        <f>N$39*Timeline!N$10</f>
        <v/>
      </c>
      <c r="O40" s="25">
        <f>O$39*Timeline!O$10</f>
        <v/>
      </c>
      <c r="P40" s="25">
        <f>P$39*Timeline!P$10</f>
        <v/>
      </c>
      <c r="Q40" s="25">
        <f>Q$39*Timeline!Q$10</f>
        <v/>
      </c>
      <c r="R40" s="25">
        <f>R$39*Timeline!R$10</f>
        <v/>
      </c>
      <c r="S40" s="25">
        <f>S$39*Timeline!S$10</f>
        <v/>
      </c>
      <c r="T40" s="25">
        <f>T$39*Timeline!T$10</f>
        <v/>
      </c>
      <c r="U40" s="25">
        <f>U$39*Timeline!U$10</f>
        <v/>
      </c>
      <c r="V40" s="25">
        <f>V$39*Timeline!V$10</f>
        <v/>
      </c>
      <c r="W40" s="25">
        <f>W$39*Timeline!W$10</f>
        <v/>
      </c>
      <c r="X40" s="25">
        <f>X$39*Timeline!X$10</f>
        <v/>
      </c>
      <c r="Y40" s="25">
        <f>Y$39*Timeline!Y$10</f>
        <v/>
      </c>
      <c r="Z40" s="25">
        <f>Z$39*Timeline!Z$10</f>
        <v/>
      </c>
      <c r="AA40" s="25">
        <f>AA$39*Timeline!AA$10</f>
        <v/>
      </c>
      <c r="AB40" s="25">
        <f>AB$39*Timeline!AB$10</f>
        <v/>
      </c>
      <c r="AC40" s="25">
        <f>AC$39*Timeline!AC$10</f>
        <v/>
      </c>
      <c r="AD40" s="25">
        <f>AD$39*Timeline!AD$10</f>
        <v/>
      </c>
      <c r="AE40" s="25">
        <f>AE$39*Timeline!AE$10</f>
        <v/>
      </c>
      <c r="AF40" s="25">
        <f>AF$39*Timeline!AF$10</f>
        <v/>
      </c>
      <c r="AG40" s="25">
        <f>AG$39*Timeline!AG$10</f>
        <v/>
      </c>
      <c r="AH40" s="25">
        <f>AH$39*Timeline!AH$10</f>
        <v/>
      </c>
      <c r="AI40" s="25">
        <f>AI$39*Timeline!AI$10</f>
        <v/>
      </c>
      <c r="AJ40" s="25">
        <f>AJ$39*Timeline!AJ$10</f>
        <v/>
      </c>
      <c r="AK40" s="25">
        <f>AK$39*Timeline!AK$10</f>
        <v/>
      </c>
      <c r="AL40" s="25">
        <f>AL$39*Timeline!AL$10</f>
        <v/>
      </c>
      <c r="AM40" s="25">
        <f>AM$39*Timeline!AM$10</f>
        <v/>
      </c>
      <c r="AN40" s="25">
        <f>AN$39*Timeline!AN$10</f>
        <v/>
      </c>
      <c r="AO40" s="25">
        <f>AO$39*Timeline!AO$10</f>
        <v/>
      </c>
      <c r="AP40" s="25">
        <f>AP$39*Timeline!AP$10</f>
        <v/>
      </c>
      <c r="AQ40" s="25">
        <f>AQ$39*Timeline!AQ$10</f>
        <v/>
      </c>
      <c r="AR40" s="25">
        <f>AR$39*Timeline!AR$10</f>
        <v/>
      </c>
      <c r="AS40" s="25">
        <f>AS$39*Timeline!AS$10</f>
        <v/>
      </c>
      <c r="AT40" s="25">
        <f>AT$39*Timeline!AT$10</f>
        <v/>
      </c>
      <c r="AU40" s="25">
        <f>AU$39*Timeline!AU$10</f>
        <v/>
      </c>
      <c r="AV40" s="25">
        <f>AV$39*Timeline!AV$10</f>
        <v/>
      </c>
      <c r="AW40" s="25">
        <f>AW$39*Timeline!AW$10</f>
        <v/>
      </c>
      <c r="AX40" s="25">
        <f>AX$39*Timeline!AX$10</f>
        <v/>
      </c>
      <c r="AY40" s="25">
        <f>AY$39*Timeline!AY$10</f>
        <v/>
      </c>
      <c r="AZ40" s="25">
        <f>AZ$39*Timeline!AZ$10</f>
        <v/>
      </c>
      <c r="BA40" s="25">
        <f>BA$39*Timeline!BA$10</f>
        <v/>
      </c>
      <c r="BB40" s="25">
        <f>BB$39*Timeline!BB$10</f>
        <v/>
      </c>
      <c r="BC40" s="25">
        <f>BC$39*Timeline!BC$10</f>
        <v/>
      </c>
      <c r="BD40" s="25">
        <f>BD$39*Timeline!BD$10</f>
        <v/>
      </c>
      <c r="BE40" s="25">
        <f>BE$39*Timeline!BE$10</f>
        <v/>
      </c>
      <c r="BF40" s="25">
        <f>BF$39*Timeline!BF$10</f>
        <v/>
      </c>
      <c r="BG40" s="25">
        <f>BG$39*Timeline!BG$10</f>
        <v/>
      </c>
      <c r="BH40" s="25">
        <f>BH$39*Timeline!BH$10</f>
        <v/>
      </c>
      <c r="BI40" s="25">
        <f>BI$39*Timeline!BI$10</f>
        <v/>
      </c>
      <c r="BJ40" s="25">
        <f>BJ$39*Timeline!BJ$10</f>
        <v/>
      </c>
      <c r="BK40" s="25">
        <f>BK$39*Timeline!BK$10</f>
        <v/>
      </c>
      <c r="BL40" s="25">
        <f>BL$39*Timeline!BL$10</f>
        <v/>
      </c>
    </row>
    <row r="41">
      <c r="A41" s="44" t="inlineStr">
        <is>
          <t>Deposits collected</t>
        </is>
      </c>
      <c r="B41" s="13" t="inlineStr">
        <is>
          <t>LCY</t>
        </is>
      </c>
      <c r="C41" s="45">
        <f>SUM(E41:BL41)</f>
        <v/>
      </c>
      <c r="E41" s="25">
        <f>E$40*Products!$E$7</f>
        <v/>
      </c>
      <c r="F41" s="25">
        <f>F$40*Products!$E$7</f>
        <v/>
      </c>
      <c r="G41" s="25">
        <f>G$40*Products!$E$7</f>
        <v/>
      </c>
      <c r="H41" s="25">
        <f>H$40*Products!$E$7</f>
        <v/>
      </c>
      <c r="I41" s="25">
        <f>I$40*Products!$E$7</f>
        <v/>
      </c>
      <c r="J41" s="25">
        <f>J$40*Products!$E$7</f>
        <v/>
      </c>
      <c r="K41" s="25">
        <f>K$40*Products!$E$7</f>
        <v/>
      </c>
      <c r="L41" s="25">
        <f>L$40*Products!$E$7</f>
        <v/>
      </c>
      <c r="M41" s="25">
        <f>M$40*Products!$E$7</f>
        <v/>
      </c>
      <c r="N41" s="25">
        <f>N$40*Products!$E$7</f>
        <v/>
      </c>
      <c r="O41" s="25">
        <f>O$40*Products!$E$7</f>
        <v/>
      </c>
      <c r="P41" s="25">
        <f>P$40*Products!$E$7</f>
        <v/>
      </c>
      <c r="Q41" s="25">
        <f>Q$40*Products!$E$7</f>
        <v/>
      </c>
      <c r="R41" s="25">
        <f>R$40*Products!$E$7</f>
        <v/>
      </c>
      <c r="S41" s="25">
        <f>S$40*Products!$E$7</f>
        <v/>
      </c>
      <c r="T41" s="25">
        <f>T$40*Products!$E$7</f>
        <v/>
      </c>
      <c r="U41" s="25">
        <f>U$40*Products!$E$7</f>
        <v/>
      </c>
      <c r="V41" s="25">
        <f>V$40*Products!$E$7</f>
        <v/>
      </c>
      <c r="W41" s="25">
        <f>W$40*Products!$E$7</f>
        <v/>
      </c>
      <c r="X41" s="25">
        <f>X$40*Products!$E$7</f>
        <v/>
      </c>
      <c r="Y41" s="25">
        <f>Y$40*Products!$E$7</f>
        <v/>
      </c>
      <c r="Z41" s="25">
        <f>Z$40*Products!$E$7</f>
        <v/>
      </c>
      <c r="AA41" s="25">
        <f>AA$40*Products!$E$7</f>
        <v/>
      </c>
      <c r="AB41" s="25">
        <f>AB$40*Products!$E$7</f>
        <v/>
      </c>
      <c r="AC41" s="25">
        <f>AC$40*Products!$E$7</f>
        <v/>
      </c>
      <c r="AD41" s="25">
        <f>AD$40*Products!$E$7</f>
        <v/>
      </c>
      <c r="AE41" s="25">
        <f>AE$40*Products!$E$7</f>
        <v/>
      </c>
      <c r="AF41" s="25">
        <f>AF$40*Products!$E$7</f>
        <v/>
      </c>
      <c r="AG41" s="25">
        <f>AG$40*Products!$E$7</f>
        <v/>
      </c>
      <c r="AH41" s="25">
        <f>AH$40*Products!$E$7</f>
        <v/>
      </c>
      <c r="AI41" s="25">
        <f>AI$40*Products!$E$7</f>
        <v/>
      </c>
      <c r="AJ41" s="25">
        <f>AJ$40*Products!$E$7</f>
        <v/>
      </c>
      <c r="AK41" s="25">
        <f>AK$40*Products!$E$7</f>
        <v/>
      </c>
      <c r="AL41" s="25">
        <f>AL$40*Products!$E$7</f>
        <v/>
      </c>
      <c r="AM41" s="25">
        <f>AM$40*Products!$E$7</f>
        <v/>
      </c>
      <c r="AN41" s="25">
        <f>AN$40*Products!$E$7</f>
        <v/>
      </c>
      <c r="AO41" s="25">
        <f>AO$40*Products!$E$7</f>
        <v/>
      </c>
      <c r="AP41" s="25">
        <f>AP$40*Products!$E$7</f>
        <v/>
      </c>
      <c r="AQ41" s="25">
        <f>AQ$40*Products!$E$7</f>
        <v/>
      </c>
      <c r="AR41" s="25">
        <f>AR$40*Products!$E$7</f>
        <v/>
      </c>
      <c r="AS41" s="25">
        <f>AS$40*Products!$E$7</f>
        <v/>
      </c>
      <c r="AT41" s="25">
        <f>AT$40*Products!$E$7</f>
        <v/>
      </c>
      <c r="AU41" s="25">
        <f>AU$40*Products!$E$7</f>
        <v/>
      </c>
      <c r="AV41" s="25">
        <f>AV$40*Products!$E$7</f>
        <v/>
      </c>
      <c r="AW41" s="25">
        <f>AW$40*Products!$E$7</f>
        <v/>
      </c>
      <c r="AX41" s="25">
        <f>AX$40*Products!$E$7</f>
        <v/>
      </c>
      <c r="AY41" s="25">
        <f>AY$40*Products!$E$7</f>
        <v/>
      </c>
      <c r="AZ41" s="25">
        <f>AZ$40*Products!$E$7</f>
        <v/>
      </c>
      <c r="BA41" s="25">
        <f>BA$40*Products!$E$7</f>
        <v/>
      </c>
      <c r="BB41" s="25">
        <f>BB$40*Products!$E$7</f>
        <v/>
      </c>
      <c r="BC41" s="25">
        <f>BC$40*Products!$E$7</f>
        <v/>
      </c>
      <c r="BD41" s="25">
        <f>BD$40*Products!$E$7</f>
        <v/>
      </c>
      <c r="BE41" s="25">
        <f>BE$40*Products!$E$7</f>
        <v/>
      </c>
      <c r="BF41" s="25">
        <f>BF$40*Products!$E$7</f>
        <v/>
      </c>
      <c r="BG41" s="25">
        <f>BG$40*Products!$E$7</f>
        <v/>
      </c>
      <c r="BH41" s="25">
        <f>BH$40*Products!$E$7</f>
        <v/>
      </c>
      <c r="BI41" s="25">
        <f>BI$40*Products!$E$7</f>
        <v/>
      </c>
      <c r="BJ41" s="25">
        <f>BJ$40*Products!$E$7</f>
        <v/>
      </c>
      <c r="BK41" s="25">
        <f>BK$40*Products!$E$7</f>
        <v/>
      </c>
      <c r="BL41" s="25">
        <f>BL$40*Products!$E$7</f>
        <v/>
      </c>
    </row>
    <row r="42">
      <c r="A42" s="44" t="inlineStr">
        <is>
          <t>Hardware revenue (cash price)</t>
        </is>
      </c>
      <c r="B42" s="13" t="inlineStr">
        <is>
          <t>LCY</t>
        </is>
      </c>
      <c r="C42" s="45">
        <f>SUM(E42:BL42)</f>
        <v/>
      </c>
      <c r="E42" s="25">
        <f>E$40*Products!$E$6</f>
        <v/>
      </c>
      <c r="F42" s="25">
        <f>F$40*Products!$E$6</f>
        <v/>
      </c>
      <c r="G42" s="25">
        <f>G$40*Products!$E$6</f>
        <v/>
      </c>
      <c r="H42" s="25">
        <f>H$40*Products!$E$6</f>
        <v/>
      </c>
      <c r="I42" s="25">
        <f>I$40*Products!$E$6</f>
        <v/>
      </c>
      <c r="J42" s="25">
        <f>J$40*Products!$E$6</f>
        <v/>
      </c>
      <c r="K42" s="25">
        <f>K$40*Products!$E$6</f>
        <v/>
      </c>
      <c r="L42" s="25">
        <f>L$40*Products!$E$6</f>
        <v/>
      </c>
      <c r="M42" s="25">
        <f>M$40*Products!$E$6</f>
        <v/>
      </c>
      <c r="N42" s="25">
        <f>N$40*Products!$E$6</f>
        <v/>
      </c>
      <c r="O42" s="25">
        <f>O$40*Products!$E$6</f>
        <v/>
      </c>
      <c r="P42" s="25">
        <f>P$40*Products!$E$6</f>
        <v/>
      </c>
      <c r="Q42" s="25">
        <f>Q$40*Products!$E$6</f>
        <v/>
      </c>
      <c r="R42" s="25">
        <f>R$40*Products!$E$6</f>
        <v/>
      </c>
      <c r="S42" s="25">
        <f>S$40*Products!$E$6</f>
        <v/>
      </c>
      <c r="T42" s="25">
        <f>T$40*Products!$E$6</f>
        <v/>
      </c>
      <c r="U42" s="25">
        <f>U$40*Products!$E$6</f>
        <v/>
      </c>
      <c r="V42" s="25">
        <f>V$40*Products!$E$6</f>
        <v/>
      </c>
      <c r="W42" s="25">
        <f>W$40*Products!$E$6</f>
        <v/>
      </c>
      <c r="X42" s="25">
        <f>X$40*Products!$E$6</f>
        <v/>
      </c>
      <c r="Y42" s="25">
        <f>Y$40*Products!$E$6</f>
        <v/>
      </c>
      <c r="Z42" s="25">
        <f>Z$40*Products!$E$6</f>
        <v/>
      </c>
      <c r="AA42" s="25">
        <f>AA$40*Products!$E$6</f>
        <v/>
      </c>
      <c r="AB42" s="25">
        <f>AB$40*Products!$E$6</f>
        <v/>
      </c>
      <c r="AC42" s="25">
        <f>AC$40*Products!$E$6</f>
        <v/>
      </c>
      <c r="AD42" s="25">
        <f>AD$40*Products!$E$6</f>
        <v/>
      </c>
      <c r="AE42" s="25">
        <f>AE$40*Products!$E$6</f>
        <v/>
      </c>
      <c r="AF42" s="25">
        <f>AF$40*Products!$E$6</f>
        <v/>
      </c>
      <c r="AG42" s="25">
        <f>AG$40*Products!$E$6</f>
        <v/>
      </c>
      <c r="AH42" s="25">
        <f>AH$40*Products!$E$6</f>
        <v/>
      </c>
      <c r="AI42" s="25">
        <f>AI$40*Products!$E$6</f>
        <v/>
      </c>
      <c r="AJ42" s="25">
        <f>AJ$40*Products!$E$6</f>
        <v/>
      </c>
      <c r="AK42" s="25">
        <f>AK$40*Products!$E$6</f>
        <v/>
      </c>
      <c r="AL42" s="25">
        <f>AL$40*Products!$E$6</f>
        <v/>
      </c>
      <c r="AM42" s="25">
        <f>AM$40*Products!$E$6</f>
        <v/>
      </c>
      <c r="AN42" s="25">
        <f>AN$40*Products!$E$6</f>
        <v/>
      </c>
      <c r="AO42" s="25">
        <f>AO$40*Products!$E$6</f>
        <v/>
      </c>
      <c r="AP42" s="25">
        <f>AP$40*Products!$E$6</f>
        <v/>
      </c>
      <c r="AQ42" s="25">
        <f>AQ$40*Products!$E$6</f>
        <v/>
      </c>
      <c r="AR42" s="25">
        <f>AR$40*Products!$E$6</f>
        <v/>
      </c>
      <c r="AS42" s="25">
        <f>AS$40*Products!$E$6</f>
        <v/>
      </c>
      <c r="AT42" s="25">
        <f>AT$40*Products!$E$6</f>
        <v/>
      </c>
      <c r="AU42" s="25">
        <f>AU$40*Products!$E$6</f>
        <v/>
      </c>
      <c r="AV42" s="25">
        <f>AV$40*Products!$E$6</f>
        <v/>
      </c>
      <c r="AW42" s="25">
        <f>AW$40*Products!$E$6</f>
        <v/>
      </c>
      <c r="AX42" s="25">
        <f>AX$40*Products!$E$6</f>
        <v/>
      </c>
      <c r="AY42" s="25">
        <f>AY$40*Products!$E$6</f>
        <v/>
      </c>
      <c r="AZ42" s="25">
        <f>AZ$40*Products!$E$6</f>
        <v/>
      </c>
      <c r="BA42" s="25">
        <f>BA$40*Products!$E$6</f>
        <v/>
      </c>
      <c r="BB42" s="25">
        <f>BB$40*Products!$E$6</f>
        <v/>
      </c>
      <c r="BC42" s="25">
        <f>BC$40*Products!$E$6</f>
        <v/>
      </c>
      <c r="BD42" s="25">
        <f>BD$40*Products!$E$6</f>
        <v/>
      </c>
      <c r="BE42" s="25">
        <f>BE$40*Products!$E$6</f>
        <v/>
      </c>
      <c r="BF42" s="25">
        <f>BF$40*Products!$E$6</f>
        <v/>
      </c>
      <c r="BG42" s="25">
        <f>BG$40*Products!$E$6</f>
        <v/>
      </c>
      <c r="BH42" s="25">
        <f>BH$40*Products!$E$6</f>
        <v/>
      </c>
      <c r="BI42" s="25">
        <f>BI$40*Products!$E$6</f>
        <v/>
      </c>
      <c r="BJ42" s="25">
        <f>BJ$40*Products!$E$6</f>
        <v/>
      </c>
      <c r="BK42" s="25">
        <f>BK$40*Products!$E$6</f>
        <v/>
      </c>
      <c r="BL42" s="25">
        <f>BL$40*Products!$E$6</f>
        <v/>
      </c>
    </row>
    <row r="43">
      <c r="A43" s="44" t="inlineStr">
        <is>
          <t>New receivables originated (cash price - deposit)</t>
        </is>
      </c>
      <c r="B43" s="13" t="inlineStr">
        <is>
          <t>LCY</t>
        </is>
      </c>
      <c r="C43" s="45">
        <f>SUM(E43:BL43)</f>
        <v/>
      </c>
      <c r="E43" s="25">
        <f>E$40*Products!$E$22</f>
        <v/>
      </c>
      <c r="F43" s="25">
        <f>F$40*Products!$E$22</f>
        <v/>
      </c>
      <c r="G43" s="25">
        <f>G$40*Products!$E$22</f>
        <v/>
      </c>
      <c r="H43" s="25">
        <f>H$40*Products!$E$22</f>
        <v/>
      </c>
      <c r="I43" s="25">
        <f>I$40*Products!$E$22</f>
        <v/>
      </c>
      <c r="J43" s="25">
        <f>J$40*Products!$E$22</f>
        <v/>
      </c>
      <c r="K43" s="25">
        <f>K$40*Products!$E$22</f>
        <v/>
      </c>
      <c r="L43" s="25">
        <f>L$40*Products!$E$22</f>
        <v/>
      </c>
      <c r="M43" s="25">
        <f>M$40*Products!$E$22</f>
        <v/>
      </c>
      <c r="N43" s="25">
        <f>N$40*Products!$E$22</f>
        <v/>
      </c>
      <c r="O43" s="25">
        <f>O$40*Products!$E$22</f>
        <v/>
      </c>
      <c r="P43" s="25">
        <f>P$40*Products!$E$22</f>
        <v/>
      </c>
      <c r="Q43" s="25">
        <f>Q$40*Products!$E$22</f>
        <v/>
      </c>
      <c r="R43" s="25">
        <f>R$40*Products!$E$22</f>
        <v/>
      </c>
      <c r="S43" s="25">
        <f>S$40*Products!$E$22</f>
        <v/>
      </c>
      <c r="T43" s="25">
        <f>T$40*Products!$E$22</f>
        <v/>
      </c>
      <c r="U43" s="25">
        <f>U$40*Products!$E$22</f>
        <v/>
      </c>
      <c r="V43" s="25">
        <f>V$40*Products!$E$22</f>
        <v/>
      </c>
      <c r="W43" s="25">
        <f>W$40*Products!$E$22</f>
        <v/>
      </c>
      <c r="X43" s="25">
        <f>X$40*Products!$E$22</f>
        <v/>
      </c>
      <c r="Y43" s="25">
        <f>Y$40*Products!$E$22</f>
        <v/>
      </c>
      <c r="Z43" s="25">
        <f>Z$40*Products!$E$22</f>
        <v/>
      </c>
      <c r="AA43" s="25">
        <f>AA$40*Products!$E$22</f>
        <v/>
      </c>
      <c r="AB43" s="25">
        <f>AB$40*Products!$E$22</f>
        <v/>
      </c>
      <c r="AC43" s="25">
        <f>AC$40*Products!$E$22</f>
        <v/>
      </c>
      <c r="AD43" s="25">
        <f>AD$40*Products!$E$22</f>
        <v/>
      </c>
      <c r="AE43" s="25">
        <f>AE$40*Products!$E$22</f>
        <v/>
      </c>
      <c r="AF43" s="25">
        <f>AF$40*Products!$E$22</f>
        <v/>
      </c>
      <c r="AG43" s="25">
        <f>AG$40*Products!$E$22</f>
        <v/>
      </c>
      <c r="AH43" s="25">
        <f>AH$40*Products!$E$22</f>
        <v/>
      </c>
      <c r="AI43" s="25">
        <f>AI$40*Products!$E$22</f>
        <v/>
      </c>
      <c r="AJ43" s="25">
        <f>AJ$40*Products!$E$22</f>
        <v/>
      </c>
      <c r="AK43" s="25">
        <f>AK$40*Products!$E$22</f>
        <v/>
      </c>
      <c r="AL43" s="25">
        <f>AL$40*Products!$E$22</f>
        <v/>
      </c>
      <c r="AM43" s="25">
        <f>AM$40*Products!$E$22</f>
        <v/>
      </c>
      <c r="AN43" s="25">
        <f>AN$40*Products!$E$22</f>
        <v/>
      </c>
      <c r="AO43" s="25">
        <f>AO$40*Products!$E$22</f>
        <v/>
      </c>
      <c r="AP43" s="25">
        <f>AP$40*Products!$E$22</f>
        <v/>
      </c>
      <c r="AQ43" s="25">
        <f>AQ$40*Products!$E$22</f>
        <v/>
      </c>
      <c r="AR43" s="25">
        <f>AR$40*Products!$E$22</f>
        <v/>
      </c>
      <c r="AS43" s="25">
        <f>AS$40*Products!$E$22</f>
        <v/>
      </c>
      <c r="AT43" s="25">
        <f>AT$40*Products!$E$22</f>
        <v/>
      </c>
      <c r="AU43" s="25">
        <f>AU$40*Products!$E$22</f>
        <v/>
      </c>
      <c r="AV43" s="25">
        <f>AV$40*Products!$E$22</f>
        <v/>
      </c>
      <c r="AW43" s="25">
        <f>AW$40*Products!$E$22</f>
        <v/>
      </c>
      <c r="AX43" s="25">
        <f>AX$40*Products!$E$22</f>
        <v/>
      </c>
      <c r="AY43" s="25">
        <f>AY$40*Products!$E$22</f>
        <v/>
      </c>
      <c r="AZ43" s="25">
        <f>AZ$40*Products!$E$22</f>
        <v/>
      </c>
      <c r="BA43" s="25">
        <f>BA$40*Products!$E$22</f>
        <v/>
      </c>
      <c r="BB43" s="25">
        <f>BB$40*Products!$E$22</f>
        <v/>
      </c>
      <c r="BC43" s="25">
        <f>BC$40*Products!$E$22</f>
        <v/>
      </c>
      <c r="BD43" s="25">
        <f>BD$40*Products!$E$22</f>
        <v/>
      </c>
      <c r="BE43" s="25">
        <f>BE$40*Products!$E$22</f>
        <v/>
      </c>
      <c r="BF43" s="25">
        <f>BF$40*Products!$E$22</f>
        <v/>
      </c>
      <c r="BG43" s="25">
        <f>BG$40*Products!$E$22</f>
        <v/>
      </c>
      <c r="BH43" s="25">
        <f>BH$40*Products!$E$22</f>
        <v/>
      </c>
      <c r="BI43" s="25">
        <f>BI$40*Products!$E$22</f>
        <v/>
      </c>
      <c r="BJ43" s="25">
        <f>BJ$40*Products!$E$22</f>
        <v/>
      </c>
      <c r="BK43" s="25">
        <f>BK$40*Products!$E$22</f>
        <v/>
      </c>
      <c r="BL43" s="25">
        <f>BL$40*Products!$E$22</f>
        <v/>
      </c>
    </row>
    <row r="44">
      <c r="A44" s="44" t="inlineStr">
        <is>
          <t>Instalments due</t>
        </is>
      </c>
      <c r="B44" s="13" t="inlineStr">
        <is>
          <t>LCY</t>
        </is>
      </c>
      <c r="C44" s="45">
        <f>SUM(E44:BL44)</f>
        <v/>
      </c>
      <c r="E44" s="25">
        <f>Products!$E$18*SUMIFS($E$40:$BL$40,Timeline!$E$4:$BL$4,"&gt;="&amp;(E$4-Products!$E$9),Timeline!$E$4:$BL$4,"&lt;="&amp;(E$4-1))</f>
        <v/>
      </c>
      <c r="F44" s="25">
        <f>Products!$E$18*SUMIFS($E$40:$BL$40,Timeline!$E$4:$BL$4,"&gt;="&amp;(F$4-Products!$E$9),Timeline!$E$4:$BL$4,"&lt;="&amp;(F$4-1))</f>
        <v/>
      </c>
      <c r="G44" s="25">
        <f>Products!$E$18*SUMIFS($E$40:$BL$40,Timeline!$E$4:$BL$4,"&gt;="&amp;(G$4-Products!$E$9),Timeline!$E$4:$BL$4,"&lt;="&amp;(G$4-1))</f>
        <v/>
      </c>
      <c r="H44" s="25">
        <f>Products!$E$18*SUMIFS($E$40:$BL$40,Timeline!$E$4:$BL$4,"&gt;="&amp;(H$4-Products!$E$9),Timeline!$E$4:$BL$4,"&lt;="&amp;(H$4-1))</f>
        <v/>
      </c>
      <c r="I44" s="25">
        <f>Products!$E$18*SUMIFS($E$40:$BL$40,Timeline!$E$4:$BL$4,"&gt;="&amp;(I$4-Products!$E$9),Timeline!$E$4:$BL$4,"&lt;="&amp;(I$4-1))</f>
        <v/>
      </c>
      <c r="J44" s="25">
        <f>Products!$E$18*SUMIFS($E$40:$BL$40,Timeline!$E$4:$BL$4,"&gt;="&amp;(J$4-Products!$E$9),Timeline!$E$4:$BL$4,"&lt;="&amp;(J$4-1))</f>
        <v/>
      </c>
      <c r="K44" s="25">
        <f>Products!$E$18*SUMIFS($E$40:$BL$40,Timeline!$E$4:$BL$4,"&gt;="&amp;(K$4-Products!$E$9),Timeline!$E$4:$BL$4,"&lt;="&amp;(K$4-1))</f>
        <v/>
      </c>
      <c r="L44" s="25">
        <f>Products!$E$18*SUMIFS($E$40:$BL$40,Timeline!$E$4:$BL$4,"&gt;="&amp;(L$4-Products!$E$9),Timeline!$E$4:$BL$4,"&lt;="&amp;(L$4-1))</f>
        <v/>
      </c>
      <c r="M44" s="25">
        <f>Products!$E$18*SUMIFS($E$40:$BL$40,Timeline!$E$4:$BL$4,"&gt;="&amp;(M$4-Products!$E$9),Timeline!$E$4:$BL$4,"&lt;="&amp;(M$4-1))</f>
        <v/>
      </c>
      <c r="N44" s="25">
        <f>Products!$E$18*SUMIFS($E$40:$BL$40,Timeline!$E$4:$BL$4,"&gt;="&amp;(N$4-Products!$E$9),Timeline!$E$4:$BL$4,"&lt;="&amp;(N$4-1))</f>
        <v/>
      </c>
      <c r="O44" s="25">
        <f>Products!$E$18*SUMIFS($E$40:$BL$40,Timeline!$E$4:$BL$4,"&gt;="&amp;(O$4-Products!$E$9),Timeline!$E$4:$BL$4,"&lt;="&amp;(O$4-1))</f>
        <v/>
      </c>
      <c r="P44" s="25">
        <f>Products!$E$18*SUMIFS($E$40:$BL$40,Timeline!$E$4:$BL$4,"&gt;="&amp;(P$4-Products!$E$9),Timeline!$E$4:$BL$4,"&lt;="&amp;(P$4-1))</f>
        <v/>
      </c>
      <c r="Q44" s="25">
        <f>Products!$E$18*SUMIFS($E$40:$BL$40,Timeline!$E$4:$BL$4,"&gt;="&amp;(Q$4-Products!$E$9),Timeline!$E$4:$BL$4,"&lt;="&amp;(Q$4-1))</f>
        <v/>
      </c>
      <c r="R44" s="25">
        <f>Products!$E$18*SUMIFS($E$40:$BL$40,Timeline!$E$4:$BL$4,"&gt;="&amp;(R$4-Products!$E$9),Timeline!$E$4:$BL$4,"&lt;="&amp;(R$4-1))</f>
        <v/>
      </c>
      <c r="S44" s="25">
        <f>Products!$E$18*SUMIFS($E$40:$BL$40,Timeline!$E$4:$BL$4,"&gt;="&amp;(S$4-Products!$E$9),Timeline!$E$4:$BL$4,"&lt;="&amp;(S$4-1))</f>
        <v/>
      </c>
      <c r="T44" s="25">
        <f>Products!$E$18*SUMIFS($E$40:$BL$40,Timeline!$E$4:$BL$4,"&gt;="&amp;(T$4-Products!$E$9),Timeline!$E$4:$BL$4,"&lt;="&amp;(T$4-1))</f>
        <v/>
      </c>
      <c r="U44" s="25">
        <f>Products!$E$18*SUMIFS($E$40:$BL$40,Timeline!$E$4:$BL$4,"&gt;="&amp;(U$4-Products!$E$9),Timeline!$E$4:$BL$4,"&lt;="&amp;(U$4-1))</f>
        <v/>
      </c>
      <c r="V44" s="25">
        <f>Products!$E$18*SUMIFS($E$40:$BL$40,Timeline!$E$4:$BL$4,"&gt;="&amp;(V$4-Products!$E$9),Timeline!$E$4:$BL$4,"&lt;="&amp;(V$4-1))</f>
        <v/>
      </c>
      <c r="W44" s="25">
        <f>Products!$E$18*SUMIFS($E$40:$BL$40,Timeline!$E$4:$BL$4,"&gt;="&amp;(W$4-Products!$E$9),Timeline!$E$4:$BL$4,"&lt;="&amp;(W$4-1))</f>
        <v/>
      </c>
      <c r="X44" s="25">
        <f>Products!$E$18*SUMIFS($E$40:$BL$40,Timeline!$E$4:$BL$4,"&gt;="&amp;(X$4-Products!$E$9),Timeline!$E$4:$BL$4,"&lt;="&amp;(X$4-1))</f>
        <v/>
      </c>
      <c r="Y44" s="25">
        <f>Products!$E$18*SUMIFS($E$40:$BL$40,Timeline!$E$4:$BL$4,"&gt;="&amp;(Y$4-Products!$E$9),Timeline!$E$4:$BL$4,"&lt;="&amp;(Y$4-1))</f>
        <v/>
      </c>
      <c r="Z44" s="25">
        <f>Products!$E$18*SUMIFS($E$40:$BL$40,Timeline!$E$4:$BL$4,"&gt;="&amp;(Z$4-Products!$E$9),Timeline!$E$4:$BL$4,"&lt;="&amp;(Z$4-1))</f>
        <v/>
      </c>
      <c r="AA44" s="25">
        <f>Products!$E$18*SUMIFS($E$40:$BL$40,Timeline!$E$4:$BL$4,"&gt;="&amp;(AA$4-Products!$E$9),Timeline!$E$4:$BL$4,"&lt;="&amp;(AA$4-1))</f>
        <v/>
      </c>
      <c r="AB44" s="25">
        <f>Products!$E$18*SUMIFS($E$40:$BL$40,Timeline!$E$4:$BL$4,"&gt;="&amp;(AB$4-Products!$E$9),Timeline!$E$4:$BL$4,"&lt;="&amp;(AB$4-1))</f>
        <v/>
      </c>
      <c r="AC44" s="25">
        <f>Products!$E$18*SUMIFS($E$40:$BL$40,Timeline!$E$4:$BL$4,"&gt;="&amp;(AC$4-Products!$E$9),Timeline!$E$4:$BL$4,"&lt;="&amp;(AC$4-1))</f>
        <v/>
      </c>
      <c r="AD44" s="25">
        <f>Products!$E$18*SUMIFS($E$40:$BL$40,Timeline!$E$4:$BL$4,"&gt;="&amp;(AD$4-Products!$E$9),Timeline!$E$4:$BL$4,"&lt;="&amp;(AD$4-1))</f>
        <v/>
      </c>
      <c r="AE44" s="25">
        <f>Products!$E$18*SUMIFS($E$40:$BL$40,Timeline!$E$4:$BL$4,"&gt;="&amp;(AE$4-Products!$E$9),Timeline!$E$4:$BL$4,"&lt;="&amp;(AE$4-1))</f>
        <v/>
      </c>
      <c r="AF44" s="25">
        <f>Products!$E$18*SUMIFS($E$40:$BL$40,Timeline!$E$4:$BL$4,"&gt;="&amp;(AF$4-Products!$E$9),Timeline!$E$4:$BL$4,"&lt;="&amp;(AF$4-1))</f>
        <v/>
      </c>
      <c r="AG44" s="25">
        <f>Products!$E$18*SUMIFS($E$40:$BL$40,Timeline!$E$4:$BL$4,"&gt;="&amp;(AG$4-Products!$E$9),Timeline!$E$4:$BL$4,"&lt;="&amp;(AG$4-1))</f>
        <v/>
      </c>
      <c r="AH44" s="25">
        <f>Products!$E$18*SUMIFS($E$40:$BL$40,Timeline!$E$4:$BL$4,"&gt;="&amp;(AH$4-Products!$E$9),Timeline!$E$4:$BL$4,"&lt;="&amp;(AH$4-1))</f>
        <v/>
      </c>
      <c r="AI44" s="25">
        <f>Products!$E$18*SUMIFS($E$40:$BL$40,Timeline!$E$4:$BL$4,"&gt;="&amp;(AI$4-Products!$E$9),Timeline!$E$4:$BL$4,"&lt;="&amp;(AI$4-1))</f>
        <v/>
      </c>
      <c r="AJ44" s="25">
        <f>Products!$E$18*SUMIFS($E$40:$BL$40,Timeline!$E$4:$BL$4,"&gt;="&amp;(AJ$4-Products!$E$9),Timeline!$E$4:$BL$4,"&lt;="&amp;(AJ$4-1))</f>
        <v/>
      </c>
      <c r="AK44" s="25">
        <f>Products!$E$18*SUMIFS($E$40:$BL$40,Timeline!$E$4:$BL$4,"&gt;="&amp;(AK$4-Products!$E$9),Timeline!$E$4:$BL$4,"&lt;="&amp;(AK$4-1))</f>
        <v/>
      </c>
      <c r="AL44" s="25">
        <f>Products!$E$18*SUMIFS($E$40:$BL$40,Timeline!$E$4:$BL$4,"&gt;="&amp;(AL$4-Products!$E$9),Timeline!$E$4:$BL$4,"&lt;="&amp;(AL$4-1))</f>
        <v/>
      </c>
      <c r="AM44" s="25">
        <f>Products!$E$18*SUMIFS($E$40:$BL$40,Timeline!$E$4:$BL$4,"&gt;="&amp;(AM$4-Products!$E$9),Timeline!$E$4:$BL$4,"&lt;="&amp;(AM$4-1))</f>
        <v/>
      </c>
      <c r="AN44" s="25">
        <f>Products!$E$18*SUMIFS($E$40:$BL$40,Timeline!$E$4:$BL$4,"&gt;="&amp;(AN$4-Products!$E$9),Timeline!$E$4:$BL$4,"&lt;="&amp;(AN$4-1))</f>
        <v/>
      </c>
      <c r="AO44" s="25">
        <f>Products!$E$18*SUMIFS($E$40:$BL$40,Timeline!$E$4:$BL$4,"&gt;="&amp;(AO$4-Products!$E$9),Timeline!$E$4:$BL$4,"&lt;="&amp;(AO$4-1))</f>
        <v/>
      </c>
      <c r="AP44" s="25">
        <f>Products!$E$18*SUMIFS($E$40:$BL$40,Timeline!$E$4:$BL$4,"&gt;="&amp;(AP$4-Products!$E$9),Timeline!$E$4:$BL$4,"&lt;="&amp;(AP$4-1))</f>
        <v/>
      </c>
      <c r="AQ44" s="25">
        <f>Products!$E$18*SUMIFS($E$40:$BL$40,Timeline!$E$4:$BL$4,"&gt;="&amp;(AQ$4-Products!$E$9),Timeline!$E$4:$BL$4,"&lt;="&amp;(AQ$4-1))</f>
        <v/>
      </c>
      <c r="AR44" s="25">
        <f>Products!$E$18*SUMIFS($E$40:$BL$40,Timeline!$E$4:$BL$4,"&gt;="&amp;(AR$4-Products!$E$9),Timeline!$E$4:$BL$4,"&lt;="&amp;(AR$4-1))</f>
        <v/>
      </c>
      <c r="AS44" s="25">
        <f>Products!$E$18*SUMIFS($E$40:$BL$40,Timeline!$E$4:$BL$4,"&gt;="&amp;(AS$4-Products!$E$9),Timeline!$E$4:$BL$4,"&lt;="&amp;(AS$4-1))</f>
        <v/>
      </c>
      <c r="AT44" s="25">
        <f>Products!$E$18*SUMIFS($E$40:$BL$40,Timeline!$E$4:$BL$4,"&gt;="&amp;(AT$4-Products!$E$9),Timeline!$E$4:$BL$4,"&lt;="&amp;(AT$4-1))</f>
        <v/>
      </c>
      <c r="AU44" s="25">
        <f>Products!$E$18*SUMIFS($E$40:$BL$40,Timeline!$E$4:$BL$4,"&gt;="&amp;(AU$4-Products!$E$9),Timeline!$E$4:$BL$4,"&lt;="&amp;(AU$4-1))</f>
        <v/>
      </c>
      <c r="AV44" s="25">
        <f>Products!$E$18*SUMIFS($E$40:$BL$40,Timeline!$E$4:$BL$4,"&gt;="&amp;(AV$4-Products!$E$9),Timeline!$E$4:$BL$4,"&lt;="&amp;(AV$4-1))</f>
        <v/>
      </c>
      <c r="AW44" s="25">
        <f>Products!$E$18*SUMIFS($E$40:$BL$40,Timeline!$E$4:$BL$4,"&gt;="&amp;(AW$4-Products!$E$9),Timeline!$E$4:$BL$4,"&lt;="&amp;(AW$4-1))</f>
        <v/>
      </c>
      <c r="AX44" s="25">
        <f>Products!$E$18*SUMIFS($E$40:$BL$40,Timeline!$E$4:$BL$4,"&gt;="&amp;(AX$4-Products!$E$9),Timeline!$E$4:$BL$4,"&lt;="&amp;(AX$4-1))</f>
        <v/>
      </c>
      <c r="AY44" s="25">
        <f>Products!$E$18*SUMIFS($E$40:$BL$40,Timeline!$E$4:$BL$4,"&gt;="&amp;(AY$4-Products!$E$9),Timeline!$E$4:$BL$4,"&lt;="&amp;(AY$4-1))</f>
        <v/>
      </c>
      <c r="AZ44" s="25">
        <f>Products!$E$18*SUMIFS($E$40:$BL$40,Timeline!$E$4:$BL$4,"&gt;="&amp;(AZ$4-Products!$E$9),Timeline!$E$4:$BL$4,"&lt;="&amp;(AZ$4-1))</f>
        <v/>
      </c>
      <c r="BA44" s="25">
        <f>Products!$E$18*SUMIFS($E$40:$BL$40,Timeline!$E$4:$BL$4,"&gt;="&amp;(BA$4-Products!$E$9),Timeline!$E$4:$BL$4,"&lt;="&amp;(BA$4-1))</f>
        <v/>
      </c>
      <c r="BB44" s="25">
        <f>Products!$E$18*SUMIFS($E$40:$BL$40,Timeline!$E$4:$BL$4,"&gt;="&amp;(BB$4-Products!$E$9),Timeline!$E$4:$BL$4,"&lt;="&amp;(BB$4-1))</f>
        <v/>
      </c>
      <c r="BC44" s="25">
        <f>Products!$E$18*SUMIFS($E$40:$BL$40,Timeline!$E$4:$BL$4,"&gt;="&amp;(BC$4-Products!$E$9),Timeline!$E$4:$BL$4,"&lt;="&amp;(BC$4-1))</f>
        <v/>
      </c>
      <c r="BD44" s="25">
        <f>Products!$E$18*SUMIFS($E$40:$BL$40,Timeline!$E$4:$BL$4,"&gt;="&amp;(BD$4-Products!$E$9),Timeline!$E$4:$BL$4,"&lt;="&amp;(BD$4-1))</f>
        <v/>
      </c>
      <c r="BE44" s="25">
        <f>Products!$E$18*SUMIFS($E$40:$BL$40,Timeline!$E$4:$BL$4,"&gt;="&amp;(BE$4-Products!$E$9),Timeline!$E$4:$BL$4,"&lt;="&amp;(BE$4-1))</f>
        <v/>
      </c>
      <c r="BF44" s="25">
        <f>Products!$E$18*SUMIFS($E$40:$BL$40,Timeline!$E$4:$BL$4,"&gt;="&amp;(BF$4-Products!$E$9),Timeline!$E$4:$BL$4,"&lt;="&amp;(BF$4-1))</f>
        <v/>
      </c>
      <c r="BG44" s="25">
        <f>Products!$E$18*SUMIFS($E$40:$BL$40,Timeline!$E$4:$BL$4,"&gt;="&amp;(BG$4-Products!$E$9),Timeline!$E$4:$BL$4,"&lt;="&amp;(BG$4-1))</f>
        <v/>
      </c>
      <c r="BH44" s="25">
        <f>Products!$E$18*SUMIFS($E$40:$BL$40,Timeline!$E$4:$BL$4,"&gt;="&amp;(BH$4-Products!$E$9),Timeline!$E$4:$BL$4,"&lt;="&amp;(BH$4-1))</f>
        <v/>
      </c>
      <c r="BI44" s="25">
        <f>Products!$E$18*SUMIFS($E$40:$BL$40,Timeline!$E$4:$BL$4,"&gt;="&amp;(BI$4-Products!$E$9),Timeline!$E$4:$BL$4,"&lt;="&amp;(BI$4-1))</f>
        <v/>
      </c>
      <c r="BJ44" s="25">
        <f>Products!$E$18*SUMIFS($E$40:$BL$40,Timeline!$E$4:$BL$4,"&gt;="&amp;(BJ$4-Products!$E$9),Timeline!$E$4:$BL$4,"&lt;="&amp;(BJ$4-1))</f>
        <v/>
      </c>
      <c r="BK44" s="25">
        <f>Products!$E$18*SUMIFS($E$40:$BL$40,Timeline!$E$4:$BL$4,"&gt;="&amp;(BK$4-Products!$E$9),Timeline!$E$4:$BL$4,"&lt;="&amp;(BK$4-1))</f>
        <v/>
      </c>
      <c r="BL44" s="25">
        <f>Products!$E$18*SUMIFS($E$40:$BL$40,Timeline!$E$4:$BL$4,"&gt;="&amp;(BL$4-Products!$E$9),Timeline!$E$4:$BL$4,"&lt;="&amp;(BL$4-1))</f>
        <v/>
      </c>
    </row>
    <row r="45">
      <c r="A45" s="44" t="inlineStr">
        <is>
          <t>Instalments collected</t>
        </is>
      </c>
      <c r="B45" s="13" t="inlineStr">
        <is>
          <t>LCY</t>
        </is>
      </c>
      <c r="C45" s="45">
        <f>SUM(E45:BL45)</f>
        <v/>
      </c>
      <c r="E45" s="46">
        <f>Cohort_P3!E$9</f>
        <v/>
      </c>
      <c r="F45" s="46">
        <f>Cohort_P3!F$9</f>
        <v/>
      </c>
      <c r="G45" s="46">
        <f>Cohort_P3!G$9</f>
        <v/>
      </c>
      <c r="H45" s="46">
        <f>Cohort_P3!H$9</f>
        <v/>
      </c>
      <c r="I45" s="46">
        <f>Cohort_P3!I$9</f>
        <v/>
      </c>
      <c r="J45" s="46">
        <f>Cohort_P3!J$9</f>
        <v/>
      </c>
      <c r="K45" s="46">
        <f>Cohort_P3!K$9</f>
        <v/>
      </c>
      <c r="L45" s="46">
        <f>Cohort_P3!L$9</f>
        <v/>
      </c>
      <c r="M45" s="46">
        <f>Cohort_P3!M$9</f>
        <v/>
      </c>
      <c r="N45" s="46">
        <f>Cohort_P3!N$9</f>
        <v/>
      </c>
      <c r="O45" s="46">
        <f>Cohort_P3!O$9</f>
        <v/>
      </c>
      <c r="P45" s="46">
        <f>Cohort_P3!P$9</f>
        <v/>
      </c>
      <c r="Q45" s="46">
        <f>Cohort_P3!Q$9</f>
        <v/>
      </c>
      <c r="R45" s="46">
        <f>Cohort_P3!R$9</f>
        <v/>
      </c>
      <c r="S45" s="46">
        <f>Cohort_P3!S$9</f>
        <v/>
      </c>
      <c r="T45" s="46">
        <f>Cohort_P3!T$9</f>
        <v/>
      </c>
      <c r="U45" s="46">
        <f>Cohort_P3!U$9</f>
        <v/>
      </c>
      <c r="V45" s="46">
        <f>Cohort_P3!V$9</f>
        <v/>
      </c>
      <c r="W45" s="46">
        <f>Cohort_P3!W$9</f>
        <v/>
      </c>
      <c r="X45" s="46">
        <f>Cohort_P3!X$9</f>
        <v/>
      </c>
      <c r="Y45" s="46">
        <f>Cohort_P3!Y$9</f>
        <v/>
      </c>
      <c r="Z45" s="46">
        <f>Cohort_P3!Z$9</f>
        <v/>
      </c>
      <c r="AA45" s="46">
        <f>Cohort_P3!AA$9</f>
        <v/>
      </c>
      <c r="AB45" s="46">
        <f>Cohort_P3!AB$9</f>
        <v/>
      </c>
      <c r="AC45" s="46">
        <f>Cohort_P3!AC$9</f>
        <v/>
      </c>
      <c r="AD45" s="46">
        <f>Cohort_P3!AD$9</f>
        <v/>
      </c>
      <c r="AE45" s="46">
        <f>Cohort_P3!AE$9</f>
        <v/>
      </c>
      <c r="AF45" s="46">
        <f>Cohort_P3!AF$9</f>
        <v/>
      </c>
      <c r="AG45" s="46">
        <f>Cohort_P3!AG$9</f>
        <v/>
      </c>
      <c r="AH45" s="46">
        <f>Cohort_P3!AH$9</f>
        <v/>
      </c>
      <c r="AI45" s="46">
        <f>Cohort_P3!AI$9</f>
        <v/>
      </c>
      <c r="AJ45" s="46">
        <f>Cohort_P3!AJ$9</f>
        <v/>
      </c>
      <c r="AK45" s="46">
        <f>Cohort_P3!AK$9</f>
        <v/>
      </c>
      <c r="AL45" s="46">
        <f>Cohort_P3!AL$9</f>
        <v/>
      </c>
      <c r="AM45" s="46">
        <f>Cohort_P3!AM$9</f>
        <v/>
      </c>
      <c r="AN45" s="46">
        <f>Cohort_P3!AN$9</f>
        <v/>
      </c>
      <c r="AO45" s="46">
        <f>Cohort_P3!AO$9</f>
        <v/>
      </c>
      <c r="AP45" s="46">
        <f>Cohort_P3!AP$9</f>
        <v/>
      </c>
      <c r="AQ45" s="46">
        <f>Cohort_P3!AQ$9</f>
        <v/>
      </c>
      <c r="AR45" s="46">
        <f>Cohort_P3!AR$9</f>
        <v/>
      </c>
      <c r="AS45" s="46">
        <f>Cohort_P3!AS$9</f>
        <v/>
      </c>
      <c r="AT45" s="46">
        <f>Cohort_P3!AT$9</f>
        <v/>
      </c>
      <c r="AU45" s="46">
        <f>Cohort_P3!AU$9</f>
        <v/>
      </c>
      <c r="AV45" s="46">
        <f>Cohort_P3!AV$9</f>
        <v/>
      </c>
      <c r="AW45" s="46">
        <f>Cohort_P3!AW$9</f>
        <v/>
      </c>
      <c r="AX45" s="46">
        <f>Cohort_P3!AX$9</f>
        <v/>
      </c>
      <c r="AY45" s="46">
        <f>Cohort_P3!AY$9</f>
        <v/>
      </c>
      <c r="AZ45" s="46">
        <f>Cohort_P3!AZ$9</f>
        <v/>
      </c>
      <c r="BA45" s="46">
        <f>Cohort_P3!BA$9</f>
        <v/>
      </c>
      <c r="BB45" s="46">
        <f>Cohort_P3!BB$9</f>
        <v/>
      </c>
      <c r="BC45" s="46">
        <f>Cohort_P3!BC$9</f>
        <v/>
      </c>
      <c r="BD45" s="46">
        <f>Cohort_P3!BD$9</f>
        <v/>
      </c>
      <c r="BE45" s="46">
        <f>Cohort_P3!BE$9</f>
        <v/>
      </c>
      <c r="BF45" s="46">
        <f>Cohort_P3!BF$9</f>
        <v/>
      </c>
      <c r="BG45" s="46">
        <f>Cohort_P3!BG$9</f>
        <v/>
      </c>
      <c r="BH45" s="46">
        <f>Cohort_P3!BH$9</f>
        <v/>
      </c>
      <c r="BI45" s="46">
        <f>Cohort_P3!BI$9</f>
        <v/>
      </c>
      <c r="BJ45" s="46">
        <f>Cohort_P3!BJ$9</f>
        <v/>
      </c>
      <c r="BK45" s="46">
        <f>Cohort_P3!BK$9</f>
        <v/>
      </c>
      <c r="BL45" s="46">
        <f>Cohort_P3!BL$9</f>
        <v/>
      </c>
    </row>
    <row r="46">
      <c r="A46" s="44" t="inlineStr">
        <is>
          <t>Missed instalments written off</t>
        </is>
      </c>
      <c r="B46" s="13" t="inlineStr">
        <is>
          <t>LCY</t>
        </is>
      </c>
      <c r="C46" s="45">
        <f>SUM(E46:BL46)</f>
        <v/>
      </c>
      <c r="E46" s="25">
        <f>E$44-E$45</f>
        <v/>
      </c>
      <c r="F46" s="25">
        <f>F$44-F$45</f>
        <v/>
      </c>
      <c r="G46" s="25">
        <f>G$44-G$45</f>
        <v/>
      </c>
      <c r="H46" s="25">
        <f>H$44-H$45</f>
        <v/>
      </c>
      <c r="I46" s="25">
        <f>I$44-I$45</f>
        <v/>
      </c>
      <c r="J46" s="25">
        <f>J$44-J$45</f>
        <v/>
      </c>
      <c r="K46" s="25">
        <f>K$44-K$45</f>
        <v/>
      </c>
      <c r="L46" s="25">
        <f>L$44-L$45</f>
        <v/>
      </c>
      <c r="M46" s="25">
        <f>M$44-M$45</f>
        <v/>
      </c>
      <c r="N46" s="25">
        <f>N$44-N$45</f>
        <v/>
      </c>
      <c r="O46" s="25">
        <f>O$44-O$45</f>
        <v/>
      </c>
      <c r="P46" s="25">
        <f>P$44-P$45</f>
        <v/>
      </c>
      <c r="Q46" s="25">
        <f>Q$44-Q$45</f>
        <v/>
      </c>
      <c r="R46" s="25">
        <f>R$44-R$45</f>
        <v/>
      </c>
      <c r="S46" s="25">
        <f>S$44-S$45</f>
        <v/>
      </c>
      <c r="T46" s="25">
        <f>T$44-T$45</f>
        <v/>
      </c>
      <c r="U46" s="25">
        <f>U$44-U$45</f>
        <v/>
      </c>
      <c r="V46" s="25">
        <f>V$44-V$45</f>
        <v/>
      </c>
      <c r="W46" s="25">
        <f>W$44-W$45</f>
        <v/>
      </c>
      <c r="X46" s="25">
        <f>X$44-X$45</f>
        <v/>
      </c>
      <c r="Y46" s="25">
        <f>Y$44-Y$45</f>
        <v/>
      </c>
      <c r="Z46" s="25">
        <f>Z$44-Z$45</f>
        <v/>
      </c>
      <c r="AA46" s="25">
        <f>AA$44-AA$45</f>
        <v/>
      </c>
      <c r="AB46" s="25">
        <f>AB$44-AB$45</f>
        <v/>
      </c>
      <c r="AC46" s="25">
        <f>AC$44-AC$45</f>
        <v/>
      </c>
      <c r="AD46" s="25">
        <f>AD$44-AD$45</f>
        <v/>
      </c>
      <c r="AE46" s="25">
        <f>AE$44-AE$45</f>
        <v/>
      </c>
      <c r="AF46" s="25">
        <f>AF$44-AF$45</f>
        <v/>
      </c>
      <c r="AG46" s="25">
        <f>AG$44-AG$45</f>
        <v/>
      </c>
      <c r="AH46" s="25">
        <f>AH$44-AH$45</f>
        <v/>
      </c>
      <c r="AI46" s="25">
        <f>AI$44-AI$45</f>
        <v/>
      </c>
      <c r="AJ46" s="25">
        <f>AJ$44-AJ$45</f>
        <v/>
      </c>
      <c r="AK46" s="25">
        <f>AK$44-AK$45</f>
        <v/>
      </c>
      <c r="AL46" s="25">
        <f>AL$44-AL$45</f>
        <v/>
      </c>
      <c r="AM46" s="25">
        <f>AM$44-AM$45</f>
        <v/>
      </c>
      <c r="AN46" s="25">
        <f>AN$44-AN$45</f>
        <v/>
      </c>
      <c r="AO46" s="25">
        <f>AO$44-AO$45</f>
        <v/>
      </c>
      <c r="AP46" s="25">
        <f>AP$44-AP$45</f>
        <v/>
      </c>
      <c r="AQ46" s="25">
        <f>AQ$44-AQ$45</f>
        <v/>
      </c>
      <c r="AR46" s="25">
        <f>AR$44-AR$45</f>
        <v/>
      </c>
      <c r="AS46" s="25">
        <f>AS$44-AS$45</f>
        <v/>
      </c>
      <c r="AT46" s="25">
        <f>AT$44-AT$45</f>
        <v/>
      </c>
      <c r="AU46" s="25">
        <f>AU$44-AU$45</f>
        <v/>
      </c>
      <c r="AV46" s="25">
        <f>AV$44-AV$45</f>
        <v/>
      </c>
      <c r="AW46" s="25">
        <f>AW$44-AW$45</f>
        <v/>
      </c>
      <c r="AX46" s="25">
        <f>AX$44-AX$45</f>
        <v/>
      </c>
      <c r="AY46" s="25">
        <f>AY$44-AY$45</f>
        <v/>
      </c>
      <c r="AZ46" s="25">
        <f>AZ$44-AZ$45</f>
        <v/>
      </c>
      <c r="BA46" s="25">
        <f>BA$44-BA$45</f>
        <v/>
      </c>
      <c r="BB46" s="25">
        <f>BB$44-BB$45</f>
        <v/>
      </c>
      <c r="BC46" s="25">
        <f>BC$44-BC$45</f>
        <v/>
      </c>
      <c r="BD46" s="25">
        <f>BD$44-BD$45</f>
        <v/>
      </c>
      <c r="BE46" s="25">
        <f>BE$44-BE$45</f>
        <v/>
      </c>
      <c r="BF46" s="25">
        <f>BF$44-BF$45</f>
        <v/>
      </c>
      <c r="BG46" s="25">
        <f>BG$44-BG$45</f>
        <v/>
      </c>
      <c r="BH46" s="25">
        <f>BH$44-BH$45</f>
        <v/>
      </c>
      <c r="BI46" s="25">
        <f>BI$44-BI$45</f>
        <v/>
      </c>
      <c r="BJ46" s="25">
        <f>BJ$44-BJ$45</f>
        <v/>
      </c>
      <c r="BK46" s="25">
        <f>BK$44-BK$45</f>
        <v/>
      </c>
      <c r="BL46" s="25">
        <f>BL$44-BL$45</f>
        <v/>
      </c>
    </row>
    <row r="47">
      <c r="A47" s="44" t="inlineStr">
        <is>
          <t>PAYGo financing income (straight-line over tenor)</t>
        </is>
      </c>
      <c r="B47" s="13" t="inlineStr">
        <is>
          <t>LCY</t>
        </is>
      </c>
      <c r="C47" s="45">
        <f>SUM(E47:BL47)</f>
        <v/>
      </c>
      <c r="E47" s="25">
        <f>IF(Products!$E$9=0,0,Products!$E$20/Products!$E$9*SUMIFS($E$40:$BL$40,Timeline!$E$4:$BL$4,"&gt;="&amp;(E$4-Products!$E$9),Timeline!$E$4:$BL$4,"&lt;="&amp;(E$4-1)))</f>
        <v/>
      </c>
      <c r="F47" s="25">
        <f>IF(Products!$E$9=0,0,Products!$E$20/Products!$E$9*SUMIFS($E$40:$BL$40,Timeline!$E$4:$BL$4,"&gt;="&amp;(F$4-Products!$E$9),Timeline!$E$4:$BL$4,"&lt;="&amp;(F$4-1)))</f>
        <v/>
      </c>
      <c r="G47" s="25">
        <f>IF(Products!$E$9=0,0,Products!$E$20/Products!$E$9*SUMIFS($E$40:$BL$40,Timeline!$E$4:$BL$4,"&gt;="&amp;(G$4-Products!$E$9),Timeline!$E$4:$BL$4,"&lt;="&amp;(G$4-1)))</f>
        <v/>
      </c>
      <c r="H47" s="25">
        <f>IF(Products!$E$9=0,0,Products!$E$20/Products!$E$9*SUMIFS($E$40:$BL$40,Timeline!$E$4:$BL$4,"&gt;="&amp;(H$4-Products!$E$9),Timeline!$E$4:$BL$4,"&lt;="&amp;(H$4-1)))</f>
        <v/>
      </c>
      <c r="I47" s="25">
        <f>IF(Products!$E$9=0,0,Products!$E$20/Products!$E$9*SUMIFS($E$40:$BL$40,Timeline!$E$4:$BL$4,"&gt;="&amp;(I$4-Products!$E$9),Timeline!$E$4:$BL$4,"&lt;="&amp;(I$4-1)))</f>
        <v/>
      </c>
      <c r="J47" s="25">
        <f>IF(Products!$E$9=0,0,Products!$E$20/Products!$E$9*SUMIFS($E$40:$BL$40,Timeline!$E$4:$BL$4,"&gt;="&amp;(J$4-Products!$E$9),Timeline!$E$4:$BL$4,"&lt;="&amp;(J$4-1)))</f>
        <v/>
      </c>
      <c r="K47" s="25">
        <f>IF(Products!$E$9=0,0,Products!$E$20/Products!$E$9*SUMIFS($E$40:$BL$40,Timeline!$E$4:$BL$4,"&gt;="&amp;(K$4-Products!$E$9),Timeline!$E$4:$BL$4,"&lt;="&amp;(K$4-1)))</f>
        <v/>
      </c>
      <c r="L47" s="25">
        <f>IF(Products!$E$9=0,0,Products!$E$20/Products!$E$9*SUMIFS($E$40:$BL$40,Timeline!$E$4:$BL$4,"&gt;="&amp;(L$4-Products!$E$9),Timeline!$E$4:$BL$4,"&lt;="&amp;(L$4-1)))</f>
        <v/>
      </c>
      <c r="M47" s="25">
        <f>IF(Products!$E$9=0,0,Products!$E$20/Products!$E$9*SUMIFS($E$40:$BL$40,Timeline!$E$4:$BL$4,"&gt;="&amp;(M$4-Products!$E$9),Timeline!$E$4:$BL$4,"&lt;="&amp;(M$4-1)))</f>
        <v/>
      </c>
      <c r="N47" s="25">
        <f>IF(Products!$E$9=0,0,Products!$E$20/Products!$E$9*SUMIFS($E$40:$BL$40,Timeline!$E$4:$BL$4,"&gt;="&amp;(N$4-Products!$E$9),Timeline!$E$4:$BL$4,"&lt;="&amp;(N$4-1)))</f>
        <v/>
      </c>
      <c r="O47" s="25">
        <f>IF(Products!$E$9=0,0,Products!$E$20/Products!$E$9*SUMIFS($E$40:$BL$40,Timeline!$E$4:$BL$4,"&gt;="&amp;(O$4-Products!$E$9),Timeline!$E$4:$BL$4,"&lt;="&amp;(O$4-1)))</f>
        <v/>
      </c>
      <c r="P47" s="25">
        <f>IF(Products!$E$9=0,0,Products!$E$20/Products!$E$9*SUMIFS($E$40:$BL$40,Timeline!$E$4:$BL$4,"&gt;="&amp;(P$4-Products!$E$9),Timeline!$E$4:$BL$4,"&lt;="&amp;(P$4-1)))</f>
        <v/>
      </c>
      <c r="Q47" s="25">
        <f>IF(Products!$E$9=0,0,Products!$E$20/Products!$E$9*SUMIFS($E$40:$BL$40,Timeline!$E$4:$BL$4,"&gt;="&amp;(Q$4-Products!$E$9),Timeline!$E$4:$BL$4,"&lt;="&amp;(Q$4-1)))</f>
        <v/>
      </c>
      <c r="R47" s="25">
        <f>IF(Products!$E$9=0,0,Products!$E$20/Products!$E$9*SUMIFS($E$40:$BL$40,Timeline!$E$4:$BL$4,"&gt;="&amp;(R$4-Products!$E$9),Timeline!$E$4:$BL$4,"&lt;="&amp;(R$4-1)))</f>
        <v/>
      </c>
      <c r="S47" s="25">
        <f>IF(Products!$E$9=0,0,Products!$E$20/Products!$E$9*SUMIFS($E$40:$BL$40,Timeline!$E$4:$BL$4,"&gt;="&amp;(S$4-Products!$E$9),Timeline!$E$4:$BL$4,"&lt;="&amp;(S$4-1)))</f>
        <v/>
      </c>
      <c r="T47" s="25">
        <f>IF(Products!$E$9=0,0,Products!$E$20/Products!$E$9*SUMIFS($E$40:$BL$40,Timeline!$E$4:$BL$4,"&gt;="&amp;(T$4-Products!$E$9),Timeline!$E$4:$BL$4,"&lt;="&amp;(T$4-1)))</f>
        <v/>
      </c>
      <c r="U47" s="25">
        <f>IF(Products!$E$9=0,0,Products!$E$20/Products!$E$9*SUMIFS($E$40:$BL$40,Timeline!$E$4:$BL$4,"&gt;="&amp;(U$4-Products!$E$9),Timeline!$E$4:$BL$4,"&lt;="&amp;(U$4-1)))</f>
        <v/>
      </c>
      <c r="V47" s="25">
        <f>IF(Products!$E$9=0,0,Products!$E$20/Products!$E$9*SUMIFS($E$40:$BL$40,Timeline!$E$4:$BL$4,"&gt;="&amp;(V$4-Products!$E$9),Timeline!$E$4:$BL$4,"&lt;="&amp;(V$4-1)))</f>
        <v/>
      </c>
      <c r="W47" s="25">
        <f>IF(Products!$E$9=0,0,Products!$E$20/Products!$E$9*SUMIFS($E$40:$BL$40,Timeline!$E$4:$BL$4,"&gt;="&amp;(W$4-Products!$E$9),Timeline!$E$4:$BL$4,"&lt;="&amp;(W$4-1)))</f>
        <v/>
      </c>
      <c r="X47" s="25">
        <f>IF(Products!$E$9=0,0,Products!$E$20/Products!$E$9*SUMIFS($E$40:$BL$40,Timeline!$E$4:$BL$4,"&gt;="&amp;(X$4-Products!$E$9),Timeline!$E$4:$BL$4,"&lt;="&amp;(X$4-1)))</f>
        <v/>
      </c>
      <c r="Y47" s="25">
        <f>IF(Products!$E$9=0,0,Products!$E$20/Products!$E$9*SUMIFS($E$40:$BL$40,Timeline!$E$4:$BL$4,"&gt;="&amp;(Y$4-Products!$E$9),Timeline!$E$4:$BL$4,"&lt;="&amp;(Y$4-1)))</f>
        <v/>
      </c>
      <c r="Z47" s="25">
        <f>IF(Products!$E$9=0,0,Products!$E$20/Products!$E$9*SUMIFS($E$40:$BL$40,Timeline!$E$4:$BL$4,"&gt;="&amp;(Z$4-Products!$E$9),Timeline!$E$4:$BL$4,"&lt;="&amp;(Z$4-1)))</f>
        <v/>
      </c>
      <c r="AA47" s="25">
        <f>IF(Products!$E$9=0,0,Products!$E$20/Products!$E$9*SUMIFS($E$40:$BL$40,Timeline!$E$4:$BL$4,"&gt;="&amp;(AA$4-Products!$E$9),Timeline!$E$4:$BL$4,"&lt;="&amp;(AA$4-1)))</f>
        <v/>
      </c>
      <c r="AB47" s="25">
        <f>IF(Products!$E$9=0,0,Products!$E$20/Products!$E$9*SUMIFS($E$40:$BL$40,Timeline!$E$4:$BL$4,"&gt;="&amp;(AB$4-Products!$E$9),Timeline!$E$4:$BL$4,"&lt;="&amp;(AB$4-1)))</f>
        <v/>
      </c>
      <c r="AC47" s="25">
        <f>IF(Products!$E$9=0,0,Products!$E$20/Products!$E$9*SUMIFS($E$40:$BL$40,Timeline!$E$4:$BL$4,"&gt;="&amp;(AC$4-Products!$E$9),Timeline!$E$4:$BL$4,"&lt;="&amp;(AC$4-1)))</f>
        <v/>
      </c>
      <c r="AD47" s="25">
        <f>IF(Products!$E$9=0,0,Products!$E$20/Products!$E$9*SUMIFS($E$40:$BL$40,Timeline!$E$4:$BL$4,"&gt;="&amp;(AD$4-Products!$E$9),Timeline!$E$4:$BL$4,"&lt;="&amp;(AD$4-1)))</f>
        <v/>
      </c>
      <c r="AE47" s="25">
        <f>IF(Products!$E$9=0,0,Products!$E$20/Products!$E$9*SUMIFS($E$40:$BL$40,Timeline!$E$4:$BL$4,"&gt;="&amp;(AE$4-Products!$E$9),Timeline!$E$4:$BL$4,"&lt;="&amp;(AE$4-1)))</f>
        <v/>
      </c>
      <c r="AF47" s="25">
        <f>IF(Products!$E$9=0,0,Products!$E$20/Products!$E$9*SUMIFS($E$40:$BL$40,Timeline!$E$4:$BL$4,"&gt;="&amp;(AF$4-Products!$E$9),Timeline!$E$4:$BL$4,"&lt;="&amp;(AF$4-1)))</f>
        <v/>
      </c>
      <c r="AG47" s="25">
        <f>IF(Products!$E$9=0,0,Products!$E$20/Products!$E$9*SUMIFS($E$40:$BL$40,Timeline!$E$4:$BL$4,"&gt;="&amp;(AG$4-Products!$E$9),Timeline!$E$4:$BL$4,"&lt;="&amp;(AG$4-1)))</f>
        <v/>
      </c>
      <c r="AH47" s="25">
        <f>IF(Products!$E$9=0,0,Products!$E$20/Products!$E$9*SUMIFS($E$40:$BL$40,Timeline!$E$4:$BL$4,"&gt;="&amp;(AH$4-Products!$E$9),Timeline!$E$4:$BL$4,"&lt;="&amp;(AH$4-1)))</f>
        <v/>
      </c>
      <c r="AI47" s="25">
        <f>IF(Products!$E$9=0,0,Products!$E$20/Products!$E$9*SUMIFS($E$40:$BL$40,Timeline!$E$4:$BL$4,"&gt;="&amp;(AI$4-Products!$E$9),Timeline!$E$4:$BL$4,"&lt;="&amp;(AI$4-1)))</f>
        <v/>
      </c>
      <c r="AJ47" s="25">
        <f>IF(Products!$E$9=0,0,Products!$E$20/Products!$E$9*SUMIFS($E$40:$BL$40,Timeline!$E$4:$BL$4,"&gt;="&amp;(AJ$4-Products!$E$9),Timeline!$E$4:$BL$4,"&lt;="&amp;(AJ$4-1)))</f>
        <v/>
      </c>
      <c r="AK47" s="25">
        <f>IF(Products!$E$9=0,0,Products!$E$20/Products!$E$9*SUMIFS($E$40:$BL$40,Timeline!$E$4:$BL$4,"&gt;="&amp;(AK$4-Products!$E$9),Timeline!$E$4:$BL$4,"&lt;="&amp;(AK$4-1)))</f>
        <v/>
      </c>
      <c r="AL47" s="25">
        <f>IF(Products!$E$9=0,0,Products!$E$20/Products!$E$9*SUMIFS($E$40:$BL$40,Timeline!$E$4:$BL$4,"&gt;="&amp;(AL$4-Products!$E$9),Timeline!$E$4:$BL$4,"&lt;="&amp;(AL$4-1)))</f>
        <v/>
      </c>
      <c r="AM47" s="25">
        <f>IF(Products!$E$9=0,0,Products!$E$20/Products!$E$9*SUMIFS($E$40:$BL$40,Timeline!$E$4:$BL$4,"&gt;="&amp;(AM$4-Products!$E$9),Timeline!$E$4:$BL$4,"&lt;="&amp;(AM$4-1)))</f>
        <v/>
      </c>
      <c r="AN47" s="25">
        <f>IF(Products!$E$9=0,0,Products!$E$20/Products!$E$9*SUMIFS($E$40:$BL$40,Timeline!$E$4:$BL$4,"&gt;="&amp;(AN$4-Products!$E$9),Timeline!$E$4:$BL$4,"&lt;="&amp;(AN$4-1)))</f>
        <v/>
      </c>
      <c r="AO47" s="25">
        <f>IF(Products!$E$9=0,0,Products!$E$20/Products!$E$9*SUMIFS($E$40:$BL$40,Timeline!$E$4:$BL$4,"&gt;="&amp;(AO$4-Products!$E$9),Timeline!$E$4:$BL$4,"&lt;="&amp;(AO$4-1)))</f>
        <v/>
      </c>
      <c r="AP47" s="25">
        <f>IF(Products!$E$9=0,0,Products!$E$20/Products!$E$9*SUMIFS($E$40:$BL$40,Timeline!$E$4:$BL$4,"&gt;="&amp;(AP$4-Products!$E$9),Timeline!$E$4:$BL$4,"&lt;="&amp;(AP$4-1)))</f>
        <v/>
      </c>
      <c r="AQ47" s="25">
        <f>IF(Products!$E$9=0,0,Products!$E$20/Products!$E$9*SUMIFS($E$40:$BL$40,Timeline!$E$4:$BL$4,"&gt;="&amp;(AQ$4-Products!$E$9),Timeline!$E$4:$BL$4,"&lt;="&amp;(AQ$4-1)))</f>
        <v/>
      </c>
      <c r="AR47" s="25">
        <f>IF(Products!$E$9=0,0,Products!$E$20/Products!$E$9*SUMIFS($E$40:$BL$40,Timeline!$E$4:$BL$4,"&gt;="&amp;(AR$4-Products!$E$9),Timeline!$E$4:$BL$4,"&lt;="&amp;(AR$4-1)))</f>
        <v/>
      </c>
      <c r="AS47" s="25">
        <f>IF(Products!$E$9=0,0,Products!$E$20/Products!$E$9*SUMIFS($E$40:$BL$40,Timeline!$E$4:$BL$4,"&gt;="&amp;(AS$4-Products!$E$9),Timeline!$E$4:$BL$4,"&lt;="&amp;(AS$4-1)))</f>
        <v/>
      </c>
      <c r="AT47" s="25">
        <f>IF(Products!$E$9=0,0,Products!$E$20/Products!$E$9*SUMIFS($E$40:$BL$40,Timeline!$E$4:$BL$4,"&gt;="&amp;(AT$4-Products!$E$9),Timeline!$E$4:$BL$4,"&lt;="&amp;(AT$4-1)))</f>
        <v/>
      </c>
      <c r="AU47" s="25">
        <f>IF(Products!$E$9=0,0,Products!$E$20/Products!$E$9*SUMIFS($E$40:$BL$40,Timeline!$E$4:$BL$4,"&gt;="&amp;(AU$4-Products!$E$9),Timeline!$E$4:$BL$4,"&lt;="&amp;(AU$4-1)))</f>
        <v/>
      </c>
      <c r="AV47" s="25">
        <f>IF(Products!$E$9=0,0,Products!$E$20/Products!$E$9*SUMIFS($E$40:$BL$40,Timeline!$E$4:$BL$4,"&gt;="&amp;(AV$4-Products!$E$9),Timeline!$E$4:$BL$4,"&lt;="&amp;(AV$4-1)))</f>
        <v/>
      </c>
      <c r="AW47" s="25">
        <f>IF(Products!$E$9=0,0,Products!$E$20/Products!$E$9*SUMIFS($E$40:$BL$40,Timeline!$E$4:$BL$4,"&gt;="&amp;(AW$4-Products!$E$9),Timeline!$E$4:$BL$4,"&lt;="&amp;(AW$4-1)))</f>
        <v/>
      </c>
      <c r="AX47" s="25">
        <f>IF(Products!$E$9=0,0,Products!$E$20/Products!$E$9*SUMIFS($E$40:$BL$40,Timeline!$E$4:$BL$4,"&gt;="&amp;(AX$4-Products!$E$9),Timeline!$E$4:$BL$4,"&lt;="&amp;(AX$4-1)))</f>
        <v/>
      </c>
      <c r="AY47" s="25">
        <f>IF(Products!$E$9=0,0,Products!$E$20/Products!$E$9*SUMIFS($E$40:$BL$40,Timeline!$E$4:$BL$4,"&gt;="&amp;(AY$4-Products!$E$9),Timeline!$E$4:$BL$4,"&lt;="&amp;(AY$4-1)))</f>
        <v/>
      </c>
      <c r="AZ47" s="25">
        <f>IF(Products!$E$9=0,0,Products!$E$20/Products!$E$9*SUMIFS($E$40:$BL$40,Timeline!$E$4:$BL$4,"&gt;="&amp;(AZ$4-Products!$E$9),Timeline!$E$4:$BL$4,"&lt;="&amp;(AZ$4-1)))</f>
        <v/>
      </c>
      <c r="BA47" s="25">
        <f>IF(Products!$E$9=0,0,Products!$E$20/Products!$E$9*SUMIFS($E$40:$BL$40,Timeline!$E$4:$BL$4,"&gt;="&amp;(BA$4-Products!$E$9),Timeline!$E$4:$BL$4,"&lt;="&amp;(BA$4-1)))</f>
        <v/>
      </c>
      <c r="BB47" s="25">
        <f>IF(Products!$E$9=0,0,Products!$E$20/Products!$E$9*SUMIFS($E$40:$BL$40,Timeline!$E$4:$BL$4,"&gt;="&amp;(BB$4-Products!$E$9),Timeline!$E$4:$BL$4,"&lt;="&amp;(BB$4-1)))</f>
        <v/>
      </c>
      <c r="BC47" s="25">
        <f>IF(Products!$E$9=0,0,Products!$E$20/Products!$E$9*SUMIFS($E$40:$BL$40,Timeline!$E$4:$BL$4,"&gt;="&amp;(BC$4-Products!$E$9),Timeline!$E$4:$BL$4,"&lt;="&amp;(BC$4-1)))</f>
        <v/>
      </c>
      <c r="BD47" s="25">
        <f>IF(Products!$E$9=0,0,Products!$E$20/Products!$E$9*SUMIFS($E$40:$BL$40,Timeline!$E$4:$BL$4,"&gt;="&amp;(BD$4-Products!$E$9),Timeline!$E$4:$BL$4,"&lt;="&amp;(BD$4-1)))</f>
        <v/>
      </c>
      <c r="BE47" s="25">
        <f>IF(Products!$E$9=0,0,Products!$E$20/Products!$E$9*SUMIFS($E$40:$BL$40,Timeline!$E$4:$BL$4,"&gt;="&amp;(BE$4-Products!$E$9),Timeline!$E$4:$BL$4,"&lt;="&amp;(BE$4-1)))</f>
        <v/>
      </c>
      <c r="BF47" s="25">
        <f>IF(Products!$E$9=0,0,Products!$E$20/Products!$E$9*SUMIFS($E$40:$BL$40,Timeline!$E$4:$BL$4,"&gt;="&amp;(BF$4-Products!$E$9),Timeline!$E$4:$BL$4,"&lt;="&amp;(BF$4-1)))</f>
        <v/>
      </c>
      <c r="BG47" s="25">
        <f>IF(Products!$E$9=0,0,Products!$E$20/Products!$E$9*SUMIFS($E$40:$BL$40,Timeline!$E$4:$BL$4,"&gt;="&amp;(BG$4-Products!$E$9),Timeline!$E$4:$BL$4,"&lt;="&amp;(BG$4-1)))</f>
        <v/>
      </c>
      <c r="BH47" s="25">
        <f>IF(Products!$E$9=0,0,Products!$E$20/Products!$E$9*SUMIFS($E$40:$BL$40,Timeline!$E$4:$BL$4,"&gt;="&amp;(BH$4-Products!$E$9),Timeline!$E$4:$BL$4,"&lt;="&amp;(BH$4-1)))</f>
        <v/>
      </c>
      <c r="BI47" s="25">
        <f>IF(Products!$E$9=0,0,Products!$E$20/Products!$E$9*SUMIFS($E$40:$BL$40,Timeline!$E$4:$BL$4,"&gt;="&amp;(BI$4-Products!$E$9),Timeline!$E$4:$BL$4,"&lt;="&amp;(BI$4-1)))</f>
        <v/>
      </c>
      <c r="BJ47" s="25">
        <f>IF(Products!$E$9=0,0,Products!$E$20/Products!$E$9*SUMIFS($E$40:$BL$40,Timeline!$E$4:$BL$4,"&gt;="&amp;(BJ$4-Products!$E$9),Timeline!$E$4:$BL$4,"&lt;="&amp;(BJ$4-1)))</f>
        <v/>
      </c>
      <c r="BK47" s="25">
        <f>IF(Products!$E$9=0,0,Products!$E$20/Products!$E$9*SUMIFS($E$40:$BL$40,Timeline!$E$4:$BL$4,"&gt;="&amp;(BK$4-Products!$E$9),Timeline!$E$4:$BL$4,"&lt;="&amp;(BK$4-1)))</f>
        <v/>
      </c>
      <c r="BL47" s="25">
        <f>IF(Products!$E$9=0,0,Products!$E$20/Products!$E$9*SUMIFS($E$40:$BL$40,Timeline!$E$4:$BL$4,"&gt;="&amp;(BL$4-Products!$E$9),Timeline!$E$4:$BL$4,"&lt;="&amp;(BL$4-1)))</f>
        <v/>
      </c>
    </row>
    <row r="48">
      <c r="A48" s="44" t="inlineStr">
        <is>
          <t>Expected credit loss charge at origination</t>
        </is>
      </c>
      <c r="B48" s="13" t="inlineStr">
        <is>
          <t>LCY</t>
        </is>
      </c>
      <c r="C48" s="45">
        <f>SUM(E48:BL48)</f>
        <v/>
      </c>
      <c r="E48" s="25">
        <f>E$40*Curves!$W$70</f>
        <v/>
      </c>
      <c r="F48" s="25">
        <f>F$40*Curves!$W$70</f>
        <v/>
      </c>
      <c r="G48" s="25">
        <f>G$40*Curves!$W$70</f>
        <v/>
      </c>
      <c r="H48" s="25">
        <f>H$40*Curves!$W$70</f>
        <v/>
      </c>
      <c r="I48" s="25">
        <f>I$40*Curves!$W$70</f>
        <v/>
      </c>
      <c r="J48" s="25">
        <f>J$40*Curves!$W$70</f>
        <v/>
      </c>
      <c r="K48" s="25">
        <f>K$40*Curves!$W$70</f>
        <v/>
      </c>
      <c r="L48" s="25">
        <f>L$40*Curves!$W$70</f>
        <v/>
      </c>
      <c r="M48" s="25">
        <f>M$40*Curves!$W$70</f>
        <v/>
      </c>
      <c r="N48" s="25">
        <f>N$40*Curves!$W$70</f>
        <v/>
      </c>
      <c r="O48" s="25">
        <f>O$40*Curves!$W$70</f>
        <v/>
      </c>
      <c r="P48" s="25">
        <f>P$40*Curves!$W$70</f>
        <v/>
      </c>
      <c r="Q48" s="25">
        <f>Q$40*Curves!$W$70</f>
        <v/>
      </c>
      <c r="R48" s="25">
        <f>R$40*Curves!$W$70</f>
        <v/>
      </c>
      <c r="S48" s="25">
        <f>S$40*Curves!$W$70</f>
        <v/>
      </c>
      <c r="T48" s="25">
        <f>T$40*Curves!$W$70</f>
        <v/>
      </c>
      <c r="U48" s="25">
        <f>U$40*Curves!$W$70</f>
        <v/>
      </c>
      <c r="V48" s="25">
        <f>V$40*Curves!$W$70</f>
        <v/>
      </c>
      <c r="W48" s="25">
        <f>W$40*Curves!$W$70</f>
        <v/>
      </c>
      <c r="X48" s="25">
        <f>X$40*Curves!$W$70</f>
        <v/>
      </c>
      <c r="Y48" s="25">
        <f>Y$40*Curves!$W$70</f>
        <v/>
      </c>
      <c r="Z48" s="25">
        <f>Z$40*Curves!$W$70</f>
        <v/>
      </c>
      <c r="AA48" s="25">
        <f>AA$40*Curves!$W$70</f>
        <v/>
      </c>
      <c r="AB48" s="25">
        <f>AB$40*Curves!$W$70</f>
        <v/>
      </c>
      <c r="AC48" s="25">
        <f>AC$40*Curves!$W$70</f>
        <v/>
      </c>
      <c r="AD48" s="25">
        <f>AD$40*Curves!$W$70</f>
        <v/>
      </c>
      <c r="AE48" s="25">
        <f>AE$40*Curves!$W$70</f>
        <v/>
      </c>
      <c r="AF48" s="25">
        <f>AF$40*Curves!$W$70</f>
        <v/>
      </c>
      <c r="AG48" s="25">
        <f>AG$40*Curves!$W$70</f>
        <v/>
      </c>
      <c r="AH48" s="25">
        <f>AH$40*Curves!$W$70</f>
        <v/>
      </c>
      <c r="AI48" s="25">
        <f>AI$40*Curves!$W$70</f>
        <v/>
      </c>
      <c r="AJ48" s="25">
        <f>AJ$40*Curves!$W$70</f>
        <v/>
      </c>
      <c r="AK48" s="25">
        <f>AK$40*Curves!$W$70</f>
        <v/>
      </c>
      <c r="AL48" s="25">
        <f>AL$40*Curves!$W$70</f>
        <v/>
      </c>
      <c r="AM48" s="25">
        <f>AM$40*Curves!$W$70</f>
        <v/>
      </c>
      <c r="AN48" s="25">
        <f>AN$40*Curves!$W$70</f>
        <v/>
      </c>
      <c r="AO48" s="25">
        <f>AO$40*Curves!$W$70</f>
        <v/>
      </c>
      <c r="AP48" s="25">
        <f>AP$40*Curves!$W$70</f>
        <v/>
      </c>
      <c r="AQ48" s="25">
        <f>AQ$40*Curves!$W$70</f>
        <v/>
      </c>
      <c r="AR48" s="25">
        <f>AR$40*Curves!$W$70</f>
        <v/>
      </c>
      <c r="AS48" s="25">
        <f>AS$40*Curves!$W$70</f>
        <v/>
      </c>
      <c r="AT48" s="25">
        <f>AT$40*Curves!$W$70</f>
        <v/>
      </c>
      <c r="AU48" s="25">
        <f>AU$40*Curves!$W$70</f>
        <v/>
      </c>
      <c r="AV48" s="25">
        <f>AV$40*Curves!$W$70</f>
        <v/>
      </c>
      <c r="AW48" s="25">
        <f>AW$40*Curves!$W$70</f>
        <v/>
      </c>
      <c r="AX48" s="25">
        <f>AX$40*Curves!$W$70</f>
        <v/>
      </c>
      <c r="AY48" s="25">
        <f>AY$40*Curves!$W$70</f>
        <v/>
      </c>
      <c r="AZ48" s="25">
        <f>AZ$40*Curves!$W$70</f>
        <v/>
      </c>
      <c r="BA48" s="25">
        <f>BA$40*Curves!$W$70</f>
        <v/>
      </c>
      <c r="BB48" s="25">
        <f>BB$40*Curves!$W$70</f>
        <v/>
      </c>
      <c r="BC48" s="25">
        <f>BC$40*Curves!$W$70</f>
        <v/>
      </c>
      <c r="BD48" s="25">
        <f>BD$40*Curves!$W$70</f>
        <v/>
      </c>
      <c r="BE48" s="25">
        <f>BE$40*Curves!$W$70</f>
        <v/>
      </c>
      <c r="BF48" s="25">
        <f>BF$40*Curves!$W$70</f>
        <v/>
      </c>
      <c r="BG48" s="25">
        <f>BG$40*Curves!$W$70</f>
        <v/>
      </c>
      <c r="BH48" s="25">
        <f>BH$40*Curves!$W$70</f>
        <v/>
      </c>
      <c r="BI48" s="25">
        <f>BI$40*Curves!$W$70</f>
        <v/>
      </c>
      <c r="BJ48" s="25">
        <f>BJ$40*Curves!$W$70</f>
        <v/>
      </c>
      <c r="BK48" s="25">
        <f>BK$40*Curves!$W$70</f>
        <v/>
      </c>
      <c r="BL48" s="25">
        <f>BL$40*Curves!$W$70</f>
        <v/>
      </c>
    </row>
    <row r="49">
      <c r="A49" s="44" t="inlineStr">
        <is>
          <t>Active (paying, in-tenor) accounts</t>
        </is>
      </c>
      <c r="B49" s="13" t="inlineStr">
        <is>
          <t>accounts</t>
        </is>
      </c>
      <c r="C49" s="45">
        <f>BL49</f>
        <v/>
      </c>
      <c r="E49" s="46">
        <f>Cohort_P3!E$72</f>
        <v/>
      </c>
      <c r="F49" s="46">
        <f>Cohort_P3!F$72</f>
        <v/>
      </c>
      <c r="G49" s="46">
        <f>Cohort_P3!G$72</f>
        <v/>
      </c>
      <c r="H49" s="46">
        <f>Cohort_P3!H$72</f>
        <v/>
      </c>
      <c r="I49" s="46">
        <f>Cohort_P3!I$72</f>
        <v/>
      </c>
      <c r="J49" s="46">
        <f>Cohort_P3!J$72</f>
        <v/>
      </c>
      <c r="K49" s="46">
        <f>Cohort_P3!K$72</f>
        <v/>
      </c>
      <c r="L49" s="46">
        <f>Cohort_P3!L$72</f>
        <v/>
      </c>
      <c r="M49" s="46">
        <f>Cohort_P3!M$72</f>
        <v/>
      </c>
      <c r="N49" s="46">
        <f>Cohort_P3!N$72</f>
        <v/>
      </c>
      <c r="O49" s="46">
        <f>Cohort_P3!O$72</f>
        <v/>
      </c>
      <c r="P49" s="46">
        <f>Cohort_P3!P$72</f>
        <v/>
      </c>
      <c r="Q49" s="46">
        <f>Cohort_P3!Q$72</f>
        <v/>
      </c>
      <c r="R49" s="46">
        <f>Cohort_P3!R$72</f>
        <v/>
      </c>
      <c r="S49" s="46">
        <f>Cohort_P3!S$72</f>
        <v/>
      </c>
      <c r="T49" s="46">
        <f>Cohort_P3!T$72</f>
        <v/>
      </c>
      <c r="U49" s="46">
        <f>Cohort_P3!U$72</f>
        <v/>
      </c>
      <c r="V49" s="46">
        <f>Cohort_P3!V$72</f>
        <v/>
      </c>
      <c r="W49" s="46">
        <f>Cohort_P3!W$72</f>
        <v/>
      </c>
      <c r="X49" s="46">
        <f>Cohort_P3!X$72</f>
        <v/>
      </c>
      <c r="Y49" s="46">
        <f>Cohort_P3!Y$72</f>
        <v/>
      </c>
      <c r="Z49" s="46">
        <f>Cohort_P3!Z$72</f>
        <v/>
      </c>
      <c r="AA49" s="46">
        <f>Cohort_P3!AA$72</f>
        <v/>
      </c>
      <c r="AB49" s="46">
        <f>Cohort_P3!AB$72</f>
        <v/>
      </c>
      <c r="AC49" s="46">
        <f>Cohort_P3!AC$72</f>
        <v/>
      </c>
      <c r="AD49" s="46">
        <f>Cohort_P3!AD$72</f>
        <v/>
      </c>
      <c r="AE49" s="46">
        <f>Cohort_P3!AE$72</f>
        <v/>
      </c>
      <c r="AF49" s="46">
        <f>Cohort_P3!AF$72</f>
        <v/>
      </c>
      <c r="AG49" s="46">
        <f>Cohort_P3!AG$72</f>
        <v/>
      </c>
      <c r="AH49" s="46">
        <f>Cohort_P3!AH$72</f>
        <v/>
      </c>
      <c r="AI49" s="46">
        <f>Cohort_P3!AI$72</f>
        <v/>
      </c>
      <c r="AJ49" s="46">
        <f>Cohort_P3!AJ$72</f>
        <v/>
      </c>
      <c r="AK49" s="46">
        <f>Cohort_P3!AK$72</f>
        <v/>
      </c>
      <c r="AL49" s="46">
        <f>Cohort_P3!AL$72</f>
        <v/>
      </c>
      <c r="AM49" s="46">
        <f>Cohort_P3!AM$72</f>
        <v/>
      </c>
      <c r="AN49" s="46">
        <f>Cohort_P3!AN$72</f>
        <v/>
      </c>
      <c r="AO49" s="46">
        <f>Cohort_P3!AO$72</f>
        <v/>
      </c>
      <c r="AP49" s="46">
        <f>Cohort_P3!AP$72</f>
        <v/>
      </c>
      <c r="AQ49" s="46">
        <f>Cohort_P3!AQ$72</f>
        <v/>
      </c>
      <c r="AR49" s="46">
        <f>Cohort_P3!AR$72</f>
        <v/>
      </c>
      <c r="AS49" s="46">
        <f>Cohort_P3!AS$72</f>
        <v/>
      </c>
      <c r="AT49" s="46">
        <f>Cohort_P3!AT$72</f>
        <v/>
      </c>
      <c r="AU49" s="46">
        <f>Cohort_P3!AU$72</f>
        <v/>
      </c>
      <c r="AV49" s="46">
        <f>Cohort_P3!AV$72</f>
        <v/>
      </c>
      <c r="AW49" s="46">
        <f>Cohort_P3!AW$72</f>
        <v/>
      </c>
      <c r="AX49" s="46">
        <f>Cohort_P3!AX$72</f>
        <v/>
      </c>
      <c r="AY49" s="46">
        <f>Cohort_P3!AY$72</f>
        <v/>
      </c>
      <c r="AZ49" s="46">
        <f>Cohort_P3!AZ$72</f>
        <v/>
      </c>
      <c r="BA49" s="46">
        <f>Cohort_P3!BA$72</f>
        <v/>
      </c>
      <c r="BB49" s="46">
        <f>Cohort_P3!BB$72</f>
        <v/>
      </c>
      <c r="BC49" s="46">
        <f>Cohort_P3!BC$72</f>
        <v/>
      </c>
      <c r="BD49" s="46">
        <f>Cohort_P3!BD$72</f>
        <v/>
      </c>
      <c r="BE49" s="46">
        <f>Cohort_P3!BE$72</f>
        <v/>
      </c>
      <c r="BF49" s="46">
        <f>Cohort_P3!BF$72</f>
        <v/>
      </c>
      <c r="BG49" s="46">
        <f>Cohort_P3!BG$72</f>
        <v/>
      </c>
      <c r="BH49" s="46">
        <f>Cohort_P3!BH$72</f>
        <v/>
      </c>
      <c r="BI49" s="46">
        <f>Cohort_P3!BI$72</f>
        <v/>
      </c>
      <c r="BJ49" s="46">
        <f>Cohort_P3!BJ$72</f>
        <v/>
      </c>
      <c r="BK49" s="46">
        <f>Cohort_P3!BK$72</f>
        <v/>
      </c>
      <c r="BL49" s="46">
        <f>Cohort_P3!BL$72</f>
        <v/>
      </c>
    </row>
    <row r="50">
      <c r="A50" s="44" t="inlineStr">
        <is>
          <t>Receivables at risk (carrying amount of accounts that stopped paying)</t>
        </is>
      </c>
      <c r="B50" s="13" t="inlineStr">
        <is>
          <t>LCY</t>
        </is>
      </c>
      <c r="C50" s="45">
        <f>BL50</f>
        <v/>
      </c>
      <c r="E50" s="46">
        <f>Cohort_P3!E$135</f>
        <v/>
      </c>
      <c r="F50" s="46">
        <f>Cohort_P3!F$135</f>
        <v/>
      </c>
      <c r="G50" s="46">
        <f>Cohort_P3!G$135</f>
        <v/>
      </c>
      <c r="H50" s="46">
        <f>Cohort_P3!H$135</f>
        <v/>
      </c>
      <c r="I50" s="46">
        <f>Cohort_P3!I$135</f>
        <v/>
      </c>
      <c r="J50" s="46">
        <f>Cohort_P3!J$135</f>
        <v/>
      </c>
      <c r="K50" s="46">
        <f>Cohort_P3!K$135</f>
        <v/>
      </c>
      <c r="L50" s="46">
        <f>Cohort_P3!L$135</f>
        <v/>
      </c>
      <c r="M50" s="46">
        <f>Cohort_P3!M$135</f>
        <v/>
      </c>
      <c r="N50" s="46">
        <f>Cohort_P3!N$135</f>
        <v/>
      </c>
      <c r="O50" s="46">
        <f>Cohort_P3!O$135</f>
        <v/>
      </c>
      <c r="P50" s="46">
        <f>Cohort_P3!P$135</f>
        <v/>
      </c>
      <c r="Q50" s="46">
        <f>Cohort_P3!Q$135</f>
        <v/>
      </c>
      <c r="R50" s="46">
        <f>Cohort_P3!R$135</f>
        <v/>
      </c>
      <c r="S50" s="46">
        <f>Cohort_P3!S$135</f>
        <v/>
      </c>
      <c r="T50" s="46">
        <f>Cohort_P3!T$135</f>
        <v/>
      </c>
      <c r="U50" s="46">
        <f>Cohort_P3!U$135</f>
        <v/>
      </c>
      <c r="V50" s="46">
        <f>Cohort_P3!V$135</f>
        <v/>
      </c>
      <c r="W50" s="46">
        <f>Cohort_P3!W$135</f>
        <v/>
      </c>
      <c r="X50" s="46">
        <f>Cohort_P3!X$135</f>
        <v/>
      </c>
      <c r="Y50" s="46">
        <f>Cohort_P3!Y$135</f>
        <v/>
      </c>
      <c r="Z50" s="46">
        <f>Cohort_P3!Z$135</f>
        <v/>
      </c>
      <c r="AA50" s="46">
        <f>Cohort_P3!AA$135</f>
        <v/>
      </c>
      <c r="AB50" s="46">
        <f>Cohort_P3!AB$135</f>
        <v/>
      </c>
      <c r="AC50" s="46">
        <f>Cohort_P3!AC$135</f>
        <v/>
      </c>
      <c r="AD50" s="46">
        <f>Cohort_P3!AD$135</f>
        <v/>
      </c>
      <c r="AE50" s="46">
        <f>Cohort_P3!AE$135</f>
        <v/>
      </c>
      <c r="AF50" s="46">
        <f>Cohort_P3!AF$135</f>
        <v/>
      </c>
      <c r="AG50" s="46">
        <f>Cohort_P3!AG$135</f>
        <v/>
      </c>
      <c r="AH50" s="46">
        <f>Cohort_P3!AH$135</f>
        <v/>
      </c>
      <c r="AI50" s="46">
        <f>Cohort_P3!AI$135</f>
        <v/>
      </c>
      <c r="AJ50" s="46">
        <f>Cohort_P3!AJ$135</f>
        <v/>
      </c>
      <c r="AK50" s="46">
        <f>Cohort_P3!AK$135</f>
        <v/>
      </c>
      <c r="AL50" s="46">
        <f>Cohort_P3!AL$135</f>
        <v/>
      </c>
      <c r="AM50" s="46">
        <f>Cohort_P3!AM$135</f>
        <v/>
      </c>
      <c r="AN50" s="46">
        <f>Cohort_P3!AN$135</f>
        <v/>
      </c>
      <c r="AO50" s="46">
        <f>Cohort_P3!AO$135</f>
        <v/>
      </c>
      <c r="AP50" s="46">
        <f>Cohort_P3!AP$135</f>
        <v/>
      </c>
      <c r="AQ50" s="46">
        <f>Cohort_P3!AQ$135</f>
        <v/>
      </c>
      <c r="AR50" s="46">
        <f>Cohort_P3!AR$135</f>
        <v/>
      </c>
      <c r="AS50" s="46">
        <f>Cohort_P3!AS$135</f>
        <v/>
      </c>
      <c r="AT50" s="46">
        <f>Cohort_P3!AT$135</f>
        <v/>
      </c>
      <c r="AU50" s="46">
        <f>Cohort_P3!AU$135</f>
        <v/>
      </c>
      <c r="AV50" s="46">
        <f>Cohort_P3!AV$135</f>
        <v/>
      </c>
      <c r="AW50" s="46">
        <f>Cohort_P3!AW$135</f>
        <v/>
      </c>
      <c r="AX50" s="46">
        <f>Cohort_P3!AX$135</f>
        <v/>
      </c>
      <c r="AY50" s="46">
        <f>Cohort_P3!AY$135</f>
        <v/>
      </c>
      <c r="AZ50" s="46">
        <f>Cohort_P3!AZ$135</f>
        <v/>
      </c>
      <c r="BA50" s="46">
        <f>Cohort_P3!BA$135</f>
        <v/>
      </c>
      <c r="BB50" s="46">
        <f>Cohort_P3!BB$135</f>
        <v/>
      </c>
      <c r="BC50" s="46">
        <f>Cohort_P3!BC$135</f>
        <v/>
      </c>
      <c r="BD50" s="46">
        <f>Cohort_P3!BD$135</f>
        <v/>
      </c>
      <c r="BE50" s="46">
        <f>Cohort_P3!BE$135</f>
        <v/>
      </c>
      <c r="BF50" s="46">
        <f>Cohort_P3!BF$135</f>
        <v/>
      </c>
      <c r="BG50" s="46">
        <f>Cohort_P3!BG$135</f>
        <v/>
      </c>
      <c r="BH50" s="46">
        <f>Cohort_P3!BH$135</f>
        <v/>
      </c>
      <c r="BI50" s="46">
        <f>Cohort_P3!BI$135</f>
        <v/>
      </c>
      <c r="BJ50" s="46">
        <f>Cohort_P3!BJ$135</f>
        <v/>
      </c>
      <c r="BK50" s="46">
        <f>Cohort_P3!BK$135</f>
        <v/>
      </c>
      <c r="BL50" s="46">
        <f>Cohort_P3!BL$135</f>
        <v/>
      </c>
    </row>
    <row r="51">
      <c r="A51" s="44" t="inlineStr">
        <is>
          <t>Landed hardware cost of units sold</t>
        </is>
      </c>
      <c r="B51" s="13" t="inlineStr">
        <is>
          <t>LCY</t>
        </is>
      </c>
      <c r="C51" s="45">
        <f>SUM(E51:BL51)</f>
        <v/>
      </c>
      <c r="E51" s="25">
        <f>E$39*Products!$E$10*(1+Inputs!$C$28)*Timeline!E$8*Scenarios!$G$9</f>
        <v/>
      </c>
      <c r="F51" s="25">
        <f>F$39*Products!$E$10*(1+Inputs!$C$28)*Timeline!F$8*Scenarios!$G$9</f>
        <v/>
      </c>
      <c r="G51" s="25">
        <f>G$39*Products!$E$10*(1+Inputs!$C$28)*Timeline!G$8*Scenarios!$G$9</f>
        <v/>
      </c>
      <c r="H51" s="25">
        <f>H$39*Products!$E$10*(1+Inputs!$C$28)*Timeline!H$8*Scenarios!$G$9</f>
        <v/>
      </c>
      <c r="I51" s="25">
        <f>I$39*Products!$E$10*(1+Inputs!$C$28)*Timeline!I$8*Scenarios!$G$9</f>
        <v/>
      </c>
      <c r="J51" s="25">
        <f>J$39*Products!$E$10*(1+Inputs!$C$28)*Timeline!J$8*Scenarios!$G$9</f>
        <v/>
      </c>
      <c r="K51" s="25">
        <f>K$39*Products!$E$10*(1+Inputs!$C$28)*Timeline!K$8*Scenarios!$G$9</f>
        <v/>
      </c>
      <c r="L51" s="25">
        <f>L$39*Products!$E$10*(1+Inputs!$C$28)*Timeline!L$8*Scenarios!$G$9</f>
        <v/>
      </c>
      <c r="M51" s="25">
        <f>M$39*Products!$E$10*(1+Inputs!$C$28)*Timeline!M$8*Scenarios!$G$9</f>
        <v/>
      </c>
      <c r="N51" s="25">
        <f>N$39*Products!$E$10*(1+Inputs!$C$28)*Timeline!N$8*Scenarios!$G$9</f>
        <v/>
      </c>
      <c r="O51" s="25">
        <f>O$39*Products!$E$10*(1+Inputs!$C$28)*Timeline!O$8*Scenarios!$G$9</f>
        <v/>
      </c>
      <c r="P51" s="25">
        <f>P$39*Products!$E$10*(1+Inputs!$C$28)*Timeline!P$8*Scenarios!$G$9</f>
        <v/>
      </c>
      <c r="Q51" s="25">
        <f>Q$39*Products!$E$10*(1+Inputs!$C$28)*Timeline!Q$8*Scenarios!$G$9</f>
        <v/>
      </c>
      <c r="R51" s="25">
        <f>R$39*Products!$E$10*(1+Inputs!$C$28)*Timeline!R$8*Scenarios!$G$9</f>
        <v/>
      </c>
      <c r="S51" s="25">
        <f>S$39*Products!$E$10*(1+Inputs!$C$28)*Timeline!S$8*Scenarios!$G$9</f>
        <v/>
      </c>
      <c r="T51" s="25">
        <f>T$39*Products!$E$10*(1+Inputs!$C$28)*Timeline!T$8*Scenarios!$G$9</f>
        <v/>
      </c>
      <c r="U51" s="25">
        <f>U$39*Products!$E$10*(1+Inputs!$C$28)*Timeline!U$8*Scenarios!$G$9</f>
        <v/>
      </c>
      <c r="V51" s="25">
        <f>V$39*Products!$E$10*(1+Inputs!$C$28)*Timeline!V$8*Scenarios!$G$9</f>
        <v/>
      </c>
      <c r="W51" s="25">
        <f>W$39*Products!$E$10*(1+Inputs!$C$28)*Timeline!W$8*Scenarios!$G$9</f>
        <v/>
      </c>
      <c r="X51" s="25">
        <f>X$39*Products!$E$10*(1+Inputs!$C$28)*Timeline!X$8*Scenarios!$G$9</f>
        <v/>
      </c>
      <c r="Y51" s="25">
        <f>Y$39*Products!$E$10*(1+Inputs!$C$28)*Timeline!Y$8*Scenarios!$G$9</f>
        <v/>
      </c>
      <c r="Z51" s="25">
        <f>Z$39*Products!$E$10*(1+Inputs!$C$28)*Timeline!Z$8*Scenarios!$G$9</f>
        <v/>
      </c>
      <c r="AA51" s="25">
        <f>AA$39*Products!$E$10*(1+Inputs!$C$28)*Timeline!AA$8*Scenarios!$G$9</f>
        <v/>
      </c>
      <c r="AB51" s="25">
        <f>AB$39*Products!$E$10*(1+Inputs!$C$28)*Timeline!AB$8*Scenarios!$G$9</f>
        <v/>
      </c>
      <c r="AC51" s="25">
        <f>AC$39*Products!$E$10*(1+Inputs!$C$28)*Timeline!AC$8*Scenarios!$G$9</f>
        <v/>
      </c>
      <c r="AD51" s="25">
        <f>AD$39*Products!$E$10*(1+Inputs!$C$28)*Timeline!AD$8*Scenarios!$G$9</f>
        <v/>
      </c>
      <c r="AE51" s="25">
        <f>AE$39*Products!$E$10*(1+Inputs!$C$28)*Timeline!AE$8*Scenarios!$G$9</f>
        <v/>
      </c>
      <c r="AF51" s="25">
        <f>AF$39*Products!$E$10*(1+Inputs!$C$28)*Timeline!AF$8*Scenarios!$G$9</f>
        <v/>
      </c>
      <c r="AG51" s="25">
        <f>AG$39*Products!$E$10*(1+Inputs!$C$28)*Timeline!AG$8*Scenarios!$G$9</f>
        <v/>
      </c>
      <c r="AH51" s="25">
        <f>AH$39*Products!$E$10*(1+Inputs!$C$28)*Timeline!AH$8*Scenarios!$G$9</f>
        <v/>
      </c>
      <c r="AI51" s="25">
        <f>AI$39*Products!$E$10*(1+Inputs!$C$28)*Timeline!AI$8*Scenarios!$G$9</f>
        <v/>
      </c>
      <c r="AJ51" s="25">
        <f>AJ$39*Products!$E$10*(1+Inputs!$C$28)*Timeline!AJ$8*Scenarios!$G$9</f>
        <v/>
      </c>
      <c r="AK51" s="25">
        <f>AK$39*Products!$E$10*(1+Inputs!$C$28)*Timeline!AK$8*Scenarios!$G$9</f>
        <v/>
      </c>
      <c r="AL51" s="25">
        <f>AL$39*Products!$E$10*(1+Inputs!$C$28)*Timeline!AL$8*Scenarios!$G$9</f>
        <v/>
      </c>
      <c r="AM51" s="25">
        <f>AM$39*Products!$E$10*(1+Inputs!$C$28)*Timeline!AM$8*Scenarios!$G$9</f>
        <v/>
      </c>
      <c r="AN51" s="25">
        <f>AN$39*Products!$E$10*(1+Inputs!$C$28)*Timeline!AN$8*Scenarios!$G$9</f>
        <v/>
      </c>
      <c r="AO51" s="25">
        <f>AO$39*Products!$E$10*(1+Inputs!$C$28)*Timeline!AO$8*Scenarios!$G$9</f>
        <v/>
      </c>
      <c r="AP51" s="25">
        <f>AP$39*Products!$E$10*(1+Inputs!$C$28)*Timeline!AP$8*Scenarios!$G$9</f>
        <v/>
      </c>
      <c r="AQ51" s="25">
        <f>AQ$39*Products!$E$10*(1+Inputs!$C$28)*Timeline!AQ$8*Scenarios!$G$9</f>
        <v/>
      </c>
      <c r="AR51" s="25">
        <f>AR$39*Products!$E$10*(1+Inputs!$C$28)*Timeline!AR$8*Scenarios!$G$9</f>
        <v/>
      </c>
      <c r="AS51" s="25">
        <f>AS$39*Products!$E$10*(1+Inputs!$C$28)*Timeline!AS$8*Scenarios!$G$9</f>
        <v/>
      </c>
      <c r="AT51" s="25">
        <f>AT$39*Products!$E$10*(1+Inputs!$C$28)*Timeline!AT$8*Scenarios!$G$9</f>
        <v/>
      </c>
      <c r="AU51" s="25">
        <f>AU$39*Products!$E$10*(1+Inputs!$C$28)*Timeline!AU$8*Scenarios!$G$9</f>
        <v/>
      </c>
      <c r="AV51" s="25">
        <f>AV$39*Products!$E$10*(1+Inputs!$C$28)*Timeline!AV$8*Scenarios!$G$9</f>
        <v/>
      </c>
      <c r="AW51" s="25">
        <f>AW$39*Products!$E$10*(1+Inputs!$C$28)*Timeline!AW$8*Scenarios!$G$9</f>
        <v/>
      </c>
      <c r="AX51" s="25">
        <f>AX$39*Products!$E$10*(1+Inputs!$C$28)*Timeline!AX$8*Scenarios!$G$9</f>
        <v/>
      </c>
      <c r="AY51" s="25">
        <f>AY$39*Products!$E$10*(1+Inputs!$C$28)*Timeline!AY$8*Scenarios!$G$9</f>
        <v/>
      </c>
      <c r="AZ51" s="25">
        <f>AZ$39*Products!$E$10*(1+Inputs!$C$28)*Timeline!AZ$8*Scenarios!$G$9</f>
        <v/>
      </c>
      <c r="BA51" s="25">
        <f>BA$39*Products!$E$10*(1+Inputs!$C$28)*Timeline!BA$8*Scenarios!$G$9</f>
        <v/>
      </c>
      <c r="BB51" s="25">
        <f>BB$39*Products!$E$10*(1+Inputs!$C$28)*Timeline!BB$8*Scenarios!$G$9</f>
        <v/>
      </c>
      <c r="BC51" s="25">
        <f>BC$39*Products!$E$10*(1+Inputs!$C$28)*Timeline!BC$8*Scenarios!$G$9</f>
        <v/>
      </c>
      <c r="BD51" s="25">
        <f>BD$39*Products!$E$10*(1+Inputs!$C$28)*Timeline!BD$8*Scenarios!$G$9</f>
        <v/>
      </c>
      <c r="BE51" s="25">
        <f>BE$39*Products!$E$10*(1+Inputs!$C$28)*Timeline!BE$8*Scenarios!$G$9</f>
        <v/>
      </c>
      <c r="BF51" s="25">
        <f>BF$39*Products!$E$10*(1+Inputs!$C$28)*Timeline!BF$8*Scenarios!$G$9</f>
        <v/>
      </c>
      <c r="BG51" s="25">
        <f>BG$39*Products!$E$10*(1+Inputs!$C$28)*Timeline!BG$8*Scenarios!$G$9</f>
        <v/>
      </c>
      <c r="BH51" s="25">
        <f>BH$39*Products!$E$10*(1+Inputs!$C$28)*Timeline!BH$8*Scenarios!$G$9</f>
        <v/>
      </c>
      <c r="BI51" s="25">
        <f>BI$39*Products!$E$10*(1+Inputs!$C$28)*Timeline!BI$8*Scenarios!$G$9</f>
        <v/>
      </c>
      <c r="BJ51" s="25">
        <f>BJ$39*Products!$E$10*(1+Inputs!$C$28)*Timeline!BJ$8*Scenarios!$G$9</f>
        <v/>
      </c>
      <c r="BK51" s="25">
        <f>BK$39*Products!$E$10*(1+Inputs!$C$28)*Timeline!BK$8*Scenarios!$G$9</f>
        <v/>
      </c>
      <c r="BL51" s="25">
        <f>BL$39*Products!$E$10*(1+Inputs!$C$28)*Timeline!BL$8*Scenarios!$G$9</f>
        <v/>
      </c>
    </row>
    <row r="52"/>
    <row r="53">
      <c r="A53" s="11" t="inlineStr">
        <is>
          <t>TOTAL - all products</t>
        </is>
      </c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  <c r="AR53" s="12" t="n"/>
      <c r="AS53" s="12" t="n"/>
      <c r="AT53" s="12" t="n"/>
      <c r="AU53" s="12" t="n"/>
      <c r="AV53" s="12" t="n"/>
      <c r="AW53" s="12" t="n"/>
      <c r="AX53" s="12" t="n"/>
      <c r="AY53" s="12" t="n"/>
      <c r="AZ53" s="12" t="n"/>
      <c r="BA53" s="12" t="n"/>
      <c r="BB53" s="12" t="n"/>
      <c r="BC53" s="12" t="n"/>
      <c r="BD53" s="12" t="n"/>
      <c r="BE53" s="12" t="n"/>
      <c r="BF53" s="12" t="n"/>
      <c r="BG53" s="12" t="n"/>
      <c r="BH53" s="12" t="n"/>
      <c r="BI53" s="12" t="n"/>
      <c r="BJ53" s="12" t="n"/>
      <c r="BK53" s="12" t="n"/>
      <c r="BL53" s="12" t="n"/>
    </row>
    <row r="54">
      <c r="A54" s="47" t="inlineStr">
        <is>
          <t>Units sold</t>
        </is>
      </c>
      <c r="B54" s="48" t="inlineStr">
        <is>
          <t>units</t>
        </is>
      </c>
      <c r="C54" s="49">
        <f>SUM(E54:BL54)</f>
        <v/>
      </c>
      <c r="D54" s="50" t="n"/>
      <c r="E54" s="51">
        <f>E$9+E$24+E$39</f>
        <v/>
      </c>
      <c r="F54" s="51">
        <f>F$9+F$24+F$39</f>
        <v/>
      </c>
      <c r="G54" s="51">
        <f>G$9+G$24+G$39</f>
        <v/>
      </c>
      <c r="H54" s="51">
        <f>H$9+H$24+H$39</f>
        <v/>
      </c>
      <c r="I54" s="51">
        <f>I$9+I$24+I$39</f>
        <v/>
      </c>
      <c r="J54" s="51">
        <f>J$9+J$24+J$39</f>
        <v/>
      </c>
      <c r="K54" s="51">
        <f>K$9+K$24+K$39</f>
        <v/>
      </c>
      <c r="L54" s="51">
        <f>L$9+L$24+L$39</f>
        <v/>
      </c>
      <c r="M54" s="51">
        <f>M$9+M$24+M$39</f>
        <v/>
      </c>
      <c r="N54" s="51">
        <f>N$9+N$24+N$39</f>
        <v/>
      </c>
      <c r="O54" s="51">
        <f>O$9+O$24+O$39</f>
        <v/>
      </c>
      <c r="P54" s="51">
        <f>P$9+P$24+P$39</f>
        <v/>
      </c>
      <c r="Q54" s="51">
        <f>Q$9+Q$24+Q$39</f>
        <v/>
      </c>
      <c r="R54" s="51">
        <f>R$9+R$24+R$39</f>
        <v/>
      </c>
      <c r="S54" s="51">
        <f>S$9+S$24+S$39</f>
        <v/>
      </c>
      <c r="T54" s="51">
        <f>T$9+T$24+T$39</f>
        <v/>
      </c>
      <c r="U54" s="51">
        <f>U$9+U$24+U$39</f>
        <v/>
      </c>
      <c r="V54" s="51">
        <f>V$9+V$24+V$39</f>
        <v/>
      </c>
      <c r="W54" s="51">
        <f>W$9+W$24+W$39</f>
        <v/>
      </c>
      <c r="X54" s="51">
        <f>X$9+X$24+X$39</f>
        <v/>
      </c>
      <c r="Y54" s="51">
        <f>Y$9+Y$24+Y$39</f>
        <v/>
      </c>
      <c r="Z54" s="51">
        <f>Z$9+Z$24+Z$39</f>
        <v/>
      </c>
      <c r="AA54" s="51">
        <f>AA$9+AA$24+AA$39</f>
        <v/>
      </c>
      <c r="AB54" s="51">
        <f>AB$9+AB$24+AB$39</f>
        <v/>
      </c>
      <c r="AC54" s="51">
        <f>AC$9+AC$24+AC$39</f>
        <v/>
      </c>
      <c r="AD54" s="51">
        <f>AD$9+AD$24+AD$39</f>
        <v/>
      </c>
      <c r="AE54" s="51">
        <f>AE$9+AE$24+AE$39</f>
        <v/>
      </c>
      <c r="AF54" s="51">
        <f>AF$9+AF$24+AF$39</f>
        <v/>
      </c>
      <c r="AG54" s="51">
        <f>AG$9+AG$24+AG$39</f>
        <v/>
      </c>
      <c r="AH54" s="51">
        <f>AH$9+AH$24+AH$39</f>
        <v/>
      </c>
      <c r="AI54" s="51">
        <f>AI$9+AI$24+AI$39</f>
        <v/>
      </c>
      <c r="AJ54" s="51">
        <f>AJ$9+AJ$24+AJ$39</f>
        <v/>
      </c>
      <c r="AK54" s="51">
        <f>AK$9+AK$24+AK$39</f>
        <v/>
      </c>
      <c r="AL54" s="51">
        <f>AL$9+AL$24+AL$39</f>
        <v/>
      </c>
      <c r="AM54" s="51">
        <f>AM$9+AM$24+AM$39</f>
        <v/>
      </c>
      <c r="AN54" s="51">
        <f>AN$9+AN$24+AN$39</f>
        <v/>
      </c>
      <c r="AO54" s="51">
        <f>AO$9+AO$24+AO$39</f>
        <v/>
      </c>
      <c r="AP54" s="51">
        <f>AP$9+AP$24+AP$39</f>
        <v/>
      </c>
      <c r="AQ54" s="51">
        <f>AQ$9+AQ$24+AQ$39</f>
        <v/>
      </c>
      <c r="AR54" s="51">
        <f>AR$9+AR$24+AR$39</f>
        <v/>
      </c>
      <c r="AS54" s="51">
        <f>AS$9+AS$24+AS$39</f>
        <v/>
      </c>
      <c r="AT54" s="51">
        <f>AT$9+AT$24+AT$39</f>
        <v/>
      </c>
      <c r="AU54" s="51">
        <f>AU$9+AU$24+AU$39</f>
        <v/>
      </c>
      <c r="AV54" s="51">
        <f>AV$9+AV$24+AV$39</f>
        <v/>
      </c>
      <c r="AW54" s="51">
        <f>AW$9+AW$24+AW$39</f>
        <v/>
      </c>
      <c r="AX54" s="51">
        <f>AX$9+AX$24+AX$39</f>
        <v/>
      </c>
      <c r="AY54" s="51">
        <f>AY$9+AY$24+AY$39</f>
        <v/>
      </c>
      <c r="AZ54" s="51">
        <f>AZ$9+AZ$24+AZ$39</f>
        <v/>
      </c>
      <c r="BA54" s="51">
        <f>BA$9+BA$24+BA$39</f>
        <v/>
      </c>
      <c r="BB54" s="51">
        <f>BB$9+BB$24+BB$39</f>
        <v/>
      </c>
      <c r="BC54" s="51">
        <f>BC$9+BC$24+BC$39</f>
        <v/>
      </c>
      <c r="BD54" s="51">
        <f>BD$9+BD$24+BD$39</f>
        <v/>
      </c>
      <c r="BE54" s="51">
        <f>BE$9+BE$24+BE$39</f>
        <v/>
      </c>
      <c r="BF54" s="51">
        <f>BF$9+BF$24+BF$39</f>
        <v/>
      </c>
      <c r="BG54" s="51">
        <f>BG$9+BG$24+BG$39</f>
        <v/>
      </c>
      <c r="BH54" s="51">
        <f>BH$9+BH$24+BH$39</f>
        <v/>
      </c>
      <c r="BI54" s="51">
        <f>BI$9+BI$24+BI$39</f>
        <v/>
      </c>
      <c r="BJ54" s="51">
        <f>BJ$9+BJ$24+BJ$39</f>
        <v/>
      </c>
      <c r="BK54" s="51">
        <f>BK$9+BK$24+BK$39</f>
        <v/>
      </c>
      <c r="BL54" s="51">
        <f>BL$9+BL$24+BL$39</f>
        <v/>
      </c>
    </row>
    <row r="55">
      <c r="A55" s="47" t="inlineStr">
        <is>
          <t>Price-indexed units (units x price index)</t>
        </is>
      </c>
      <c r="B55" s="48" t="inlineStr">
        <is>
          <t>units</t>
        </is>
      </c>
      <c r="C55" s="49">
        <f>SUM(E55:BL55)</f>
        <v/>
      </c>
      <c r="D55" s="50" t="n"/>
      <c r="E55" s="51">
        <f>E$10+E$25+E$40</f>
        <v/>
      </c>
      <c r="F55" s="51">
        <f>F$10+F$25+F$40</f>
        <v/>
      </c>
      <c r="G55" s="51">
        <f>G$10+G$25+G$40</f>
        <v/>
      </c>
      <c r="H55" s="51">
        <f>H$10+H$25+H$40</f>
        <v/>
      </c>
      <c r="I55" s="51">
        <f>I$10+I$25+I$40</f>
        <v/>
      </c>
      <c r="J55" s="51">
        <f>J$10+J$25+J$40</f>
        <v/>
      </c>
      <c r="K55" s="51">
        <f>K$10+K$25+K$40</f>
        <v/>
      </c>
      <c r="L55" s="51">
        <f>L$10+L$25+L$40</f>
        <v/>
      </c>
      <c r="M55" s="51">
        <f>M$10+M$25+M$40</f>
        <v/>
      </c>
      <c r="N55" s="51">
        <f>N$10+N$25+N$40</f>
        <v/>
      </c>
      <c r="O55" s="51">
        <f>O$10+O$25+O$40</f>
        <v/>
      </c>
      <c r="P55" s="51">
        <f>P$10+P$25+P$40</f>
        <v/>
      </c>
      <c r="Q55" s="51">
        <f>Q$10+Q$25+Q$40</f>
        <v/>
      </c>
      <c r="R55" s="51">
        <f>R$10+R$25+R$40</f>
        <v/>
      </c>
      <c r="S55" s="51">
        <f>S$10+S$25+S$40</f>
        <v/>
      </c>
      <c r="T55" s="51">
        <f>T$10+T$25+T$40</f>
        <v/>
      </c>
      <c r="U55" s="51">
        <f>U$10+U$25+U$40</f>
        <v/>
      </c>
      <c r="V55" s="51">
        <f>V$10+V$25+V$40</f>
        <v/>
      </c>
      <c r="W55" s="51">
        <f>W$10+W$25+W$40</f>
        <v/>
      </c>
      <c r="X55" s="51">
        <f>X$10+X$25+X$40</f>
        <v/>
      </c>
      <c r="Y55" s="51">
        <f>Y$10+Y$25+Y$40</f>
        <v/>
      </c>
      <c r="Z55" s="51">
        <f>Z$10+Z$25+Z$40</f>
        <v/>
      </c>
      <c r="AA55" s="51">
        <f>AA$10+AA$25+AA$40</f>
        <v/>
      </c>
      <c r="AB55" s="51">
        <f>AB$10+AB$25+AB$40</f>
        <v/>
      </c>
      <c r="AC55" s="51">
        <f>AC$10+AC$25+AC$40</f>
        <v/>
      </c>
      <c r="AD55" s="51">
        <f>AD$10+AD$25+AD$40</f>
        <v/>
      </c>
      <c r="AE55" s="51">
        <f>AE$10+AE$25+AE$40</f>
        <v/>
      </c>
      <c r="AF55" s="51">
        <f>AF$10+AF$25+AF$40</f>
        <v/>
      </c>
      <c r="AG55" s="51">
        <f>AG$10+AG$25+AG$40</f>
        <v/>
      </c>
      <c r="AH55" s="51">
        <f>AH$10+AH$25+AH$40</f>
        <v/>
      </c>
      <c r="AI55" s="51">
        <f>AI$10+AI$25+AI$40</f>
        <v/>
      </c>
      <c r="AJ55" s="51">
        <f>AJ$10+AJ$25+AJ$40</f>
        <v/>
      </c>
      <c r="AK55" s="51">
        <f>AK$10+AK$25+AK$40</f>
        <v/>
      </c>
      <c r="AL55" s="51">
        <f>AL$10+AL$25+AL$40</f>
        <v/>
      </c>
      <c r="AM55" s="51">
        <f>AM$10+AM$25+AM$40</f>
        <v/>
      </c>
      <c r="AN55" s="51">
        <f>AN$10+AN$25+AN$40</f>
        <v/>
      </c>
      <c r="AO55" s="51">
        <f>AO$10+AO$25+AO$40</f>
        <v/>
      </c>
      <c r="AP55" s="51">
        <f>AP$10+AP$25+AP$40</f>
        <v/>
      </c>
      <c r="AQ55" s="51">
        <f>AQ$10+AQ$25+AQ$40</f>
        <v/>
      </c>
      <c r="AR55" s="51">
        <f>AR$10+AR$25+AR$40</f>
        <v/>
      </c>
      <c r="AS55" s="51">
        <f>AS$10+AS$25+AS$40</f>
        <v/>
      </c>
      <c r="AT55" s="51">
        <f>AT$10+AT$25+AT$40</f>
        <v/>
      </c>
      <c r="AU55" s="51">
        <f>AU$10+AU$25+AU$40</f>
        <v/>
      </c>
      <c r="AV55" s="51">
        <f>AV$10+AV$25+AV$40</f>
        <v/>
      </c>
      <c r="AW55" s="51">
        <f>AW$10+AW$25+AW$40</f>
        <v/>
      </c>
      <c r="AX55" s="51">
        <f>AX$10+AX$25+AX$40</f>
        <v/>
      </c>
      <c r="AY55" s="51">
        <f>AY$10+AY$25+AY$40</f>
        <v/>
      </c>
      <c r="AZ55" s="51">
        <f>AZ$10+AZ$25+AZ$40</f>
        <v/>
      </c>
      <c r="BA55" s="51">
        <f>BA$10+BA$25+BA$40</f>
        <v/>
      </c>
      <c r="BB55" s="51">
        <f>BB$10+BB$25+BB$40</f>
        <v/>
      </c>
      <c r="BC55" s="51">
        <f>BC$10+BC$25+BC$40</f>
        <v/>
      </c>
      <c r="BD55" s="51">
        <f>BD$10+BD$25+BD$40</f>
        <v/>
      </c>
      <c r="BE55" s="51">
        <f>BE$10+BE$25+BE$40</f>
        <v/>
      </c>
      <c r="BF55" s="51">
        <f>BF$10+BF$25+BF$40</f>
        <v/>
      </c>
      <c r="BG55" s="51">
        <f>BG$10+BG$25+BG$40</f>
        <v/>
      </c>
      <c r="BH55" s="51">
        <f>BH$10+BH$25+BH$40</f>
        <v/>
      </c>
      <c r="BI55" s="51">
        <f>BI$10+BI$25+BI$40</f>
        <v/>
      </c>
      <c r="BJ55" s="51">
        <f>BJ$10+BJ$25+BJ$40</f>
        <v/>
      </c>
      <c r="BK55" s="51">
        <f>BK$10+BK$25+BK$40</f>
        <v/>
      </c>
      <c r="BL55" s="51">
        <f>BL$10+BL$25+BL$40</f>
        <v/>
      </c>
    </row>
    <row r="56">
      <c r="A56" s="47" t="inlineStr">
        <is>
          <t>Deposits collected</t>
        </is>
      </c>
      <c r="B56" s="48" t="inlineStr">
        <is>
          <t>LCY</t>
        </is>
      </c>
      <c r="C56" s="49">
        <f>SUM(E56:BL56)</f>
        <v/>
      </c>
      <c r="D56" s="50" t="n"/>
      <c r="E56" s="51">
        <f>E$11+E$26+E$41</f>
        <v/>
      </c>
      <c r="F56" s="51">
        <f>F$11+F$26+F$41</f>
        <v/>
      </c>
      <c r="G56" s="51">
        <f>G$11+G$26+G$41</f>
        <v/>
      </c>
      <c r="H56" s="51">
        <f>H$11+H$26+H$41</f>
        <v/>
      </c>
      <c r="I56" s="51">
        <f>I$11+I$26+I$41</f>
        <v/>
      </c>
      <c r="J56" s="51">
        <f>J$11+J$26+J$41</f>
        <v/>
      </c>
      <c r="K56" s="51">
        <f>K$11+K$26+K$41</f>
        <v/>
      </c>
      <c r="L56" s="51">
        <f>L$11+L$26+L$41</f>
        <v/>
      </c>
      <c r="M56" s="51">
        <f>M$11+M$26+M$41</f>
        <v/>
      </c>
      <c r="N56" s="51">
        <f>N$11+N$26+N$41</f>
        <v/>
      </c>
      <c r="O56" s="51">
        <f>O$11+O$26+O$41</f>
        <v/>
      </c>
      <c r="P56" s="51">
        <f>P$11+P$26+P$41</f>
        <v/>
      </c>
      <c r="Q56" s="51">
        <f>Q$11+Q$26+Q$41</f>
        <v/>
      </c>
      <c r="R56" s="51">
        <f>R$11+R$26+R$41</f>
        <v/>
      </c>
      <c r="S56" s="51">
        <f>S$11+S$26+S$41</f>
        <v/>
      </c>
      <c r="T56" s="51">
        <f>T$11+T$26+T$41</f>
        <v/>
      </c>
      <c r="U56" s="51">
        <f>U$11+U$26+U$41</f>
        <v/>
      </c>
      <c r="V56" s="51">
        <f>V$11+V$26+V$41</f>
        <v/>
      </c>
      <c r="W56" s="51">
        <f>W$11+W$26+W$41</f>
        <v/>
      </c>
      <c r="X56" s="51">
        <f>X$11+X$26+X$41</f>
        <v/>
      </c>
      <c r="Y56" s="51">
        <f>Y$11+Y$26+Y$41</f>
        <v/>
      </c>
      <c r="Z56" s="51">
        <f>Z$11+Z$26+Z$41</f>
        <v/>
      </c>
      <c r="AA56" s="51">
        <f>AA$11+AA$26+AA$41</f>
        <v/>
      </c>
      <c r="AB56" s="51">
        <f>AB$11+AB$26+AB$41</f>
        <v/>
      </c>
      <c r="AC56" s="51">
        <f>AC$11+AC$26+AC$41</f>
        <v/>
      </c>
      <c r="AD56" s="51">
        <f>AD$11+AD$26+AD$41</f>
        <v/>
      </c>
      <c r="AE56" s="51">
        <f>AE$11+AE$26+AE$41</f>
        <v/>
      </c>
      <c r="AF56" s="51">
        <f>AF$11+AF$26+AF$41</f>
        <v/>
      </c>
      <c r="AG56" s="51">
        <f>AG$11+AG$26+AG$41</f>
        <v/>
      </c>
      <c r="AH56" s="51">
        <f>AH$11+AH$26+AH$41</f>
        <v/>
      </c>
      <c r="AI56" s="51">
        <f>AI$11+AI$26+AI$41</f>
        <v/>
      </c>
      <c r="AJ56" s="51">
        <f>AJ$11+AJ$26+AJ$41</f>
        <v/>
      </c>
      <c r="AK56" s="51">
        <f>AK$11+AK$26+AK$41</f>
        <v/>
      </c>
      <c r="AL56" s="51">
        <f>AL$11+AL$26+AL$41</f>
        <v/>
      </c>
      <c r="AM56" s="51">
        <f>AM$11+AM$26+AM$41</f>
        <v/>
      </c>
      <c r="AN56" s="51">
        <f>AN$11+AN$26+AN$41</f>
        <v/>
      </c>
      <c r="AO56" s="51">
        <f>AO$11+AO$26+AO$41</f>
        <v/>
      </c>
      <c r="AP56" s="51">
        <f>AP$11+AP$26+AP$41</f>
        <v/>
      </c>
      <c r="AQ56" s="51">
        <f>AQ$11+AQ$26+AQ$41</f>
        <v/>
      </c>
      <c r="AR56" s="51">
        <f>AR$11+AR$26+AR$41</f>
        <v/>
      </c>
      <c r="AS56" s="51">
        <f>AS$11+AS$26+AS$41</f>
        <v/>
      </c>
      <c r="AT56" s="51">
        <f>AT$11+AT$26+AT$41</f>
        <v/>
      </c>
      <c r="AU56" s="51">
        <f>AU$11+AU$26+AU$41</f>
        <v/>
      </c>
      <c r="AV56" s="51">
        <f>AV$11+AV$26+AV$41</f>
        <v/>
      </c>
      <c r="AW56" s="51">
        <f>AW$11+AW$26+AW$41</f>
        <v/>
      </c>
      <c r="AX56" s="51">
        <f>AX$11+AX$26+AX$41</f>
        <v/>
      </c>
      <c r="AY56" s="51">
        <f>AY$11+AY$26+AY$41</f>
        <v/>
      </c>
      <c r="AZ56" s="51">
        <f>AZ$11+AZ$26+AZ$41</f>
        <v/>
      </c>
      <c r="BA56" s="51">
        <f>BA$11+BA$26+BA$41</f>
        <v/>
      </c>
      <c r="BB56" s="51">
        <f>BB$11+BB$26+BB$41</f>
        <v/>
      </c>
      <c r="BC56" s="51">
        <f>BC$11+BC$26+BC$41</f>
        <v/>
      </c>
      <c r="BD56" s="51">
        <f>BD$11+BD$26+BD$41</f>
        <v/>
      </c>
      <c r="BE56" s="51">
        <f>BE$11+BE$26+BE$41</f>
        <v/>
      </c>
      <c r="BF56" s="51">
        <f>BF$11+BF$26+BF$41</f>
        <v/>
      </c>
      <c r="BG56" s="51">
        <f>BG$11+BG$26+BG$41</f>
        <v/>
      </c>
      <c r="BH56" s="51">
        <f>BH$11+BH$26+BH$41</f>
        <v/>
      </c>
      <c r="BI56" s="51">
        <f>BI$11+BI$26+BI$41</f>
        <v/>
      </c>
      <c r="BJ56" s="51">
        <f>BJ$11+BJ$26+BJ$41</f>
        <v/>
      </c>
      <c r="BK56" s="51">
        <f>BK$11+BK$26+BK$41</f>
        <v/>
      </c>
      <c r="BL56" s="51">
        <f>BL$11+BL$26+BL$41</f>
        <v/>
      </c>
    </row>
    <row r="57">
      <c r="A57" s="47" t="inlineStr">
        <is>
          <t>Hardware revenue (cash price)</t>
        </is>
      </c>
      <c r="B57" s="48" t="inlineStr">
        <is>
          <t>LCY</t>
        </is>
      </c>
      <c r="C57" s="49">
        <f>SUM(E57:BL57)</f>
        <v/>
      </c>
      <c r="D57" s="50" t="n"/>
      <c r="E57" s="51">
        <f>E$12+E$27+E$42</f>
        <v/>
      </c>
      <c r="F57" s="51">
        <f>F$12+F$27+F$42</f>
        <v/>
      </c>
      <c r="G57" s="51">
        <f>G$12+G$27+G$42</f>
        <v/>
      </c>
      <c r="H57" s="51">
        <f>H$12+H$27+H$42</f>
        <v/>
      </c>
      <c r="I57" s="51">
        <f>I$12+I$27+I$42</f>
        <v/>
      </c>
      <c r="J57" s="51">
        <f>J$12+J$27+J$42</f>
        <v/>
      </c>
      <c r="K57" s="51">
        <f>K$12+K$27+K$42</f>
        <v/>
      </c>
      <c r="L57" s="51">
        <f>L$12+L$27+L$42</f>
        <v/>
      </c>
      <c r="M57" s="51">
        <f>M$12+M$27+M$42</f>
        <v/>
      </c>
      <c r="N57" s="51">
        <f>N$12+N$27+N$42</f>
        <v/>
      </c>
      <c r="O57" s="51">
        <f>O$12+O$27+O$42</f>
        <v/>
      </c>
      <c r="P57" s="51">
        <f>P$12+P$27+P$42</f>
        <v/>
      </c>
      <c r="Q57" s="51">
        <f>Q$12+Q$27+Q$42</f>
        <v/>
      </c>
      <c r="R57" s="51">
        <f>R$12+R$27+R$42</f>
        <v/>
      </c>
      <c r="S57" s="51">
        <f>S$12+S$27+S$42</f>
        <v/>
      </c>
      <c r="T57" s="51">
        <f>T$12+T$27+T$42</f>
        <v/>
      </c>
      <c r="U57" s="51">
        <f>U$12+U$27+U$42</f>
        <v/>
      </c>
      <c r="V57" s="51">
        <f>V$12+V$27+V$42</f>
        <v/>
      </c>
      <c r="W57" s="51">
        <f>W$12+W$27+W$42</f>
        <v/>
      </c>
      <c r="X57" s="51">
        <f>X$12+X$27+X$42</f>
        <v/>
      </c>
      <c r="Y57" s="51">
        <f>Y$12+Y$27+Y$42</f>
        <v/>
      </c>
      <c r="Z57" s="51">
        <f>Z$12+Z$27+Z$42</f>
        <v/>
      </c>
      <c r="AA57" s="51">
        <f>AA$12+AA$27+AA$42</f>
        <v/>
      </c>
      <c r="AB57" s="51">
        <f>AB$12+AB$27+AB$42</f>
        <v/>
      </c>
      <c r="AC57" s="51">
        <f>AC$12+AC$27+AC$42</f>
        <v/>
      </c>
      <c r="AD57" s="51">
        <f>AD$12+AD$27+AD$42</f>
        <v/>
      </c>
      <c r="AE57" s="51">
        <f>AE$12+AE$27+AE$42</f>
        <v/>
      </c>
      <c r="AF57" s="51">
        <f>AF$12+AF$27+AF$42</f>
        <v/>
      </c>
      <c r="AG57" s="51">
        <f>AG$12+AG$27+AG$42</f>
        <v/>
      </c>
      <c r="AH57" s="51">
        <f>AH$12+AH$27+AH$42</f>
        <v/>
      </c>
      <c r="AI57" s="51">
        <f>AI$12+AI$27+AI$42</f>
        <v/>
      </c>
      <c r="AJ57" s="51">
        <f>AJ$12+AJ$27+AJ$42</f>
        <v/>
      </c>
      <c r="AK57" s="51">
        <f>AK$12+AK$27+AK$42</f>
        <v/>
      </c>
      <c r="AL57" s="51">
        <f>AL$12+AL$27+AL$42</f>
        <v/>
      </c>
      <c r="AM57" s="51">
        <f>AM$12+AM$27+AM$42</f>
        <v/>
      </c>
      <c r="AN57" s="51">
        <f>AN$12+AN$27+AN$42</f>
        <v/>
      </c>
      <c r="AO57" s="51">
        <f>AO$12+AO$27+AO$42</f>
        <v/>
      </c>
      <c r="AP57" s="51">
        <f>AP$12+AP$27+AP$42</f>
        <v/>
      </c>
      <c r="AQ57" s="51">
        <f>AQ$12+AQ$27+AQ$42</f>
        <v/>
      </c>
      <c r="AR57" s="51">
        <f>AR$12+AR$27+AR$42</f>
        <v/>
      </c>
      <c r="AS57" s="51">
        <f>AS$12+AS$27+AS$42</f>
        <v/>
      </c>
      <c r="AT57" s="51">
        <f>AT$12+AT$27+AT$42</f>
        <v/>
      </c>
      <c r="AU57" s="51">
        <f>AU$12+AU$27+AU$42</f>
        <v/>
      </c>
      <c r="AV57" s="51">
        <f>AV$12+AV$27+AV$42</f>
        <v/>
      </c>
      <c r="AW57" s="51">
        <f>AW$12+AW$27+AW$42</f>
        <v/>
      </c>
      <c r="AX57" s="51">
        <f>AX$12+AX$27+AX$42</f>
        <v/>
      </c>
      <c r="AY57" s="51">
        <f>AY$12+AY$27+AY$42</f>
        <v/>
      </c>
      <c r="AZ57" s="51">
        <f>AZ$12+AZ$27+AZ$42</f>
        <v/>
      </c>
      <c r="BA57" s="51">
        <f>BA$12+BA$27+BA$42</f>
        <v/>
      </c>
      <c r="BB57" s="51">
        <f>BB$12+BB$27+BB$42</f>
        <v/>
      </c>
      <c r="BC57" s="51">
        <f>BC$12+BC$27+BC$42</f>
        <v/>
      </c>
      <c r="BD57" s="51">
        <f>BD$12+BD$27+BD$42</f>
        <v/>
      </c>
      <c r="BE57" s="51">
        <f>BE$12+BE$27+BE$42</f>
        <v/>
      </c>
      <c r="BF57" s="51">
        <f>BF$12+BF$27+BF$42</f>
        <v/>
      </c>
      <c r="BG57" s="51">
        <f>BG$12+BG$27+BG$42</f>
        <v/>
      </c>
      <c r="BH57" s="51">
        <f>BH$12+BH$27+BH$42</f>
        <v/>
      </c>
      <c r="BI57" s="51">
        <f>BI$12+BI$27+BI$42</f>
        <v/>
      </c>
      <c r="BJ57" s="51">
        <f>BJ$12+BJ$27+BJ$42</f>
        <v/>
      </c>
      <c r="BK57" s="51">
        <f>BK$12+BK$27+BK$42</f>
        <v/>
      </c>
      <c r="BL57" s="51">
        <f>BL$12+BL$27+BL$42</f>
        <v/>
      </c>
    </row>
    <row r="58">
      <c r="A58" s="47" t="inlineStr">
        <is>
          <t>New receivables originated (cash price - deposit)</t>
        </is>
      </c>
      <c r="B58" s="48" t="inlineStr">
        <is>
          <t>LCY</t>
        </is>
      </c>
      <c r="C58" s="49">
        <f>SUM(E58:BL58)</f>
        <v/>
      </c>
      <c r="D58" s="50" t="n"/>
      <c r="E58" s="51">
        <f>E$13+E$28+E$43</f>
        <v/>
      </c>
      <c r="F58" s="51">
        <f>F$13+F$28+F$43</f>
        <v/>
      </c>
      <c r="G58" s="51">
        <f>G$13+G$28+G$43</f>
        <v/>
      </c>
      <c r="H58" s="51">
        <f>H$13+H$28+H$43</f>
        <v/>
      </c>
      <c r="I58" s="51">
        <f>I$13+I$28+I$43</f>
        <v/>
      </c>
      <c r="J58" s="51">
        <f>J$13+J$28+J$43</f>
        <v/>
      </c>
      <c r="K58" s="51">
        <f>K$13+K$28+K$43</f>
        <v/>
      </c>
      <c r="L58" s="51">
        <f>L$13+L$28+L$43</f>
        <v/>
      </c>
      <c r="M58" s="51">
        <f>M$13+M$28+M$43</f>
        <v/>
      </c>
      <c r="N58" s="51">
        <f>N$13+N$28+N$43</f>
        <v/>
      </c>
      <c r="O58" s="51">
        <f>O$13+O$28+O$43</f>
        <v/>
      </c>
      <c r="P58" s="51">
        <f>P$13+P$28+P$43</f>
        <v/>
      </c>
      <c r="Q58" s="51">
        <f>Q$13+Q$28+Q$43</f>
        <v/>
      </c>
      <c r="R58" s="51">
        <f>R$13+R$28+R$43</f>
        <v/>
      </c>
      <c r="S58" s="51">
        <f>S$13+S$28+S$43</f>
        <v/>
      </c>
      <c r="T58" s="51">
        <f>T$13+T$28+T$43</f>
        <v/>
      </c>
      <c r="U58" s="51">
        <f>U$13+U$28+U$43</f>
        <v/>
      </c>
      <c r="V58" s="51">
        <f>V$13+V$28+V$43</f>
        <v/>
      </c>
      <c r="W58" s="51">
        <f>W$13+W$28+W$43</f>
        <v/>
      </c>
      <c r="X58" s="51">
        <f>X$13+X$28+X$43</f>
        <v/>
      </c>
      <c r="Y58" s="51">
        <f>Y$13+Y$28+Y$43</f>
        <v/>
      </c>
      <c r="Z58" s="51">
        <f>Z$13+Z$28+Z$43</f>
        <v/>
      </c>
      <c r="AA58" s="51">
        <f>AA$13+AA$28+AA$43</f>
        <v/>
      </c>
      <c r="AB58" s="51">
        <f>AB$13+AB$28+AB$43</f>
        <v/>
      </c>
      <c r="AC58" s="51">
        <f>AC$13+AC$28+AC$43</f>
        <v/>
      </c>
      <c r="AD58" s="51">
        <f>AD$13+AD$28+AD$43</f>
        <v/>
      </c>
      <c r="AE58" s="51">
        <f>AE$13+AE$28+AE$43</f>
        <v/>
      </c>
      <c r="AF58" s="51">
        <f>AF$13+AF$28+AF$43</f>
        <v/>
      </c>
      <c r="AG58" s="51">
        <f>AG$13+AG$28+AG$43</f>
        <v/>
      </c>
      <c r="AH58" s="51">
        <f>AH$13+AH$28+AH$43</f>
        <v/>
      </c>
      <c r="AI58" s="51">
        <f>AI$13+AI$28+AI$43</f>
        <v/>
      </c>
      <c r="AJ58" s="51">
        <f>AJ$13+AJ$28+AJ$43</f>
        <v/>
      </c>
      <c r="AK58" s="51">
        <f>AK$13+AK$28+AK$43</f>
        <v/>
      </c>
      <c r="AL58" s="51">
        <f>AL$13+AL$28+AL$43</f>
        <v/>
      </c>
      <c r="AM58" s="51">
        <f>AM$13+AM$28+AM$43</f>
        <v/>
      </c>
      <c r="AN58" s="51">
        <f>AN$13+AN$28+AN$43</f>
        <v/>
      </c>
      <c r="AO58" s="51">
        <f>AO$13+AO$28+AO$43</f>
        <v/>
      </c>
      <c r="AP58" s="51">
        <f>AP$13+AP$28+AP$43</f>
        <v/>
      </c>
      <c r="AQ58" s="51">
        <f>AQ$13+AQ$28+AQ$43</f>
        <v/>
      </c>
      <c r="AR58" s="51">
        <f>AR$13+AR$28+AR$43</f>
        <v/>
      </c>
      <c r="AS58" s="51">
        <f>AS$13+AS$28+AS$43</f>
        <v/>
      </c>
      <c r="AT58" s="51">
        <f>AT$13+AT$28+AT$43</f>
        <v/>
      </c>
      <c r="AU58" s="51">
        <f>AU$13+AU$28+AU$43</f>
        <v/>
      </c>
      <c r="AV58" s="51">
        <f>AV$13+AV$28+AV$43</f>
        <v/>
      </c>
      <c r="AW58" s="51">
        <f>AW$13+AW$28+AW$43</f>
        <v/>
      </c>
      <c r="AX58" s="51">
        <f>AX$13+AX$28+AX$43</f>
        <v/>
      </c>
      <c r="AY58" s="51">
        <f>AY$13+AY$28+AY$43</f>
        <v/>
      </c>
      <c r="AZ58" s="51">
        <f>AZ$13+AZ$28+AZ$43</f>
        <v/>
      </c>
      <c r="BA58" s="51">
        <f>BA$13+BA$28+BA$43</f>
        <v/>
      </c>
      <c r="BB58" s="51">
        <f>BB$13+BB$28+BB$43</f>
        <v/>
      </c>
      <c r="BC58" s="51">
        <f>BC$13+BC$28+BC$43</f>
        <v/>
      </c>
      <c r="BD58" s="51">
        <f>BD$13+BD$28+BD$43</f>
        <v/>
      </c>
      <c r="BE58" s="51">
        <f>BE$13+BE$28+BE$43</f>
        <v/>
      </c>
      <c r="BF58" s="51">
        <f>BF$13+BF$28+BF$43</f>
        <v/>
      </c>
      <c r="BG58" s="51">
        <f>BG$13+BG$28+BG$43</f>
        <v/>
      </c>
      <c r="BH58" s="51">
        <f>BH$13+BH$28+BH$43</f>
        <v/>
      </c>
      <c r="BI58" s="51">
        <f>BI$13+BI$28+BI$43</f>
        <v/>
      </c>
      <c r="BJ58" s="51">
        <f>BJ$13+BJ$28+BJ$43</f>
        <v/>
      </c>
      <c r="BK58" s="51">
        <f>BK$13+BK$28+BK$43</f>
        <v/>
      </c>
      <c r="BL58" s="51">
        <f>BL$13+BL$28+BL$43</f>
        <v/>
      </c>
    </row>
    <row r="59">
      <c r="A59" s="47" t="inlineStr">
        <is>
          <t>Instalments due</t>
        </is>
      </c>
      <c r="B59" s="48" t="inlineStr">
        <is>
          <t>LCY</t>
        </is>
      </c>
      <c r="C59" s="49">
        <f>SUM(E59:BL59)</f>
        <v/>
      </c>
      <c r="D59" s="50" t="n"/>
      <c r="E59" s="51">
        <f>E$14+E$29+E$44</f>
        <v/>
      </c>
      <c r="F59" s="51">
        <f>F$14+F$29+F$44</f>
        <v/>
      </c>
      <c r="G59" s="51">
        <f>G$14+G$29+G$44</f>
        <v/>
      </c>
      <c r="H59" s="51">
        <f>H$14+H$29+H$44</f>
        <v/>
      </c>
      <c r="I59" s="51">
        <f>I$14+I$29+I$44</f>
        <v/>
      </c>
      <c r="J59" s="51">
        <f>J$14+J$29+J$44</f>
        <v/>
      </c>
      <c r="K59" s="51">
        <f>K$14+K$29+K$44</f>
        <v/>
      </c>
      <c r="L59" s="51">
        <f>L$14+L$29+L$44</f>
        <v/>
      </c>
      <c r="M59" s="51">
        <f>M$14+M$29+M$44</f>
        <v/>
      </c>
      <c r="N59" s="51">
        <f>N$14+N$29+N$44</f>
        <v/>
      </c>
      <c r="O59" s="51">
        <f>O$14+O$29+O$44</f>
        <v/>
      </c>
      <c r="P59" s="51">
        <f>P$14+P$29+P$44</f>
        <v/>
      </c>
      <c r="Q59" s="51">
        <f>Q$14+Q$29+Q$44</f>
        <v/>
      </c>
      <c r="R59" s="51">
        <f>R$14+R$29+R$44</f>
        <v/>
      </c>
      <c r="S59" s="51">
        <f>S$14+S$29+S$44</f>
        <v/>
      </c>
      <c r="T59" s="51">
        <f>T$14+T$29+T$44</f>
        <v/>
      </c>
      <c r="U59" s="51">
        <f>U$14+U$29+U$44</f>
        <v/>
      </c>
      <c r="V59" s="51">
        <f>V$14+V$29+V$44</f>
        <v/>
      </c>
      <c r="W59" s="51">
        <f>W$14+W$29+W$44</f>
        <v/>
      </c>
      <c r="X59" s="51">
        <f>X$14+X$29+X$44</f>
        <v/>
      </c>
      <c r="Y59" s="51">
        <f>Y$14+Y$29+Y$44</f>
        <v/>
      </c>
      <c r="Z59" s="51">
        <f>Z$14+Z$29+Z$44</f>
        <v/>
      </c>
      <c r="AA59" s="51">
        <f>AA$14+AA$29+AA$44</f>
        <v/>
      </c>
      <c r="AB59" s="51">
        <f>AB$14+AB$29+AB$44</f>
        <v/>
      </c>
      <c r="AC59" s="51">
        <f>AC$14+AC$29+AC$44</f>
        <v/>
      </c>
      <c r="AD59" s="51">
        <f>AD$14+AD$29+AD$44</f>
        <v/>
      </c>
      <c r="AE59" s="51">
        <f>AE$14+AE$29+AE$44</f>
        <v/>
      </c>
      <c r="AF59" s="51">
        <f>AF$14+AF$29+AF$44</f>
        <v/>
      </c>
      <c r="AG59" s="51">
        <f>AG$14+AG$29+AG$44</f>
        <v/>
      </c>
      <c r="AH59" s="51">
        <f>AH$14+AH$29+AH$44</f>
        <v/>
      </c>
      <c r="AI59" s="51">
        <f>AI$14+AI$29+AI$44</f>
        <v/>
      </c>
      <c r="AJ59" s="51">
        <f>AJ$14+AJ$29+AJ$44</f>
        <v/>
      </c>
      <c r="AK59" s="51">
        <f>AK$14+AK$29+AK$44</f>
        <v/>
      </c>
      <c r="AL59" s="51">
        <f>AL$14+AL$29+AL$44</f>
        <v/>
      </c>
      <c r="AM59" s="51">
        <f>AM$14+AM$29+AM$44</f>
        <v/>
      </c>
      <c r="AN59" s="51">
        <f>AN$14+AN$29+AN$44</f>
        <v/>
      </c>
      <c r="AO59" s="51">
        <f>AO$14+AO$29+AO$44</f>
        <v/>
      </c>
      <c r="AP59" s="51">
        <f>AP$14+AP$29+AP$44</f>
        <v/>
      </c>
      <c r="AQ59" s="51">
        <f>AQ$14+AQ$29+AQ$44</f>
        <v/>
      </c>
      <c r="AR59" s="51">
        <f>AR$14+AR$29+AR$44</f>
        <v/>
      </c>
      <c r="AS59" s="51">
        <f>AS$14+AS$29+AS$44</f>
        <v/>
      </c>
      <c r="AT59" s="51">
        <f>AT$14+AT$29+AT$44</f>
        <v/>
      </c>
      <c r="AU59" s="51">
        <f>AU$14+AU$29+AU$44</f>
        <v/>
      </c>
      <c r="AV59" s="51">
        <f>AV$14+AV$29+AV$44</f>
        <v/>
      </c>
      <c r="AW59" s="51">
        <f>AW$14+AW$29+AW$44</f>
        <v/>
      </c>
      <c r="AX59" s="51">
        <f>AX$14+AX$29+AX$44</f>
        <v/>
      </c>
      <c r="AY59" s="51">
        <f>AY$14+AY$29+AY$44</f>
        <v/>
      </c>
      <c r="AZ59" s="51">
        <f>AZ$14+AZ$29+AZ$44</f>
        <v/>
      </c>
      <c r="BA59" s="51">
        <f>BA$14+BA$29+BA$44</f>
        <v/>
      </c>
      <c r="BB59" s="51">
        <f>BB$14+BB$29+BB$44</f>
        <v/>
      </c>
      <c r="BC59" s="51">
        <f>BC$14+BC$29+BC$44</f>
        <v/>
      </c>
      <c r="BD59" s="51">
        <f>BD$14+BD$29+BD$44</f>
        <v/>
      </c>
      <c r="BE59" s="51">
        <f>BE$14+BE$29+BE$44</f>
        <v/>
      </c>
      <c r="BF59" s="51">
        <f>BF$14+BF$29+BF$44</f>
        <v/>
      </c>
      <c r="BG59" s="51">
        <f>BG$14+BG$29+BG$44</f>
        <v/>
      </c>
      <c r="BH59" s="51">
        <f>BH$14+BH$29+BH$44</f>
        <v/>
      </c>
      <c r="BI59" s="51">
        <f>BI$14+BI$29+BI$44</f>
        <v/>
      </c>
      <c r="BJ59" s="51">
        <f>BJ$14+BJ$29+BJ$44</f>
        <v/>
      </c>
      <c r="BK59" s="51">
        <f>BK$14+BK$29+BK$44</f>
        <v/>
      </c>
      <c r="BL59" s="51">
        <f>BL$14+BL$29+BL$44</f>
        <v/>
      </c>
    </row>
    <row r="60">
      <c r="A60" s="47" t="inlineStr">
        <is>
          <t>Instalments collected</t>
        </is>
      </c>
      <c r="B60" s="48" t="inlineStr">
        <is>
          <t>LCY</t>
        </is>
      </c>
      <c r="C60" s="49">
        <f>SUM(E60:BL60)</f>
        <v/>
      </c>
      <c r="D60" s="50" t="n"/>
      <c r="E60" s="51">
        <f>E$15+E$30+E$45</f>
        <v/>
      </c>
      <c r="F60" s="51">
        <f>F$15+F$30+F$45</f>
        <v/>
      </c>
      <c r="G60" s="51">
        <f>G$15+G$30+G$45</f>
        <v/>
      </c>
      <c r="H60" s="51">
        <f>H$15+H$30+H$45</f>
        <v/>
      </c>
      <c r="I60" s="51">
        <f>I$15+I$30+I$45</f>
        <v/>
      </c>
      <c r="J60" s="51">
        <f>J$15+J$30+J$45</f>
        <v/>
      </c>
      <c r="K60" s="51">
        <f>K$15+K$30+K$45</f>
        <v/>
      </c>
      <c r="L60" s="51">
        <f>L$15+L$30+L$45</f>
        <v/>
      </c>
      <c r="M60" s="51">
        <f>M$15+M$30+M$45</f>
        <v/>
      </c>
      <c r="N60" s="51">
        <f>N$15+N$30+N$45</f>
        <v/>
      </c>
      <c r="O60" s="51">
        <f>O$15+O$30+O$45</f>
        <v/>
      </c>
      <c r="P60" s="51">
        <f>P$15+P$30+P$45</f>
        <v/>
      </c>
      <c r="Q60" s="51">
        <f>Q$15+Q$30+Q$45</f>
        <v/>
      </c>
      <c r="R60" s="51">
        <f>R$15+R$30+R$45</f>
        <v/>
      </c>
      <c r="S60" s="51">
        <f>S$15+S$30+S$45</f>
        <v/>
      </c>
      <c r="T60" s="51">
        <f>T$15+T$30+T$45</f>
        <v/>
      </c>
      <c r="U60" s="51">
        <f>U$15+U$30+U$45</f>
        <v/>
      </c>
      <c r="V60" s="51">
        <f>V$15+V$30+V$45</f>
        <v/>
      </c>
      <c r="W60" s="51">
        <f>W$15+W$30+W$45</f>
        <v/>
      </c>
      <c r="X60" s="51">
        <f>X$15+X$30+X$45</f>
        <v/>
      </c>
      <c r="Y60" s="51">
        <f>Y$15+Y$30+Y$45</f>
        <v/>
      </c>
      <c r="Z60" s="51">
        <f>Z$15+Z$30+Z$45</f>
        <v/>
      </c>
      <c r="AA60" s="51">
        <f>AA$15+AA$30+AA$45</f>
        <v/>
      </c>
      <c r="AB60" s="51">
        <f>AB$15+AB$30+AB$45</f>
        <v/>
      </c>
      <c r="AC60" s="51">
        <f>AC$15+AC$30+AC$45</f>
        <v/>
      </c>
      <c r="AD60" s="51">
        <f>AD$15+AD$30+AD$45</f>
        <v/>
      </c>
      <c r="AE60" s="51">
        <f>AE$15+AE$30+AE$45</f>
        <v/>
      </c>
      <c r="AF60" s="51">
        <f>AF$15+AF$30+AF$45</f>
        <v/>
      </c>
      <c r="AG60" s="51">
        <f>AG$15+AG$30+AG$45</f>
        <v/>
      </c>
      <c r="AH60" s="51">
        <f>AH$15+AH$30+AH$45</f>
        <v/>
      </c>
      <c r="AI60" s="51">
        <f>AI$15+AI$30+AI$45</f>
        <v/>
      </c>
      <c r="AJ60" s="51">
        <f>AJ$15+AJ$30+AJ$45</f>
        <v/>
      </c>
      <c r="AK60" s="51">
        <f>AK$15+AK$30+AK$45</f>
        <v/>
      </c>
      <c r="AL60" s="51">
        <f>AL$15+AL$30+AL$45</f>
        <v/>
      </c>
      <c r="AM60" s="51">
        <f>AM$15+AM$30+AM$45</f>
        <v/>
      </c>
      <c r="AN60" s="51">
        <f>AN$15+AN$30+AN$45</f>
        <v/>
      </c>
      <c r="AO60" s="51">
        <f>AO$15+AO$30+AO$45</f>
        <v/>
      </c>
      <c r="AP60" s="51">
        <f>AP$15+AP$30+AP$45</f>
        <v/>
      </c>
      <c r="AQ60" s="51">
        <f>AQ$15+AQ$30+AQ$45</f>
        <v/>
      </c>
      <c r="AR60" s="51">
        <f>AR$15+AR$30+AR$45</f>
        <v/>
      </c>
      <c r="AS60" s="51">
        <f>AS$15+AS$30+AS$45</f>
        <v/>
      </c>
      <c r="AT60" s="51">
        <f>AT$15+AT$30+AT$45</f>
        <v/>
      </c>
      <c r="AU60" s="51">
        <f>AU$15+AU$30+AU$45</f>
        <v/>
      </c>
      <c r="AV60" s="51">
        <f>AV$15+AV$30+AV$45</f>
        <v/>
      </c>
      <c r="AW60" s="51">
        <f>AW$15+AW$30+AW$45</f>
        <v/>
      </c>
      <c r="AX60" s="51">
        <f>AX$15+AX$30+AX$45</f>
        <v/>
      </c>
      <c r="AY60" s="51">
        <f>AY$15+AY$30+AY$45</f>
        <v/>
      </c>
      <c r="AZ60" s="51">
        <f>AZ$15+AZ$30+AZ$45</f>
        <v/>
      </c>
      <c r="BA60" s="51">
        <f>BA$15+BA$30+BA$45</f>
        <v/>
      </c>
      <c r="BB60" s="51">
        <f>BB$15+BB$30+BB$45</f>
        <v/>
      </c>
      <c r="BC60" s="51">
        <f>BC$15+BC$30+BC$45</f>
        <v/>
      </c>
      <c r="BD60" s="51">
        <f>BD$15+BD$30+BD$45</f>
        <v/>
      </c>
      <c r="BE60" s="51">
        <f>BE$15+BE$30+BE$45</f>
        <v/>
      </c>
      <c r="BF60" s="51">
        <f>BF$15+BF$30+BF$45</f>
        <v/>
      </c>
      <c r="BG60" s="51">
        <f>BG$15+BG$30+BG$45</f>
        <v/>
      </c>
      <c r="BH60" s="51">
        <f>BH$15+BH$30+BH$45</f>
        <v/>
      </c>
      <c r="BI60" s="51">
        <f>BI$15+BI$30+BI$45</f>
        <v/>
      </c>
      <c r="BJ60" s="51">
        <f>BJ$15+BJ$30+BJ$45</f>
        <v/>
      </c>
      <c r="BK60" s="51">
        <f>BK$15+BK$30+BK$45</f>
        <v/>
      </c>
      <c r="BL60" s="51">
        <f>BL$15+BL$30+BL$45</f>
        <v/>
      </c>
    </row>
    <row r="61">
      <c r="A61" s="47" t="inlineStr">
        <is>
          <t>Missed instalments written off</t>
        </is>
      </c>
      <c r="B61" s="48" t="inlineStr">
        <is>
          <t>LCY</t>
        </is>
      </c>
      <c r="C61" s="49">
        <f>SUM(E61:BL61)</f>
        <v/>
      </c>
      <c r="D61" s="50" t="n"/>
      <c r="E61" s="51">
        <f>E$16+E$31+E$46</f>
        <v/>
      </c>
      <c r="F61" s="51">
        <f>F$16+F$31+F$46</f>
        <v/>
      </c>
      <c r="G61" s="51">
        <f>G$16+G$31+G$46</f>
        <v/>
      </c>
      <c r="H61" s="51">
        <f>H$16+H$31+H$46</f>
        <v/>
      </c>
      <c r="I61" s="51">
        <f>I$16+I$31+I$46</f>
        <v/>
      </c>
      <c r="J61" s="51">
        <f>J$16+J$31+J$46</f>
        <v/>
      </c>
      <c r="K61" s="51">
        <f>K$16+K$31+K$46</f>
        <v/>
      </c>
      <c r="L61" s="51">
        <f>L$16+L$31+L$46</f>
        <v/>
      </c>
      <c r="M61" s="51">
        <f>M$16+M$31+M$46</f>
        <v/>
      </c>
      <c r="N61" s="51">
        <f>N$16+N$31+N$46</f>
        <v/>
      </c>
      <c r="O61" s="51">
        <f>O$16+O$31+O$46</f>
        <v/>
      </c>
      <c r="P61" s="51">
        <f>P$16+P$31+P$46</f>
        <v/>
      </c>
      <c r="Q61" s="51">
        <f>Q$16+Q$31+Q$46</f>
        <v/>
      </c>
      <c r="R61" s="51">
        <f>R$16+R$31+R$46</f>
        <v/>
      </c>
      <c r="S61" s="51">
        <f>S$16+S$31+S$46</f>
        <v/>
      </c>
      <c r="T61" s="51">
        <f>T$16+T$31+T$46</f>
        <v/>
      </c>
      <c r="U61" s="51">
        <f>U$16+U$31+U$46</f>
        <v/>
      </c>
      <c r="V61" s="51">
        <f>V$16+V$31+V$46</f>
        <v/>
      </c>
      <c r="W61" s="51">
        <f>W$16+W$31+W$46</f>
        <v/>
      </c>
      <c r="X61" s="51">
        <f>X$16+X$31+X$46</f>
        <v/>
      </c>
      <c r="Y61" s="51">
        <f>Y$16+Y$31+Y$46</f>
        <v/>
      </c>
      <c r="Z61" s="51">
        <f>Z$16+Z$31+Z$46</f>
        <v/>
      </c>
      <c r="AA61" s="51">
        <f>AA$16+AA$31+AA$46</f>
        <v/>
      </c>
      <c r="AB61" s="51">
        <f>AB$16+AB$31+AB$46</f>
        <v/>
      </c>
      <c r="AC61" s="51">
        <f>AC$16+AC$31+AC$46</f>
        <v/>
      </c>
      <c r="AD61" s="51">
        <f>AD$16+AD$31+AD$46</f>
        <v/>
      </c>
      <c r="AE61" s="51">
        <f>AE$16+AE$31+AE$46</f>
        <v/>
      </c>
      <c r="AF61" s="51">
        <f>AF$16+AF$31+AF$46</f>
        <v/>
      </c>
      <c r="AG61" s="51">
        <f>AG$16+AG$31+AG$46</f>
        <v/>
      </c>
      <c r="AH61" s="51">
        <f>AH$16+AH$31+AH$46</f>
        <v/>
      </c>
      <c r="AI61" s="51">
        <f>AI$16+AI$31+AI$46</f>
        <v/>
      </c>
      <c r="AJ61" s="51">
        <f>AJ$16+AJ$31+AJ$46</f>
        <v/>
      </c>
      <c r="AK61" s="51">
        <f>AK$16+AK$31+AK$46</f>
        <v/>
      </c>
      <c r="AL61" s="51">
        <f>AL$16+AL$31+AL$46</f>
        <v/>
      </c>
      <c r="AM61" s="51">
        <f>AM$16+AM$31+AM$46</f>
        <v/>
      </c>
      <c r="AN61" s="51">
        <f>AN$16+AN$31+AN$46</f>
        <v/>
      </c>
      <c r="AO61" s="51">
        <f>AO$16+AO$31+AO$46</f>
        <v/>
      </c>
      <c r="AP61" s="51">
        <f>AP$16+AP$31+AP$46</f>
        <v/>
      </c>
      <c r="AQ61" s="51">
        <f>AQ$16+AQ$31+AQ$46</f>
        <v/>
      </c>
      <c r="AR61" s="51">
        <f>AR$16+AR$31+AR$46</f>
        <v/>
      </c>
      <c r="AS61" s="51">
        <f>AS$16+AS$31+AS$46</f>
        <v/>
      </c>
      <c r="AT61" s="51">
        <f>AT$16+AT$31+AT$46</f>
        <v/>
      </c>
      <c r="AU61" s="51">
        <f>AU$16+AU$31+AU$46</f>
        <v/>
      </c>
      <c r="AV61" s="51">
        <f>AV$16+AV$31+AV$46</f>
        <v/>
      </c>
      <c r="AW61" s="51">
        <f>AW$16+AW$31+AW$46</f>
        <v/>
      </c>
      <c r="AX61" s="51">
        <f>AX$16+AX$31+AX$46</f>
        <v/>
      </c>
      <c r="AY61" s="51">
        <f>AY$16+AY$31+AY$46</f>
        <v/>
      </c>
      <c r="AZ61" s="51">
        <f>AZ$16+AZ$31+AZ$46</f>
        <v/>
      </c>
      <c r="BA61" s="51">
        <f>BA$16+BA$31+BA$46</f>
        <v/>
      </c>
      <c r="BB61" s="51">
        <f>BB$16+BB$31+BB$46</f>
        <v/>
      </c>
      <c r="BC61" s="51">
        <f>BC$16+BC$31+BC$46</f>
        <v/>
      </c>
      <c r="BD61" s="51">
        <f>BD$16+BD$31+BD$46</f>
        <v/>
      </c>
      <c r="BE61" s="51">
        <f>BE$16+BE$31+BE$46</f>
        <v/>
      </c>
      <c r="BF61" s="51">
        <f>BF$16+BF$31+BF$46</f>
        <v/>
      </c>
      <c r="BG61" s="51">
        <f>BG$16+BG$31+BG$46</f>
        <v/>
      </c>
      <c r="BH61" s="51">
        <f>BH$16+BH$31+BH$46</f>
        <v/>
      </c>
      <c r="BI61" s="51">
        <f>BI$16+BI$31+BI$46</f>
        <v/>
      </c>
      <c r="BJ61" s="51">
        <f>BJ$16+BJ$31+BJ$46</f>
        <v/>
      </c>
      <c r="BK61" s="51">
        <f>BK$16+BK$31+BK$46</f>
        <v/>
      </c>
      <c r="BL61" s="51">
        <f>BL$16+BL$31+BL$46</f>
        <v/>
      </c>
    </row>
    <row r="62">
      <c r="A62" s="47" t="inlineStr">
        <is>
          <t>PAYGo financing income (straight-line over tenor)</t>
        </is>
      </c>
      <c r="B62" s="48" t="inlineStr">
        <is>
          <t>LCY</t>
        </is>
      </c>
      <c r="C62" s="49">
        <f>SUM(E62:BL62)</f>
        <v/>
      </c>
      <c r="D62" s="50" t="n"/>
      <c r="E62" s="51">
        <f>E$17+E$32+E$47</f>
        <v/>
      </c>
      <c r="F62" s="51">
        <f>F$17+F$32+F$47</f>
        <v/>
      </c>
      <c r="G62" s="51">
        <f>G$17+G$32+G$47</f>
        <v/>
      </c>
      <c r="H62" s="51">
        <f>H$17+H$32+H$47</f>
        <v/>
      </c>
      <c r="I62" s="51">
        <f>I$17+I$32+I$47</f>
        <v/>
      </c>
      <c r="J62" s="51">
        <f>J$17+J$32+J$47</f>
        <v/>
      </c>
      <c r="K62" s="51">
        <f>K$17+K$32+K$47</f>
        <v/>
      </c>
      <c r="L62" s="51">
        <f>L$17+L$32+L$47</f>
        <v/>
      </c>
      <c r="M62" s="51">
        <f>M$17+M$32+M$47</f>
        <v/>
      </c>
      <c r="N62" s="51">
        <f>N$17+N$32+N$47</f>
        <v/>
      </c>
      <c r="O62" s="51">
        <f>O$17+O$32+O$47</f>
        <v/>
      </c>
      <c r="P62" s="51">
        <f>P$17+P$32+P$47</f>
        <v/>
      </c>
      <c r="Q62" s="51">
        <f>Q$17+Q$32+Q$47</f>
        <v/>
      </c>
      <c r="R62" s="51">
        <f>R$17+R$32+R$47</f>
        <v/>
      </c>
      <c r="S62" s="51">
        <f>S$17+S$32+S$47</f>
        <v/>
      </c>
      <c r="T62" s="51">
        <f>T$17+T$32+T$47</f>
        <v/>
      </c>
      <c r="U62" s="51">
        <f>U$17+U$32+U$47</f>
        <v/>
      </c>
      <c r="V62" s="51">
        <f>V$17+V$32+V$47</f>
        <v/>
      </c>
      <c r="W62" s="51">
        <f>W$17+W$32+W$47</f>
        <v/>
      </c>
      <c r="X62" s="51">
        <f>X$17+X$32+X$47</f>
        <v/>
      </c>
      <c r="Y62" s="51">
        <f>Y$17+Y$32+Y$47</f>
        <v/>
      </c>
      <c r="Z62" s="51">
        <f>Z$17+Z$32+Z$47</f>
        <v/>
      </c>
      <c r="AA62" s="51">
        <f>AA$17+AA$32+AA$47</f>
        <v/>
      </c>
      <c r="AB62" s="51">
        <f>AB$17+AB$32+AB$47</f>
        <v/>
      </c>
      <c r="AC62" s="51">
        <f>AC$17+AC$32+AC$47</f>
        <v/>
      </c>
      <c r="AD62" s="51">
        <f>AD$17+AD$32+AD$47</f>
        <v/>
      </c>
      <c r="AE62" s="51">
        <f>AE$17+AE$32+AE$47</f>
        <v/>
      </c>
      <c r="AF62" s="51">
        <f>AF$17+AF$32+AF$47</f>
        <v/>
      </c>
      <c r="AG62" s="51">
        <f>AG$17+AG$32+AG$47</f>
        <v/>
      </c>
      <c r="AH62" s="51">
        <f>AH$17+AH$32+AH$47</f>
        <v/>
      </c>
      <c r="AI62" s="51">
        <f>AI$17+AI$32+AI$47</f>
        <v/>
      </c>
      <c r="AJ62" s="51">
        <f>AJ$17+AJ$32+AJ$47</f>
        <v/>
      </c>
      <c r="AK62" s="51">
        <f>AK$17+AK$32+AK$47</f>
        <v/>
      </c>
      <c r="AL62" s="51">
        <f>AL$17+AL$32+AL$47</f>
        <v/>
      </c>
      <c r="AM62" s="51">
        <f>AM$17+AM$32+AM$47</f>
        <v/>
      </c>
      <c r="AN62" s="51">
        <f>AN$17+AN$32+AN$47</f>
        <v/>
      </c>
      <c r="AO62" s="51">
        <f>AO$17+AO$32+AO$47</f>
        <v/>
      </c>
      <c r="AP62" s="51">
        <f>AP$17+AP$32+AP$47</f>
        <v/>
      </c>
      <c r="AQ62" s="51">
        <f>AQ$17+AQ$32+AQ$47</f>
        <v/>
      </c>
      <c r="AR62" s="51">
        <f>AR$17+AR$32+AR$47</f>
        <v/>
      </c>
      <c r="AS62" s="51">
        <f>AS$17+AS$32+AS$47</f>
        <v/>
      </c>
      <c r="AT62" s="51">
        <f>AT$17+AT$32+AT$47</f>
        <v/>
      </c>
      <c r="AU62" s="51">
        <f>AU$17+AU$32+AU$47</f>
        <v/>
      </c>
      <c r="AV62" s="51">
        <f>AV$17+AV$32+AV$47</f>
        <v/>
      </c>
      <c r="AW62" s="51">
        <f>AW$17+AW$32+AW$47</f>
        <v/>
      </c>
      <c r="AX62" s="51">
        <f>AX$17+AX$32+AX$47</f>
        <v/>
      </c>
      <c r="AY62" s="51">
        <f>AY$17+AY$32+AY$47</f>
        <v/>
      </c>
      <c r="AZ62" s="51">
        <f>AZ$17+AZ$32+AZ$47</f>
        <v/>
      </c>
      <c r="BA62" s="51">
        <f>BA$17+BA$32+BA$47</f>
        <v/>
      </c>
      <c r="BB62" s="51">
        <f>BB$17+BB$32+BB$47</f>
        <v/>
      </c>
      <c r="BC62" s="51">
        <f>BC$17+BC$32+BC$47</f>
        <v/>
      </c>
      <c r="BD62" s="51">
        <f>BD$17+BD$32+BD$47</f>
        <v/>
      </c>
      <c r="BE62" s="51">
        <f>BE$17+BE$32+BE$47</f>
        <v/>
      </c>
      <c r="BF62" s="51">
        <f>BF$17+BF$32+BF$47</f>
        <v/>
      </c>
      <c r="BG62" s="51">
        <f>BG$17+BG$32+BG$47</f>
        <v/>
      </c>
      <c r="BH62" s="51">
        <f>BH$17+BH$32+BH$47</f>
        <v/>
      </c>
      <c r="BI62" s="51">
        <f>BI$17+BI$32+BI$47</f>
        <v/>
      </c>
      <c r="BJ62" s="51">
        <f>BJ$17+BJ$32+BJ$47</f>
        <v/>
      </c>
      <c r="BK62" s="51">
        <f>BK$17+BK$32+BK$47</f>
        <v/>
      </c>
      <c r="BL62" s="51">
        <f>BL$17+BL$32+BL$47</f>
        <v/>
      </c>
    </row>
    <row r="63">
      <c r="A63" s="47" t="inlineStr">
        <is>
          <t>Expected credit loss charge at origination</t>
        </is>
      </c>
      <c r="B63" s="48" t="inlineStr">
        <is>
          <t>LCY</t>
        </is>
      </c>
      <c r="C63" s="49">
        <f>SUM(E63:BL63)</f>
        <v/>
      </c>
      <c r="D63" s="50" t="n"/>
      <c r="E63" s="51">
        <f>E$18+E$33+E$48</f>
        <v/>
      </c>
      <c r="F63" s="51">
        <f>F$18+F$33+F$48</f>
        <v/>
      </c>
      <c r="G63" s="51">
        <f>G$18+G$33+G$48</f>
        <v/>
      </c>
      <c r="H63" s="51">
        <f>H$18+H$33+H$48</f>
        <v/>
      </c>
      <c r="I63" s="51">
        <f>I$18+I$33+I$48</f>
        <v/>
      </c>
      <c r="J63" s="51">
        <f>J$18+J$33+J$48</f>
        <v/>
      </c>
      <c r="K63" s="51">
        <f>K$18+K$33+K$48</f>
        <v/>
      </c>
      <c r="L63" s="51">
        <f>L$18+L$33+L$48</f>
        <v/>
      </c>
      <c r="M63" s="51">
        <f>M$18+M$33+M$48</f>
        <v/>
      </c>
      <c r="N63" s="51">
        <f>N$18+N$33+N$48</f>
        <v/>
      </c>
      <c r="O63" s="51">
        <f>O$18+O$33+O$48</f>
        <v/>
      </c>
      <c r="P63" s="51">
        <f>P$18+P$33+P$48</f>
        <v/>
      </c>
      <c r="Q63" s="51">
        <f>Q$18+Q$33+Q$48</f>
        <v/>
      </c>
      <c r="R63" s="51">
        <f>R$18+R$33+R$48</f>
        <v/>
      </c>
      <c r="S63" s="51">
        <f>S$18+S$33+S$48</f>
        <v/>
      </c>
      <c r="T63" s="51">
        <f>T$18+T$33+T$48</f>
        <v/>
      </c>
      <c r="U63" s="51">
        <f>U$18+U$33+U$48</f>
        <v/>
      </c>
      <c r="V63" s="51">
        <f>V$18+V$33+V$48</f>
        <v/>
      </c>
      <c r="W63" s="51">
        <f>W$18+W$33+W$48</f>
        <v/>
      </c>
      <c r="X63" s="51">
        <f>X$18+X$33+X$48</f>
        <v/>
      </c>
      <c r="Y63" s="51">
        <f>Y$18+Y$33+Y$48</f>
        <v/>
      </c>
      <c r="Z63" s="51">
        <f>Z$18+Z$33+Z$48</f>
        <v/>
      </c>
      <c r="AA63" s="51">
        <f>AA$18+AA$33+AA$48</f>
        <v/>
      </c>
      <c r="AB63" s="51">
        <f>AB$18+AB$33+AB$48</f>
        <v/>
      </c>
      <c r="AC63" s="51">
        <f>AC$18+AC$33+AC$48</f>
        <v/>
      </c>
      <c r="AD63" s="51">
        <f>AD$18+AD$33+AD$48</f>
        <v/>
      </c>
      <c r="AE63" s="51">
        <f>AE$18+AE$33+AE$48</f>
        <v/>
      </c>
      <c r="AF63" s="51">
        <f>AF$18+AF$33+AF$48</f>
        <v/>
      </c>
      <c r="AG63" s="51">
        <f>AG$18+AG$33+AG$48</f>
        <v/>
      </c>
      <c r="AH63" s="51">
        <f>AH$18+AH$33+AH$48</f>
        <v/>
      </c>
      <c r="AI63" s="51">
        <f>AI$18+AI$33+AI$48</f>
        <v/>
      </c>
      <c r="AJ63" s="51">
        <f>AJ$18+AJ$33+AJ$48</f>
        <v/>
      </c>
      <c r="AK63" s="51">
        <f>AK$18+AK$33+AK$48</f>
        <v/>
      </c>
      <c r="AL63" s="51">
        <f>AL$18+AL$33+AL$48</f>
        <v/>
      </c>
      <c r="AM63" s="51">
        <f>AM$18+AM$33+AM$48</f>
        <v/>
      </c>
      <c r="AN63" s="51">
        <f>AN$18+AN$33+AN$48</f>
        <v/>
      </c>
      <c r="AO63" s="51">
        <f>AO$18+AO$33+AO$48</f>
        <v/>
      </c>
      <c r="AP63" s="51">
        <f>AP$18+AP$33+AP$48</f>
        <v/>
      </c>
      <c r="AQ63" s="51">
        <f>AQ$18+AQ$33+AQ$48</f>
        <v/>
      </c>
      <c r="AR63" s="51">
        <f>AR$18+AR$33+AR$48</f>
        <v/>
      </c>
      <c r="AS63" s="51">
        <f>AS$18+AS$33+AS$48</f>
        <v/>
      </c>
      <c r="AT63" s="51">
        <f>AT$18+AT$33+AT$48</f>
        <v/>
      </c>
      <c r="AU63" s="51">
        <f>AU$18+AU$33+AU$48</f>
        <v/>
      </c>
      <c r="AV63" s="51">
        <f>AV$18+AV$33+AV$48</f>
        <v/>
      </c>
      <c r="AW63" s="51">
        <f>AW$18+AW$33+AW$48</f>
        <v/>
      </c>
      <c r="AX63" s="51">
        <f>AX$18+AX$33+AX$48</f>
        <v/>
      </c>
      <c r="AY63" s="51">
        <f>AY$18+AY$33+AY$48</f>
        <v/>
      </c>
      <c r="AZ63" s="51">
        <f>AZ$18+AZ$33+AZ$48</f>
        <v/>
      </c>
      <c r="BA63" s="51">
        <f>BA$18+BA$33+BA$48</f>
        <v/>
      </c>
      <c r="BB63" s="51">
        <f>BB$18+BB$33+BB$48</f>
        <v/>
      </c>
      <c r="BC63" s="51">
        <f>BC$18+BC$33+BC$48</f>
        <v/>
      </c>
      <c r="BD63" s="51">
        <f>BD$18+BD$33+BD$48</f>
        <v/>
      </c>
      <c r="BE63" s="51">
        <f>BE$18+BE$33+BE$48</f>
        <v/>
      </c>
      <c r="BF63" s="51">
        <f>BF$18+BF$33+BF$48</f>
        <v/>
      </c>
      <c r="BG63" s="51">
        <f>BG$18+BG$33+BG$48</f>
        <v/>
      </c>
      <c r="BH63" s="51">
        <f>BH$18+BH$33+BH$48</f>
        <v/>
      </c>
      <c r="BI63" s="51">
        <f>BI$18+BI$33+BI$48</f>
        <v/>
      </c>
      <c r="BJ63" s="51">
        <f>BJ$18+BJ$33+BJ$48</f>
        <v/>
      </c>
      <c r="BK63" s="51">
        <f>BK$18+BK$33+BK$48</f>
        <v/>
      </c>
      <c r="BL63" s="51">
        <f>BL$18+BL$33+BL$48</f>
        <v/>
      </c>
    </row>
    <row r="64">
      <c r="A64" s="47" t="inlineStr">
        <is>
          <t>Active (paying, in-tenor) accounts</t>
        </is>
      </c>
      <c r="B64" s="48" t="inlineStr">
        <is>
          <t>accounts</t>
        </is>
      </c>
      <c r="C64" s="49">
        <f>BL64</f>
        <v/>
      </c>
      <c r="D64" s="50" t="n"/>
      <c r="E64" s="51">
        <f>E$19+E$34+E$49</f>
        <v/>
      </c>
      <c r="F64" s="51">
        <f>F$19+F$34+F$49</f>
        <v/>
      </c>
      <c r="G64" s="51">
        <f>G$19+G$34+G$49</f>
        <v/>
      </c>
      <c r="H64" s="51">
        <f>H$19+H$34+H$49</f>
        <v/>
      </c>
      <c r="I64" s="51">
        <f>I$19+I$34+I$49</f>
        <v/>
      </c>
      <c r="J64" s="51">
        <f>J$19+J$34+J$49</f>
        <v/>
      </c>
      <c r="K64" s="51">
        <f>K$19+K$34+K$49</f>
        <v/>
      </c>
      <c r="L64" s="51">
        <f>L$19+L$34+L$49</f>
        <v/>
      </c>
      <c r="M64" s="51">
        <f>M$19+M$34+M$49</f>
        <v/>
      </c>
      <c r="N64" s="51">
        <f>N$19+N$34+N$49</f>
        <v/>
      </c>
      <c r="O64" s="51">
        <f>O$19+O$34+O$49</f>
        <v/>
      </c>
      <c r="P64" s="51">
        <f>P$19+P$34+P$49</f>
        <v/>
      </c>
      <c r="Q64" s="51">
        <f>Q$19+Q$34+Q$49</f>
        <v/>
      </c>
      <c r="R64" s="51">
        <f>R$19+R$34+R$49</f>
        <v/>
      </c>
      <c r="S64" s="51">
        <f>S$19+S$34+S$49</f>
        <v/>
      </c>
      <c r="T64" s="51">
        <f>T$19+T$34+T$49</f>
        <v/>
      </c>
      <c r="U64" s="51">
        <f>U$19+U$34+U$49</f>
        <v/>
      </c>
      <c r="V64" s="51">
        <f>V$19+V$34+V$49</f>
        <v/>
      </c>
      <c r="W64" s="51">
        <f>W$19+W$34+W$49</f>
        <v/>
      </c>
      <c r="X64" s="51">
        <f>X$19+X$34+X$49</f>
        <v/>
      </c>
      <c r="Y64" s="51">
        <f>Y$19+Y$34+Y$49</f>
        <v/>
      </c>
      <c r="Z64" s="51">
        <f>Z$19+Z$34+Z$49</f>
        <v/>
      </c>
      <c r="AA64" s="51">
        <f>AA$19+AA$34+AA$49</f>
        <v/>
      </c>
      <c r="AB64" s="51">
        <f>AB$19+AB$34+AB$49</f>
        <v/>
      </c>
      <c r="AC64" s="51">
        <f>AC$19+AC$34+AC$49</f>
        <v/>
      </c>
      <c r="AD64" s="51">
        <f>AD$19+AD$34+AD$49</f>
        <v/>
      </c>
      <c r="AE64" s="51">
        <f>AE$19+AE$34+AE$49</f>
        <v/>
      </c>
      <c r="AF64" s="51">
        <f>AF$19+AF$34+AF$49</f>
        <v/>
      </c>
      <c r="AG64" s="51">
        <f>AG$19+AG$34+AG$49</f>
        <v/>
      </c>
      <c r="AH64" s="51">
        <f>AH$19+AH$34+AH$49</f>
        <v/>
      </c>
      <c r="AI64" s="51">
        <f>AI$19+AI$34+AI$49</f>
        <v/>
      </c>
      <c r="AJ64" s="51">
        <f>AJ$19+AJ$34+AJ$49</f>
        <v/>
      </c>
      <c r="AK64" s="51">
        <f>AK$19+AK$34+AK$49</f>
        <v/>
      </c>
      <c r="AL64" s="51">
        <f>AL$19+AL$34+AL$49</f>
        <v/>
      </c>
      <c r="AM64" s="51">
        <f>AM$19+AM$34+AM$49</f>
        <v/>
      </c>
      <c r="AN64" s="51">
        <f>AN$19+AN$34+AN$49</f>
        <v/>
      </c>
      <c r="AO64" s="51">
        <f>AO$19+AO$34+AO$49</f>
        <v/>
      </c>
      <c r="AP64" s="51">
        <f>AP$19+AP$34+AP$49</f>
        <v/>
      </c>
      <c r="AQ64" s="51">
        <f>AQ$19+AQ$34+AQ$49</f>
        <v/>
      </c>
      <c r="AR64" s="51">
        <f>AR$19+AR$34+AR$49</f>
        <v/>
      </c>
      <c r="AS64" s="51">
        <f>AS$19+AS$34+AS$49</f>
        <v/>
      </c>
      <c r="AT64" s="51">
        <f>AT$19+AT$34+AT$49</f>
        <v/>
      </c>
      <c r="AU64" s="51">
        <f>AU$19+AU$34+AU$49</f>
        <v/>
      </c>
      <c r="AV64" s="51">
        <f>AV$19+AV$34+AV$49</f>
        <v/>
      </c>
      <c r="AW64" s="51">
        <f>AW$19+AW$34+AW$49</f>
        <v/>
      </c>
      <c r="AX64" s="51">
        <f>AX$19+AX$34+AX$49</f>
        <v/>
      </c>
      <c r="AY64" s="51">
        <f>AY$19+AY$34+AY$49</f>
        <v/>
      </c>
      <c r="AZ64" s="51">
        <f>AZ$19+AZ$34+AZ$49</f>
        <v/>
      </c>
      <c r="BA64" s="51">
        <f>BA$19+BA$34+BA$49</f>
        <v/>
      </c>
      <c r="BB64" s="51">
        <f>BB$19+BB$34+BB$49</f>
        <v/>
      </c>
      <c r="BC64" s="51">
        <f>BC$19+BC$34+BC$49</f>
        <v/>
      </c>
      <c r="BD64" s="51">
        <f>BD$19+BD$34+BD$49</f>
        <v/>
      </c>
      <c r="BE64" s="51">
        <f>BE$19+BE$34+BE$49</f>
        <v/>
      </c>
      <c r="BF64" s="51">
        <f>BF$19+BF$34+BF$49</f>
        <v/>
      </c>
      <c r="BG64" s="51">
        <f>BG$19+BG$34+BG$49</f>
        <v/>
      </c>
      <c r="BH64" s="51">
        <f>BH$19+BH$34+BH$49</f>
        <v/>
      </c>
      <c r="BI64" s="51">
        <f>BI$19+BI$34+BI$49</f>
        <v/>
      </c>
      <c r="BJ64" s="51">
        <f>BJ$19+BJ$34+BJ$49</f>
        <v/>
      </c>
      <c r="BK64" s="51">
        <f>BK$19+BK$34+BK$49</f>
        <v/>
      </c>
      <c r="BL64" s="51">
        <f>BL$19+BL$34+BL$49</f>
        <v/>
      </c>
    </row>
    <row r="65">
      <c r="A65" s="47" t="inlineStr">
        <is>
          <t>Receivables at risk (carrying amount of accounts that stopped paying)</t>
        </is>
      </c>
      <c r="B65" s="48" t="inlineStr">
        <is>
          <t>LCY</t>
        </is>
      </c>
      <c r="C65" s="49">
        <f>BL65</f>
        <v/>
      </c>
      <c r="D65" s="50" t="n"/>
      <c r="E65" s="51">
        <f>E$20+E$35+E$50</f>
        <v/>
      </c>
      <c r="F65" s="51">
        <f>F$20+F$35+F$50</f>
        <v/>
      </c>
      <c r="G65" s="51">
        <f>G$20+G$35+G$50</f>
        <v/>
      </c>
      <c r="H65" s="51">
        <f>H$20+H$35+H$50</f>
        <v/>
      </c>
      <c r="I65" s="51">
        <f>I$20+I$35+I$50</f>
        <v/>
      </c>
      <c r="J65" s="51">
        <f>J$20+J$35+J$50</f>
        <v/>
      </c>
      <c r="K65" s="51">
        <f>K$20+K$35+K$50</f>
        <v/>
      </c>
      <c r="L65" s="51">
        <f>L$20+L$35+L$50</f>
        <v/>
      </c>
      <c r="M65" s="51">
        <f>M$20+M$35+M$50</f>
        <v/>
      </c>
      <c r="N65" s="51">
        <f>N$20+N$35+N$50</f>
        <v/>
      </c>
      <c r="O65" s="51">
        <f>O$20+O$35+O$50</f>
        <v/>
      </c>
      <c r="P65" s="51">
        <f>P$20+P$35+P$50</f>
        <v/>
      </c>
      <c r="Q65" s="51">
        <f>Q$20+Q$35+Q$50</f>
        <v/>
      </c>
      <c r="R65" s="51">
        <f>R$20+R$35+R$50</f>
        <v/>
      </c>
      <c r="S65" s="51">
        <f>S$20+S$35+S$50</f>
        <v/>
      </c>
      <c r="T65" s="51">
        <f>T$20+T$35+T$50</f>
        <v/>
      </c>
      <c r="U65" s="51">
        <f>U$20+U$35+U$50</f>
        <v/>
      </c>
      <c r="V65" s="51">
        <f>V$20+V$35+V$50</f>
        <v/>
      </c>
      <c r="W65" s="51">
        <f>W$20+W$35+W$50</f>
        <v/>
      </c>
      <c r="X65" s="51">
        <f>X$20+X$35+X$50</f>
        <v/>
      </c>
      <c r="Y65" s="51">
        <f>Y$20+Y$35+Y$50</f>
        <v/>
      </c>
      <c r="Z65" s="51">
        <f>Z$20+Z$35+Z$50</f>
        <v/>
      </c>
      <c r="AA65" s="51">
        <f>AA$20+AA$35+AA$50</f>
        <v/>
      </c>
      <c r="AB65" s="51">
        <f>AB$20+AB$35+AB$50</f>
        <v/>
      </c>
      <c r="AC65" s="51">
        <f>AC$20+AC$35+AC$50</f>
        <v/>
      </c>
      <c r="AD65" s="51">
        <f>AD$20+AD$35+AD$50</f>
        <v/>
      </c>
      <c r="AE65" s="51">
        <f>AE$20+AE$35+AE$50</f>
        <v/>
      </c>
      <c r="AF65" s="51">
        <f>AF$20+AF$35+AF$50</f>
        <v/>
      </c>
      <c r="AG65" s="51">
        <f>AG$20+AG$35+AG$50</f>
        <v/>
      </c>
      <c r="AH65" s="51">
        <f>AH$20+AH$35+AH$50</f>
        <v/>
      </c>
      <c r="AI65" s="51">
        <f>AI$20+AI$35+AI$50</f>
        <v/>
      </c>
      <c r="AJ65" s="51">
        <f>AJ$20+AJ$35+AJ$50</f>
        <v/>
      </c>
      <c r="AK65" s="51">
        <f>AK$20+AK$35+AK$50</f>
        <v/>
      </c>
      <c r="AL65" s="51">
        <f>AL$20+AL$35+AL$50</f>
        <v/>
      </c>
      <c r="AM65" s="51">
        <f>AM$20+AM$35+AM$50</f>
        <v/>
      </c>
      <c r="AN65" s="51">
        <f>AN$20+AN$35+AN$50</f>
        <v/>
      </c>
      <c r="AO65" s="51">
        <f>AO$20+AO$35+AO$50</f>
        <v/>
      </c>
      <c r="AP65" s="51">
        <f>AP$20+AP$35+AP$50</f>
        <v/>
      </c>
      <c r="AQ65" s="51">
        <f>AQ$20+AQ$35+AQ$50</f>
        <v/>
      </c>
      <c r="AR65" s="51">
        <f>AR$20+AR$35+AR$50</f>
        <v/>
      </c>
      <c r="AS65" s="51">
        <f>AS$20+AS$35+AS$50</f>
        <v/>
      </c>
      <c r="AT65" s="51">
        <f>AT$20+AT$35+AT$50</f>
        <v/>
      </c>
      <c r="AU65" s="51">
        <f>AU$20+AU$35+AU$50</f>
        <v/>
      </c>
      <c r="AV65" s="51">
        <f>AV$20+AV$35+AV$50</f>
        <v/>
      </c>
      <c r="AW65" s="51">
        <f>AW$20+AW$35+AW$50</f>
        <v/>
      </c>
      <c r="AX65" s="51">
        <f>AX$20+AX$35+AX$50</f>
        <v/>
      </c>
      <c r="AY65" s="51">
        <f>AY$20+AY$35+AY$50</f>
        <v/>
      </c>
      <c r="AZ65" s="51">
        <f>AZ$20+AZ$35+AZ$50</f>
        <v/>
      </c>
      <c r="BA65" s="51">
        <f>BA$20+BA$35+BA$50</f>
        <v/>
      </c>
      <c r="BB65" s="51">
        <f>BB$20+BB$35+BB$50</f>
        <v/>
      </c>
      <c r="BC65" s="51">
        <f>BC$20+BC$35+BC$50</f>
        <v/>
      </c>
      <c r="BD65" s="51">
        <f>BD$20+BD$35+BD$50</f>
        <v/>
      </c>
      <c r="BE65" s="51">
        <f>BE$20+BE$35+BE$50</f>
        <v/>
      </c>
      <c r="BF65" s="51">
        <f>BF$20+BF$35+BF$50</f>
        <v/>
      </c>
      <c r="BG65" s="51">
        <f>BG$20+BG$35+BG$50</f>
        <v/>
      </c>
      <c r="BH65" s="51">
        <f>BH$20+BH$35+BH$50</f>
        <v/>
      </c>
      <c r="BI65" s="51">
        <f>BI$20+BI$35+BI$50</f>
        <v/>
      </c>
      <c r="BJ65" s="51">
        <f>BJ$20+BJ$35+BJ$50</f>
        <v/>
      </c>
      <c r="BK65" s="51">
        <f>BK$20+BK$35+BK$50</f>
        <v/>
      </c>
      <c r="BL65" s="51">
        <f>BL$20+BL$35+BL$50</f>
        <v/>
      </c>
    </row>
    <row r="66">
      <c r="A66" s="47" t="inlineStr">
        <is>
          <t>Landed hardware cost of units sold</t>
        </is>
      </c>
      <c r="B66" s="48" t="inlineStr">
        <is>
          <t>LCY</t>
        </is>
      </c>
      <c r="C66" s="49">
        <f>SUM(E66:BL66)</f>
        <v/>
      </c>
      <c r="D66" s="50" t="n"/>
      <c r="E66" s="51">
        <f>E$21+E$36+E$51</f>
        <v/>
      </c>
      <c r="F66" s="51">
        <f>F$21+F$36+F$51</f>
        <v/>
      </c>
      <c r="G66" s="51">
        <f>G$21+G$36+G$51</f>
        <v/>
      </c>
      <c r="H66" s="51">
        <f>H$21+H$36+H$51</f>
        <v/>
      </c>
      <c r="I66" s="51">
        <f>I$21+I$36+I$51</f>
        <v/>
      </c>
      <c r="J66" s="51">
        <f>J$21+J$36+J$51</f>
        <v/>
      </c>
      <c r="K66" s="51">
        <f>K$21+K$36+K$51</f>
        <v/>
      </c>
      <c r="L66" s="51">
        <f>L$21+L$36+L$51</f>
        <v/>
      </c>
      <c r="M66" s="51">
        <f>M$21+M$36+M$51</f>
        <v/>
      </c>
      <c r="N66" s="51">
        <f>N$21+N$36+N$51</f>
        <v/>
      </c>
      <c r="O66" s="51">
        <f>O$21+O$36+O$51</f>
        <v/>
      </c>
      <c r="P66" s="51">
        <f>P$21+P$36+P$51</f>
        <v/>
      </c>
      <c r="Q66" s="51">
        <f>Q$21+Q$36+Q$51</f>
        <v/>
      </c>
      <c r="R66" s="51">
        <f>R$21+R$36+R$51</f>
        <v/>
      </c>
      <c r="S66" s="51">
        <f>S$21+S$36+S$51</f>
        <v/>
      </c>
      <c r="T66" s="51">
        <f>T$21+T$36+T$51</f>
        <v/>
      </c>
      <c r="U66" s="51">
        <f>U$21+U$36+U$51</f>
        <v/>
      </c>
      <c r="V66" s="51">
        <f>V$21+V$36+V$51</f>
        <v/>
      </c>
      <c r="W66" s="51">
        <f>W$21+W$36+W$51</f>
        <v/>
      </c>
      <c r="X66" s="51">
        <f>X$21+X$36+X$51</f>
        <v/>
      </c>
      <c r="Y66" s="51">
        <f>Y$21+Y$36+Y$51</f>
        <v/>
      </c>
      <c r="Z66" s="51">
        <f>Z$21+Z$36+Z$51</f>
        <v/>
      </c>
      <c r="AA66" s="51">
        <f>AA$21+AA$36+AA$51</f>
        <v/>
      </c>
      <c r="AB66" s="51">
        <f>AB$21+AB$36+AB$51</f>
        <v/>
      </c>
      <c r="AC66" s="51">
        <f>AC$21+AC$36+AC$51</f>
        <v/>
      </c>
      <c r="AD66" s="51">
        <f>AD$21+AD$36+AD$51</f>
        <v/>
      </c>
      <c r="AE66" s="51">
        <f>AE$21+AE$36+AE$51</f>
        <v/>
      </c>
      <c r="AF66" s="51">
        <f>AF$21+AF$36+AF$51</f>
        <v/>
      </c>
      <c r="AG66" s="51">
        <f>AG$21+AG$36+AG$51</f>
        <v/>
      </c>
      <c r="AH66" s="51">
        <f>AH$21+AH$36+AH$51</f>
        <v/>
      </c>
      <c r="AI66" s="51">
        <f>AI$21+AI$36+AI$51</f>
        <v/>
      </c>
      <c r="AJ66" s="51">
        <f>AJ$21+AJ$36+AJ$51</f>
        <v/>
      </c>
      <c r="AK66" s="51">
        <f>AK$21+AK$36+AK$51</f>
        <v/>
      </c>
      <c r="AL66" s="51">
        <f>AL$21+AL$36+AL$51</f>
        <v/>
      </c>
      <c r="AM66" s="51">
        <f>AM$21+AM$36+AM$51</f>
        <v/>
      </c>
      <c r="AN66" s="51">
        <f>AN$21+AN$36+AN$51</f>
        <v/>
      </c>
      <c r="AO66" s="51">
        <f>AO$21+AO$36+AO$51</f>
        <v/>
      </c>
      <c r="AP66" s="51">
        <f>AP$21+AP$36+AP$51</f>
        <v/>
      </c>
      <c r="AQ66" s="51">
        <f>AQ$21+AQ$36+AQ$51</f>
        <v/>
      </c>
      <c r="AR66" s="51">
        <f>AR$21+AR$36+AR$51</f>
        <v/>
      </c>
      <c r="AS66" s="51">
        <f>AS$21+AS$36+AS$51</f>
        <v/>
      </c>
      <c r="AT66" s="51">
        <f>AT$21+AT$36+AT$51</f>
        <v/>
      </c>
      <c r="AU66" s="51">
        <f>AU$21+AU$36+AU$51</f>
        <v/>
      </c>
      <c r="AV66" s="51">
        <f>AV$21+AV$36+AV$51</f>
        <v/>
      </c>
      <c r="AW66" s="51">
        <f>AW$21+AW$36+AW$51</f>
        <v/>
      </c>
      <c r="AX66" s="51">
        <f>AX$21+AX$36+AX$51</f>
        <v/>
      </c>
      <c r="AY66" s="51">
        <f>AY$21+AY$36+AY$51</f>
        <v/>
      </c>
      <c r="AZ66" s="51">
        <f>AZ$21+AZ$36+AZ$51</f>
        <v/>
      </c>
      <c r="BA66" s="51">
        <f>BA$21+BA$36+BA$51</f>
        <v/>
      </c>
      <c r="BB66" s="51">
        <f>BB$21+BB$36+BB$51</f>
        <v/>
      </c>
      <c r="BC66" s="51">
        <f>BC$21+BC$36+BC$51</f>
        <v/>
      </c>
      <c r="BD66" s="51">
        <f>BD$21+BD$36+BD$51</f>
        <v/>
      </c>
      <c r="BE66" s="51">
        <f>BE$21+BE$36+BE$51</f>
        <v/>
      </c>
      <c r="BF66" s="51">
        <f>BF$21+BF$36+BF$51</f>
        <v/>
      </c>
      <c r="BG66" s="51">
        <f>BG$21+BG$36+BG$51</f>
        <v/>
      </c>
      <c r="BH66" s="51">
        <f>BH$21+BH$36+BH$51</f>
        <v/>
      </c>
      <c r="BI66" s="51">
        <f>BI$21+BI$36+BI$51</f>
        <v/>
      </c>
      <c r="BJ66" s="51">
        <f>BJ$21+BJ$36+BJ$51</f>
        <v/>
      </c>
      <c r="BK66" s="51">
        <f>BK$21+BK$36+BK$51</f>
        <v/>
      </c>
      <c r="BL66" s="51">
        <f>BL$21+BL$36+BL$51</f>
        <v/>
      </c>
    </row>
    <row r="67"/>
    <row r="68">
      <c r="A68" s="44" t="inlineStr">
        <is>
          <t>Portfolio collection rate (collected / due, excl. deposits)</t>
        </is>
      </c>
      <c r="B68" s="13" t="inlineStr">
        <is>
          <t>%</t>
        </is>
      </c>
      <c r="E68" s="26">
        <f>IF(E$59=0,0,E$60/E$59)</f>
        <v/>
      </c>
      <c r="F68" s="26">
        <f>IF(F$59=0,0,F$60/F$59)</f>
        <v/>
      </c>
      <c r="G68" s="26">
        <f>IF(G$59=0,0,G$60/G$59)</f>
        <v/>
      </c>
      <c r="H68" s="26">
        <f>IF(H$59=0,0,H$60/H$59)</f>
        <v/>
      </c>
      <c r="I68" s="26">
        <f>IF(I$59=0,0,I$60/I$59)</f>
        <v/>
      </c>
      <c r="J68" s="26">
        <f>IF(J$59=0,0,J$60/J$59)</f>
        <v/>
      </c>
      <c r="K68" s="26">
        <f>IF(K$59=0,0,K$60/K$59)</f>
        <v/>
      </c>
      <c r="L68" s="26">
        <f>IF(L$59=0,0,L$60/L$59)</f>
        <v/>
      </c>
      <c r="M68" s="26">
        <f>IF(M$59=0,0,M$60/M$59)</f>
        <v/>
      </c>
      <c r="N68" s="26">
        <f>IF(N$59=0,0,N$60/N$59)</f>
        <v/>
      </c>
      <c r="O68" s="26">
        <f>IF(O$59=0,0,O$60/O$59)</f>
        <v/>
      </c>
      <c r="P68" s="26">
        <f>IF(P$59=0,0,P$60/P$59)</f>
        <v/>
      </c>
      <c r="Q68" s="26">
        <f>IF(Q$59=0,0,Q$60/Q$59)</f>
        <v/>
      </c>
      <c r="R68" s="26">
        <f>IF(R$59=0,0,R$60/R$59)</f>
        <v/>
      </c>
      <c r="S68" s="26">
        <f>IF(S$59=0,0,S$60/S$59)</f>
        <v/>
      </c>
      <c r="T68" s="26">
        <f>IF(T$59=0,0,T$60/T$59)</f>
        <v/>
      </c>
      <c r="U68" s="26">
        <f>IF(U$59=0,0,U$60/U$59)</f>
        <v/>
      </c>
      <c r="V68" s="26">
        <f>IF(V$59=0,0,V$60/V$59)</f>
        <v/>
      </c>
      <c r="W68" s="26">
        <f>IF(W$59=0,0,W$60/W$59)</f>
        <v/>
      </c>
      <c r="X68" s="26">
        <f>IF(X$59=0,0,X$60/X$59)</f>
        <v/>
      </c>
      <c r="Y68" s="26">
        <f>IF(Y$59=0,0,Y$60/Y$59)</f>
        <v/>
      </c>
      <c r="Z68" s="26">
        <f>IF(Z$59=0,0,Z$60/Z$59)</f>
        <v/>
      </c>
      <c r="AA68" s="26">
        <f>IF(AA$59=0,0,AA$60/AA$59)</f>
        <v/>
      </c>
      <c r="AB68" s="26">
        <f>IF(AB$59=0,0,AB$60/AB$59)</f>
        <v/>
      </c>
      <c r="AC68" s="26">
        <f>IF(AC$59=0,0,AC$60/AC$59)</f>
        <v/>
      </c>
      <c r="AD68" s="26">
        <f>IF(AD$59=0,0,AD$60/AD$59)</f>
        <v/>
      </c>
      <c r="AE68" s="26">
        <f>IF(AE$59=0,0,AE$60/AE$59)</f>
        <v/>
      </c>
      <c r="AF68" s="26">
        <f>IF(AF$59=0,0,AF$60/AF$59)</f>
        <v/>
      </c>
      <c r="AG68" s="26">
        <f>IF(AG$59=0,0,AG$60/AG$59)</f>
        <v/>
      </c>
      <c r="AH68" s="26">
        <f>IF(AH$59=0,0,AH$60/AH$59)</f>
        <v/>
      </c>
      <c r="AI68" s="26">
        <f>IF(AI$59=0,0,AI$60/AI$59)</f>
        <v/>
      </c>
      <c r="AJ68" s="26">
        <f>IF(AJ$59=0,0,AJ$60/AJ$59)</f>
        <v/>
      </c>
      <c r="AK68" s="26">
        <f>IF(AK$59=0,0,AK$60/AK$59)</f>
        <v/>
      </c>
      <c r="AL68" s="26">
        <f>IF(AL$59=0,0,AL$60/AL$59)</f>
        <v/>
      </c>
      <c r="AM68" s="26">
        <f>IF(AM$59=0,0,AM$60/AM$59)</f>
        <v/>
      </c>
      <c r="AN68" s="26">
        <f>IF(AN$59=0,0,AN$60/AN$59)</f>
        <v/>
      </c>
      <c r="AO68" s="26">
        <f>IF(AO$59=0,0,AO$60/AO$59)</f>
        <v/>
      </c>
      <c r="AP68" s="26">
        <f>IF(AP$59=0,0,AP$60/AP$59)</f>
        <v/>
      </c>
      <c r="AQ68" s="26">
        <f>IF(AQ$59=0,0,AQ$60/AQ$59)</f>
        <v/>
      </c>
      <c r="AR68" s="26">
        <f>IF(AR$59=0,0,AR$60/AR$59)</f>
        <v/>
      </c>
      <c r="AS68" s="26">
        <f>IF(AS$59=0,0,AS$60/AS$59)</f>
        <v/>
      </c>
      <c r="AT68" s="26">
        <f>IF(AT$59=0,0,AT$60/AT$59)</f>
        <v/>
      </c>
      <c r="AU68" s="26">
        <f>IF(AU$59=0,0,AU$60/AU$59)</f>
        <v/>
      </c>
      <c r="AV68" s="26">
        <f>IF(AV$59=0,0,AV$60/AV$59)</f>
        <v/>
      </c>
      <c r="AW68" s="26">
        <f>IF(AW$59=0,0,AW$60/AW$59)</f>
        <v/>
      </c>
      <c r="AX68" s="26">
        <f>IF(AX$59=0,0,AX$60/AX$59)</f>
        <v/>
      </c>
      <c r="AY68" s="26">
        <f>IF(AY$59=0,0,AY$60/AY$59)</f>
        <v/>
      </c>
      <c r="AZ68" s="26">
        <f>IF(AZ$59=0,0,AZ$60/AZ$59)</f>
        <v/>
      </c>
      <c r="BA68" s="26">
        <f>IF(BA$59=0,0,BA$60/BA$59)</f>
        <v/>
      </c>
      <c r="BB68" s="26">
        <f>IF(BB$59=0,0,BB$60/BB$59)</f>
        <v/>
      </c>
      <c r="BC68" s="26">
        <f>IF(BC$59=0,0,BC$60/BC$59)</f>
        <v/>
      </c>
      <c r="BD68" s="26">
        <f>IF(BD$59=0,0,BD$60/BD$59)</f>
        <v/>
      </c>
      <c r="BE68" s="26">
        <f>IF(BE$59=0,0,BE$60/BE$59)</f>
        <v/>
      </c>
      <c r="BF68" s="26">
        <f>IF(BF$59=0,0,BF$60/BF$59)</f>
        <v/>
      </c>
      <c r="BG68" s="26">
        <f>IF(BG$59=0,0,BG$60/BG$59)</f>
        <v/>
      </c>
      <c r="BH68" s="26">
        <f>IF(BH$59=0,0,BH$60/BH$59)</f>
        <v/>
      </c>
      <c r="BI68" s="26">
        <f>IF(BI$59=0,0,BI$60/BI$59)</f>
        <v/>
      </c>
      <c r="BJ68" s="26">
        <f>IF(BJ$59=0,0,BJ$60/BJ$59)</f>
        <v/>
      </c>
      <c r="BK68" s="26">
        <f>IF(BK$59=0,0,BK$60/BK$59)</f>
        <v/>
      </c>
      <c r="BL68" s="26">
        <f>IF(BL$59=0,0,BL$60/BL$59)</f>
        <v/>
      </c>
    </row>
    <row r="69">
      <c r="A69" s="44" t="inlineStr">
        <is>
          <t>Write-off rate (missed / due)</t>
        </is>
      </c>
      <c r="B69" s="13" t="inlineStr">
        <is>
          <t>%</t>
        </is>
      </c>
      <c r="E69" s="26">
        <f>IF(E$59=0,0,E$61/E$59)</f>
        <v/>
      </c>
      <c r="F69" s="26">
        <f>IF(F$59=0,0,F$61/F$59)</f>
        <v/>
      </c>
      <c r="G69" s="26">
        <f>IF(G$59=0,0,G$61/G$59)</f>
        <v/>
      </c>
      <c r="H69" s="26">
        <f>IF(H$59=0,0,H$61/H$59)</f>
        <v/>
      </c>
      <c r="I69" s="26">
        <f>IF(I$59=0,0,I$61/I$59)</f>
        <v/>
      </c>
      <c r="J69" s="26">
        <f>IF(J$59=0,0,J$61/J$59)</f>
        <v/>
      </c>
      <c r="K69" s="26">
        <f>IF(K$59=0,0,K$61/K$59)</f>
        <v/>
      </c>
      <c r="L69" s="26">
        <f>IF(L$59=0,0,L$61/L$59)</f>
        <v/>
      </c>
      <c r="M69" s="26">
        <f>IF(M$59=0,0,M$61/M$59)</f>
        <v/>
      </c>
      <c r="N69" s="26">
        <f>IF(N$59=0,0,N$61/N$59)</f>
        <v/>
      </c>
      <c r="O69" s="26">
        <f>IF(O$59=0,0,O$61/O$59)</f>
        <v/>
      </c>
      <c r="P69" s="26">
        <f>IF(P$59=0,0,P$61/P$59)</f>
        <v/>
      </c>
      <c r="Q69" s="26">
        <f>IF(Q$59=0,0,Q$61/Q$59)</f>
        <v/>
      </c>
      <c r="R69" s="26">
        <f>IF(R$59=0,0,R$61/R$59)</f>
        <v/>
      </c>
      <c r="S69" s="26">
        <f>IF(S$59=0,0,S$61/S$59)</f>
        <v/>
      </c>
      <c r="T69" s="26">
        <f>IF(T$59=0,0,T$61/T$59)</f>
        <v/>
      </c>
      <c r="U69" s="26">
        <f>IF(U$59=0,0,U$61/U$59)</f>
        <v/>
      </c>
      <c r="V69" s="26">
        <f>IF(V$59=0,0,V$61/V$59)</f>
        <v/>
      </c>
      <c r="W69" s="26">
        <f>IF(W$59=0,0,W$61/W$59)</f>
        <v/>
      </c>
      <c r="X69" s="26">
        <f>IF(X$59=0,0,X$61/X$59)</f>
        <v/>
      </c>
      <c r="Y69" s="26">
        <f>IF(Y$59=0,0,Y$61/Y$59)</f>
        <v/>
      </c>
      <c r="Z69" s="26">
        <f>IF(Z$59=0,0,Z$61/Z$59)</f>
        <v/>
      </c>
      <c r="AA69" s="26">
        <f>IF(AA$59=0,0,AA$61/AA$59)</f>
        <v/>
      </c>
      <c r="AB69" s="26">
        <f>IF(AB$59=0,0,AB$61/AB$59)</f>
        <v/>
      </c>
      <c r="AC69" s="26">
        <f>IF(AC$59=0,0,AC$61/AC$59)</f>
        <v/>
      </c>
      <c r="AD69" s="26">
        <f>IF(AD$59=0,0,AD$61/AD$59)</f>
        <v/>
      </c>
      <c r="AE69" s="26">
        <f>IF(AE$59=0,0,AE$61/AE$59)</f>
        <v/>
      </c>
      <c r="AF69" s="26">
        <f>IF(AF$59=0,0,AF$61/AF$59)</f>
        <v/>
      </c>
      <c r="AG69" s="26">
        <f>IF(AG$59=0,0,AG$61/AG$59)</f>
        <v/>
      </c>
      <c r="AH69" s="26">
        <f>IF(AH$59=0,0,AH$61/AH$59)</f>
        <v/>
      </c>
      <c r="AI69" s="26">
        <f>IF(AI$59=0,0,AI$61/AI$59)</f>
        <v/>
      </c>
      <c r="AJ69" s="26">
        <f>IF(AJ$59=0,0,AJ$61/AJ$59)</f>
        <v/>
      </c>
      <c r="AK69" s="26">
        <f>IF(AK$59=0,0,AK$61/AK$59)</f>
        <v/>
      </c>
      <c r="AL69" s="26">
        <f>IF(AL$59=0,0,AL$61/AL$59)</f>
        <v/>
      </c>
      <c r="AM69" s="26">
        <f>IF(AM$59=0,0,AM$61/AM$59)</f>
        <v/>
      </c>
      <c r="AN69" s="26">
        <f>IF(AN$59=0,0,AN$61/AN$59)</f>
        <v/>
      </c>
      <c r="AO69" s="26">
        <f>IF(AO$59=0,0,AO$61/AO$59)</f>
        <v/>
      </c>
      <c r="AP69" s="26">
        <f>IF(AP$59=0,0,AP$61/AP$59)</f>
        <v/>
      </c>
      <c r="AQ69" s="26">
        <f>IF(AQ$59=0,0,AQ$61/AQ$59)</f>
        <v/>
      </c>
      <c r="AR69" s="26">
        <f>IF(AR$59=0,0,AR$61/AR$59)</f>
        <v/>
      </c>
      <c r="AS69" s="26">
        <f>IF(AS$59=0,0,AS$61/AS$59)</f>
        <v/>
      </c>
      <c r="AT69" s="26">
        <f>IF(AT$59=0,0,AT$61/AT$59)</f>
        <v/>
      </c>
      <c r="AU69" s="26">
        <f>IF(AU$59=0,0,AU$61/AU$59)</f>
        <v/>
      </c>
      <c r="AV69" s="26">
        <f>IF(AV$59=0,0,AV$61/AV$59)</f>
        <v/>
      </c>
      <c r="AW69" s="26">
        <f>IF(AW$59=0,0,AW$61/AW$59)</f>
        <v/>
      </c>
      <c r="AX69" s="26">
        <f>IF(AX$59=0,0,AX$61/AX$59)</f>
        <v/>
      </c>
      <c r="AY69" s="26">
        <f>IF(AY$59=0,0,AY$61/AY$59)</f>
        <v/>
      </c>
      <c r="AZ69" s="26">
        <f>IF(AZ$59=0,0,AZ$61/AZ$59)</f>
        <v/>
      </c>
      <c r="BA69" s="26">
        <f>IF(BA$59=0,0,BA$61/BA$59)</f>
        <v/>
      </c>
      <c r="BB69" s="26">
        <f>IF(BB$59=0,0,BB$61/BB$59)</f>
        <v/>
      </c>
      <c r="BC69" s="26">
        <f>IF(BC$59=0,0,BC$61/BC$59)</f>
        <v/>
      </c>
      <c r="BD69" s="26">
        <f>IF(BD$59=0,0,BD$61/BD$59)</f>
        <v/>
      </c>
      <c r="BE69" s="26">
        <f>IF(BE$59=0,0,BE$61/BE$59)</f>
        <v/>
      </c>
      <c r="BF69" s="26">
        <f>IF(BF$59=0,0,BF$61/BF$59)</f>
        <v/>
      </c>
      <c r="BG69" s="26">
        <f>IF(BG$59=0,0,BG$61/BG$59)</f>
        <v/>
      </c>
      <c r="BH69" s="26">
        <f>IF(BH$59=0,0,BH$61/BH$59)</f>
        <v/>
      </c>
      <c r="BI69" s="26">
        <f>IF(BI$59=0,0,BI$61/BI$59)</f>
        <v/>
      </c>
      <c r="BJ69" s="26">
        <f>IF(BJ$59=0,0,BJ$61/BJ$59)</f>
        <v/>
      </c>
      <c r="BK69" s="26">
        <f>IF(BK$59=0,0,BK$61/BK$59)</f>
        <v/>
      </c>
      <c r="BL69" s="26">
        <f>IF(BL$59=0,0,BL$61/BL$59)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L24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</cols>
  <sheetData>
    <row r="1">
      <c r="A1" s="1" t="inlineStr">
        <is>
          <t>Operating costs, working capital &amp; capex</t>
        </is>
      </c>
    </row>
    <row r="2">
      <c r="A2" s="2" t="inlineStr">
        <is>
          <t>LCY</t>
        </is>
      </c>
    </row>
    <row r="3"/>
    <row r="4">
      <c r="A4" s="40" t="inlineStr">
        <is>
          <t>Month #</t>
        </is>
      </c>
      <c r="B4" s="41" t="n"/>
      <c r="C4" s="41" t="n"/>
      <c r="D4" s="40" t="inlineStr">
        <is>
          <t>Opening</t>
        </is>
      </c>
      <c r="E4" s="42">
        <f>Timeline!E4</f>
        <v/>
      </c>
      <c r="F4" s="42">
        <f>Timeline!F4</f>
        <v/>
      </c>
      <c r="G4" s="42">
        <f>Timeline!G4</f>
        <v/>
      </c>
      <c r="H4" s="42">
        <f>Timeline!H4</f>
        <v/>
      </c>
      <c r="I4" s="42">
        <f>Timeline!I4</f>
        <v/>
      </c>
      <c r="J4" s="42">
        <f>Timeline!J4</f>
        <v/>
      </c>
      <c r="K4" s="42">
        <f>Timeline!K4</f>
        <v/>
      </c>
      <c r="L4" s="42">
        <f>Timeline!L4</f>
        <v/>
      </c>
      <c r="M4" s="42">
        <f>Timeline!M4</f>
        <v/>
      </c>
      <c r="N4" s="42">
        <f>Timeline!N4</f>
        <v/>
      </c>
      <c r="O4" s="42">
        <f>Timeline!O4</f>
        <v/>
      </c>
      <c r="P4" s="42">
        <f>Timeline!P4</f>
        <v/>
      </c>
      <c r="Q4" s="42">
        <f>Timeline!Q4</f>
        <v/>
      </c>
      <c r="R4" s="42">
        <f>Timeline!R4</f>
        <v/>
      </c>
      <c r="S4" s="42">
        <f>Timeline!S4</f>
        <v/>
      </c>
      <c r="T4" s="42">
        <f>Timeline!T4</f>
        <v/>
      </c>
      <c r="U4" s="42">
        <f>Timeline!U4</f>
        <v/>
      </c>
      <c r="V4" s="42">
        <f>Timeline!V4</f>
        <v/>
      </c>
      <c r="W4" s="42">
        <f>Timeline!W4</f>
        <v/>
      </c>
      <c r="X4" s="42">
        <f>Timeline!X4</f>
        <v/>
      </c>
      <c r="Y4" s="42">
        <f>Timeline!Y4</f>
        <v/>
      </c>
      <c r="Z4" s="42">
        <f>Timeline!Z4</f>
        <v/>
      </c>
      <c r="AA4" s="42">
        <f>Timeline!AA4</f>
        <v/>
      </c>
      <c r="AB4" s="42">
        <f>Timeline!AB4</f>
        <v/>
      </c>
      <c r="AC4" s="42">
        <f>Timeline!AC4</f>
        <v/>
      </c>
      <c r="AD4" s="42">
        <f>Timeline!AD4</f>
        <v/>
      </c>
      <c r="AE4" s="42">
        <f>Timeline!AE4</f>
        <v/>
      </c>
      <c r="AF4" s="42">
        <f>Timeline!AF4</f>
        <v/>
      </c>
      <c r="AG4" s="42">
        <f>Timeline!AG4</f>
        <v/>
      </c>
      <c r="AH4" s="42">
        <f>Timeline!AH4</f>
        <v/>
      </c>
      <c r="AI4" s="42">
        <f>Timeline!AI4</f>
        <v/>
      </c>
      <c r="AJ4" s="42">
        <f>Timeline!AJ4</f>
        <v/>
      </c>
      <c r="AK4" s="42">
        <f>Timeline!AK4</f>
        <v/>
      </c>
      <c r="AL4" s="42">
        <f>Timeline!AL4</f>
        <v/>
      </c>
      <c r="AM4" s="42">
        <f>Timeline!AM4</f>
        <v/>
      </c>
      <c r="AN4" s="42">
        <f>Timeline!AN4</f>
        <v/>
      </c>
      <c r="AO4" s="42">
        <f>Timeline!AO4</f>
        <v/>
      </c>
      <c r="AP4" s="42">
        <f>Timeline!AP4</f>
        <v/>
      </c>
      <c r="AQ4" s="42">
        <f>Timeline!AQ4</f>
        <v/>
      </c>
      <c r="AR4" s="42">
        <f>Timeline!AR4</f>
        <v/>
      </c>
      <c r="AS4" s="42">
        <f>Timeline!AS4</f>
        <v/>
      </c>
      <c r="AT4" s="42">
        <f>Timeline!AT4</f>
        <v/>
      </c>
      <c r="AU4" s="42">
        <f>Timeline!AU4</f>
        <v/>
      </c>
      <c r="AV4" s="42">
        <f>Timeline!AV4</f>
        <v/>
      </c>
      <c r="AW4" s="42">
        <f>Timeline!AW4</f>
        <v/>
      </c>
      <c r="AX4" s="42">
        <f>Timeline!AX4</f>
        <v/>
      </c>
      <c r="AY4" s="42">
        <f>Timeline!AY4</f>
        <v/>
      </c>
      <c r="AZ4" s="42">
        <f>Timeline!AZ4</f>
        <v/>
      </c>
      <c r="BA4" s="42">
        <f>Timeline!BA4</f>
        <v/>
      </c>
      <c r="BB4" s="42">
        <f>Timeline!BB4</f>
        <v/>
      </c>
      <c r="BC4" s="42">
        <f>Timeline!BC4</f>
        <v/>
      </c>
      <c r="BD4" s="42">
        <f>Timeline!BD4</f>
        <v/>
      </c>
      <c r="BE4" s="42">
        <f>Timeline!BE4</f>
        <v/>
      </c>
      <c r="BF4" s="42">
        <f>Timeline!BF4</f>
        <v/>
      </c>
      <c r="BG4" s="42">
        <f>Timeline!BG4</f>
        <v/>
      </c>
      <c r="BH4" s="42">
        <f>Timeline!BH4</f>
        <v/>
      </c>
      <c r="BI4" s="42">
        <f>Timeline!BI4</f>
        <v/>
      </c>
      <c r="BJ4" s="42">
        <f>Timeline!BJ4</f>
        <v/>
      </c>
      <c r="BK4" s="42">
        <f>Timeline!BK4</f>
        <v/>
      </c>
      <c r="BL4" s="42">
        <f>Timeline!BL4</f>
        <v/>
      </c>
    </row>
    <row r="5">
      <c r="A5" s="40" t="inlineStr">
        <is>
          <t>Period end</t>
        </is>
      </c>
      <c r="B5" s="41" t="n"/>
      <c r="C5" s="41" t="n"/>
      <c r="D5" s="40" t="n"/>
      <c r="E5" s="43">
        <f>Timeline!E5</f>
        <v/>
      </c>
      <c r="F5" s="43">
        <f>Timeline!F5</f>
        <v/>
      </c>
      <c r="G5" s="43">
        <f>Timeline!G5</f>
        <v/>
      </c>
      <c r="H5" s="43">
        <f>Timeline!H5</f>
        <v/>
      </c>
      <c r="I5" s="43">
        <f>Timeline!I5</f>
        <v/>
      </c>
      <c r="J5" s="43">
        <f>Timeline!J5</f>
        <v/>
      </c>
      <c r="K5" s="43">
        <f>Timeline!K5</f>
        <v/>
      </c>
      <c r="L5" s="43">
        <f>Timeline!L5</f>
        <v/>
      </c>
      <c r="M5" s="43">
        <f>Timeline!M5</f>
        <v/>
      </c>
      <c r="N5" s="43">
        <f>Timeline!N5</f>
        <v/>
      </c>
      <c r="O5" s="43">
        <f>Timeline!O5</f>
        <v/>
      </c>
      <c r="P5" s="43">
        <f>Timeline!P5</f>
        <v/>
      </c>
      <c r="Q5" s="43">
        <f>Timeline!Q5</f>
        <v/>
      </c>
      <c r="R5" s="43">
        <f>Timeline!R5</f>
        <v/>
      </c>
      <c r="S5" s="43">
        <f>Timeline!S5</f>
        <v/>
      </c>
      <c r="T5" s="43">
        <f>Timeline!T5</f>
        <v/>
      </c>
      <c r="U5" s="43">
        <f>Timeline!U5</f>
        <v/>
      </c>
      <c r="V5" s="43">
        <f>Timeline!V5</f>
        <v/>
      </c>
      <c r="W5" s="43">
        <f>Timeline!W5</f>
        <v/>
      </c>
      <c r="X5" s="43">
        <f>Timeline!X5</f>
        <v/>
      </c>
      <c r="Y5" s="43">
        <f>Timeline!Y5</f>
        <v/>
      </c>
      <c r="Z5" s="43">
        <f>Timeline!Z5</f>
        <v/>
      </c>
      <c r="AA5" s="43">
        <f>Timeline!AA5</f>
        <v/>
      </c>
      <c r="AB5" s="43">
        <f>Timeline!AB5</f>
        <v/>
      </c>
      <c r="AC5" s="43">
        <f>Timeline!AC5</f>
        <v/>
      </c>
      <c r="AD5" s="43">
        <f>Timeline!AD5</f>
        <v/>
      </c>
      <c r="AE5" s="43">
        <f>Timeline!AE5</f>
        <v/>
      </c>
      <c r="AF5" s="43">
        <f>Timeline!AF5</f>
        <v/>
      </c>
      <c r="AG5" s="43">
        <f>Timeline!AG5</f>
        <v/>
      </c>
      <c r="AH5" s="43">
        <f>Timeline!AH5</f>
        <v/>
      </c>
      <c r="AI5" s="43">
        <f>Timeline!AI5</f>
        <v/>
      </c>
      <c r="AJ5" s="43">
        <f>Timeline!AJ5</f>
        <v/>
      </c>
      <c r="AK5" s="43">
        <f>Timeline!AK5</f>
        <v/>
      </c>
      <c r="AL5" s="43">
        <f>Timeline!AL5</f>
        <v/>
      </c>
      <c r="AM5" s="43">
        <f>Timeline!AM5</f>
        <v/>
      </c>
      <c r="AN5" s="43">
        <f>Timeline!AN5</f>
        <v/>
      </c>
      <c r="AO5" s="43">
        <f>Timeline!AO5</f>
        <v/>
      </c>
      <c r="AP5" s="43">
        <f>Timeline!AP5</f>
        <v/>
      </c>
      <c r="AQ5" s="43">
        <f>Timeline!AQ5</f>
        <v/>
      </c>
      <c r="AR5" s="43">
        <f>Timeline!AR5</f>
        <v/>
      </c>
      <c r="AS5" s="43">
        <f>Timeline!AS5</f>
        <v/>
      </c>
      <c r="AT5" s="43">
        <f>Timeline!AT5</f>
        <v/>
      </c>
      <c r="AU5" s="43">
        <f>Timeline!AU5</f>
        <v/>
      </c>
      <c r="AV5" s="43">
        <f>Timeline!AV5</f>
        <v/>
      </c>
      <c r="AW5" s="43">
        <f>Timeline!AW5</f>
        <v/>
      </c>
      <c r="AX5" s="43">
        <f>Timeline!AX5</f>
        <v/>
      </c>
      <c r="AY5" s="43">
        <f>Timeline!AY5</f>
        <v/>
      </c>
      <c r="AZ5" s="43">
        <f>Timeline!AZ5</f>
        <v/>
      </c>
      <c r="BA5" s="43">
        <f>Timeline!BA5</f>
        <v/>
      </c>
      <c r="BB5" s="43">
        <f>Timeline!BB5</f>
        <v/>
      </c>
      <c r="BC5" s="43">
        <f>Timeline!BC5</f>
        <v/>
      </c>
      <c r="BD5" s="43">
        <f>Timeline!BD5</f>
        <v/>
      </c>
      <c r="BE5" s="43">
        <f>Timeline!BE5</f>
        <v/>
      </c>
      <c r="BF5" s="43">
        <f>Timeline!BF5</f>
        <v/>
      </c>
      <c r="BG5" s="43">
        <f>Timeline!BG5</f>
        <v/>
      </c>
      <c r="BH5" s="43">
        <f>Timeline!BH5</f>
        <v/>
      </c>
      <c r="BI5" s="43">
        <f>Timeline!BI5</f>
        <v/>
      </c>
      <c r="BJ5" s="43">
        <f>Timeline!BJ5</f>
        <v/>
      </c>
      <c r="BK5" s="43">
        <f>Timeline!BK5</f>
        <v/>
      </c>
      <c r="BL5" s="43">
        <f>Timeline!BL5</f>
        <v/>
      </c>
    </row>
    <row r="6">
      <c r="A6" s="40" t="inlineStr">
        <is>
          <t>Year #</t>
        </is>
      </c>
      <c r="B6" s="41" t="n"/>
      <c r="C6" s="41" t="n"/>
      <c r="D6" s="40" t="n"/>
      <c r="E6" s="42">
        <f>Timeline!E6</f>
        <v/>
      </c>
      <c r="F6" s="42">
        <f>Timeline!F6</f>
        <v/>
      </c>
      <c r="G6" s="42">
        <f>Timeline!G6</f>
        <v/>
      </c>
      <c r="H6" s="42">
        <f>Timeline!H6</f>
        <v/>
      </c>
      <c r="I6" s="42">
        <f>Timeline!I6</f>
        <v/>
      </c>
      <c r="J6" s="42">
        <f>Timeline!J6</f>
        <v/>
      </c>
      <c r="K6" s="42">
        <f>Timeline!K6</f>
        <v/>
      </c>
      <c r="L6" s="42">
        <f>Timeline!L6</f>
        <v/>
      </c>
      <c r="M6" s="42">
        <f>Timeline!M6</f>
        <v/>
      </c>
      <c r="N6" s="42">
        <f>Timeline!N6</f>
        <v/>
      </c>
      <c r="O6" s="42">
        <f>Timeline!O6</f>
        <v/>
      </c>
      <c r="P6" s="42">
        <f>Timeline!P6</f>
        <v/>
      </c>
      <c r="Q6" s="42">
        <f>Timeline!Q6</f>
        <v/>
      </c>
      <c r="R6" s="42">
        <f>Timeline!R6</f>
        <v/>
      </c>
      <c r="S6" s="42">
        <f>Timeline!S6</f>
        <v/>
      </c>
      <c r="T6" s="42">
        <f>Timeline!T6</f>
        <v/>
      </c>
      <c r="U6" s="42">
        <f>Timeline!U6</f>
        <v/>
      </c>
      <c r="V6" s="42">
        <f>Timeline!V6</f>
        <v/>
      </c>
      <c r="W6" s="42">
        <f>Timeline!W6</f>
        <v/>
      </c>
      <c r="X6" s="42">
        <f>Timeline!X6</f>
        <v/>
      </c>
      <c r="Y6" s="42">
        <f>Timeline!Y6</f>
        <v/>
      </c>
      <c r="Z6" s="42">
        <f>Timeline!Z6</f>
        <v/>
      </c>
      <c r="AA6" s="42">
        <f>Timeline!AA6</f>
        <v/>
      </c>
      <c r="AB6" s="42">
        <f>Timeline!AB6</f>
        <v/>
      </c>
      <c r="AC6" s="42">
        <f>Timeline!AC6</f>
        <v/>
      </c>
      <c r="AD6" s="42">
        <f>Timeline!AD6</f>
        <v/>
      </c>
      <c r="AE6" s="42">
        <f>Timeline!AE6</f>
        <v/>
      </c>
      <c r="AF6" s="42">
        <f>Timeline!AF6</f>
        <v/>
      </c>
      <c r="AG6" s="42">
        <f>Timeline!AG6</f>
        <v/>
      </c>
      <c r="AH6" s="42">
        <f>Timeline!AH6</f>
        <v/>
      </c>
      <c r="AI6" s="42">
        <f>Timeline!AI6</f>
        <v/>
      </c>
      <c r="AJ6" s="42">
        <f>Timeline!AJ6</f>
        <v/>
      </c>
      <c r="AK6" s="42">
        <f>Timeline!AK6</f>
        <v/>
      </c>
      <c r="AL6" s="42">
        <f>Timeline!AL6</f>
        <v/>
      </c>
      <c r="AM6" s="42">
        <f>Timeline!AM6</f>
        <v/>
      </c>
      <c r="AN6" s="42">
        <f>Timeline!AN6</f>
        <v/>
      </c>
      <c r="AO6" s="42">
        <f>Timeline!AO6</f>
        <v/>
      </c>
      <c r="AP6" s="42">
        <f>Timeline!AP6</f>
        <v/>
      </c>
      <c r="AQ6" s="42">
        <f>Timeline!AQ6</f>
        <v/>
      </c>
      <c r="AR6" s="42">
        <f>Timeline!AR6</f>
        <v/>
      </c>
      <c r="AS6" s="42">
        <f>Timeline!AS6</f>
        <v/>
      </c>
      <c r="AT6" s="42">
        <f>Timeline!AT6</f>
        <v/>
      </c>
      <c r="AU6" s="42">
        <f>Timeline!AU6</f>
        <v/>
      </c>
      <c r="AV6" s="42">
        <f>Timeline!AV6</f>
        <v/>
      </c>
      <c r="AW6" s="42">
        <f>Timeline!AW6</f>
        <v/>
      </c>
      <c r="AX6" s="42">
        <f>Timeline!AX6</f>
        <v/>
      </c>
      <c r="AY6" s="42">
        <f>Timeline!AY6</f>
        <v/>
      </c>
      <c r="AZ6" s="42">
        <f>Timeline!AZ6</f>
        <v/>
      </c>
      <c r="BA6" s="42">
        <f>Timeline!BA6</f>
        <v/>
      </c>
      <c r="BB6" s="42">
        <f>Timeline!BB6</f>
        <v/>
      </c>
      <c r="BC6" s="42">
        <f>Timeline!BC6</f>
        <v/>
      </c>
      <c r="BD6" s="42">
        <f>Timeline!BD6</f>
        <v/>
      </c>
      <c r="BE6" s="42">
        <f>Timeline!BE6</f>
        <v/>
      </c>
      <c r="BF6" s="42">
        <f>Timeline!BF6</f>
        <v/>
      </c>
      <c r="BG6" s="42">
        <f>Timeline!BG6</f>
        <v/>
      </c>
      <c r="BH6" s="42">
        <f>Timeline!BH6</f>
        <v/>
      </c>
      <c r="BI6" s="42">
        <f>Timeline!BI6</f>
        <v/>
      </c>
      <c r="BJ6" s="42">
        <f>Timeline!BJ6</f>
        <v/>
      </c>
      <c r="BK6" s="42">
        <f>Timeline!BK6</f>
        <v/>
      </c>
      <c r="BL6" s="42">
        <f>Timeline!BL6</f>
        <v/>
      </c>
    </row>
    <row r="7"/>
    <row r="8">
      <c r="A8" s="44" t="inlineStr">
        <is>
          <t>Cost of goods sold (landed hardware)</t>
        </is>
      </c>
      <c r="B8" s="13" t="inlineStr">
        <is>
          <t>LCY</t>
        </is>
      </c>
      <c r="C8" s="45">
        <f>SUM(E8:BL8)</f>
        <v/>
      </c>
      <c r="E8" s="46">
        <f>Ops!E$66</f>
        <v/>
      </c>
      <c r="F8" s="46">
        <f>Ops!F$66</f>
        <v/>
      </c>
      <c r="G8" s="46">
        <f>Ops!G$66</f>
        <v/>
      </c>
      <c r="H8" s="46">
        <f>Ops!H$66</f>
        <v/>
      </c>
      <c r="I8" s="46">
        <f>Ops!I$66</f>
        <v/>
      </c>
      <c r="J8" s="46">
        <f>Ops!J$66</f>
        <v/>
      </c>
      <c r="K8" s="46">
        <f>Ops!K$66</f>
        <v/>
      </c>
      <c r="L8" s="46">
        <f>Ops!L$66</f>
        <v/>
      </c>
      <c r="M8" s="46">
        <f>Ops!M$66</f>
        <v/>
      </c>
      <c r="N8" s="46">
        <f>Ops!N$66</f>
        <v/>
      </c>
      <c r="O8" s="46">
        <f>Ops!O$66</f>
        <v/>
      </c>
      <c r="P8" s="46">
        <f>Ops!P$66</f>
        <v/>
      </c>
      <c r="Q8" s="46">
        <f>Ops!Q$66</f>
        <v/>
      </c>
      <c r="R8" s="46">
        <f>Ops!R$66</f>
        <v/>
      </c>
      <c r="S8" s="46">
        <f>Ops!S$66</f>
        <v/>
      </c>
      <c r="T8" s="46">
        <f>Ops!T$66</f>
        <v/>
      </c>
      <c r="U8" s="46">
        <f>Ops!U$66</f>
        <v/>
      </c>
      <c r="V8" s="46">
        <f>Ops!V$66</f>
        <v/>
      </c>
      <c r="W8" s="46">
        <f>Ops!W$66</f>
        <v/>
      </c>
      <c r="X8" s="46">
        <f>Ops!X$66</f>
        <v/>
      </c>
      <c r="Y8" s="46">
        <f>Ops!Y$66</f>
        <v/>
      </c>
      <c r="Z8" s="46">
        <f>Ops!Z$66</f>
        <v/>
      </c>
      <c r="AA8" s="46">
        <f>Ops!AA$66</f>
        <v/>
      </c>
      <c r="AB8" s="46">
        <f>Ops!AB$66</f>
        <v/>
      </c>
      <c r="AC8" s="46">
        <f>Ops!AC$66</f>
        <v/>
      </c>
      <c r="AD8" s="46">
        <f>Ops!AD$66</f>
        <v/>
      </c>
      <c r="AE8" s="46">
        <f>Ops!AE$66</f>
        <v/>
      </c>
      <c r="AF8" s="46">
        <f>Ops!AF$66</f>
        <v/>
      </c>
      <c r="AG8" s="46">
        <f>Ops!AG$66</f>
        <v/>
      </c>
      <c r="AH8" s="46">
        <f>Ops!AH$66</f>
        <v/>
      </c>
      <c r="AI8" s="46">
        <f>Ops!AI$66</f>
        <v/>
      </c>
      <c r="AJ8" s="46">
        <f>Ops!AJ$66</f>
        <v/>
      </c>
      <c r="AK8" s="46">
        <f>Ops!AK$66</f>
        <v/>
      </c>
      <c r="AL8" s="46">
        <f>Ops!AL$66</f>
        <v/>
      </c>
      <c r="AM8" s="46">
        <f>Ops!AM$66</f>
        <v/>
      </c>
      <c r="AN8" s="46">
        <f>Ops!AN$66</f>
        <v/>
      </c>
      <c r="AO8" s="46">
        <f>Ops!AO$66</f>
        <v/>
      </c>
      <c r="AP8" s="46">
        <f>Ops!AP$66</f>
        <v/>
      </c>
      <c r="AQ8" s="46">
        <f>Ops!AQ$66</f>
        <v/>
      </c>
      <c r="AR8" s="46">
        <f>Ops!AR$66</f>
        <v/>
      </c>
      <c r="AS8" s="46">
        <f>Ops!AS$66</f>
        <v/>
      </c>
      <c r="AT8" s="46">
        <f>Ops!AT$66</f>
        <v/>
      </c>
      <c r="AU8" s="46">
        <f>Ops!AU$66</f>
        <v/>
      </c>
      <c r="AV8" s="46">
        <f>Ops!AV$66</f>
        <v/>
      </c>
      <c r="AW8" s="46">
        <f>Ops!AW$66</f>
        <v/>
      </c>
      <c r="AX8" s="46">
        <f>Ops!AX$66</f>
        <v/>
      </c>
      <c r="AY8" s="46">
        <f>Ops!AY$66</f>
        <v/>
      </c>
      <c r="AZ8" s="46">
        <f>Ops!AZ$66</f>
        <v/>
      </c>
      <c r="BA8" s="46">
        <f>Ops!BA$66</f>
        <v/>
      </c>
      <c r="BB8" s="46">
        <f>Ops!BB$66</f>
        <v/>
      </c>
      <c r="BC8" s="46">
        <f>Ops!BC$66</f>
        <v/>
      </c>
      <c r="BD8" s="46">
        <f>Ops!BD$66</f>
        <v/>
      </c>
      <c r="BE8" s="46">
        <f>Ops!BE$66</f>
        <v/>
      </c>
      <c r="BF8" s="46">
        <f>Ops!BF$66</f>
        <v/>
      </c>
      <c r="BG8" s="46">
        <f>Ops!BG$66</f>
        <v/>
      </c>
      <c r="BH8" s="46">
        <f>Ops!BH$66</f>
        <v/>
      </c>
      <c r="BI8" s="46">
        <f>Ops!BI$66</f>
        <v/>
      </c>
      <c r="BJ8" s="46">
        <f>Ops!BJ$66</f>
        <v/>
      </c>
      <c r="BK8" s="46">
        <f>Ops!BK$66</f>
        <v/>
      </c>
      <c r="BL8" s="46">
        <f>Ops!BL$66</f>
        <v/>
      </c>
    </row>
    <row r="9">
      <c r="A9" s="44" t="inlineStr">
        <is>
          <t>Warranty &amp; after-sales</t>
        </is>
      </c>
      <c r="B9" s="13" t="inlineStr">
        <is>
          <t>LCY</t>
        </is>
      </c>
      <c r="C9" s="45">
        <f>SUM(E9:BL9)</f>
        <v/>
      </c>
      <c r="E9" s="25">
        <f>E8*Inputs!$C$27</f>
        <v/>
      </c>
      <c r="F9" s="25">
        <f>F8*Inputs!$C$27</f>
        <v/>
      </c>
      <c r="G9" s="25">
        <f>G8*Inputs!$C$27</f>
        <v/>
      </c>
      <c r="H9" s="25">
        <f>H8*Inputs!$C$27</f>
        <v/>
      </c>
      <c r="I9" s="25">
        <f>I8*Inputs!$C$27</f>
        <v/>
      </c>
      <c r="J9" s="25">
        <f>J8*Inputs!$C$27</f>
        <v/>
      </c>
      <c r="K9" s="25">
        <f>K8*Inputs!$C$27</f>
        <v/>
      </c>
      <c r="L9" s="25">
        <f>L8*Inputs!$C$27</f>
        <v/>
      </c>
      <c r="M9" s="25">
        <f>M8*Inputs!$C$27</f>
        <v/>
      </c>
      <c r="N9" s="25">
        <f>N8*Inputs!$C$27</f>
        <v/>
      </c>
      <c r="O9" s="25">
        <f>O8*Inputs!$C$27</f>
        <v/>
      </c>
      <c r="P9" s="25">
        <f>P8*Inputs!$C$27</f>
        <v/>
      </c>
      <c r="Q9" s="25">
        <f>Q8*Inputs!$C$27</f>
        <v/>
      </c>
      <c r="R9" s="25">
        <f>R8*Inputs!$C$27</f>
        <v/>
      </c>
      <c r="S9" s="25">
        <f>S8*Inputs!$C$27</f>
        <v/>
      </c>
      <c r="T9" s="25">
        <f>T8*Inputs!$C$27</f>
        <v/>
      </c>
      <c r="U9" s="25">
        <f>U8*Inputs!$C$27</f>
        <v/>
      </c>
      <c r="V9" s="25">
        <f>V8*Inputs!$C$27</f>
        <v/>
      </c>
      <c r="W9" s="25">
        <f>W8*Inputs!$C$27</f>
        <v/>
      </c>
      <c r="X9" s="25">
        <f>X8*Inputs!$C$27</f>
        <v/>
      </c>
      <c r="Y9" s="25">
        <f>Y8*Inputs!$C$27</f>
        <v/>
      </c>
      <c r="Z9" s="25">
        <f>Z8*Inputs!$C$27</f>
        <v/>
      </c>
      <c r="AA9" s="25">
        <f>AA8*Inputs!$C$27</f>
        <v/>
      </c>
      <c r="AB9" s="25">
        <f>AB8*Inputs!$C$27</f>
        <v/>
      </c>
      <c r="AC9" s="25">
        <f>AC8*Inputs!$C$27</f>
        <v/>
      </c>
      <c r="AD9" s="25">
        <f>AD8*Inputs!$C$27</f>
        <v/>
      </c>
      <c r="AE9" s="25">
        <f>AE8*Inputs!$C$27</f>
        <v/>
      </c>
      <c r="AF9" s="25">
        <f>AF8*Inputs!$C$27</f>
        <v/>
      </c>
      <c r="AG9" s="25">
        <f>AG8*Inputs!$C$27</f>
        <v/>
      </c>
      <c r="AH9" s="25">
        <f>AH8*Inputs!$C$27</f>
        <v/>
      </c>
      <c r="AI9" s="25">
        <f>AI8*Inputs!$C$27</f>
        <v/>
      </c>
      <c r="AJ9" s="25">
        <f>AJ8*Inputs!$C$27</f>
        <v/>
      </c>
      <c r="AK9" s="25">
        <f>AK8*Inputs!$C$27</f>
        <v/>
      </c>
      <c r="AL9" s="25">
        <f>AL8*Inputs!$C$27</f>
        <v/>
      </c>
      <c r="AM9" s="25">
        <f>AM8*Inputs!$C$27</f>
        <v/>
      </c>
      <c r="AN9" s="25">
        <f>AN8*Inputs!$C$27</f>
        <v/>
      </c>
      <c r="AO9" s="25">
        <f>AO8*Inputs!$C$27</f>
        <v/>
      </c>
      <c r="AP9" s="25">
        <f>AP8*Inputs!$C$27</f>
        <v/>
      </c>
      <c r="AQ9" s="25">
        <f>AQ8*Inputs!$C$27</f>
        <v/>
      </c>
      <c r="AR9" s="25">
        <f>AR8*Inputs!$C$27</f>
        <v/>
      </c>
      <c r="AS9" s="25">
        <f>AS8*Inputs!$C$27</f>
        <v/>
      </c>
      <c r="AT9" s="25">
        <f>AT8*Inputs!$C$27</f>
        <v/>
      </c>
      <c r="AU9" s="25">
        <f>AU8*Inputs!$C$27</f>
        <v/>
      </c>
      <c r="AV9" s="25">
        <f>AV8*Inputs!$C$27</f>
        <v/>
      </c>
      <c r="AW9" s="25">
        <f>AW8*Inputs!$C$27</f>
        <v/>
      </c>
      <c r="AX9" s="25">
        <f>AX8*Inputs!$C$27</f>
        <v/>
      </c>
      <c r="AY9" s="25">
        <f>AY8*Inputs!$C$27</f>
        <v/>
      </c>
      <c r="AZ9" s="25">
        <f>AZ8*Inputs!$C$27</f>
        <v/>
      </c>
      <c r="BA9" s="25">
        <f>BA8*Inputs!$C$27</f>
        <v/>
      </c>
      <c r="BB9" s="25">
        <f>BB8*Inputs!$C$27</f>
        <v/>
      </c>
      <c r="BC9" s="25">
        <f>BC8*Inputs!$C$27</f>
        <v/>
      </c>
      <c r="BD9" s="25">
        <f>BD8*Inputs!$C$27</f>
        <v/>
      </c>
      <c r="BE9" s="25">
        <f>BE8*Inputs!$C$27</f>
        <v/>
      </c>
      <c r="BF9" s="25">
        <f>BF8*Inputs!$C$27</f>
        <v/>
      </c>
      <c r="BG9" s="25">
        <f>BG8*Inputs!$C$27</f>
        <v/>
      </c>
      <c r="BH9" s="25">
        <f>BH8*Inputs!$C$27</f>
        <v/>
      </c>
      <c r="BI9" s="25">
        <f>BI8*Inputs!$C$27</f>
        <v/>
      </c>
      <c r="BJ9" s="25">
        <f>BJ8*Inputs!$C$27</f>
        <v/>
      </c>
      <c r="BK9" s="25">
        <f>BK8*Inputs!$C$27</f>
        <v/>
      </c>
      <c r="BL9" s="25">
        <f>BL8*Inputs!$C$27</f>
        <v/>
      </c>
    </row>
    <row r="10">
      <c r="A10" s="44" t="inlineStr">
        <is>
          <t>Agent commissions</t>
        </is>
      </c>
      <c r="B10" s="13" t="inlineStr">
        <is>
          <t>LCY</t>
        </is>
      </c>
      <c r="C10" s="45">
        <f>SUM(E10:BL10)</f>
        <v/>
      </c>
      <c r="E10" s="25">
        <f>Ops!E$9*Products!$C$11*Timeline!E$9+Ops!E$24*Products!$D$11*Timeline!E$9+Ops!E$39*Products!$E$11*Timeline!E$9</f>
        <v/>
      </c>
      <c r="F10" s="25">
        <f>Ops!F$9*Products!$C$11*Timeline!F$9+Ops!F$24*Products!$D$11*Timeline!F$9+Ops!F$39*Products!$E$11*Timeline!F$9</f>
        <v/>
      </c>
      <c r="G10" s="25">
        <f>Ops!G$9*Products!$C$11*Timeline!G$9+Ops!G$24*Products!$D$11*Timeline!G$9+Ops!G$39*Products!$E$11*Timeline!G$9</f>
        <v/>
      </c>
      <c r="H10" s="25">
        <f>Ops!H$9*Products!$C$11*Timeline!H$9+Ops!H$24*Products!$D$11*Timeline!H$9+Ops!H$39*Products!$E$11*Timeline!H$9</f>
        <v/>
      </c>
      <c r="I10" s="25">
        <f>Ops!I$9*Products!$C$11*Timeline!I$9+Ops!I$24*Products!$D$11*Timeline!I$9+Ops!I$39*Products!$E$11*Timeline!I$9</f>
        <v/>
      </c>
      <c r="J10" s="25">
        <f>Ops!J$9*Products!$C$11*Timeline!J$9+Ops!J$24*Products!$D$11*Timeline!J$9+Ops!J$39*Products!$E$11*Timeline!J$9</f>
        <v/>
      </c>
      <c r="K10" s="25">
        <f>Ops!K$9*Products!$C$11*Timeline!K$9+Ops!K$24*Products!$D$11*Timeline!K$9+Ops!K$39*Products!$E$11*Timeline!K$9</f>
        <v/>
      </c>
      <c r="L10" s="25">
        <f>Ops!L$9*Products!$C$11*Timeline!L$9+Ops!L$24*Products!$D$11*Timeline!L$9+Ops!L$39*Products!$E$11*Timeline!L$9</f>
        <v/>
      </c>
      <c r="M10" s="25">
        <f>Ops!M$9*Products!$C$11*Timeline!M$9+Ops!M$24*Products!$D$11*Timeline!M$9+Ops!M$39*Products!$E$11*Timeline!M$9</f>
        <v/>
      </c>
      <c r="N10" s="25">
        <f>Ops!N$9*Products!$C$11*Timeline!N$9+Ops!N$24*Products!$D$11*Timeline!N$9+Ops!N$39*Products!$E$11*Timeline!N$9</f>
        <v/>
      </c>
      <c r="O10" s="25">
        <f>Ops!O$9*Products!$C$11*Timeline!O$9+Ops!O$24*Products!$D$11*Timeline!O$9+Ops!O$39*Products!$E$11*Timeline!O$9</f>
        <v/>
      </c>
      <c r="P10" s="25">
        <f>Ops!P$9*Products!$C$11*Timeline!P$9+Ops!P$24*Products!$D$11*Timeline!P$9+Ops!P$39*Products!$E$11*Timeline!P$9</f>
        <v/>
      </c>
      <c r="Q10" s="25">
        <f>Ops!Q$9*Products!$C$11*Timeline!Q$9+Ops!Q$24*Products!$D$11*Timeline!Q$9+Ops!Q$39*Products!$E$11*Timeline!Q$9</f>
        <v/>
      </c>
      <c r="R10" s="25">
        <f>Ops!R$9*Products!$C$11*Timeline!R$9+Ops!R$24*Products!$D$11*Timeline!R$9+Ops!R$39*Products!$E$11*Timeline!R$9</f>
        <v/>
      </c>
      <c r="S10" s="25">
        <f>Ops!S$9*Products!$C$11*Timeline!S$9+Ops!S$24*Products!$D$11*Timeline!S$9+Ops!S$39*Products!$E$11*Timeline!S$9</f>
        <v/>
      </c>
      <c r="T10" s="25">
        <f>Ops!T$9*Products!$C$11*Timeline!T$9+Ops!T$24*Products!$D$11*Timeline!T$9+Ops!T$39*Products!$E$11*Timeline!T$9</f>
        <v/>
      </c>
      <c r="U10" s="25">
        <f>Ops!U$9*Products!$C$11*Timeline!U$9+Ops!U$24*Products!$D$11*Timeline!U$9+Ops!U$39*Products!$E$11*Timeline!U$9</f>
        <v/>
      </c>
      <c r="V10" s="25">
        <f>Ops!V$9*Products!$C$11*Timeline!V$9+Ops!V$24*Products!$D$11*Timeline!V$9+Ops!V$39*Products!$E$11*Timeline!V$9</f>
        <v/>
      </c>
      <c r="W10" s="25">
        <f>Ops!W$9*Products!$C$11*Timeline!W$9+Ops!W$24*Products!$D$11*Timeline!W$9+Ops!W$39*Products!$E$11*Timeline!W$9</f>
        <v/>
      </c>
      <c r="X10" s="25">
        <f>Ops!X$9*Products!$C$11*Timeline!X$9+Ops!X$24*Products!$D$11*Timeline!X$9+Ops!X$39*Products!$E$11*Timeline!X$9</f>
        <v/>
      </c>
      <c r="Y10" s="25">
        <f>Ops!Y$9*Products!$C$11*Timeline!Y$9+Ops!Y$24*Products!$D$11*Timeline!Y$9+Ops!Y$39*Products!$E$11*Timeline!Y$9</f>
        <v/>
      </c>
      <c r="Z10" s="25">
        <f>Ops!Z$9*Products!$C$11*Timeline!Z$9+Ops!Z$24*Products!$D$11*Timeline!Z$9+Ops!Z$39*Products!$E$11*Timeline!Z$9</f>
        <v/>
      </c>
      <c r="AA10" s="25">
        <f>Ops!AA$9*Products!$C$11*Timeline!AA$9+Ops!AA$24*Products!$D$11*Timeline!AA$9+Ops!AA$39*Products!$E$11*Timeline!AA$9</f>
        <v/>
      </c>
      <c r="AB10" s="25">
        <f>Ops!AB$9*Products!$C$11*Timeline!AB$9+Ops!AB$24*Products!$D$11*Timeline!AB$9+Ops!AB$39*Products!$E$11*Timeline!AB$9</f>
        <v/>
      </c>
      <c r="AC10" s="25">
        <f>Ops!AC$9*Products!$C$11*Timeline!AC$9+Ops!AC$24*Products!$D$11*Timeline!AC$9+Ops!AC$39*Products!$E$11*Timeline!AC$9</f>
        <v/>
      </c>
      <c r="AD10" s="25">
        <f>Ops!AD$9*Products!$C$11*Timeline!AD$9+Ops!AD$24*Products!$D$11*Timeline!AD$9+Ops!AD$39*Products!$E$11*Timeline!AD$9</f>
        <v/>
      </c>
      <c r="AE10" s="25">
        <f>Ops!AE$9*Products!$C$11*Timeline!AE$9+Ops!AE$24*Products!$D$11*Timeline!AE$9+Ops!AE$39*Products!$E$11*Timeline!AE$9</f>
        <v/>
      </c>
      <c r="AF10" s="25">
        <f>Ops!AF$9*Products!$C$11*Timeline!AF$9+Ops!AF$24*Products!$D$11*Timeline!AF$9+Ops!AF$39*Products!$E$11*Timeline!AF$9</f>
        <v/>
      </c>
      <c r="AG10" s="25">
        <f>Ops!AG$9*Products!$C$11*Timeline!AG$9+Ops!AG$24*Products!$D$11*Timeline!AG$9+Ops!AG$39*Products!$E$11*Timeline!AG$9</f>
        <v/>
      </c>
      <c r="AH10" s="25">
        <f>Ops!AH$9*Products!$C$11*Timeline!AH$9+Ops!AH$24*Products!$D$11*Timeline!AH$9+Ops!AH$39*Products!$E$11*Timeline!AH$9</f>
        <v/>
      </c>
      <c r="AI10" s="25">
        <f>Ops!AI$9*Products!$C$11*Timeline!AI$9+Ops!AI$24*Products!$D$11*Timeline!AI$9+Ops!AI$39*Products!$E$11*Timeline!AI$9</f>
        <v/>
      </c>
      <c r="AJ10" s="25">
        <f>Ops!AJ$9*Products!$C$11*Timeline!AJ$9+Ops!AJ$24*Products!$D$11*Timeline!AJ$9+Ops!AJ$39*Products!$E$11*Timeline!AJ$9</f>
        <v/>
      </c>
      <c r="AK10" s="25">
        <f>Ops!AK$9*Products!$C$11*Timeline!AK$9+Ops!AK$24*Products!$D$11*Timeline!AK$9+Ops!AK$39*Products!$E$11*Timeline!AK$9</f>
        <v/>
      </c>
      <c r="AL10" s="25">
        <f>Ops!AL$9*Products!$C$11*Timeline!AL$9+Ops!AL$24*Products!$D$11*Timeline!AL$9+Ops!AL$39*Products!$E$11*Timeline!AL$9</f>
        <v/>
      </c>
      <c r="AM10" s="25">
        <f>Ops!AM$9*Products!$C$11*Timeline!AM$9+Ops!AM$24*Products!$D$11*Timeline!AM$9+Ops!AM$39*Products!$E$11*Timeline!AM$9</f>
        <v/>
      </c>
      <c r="AN10" s="25">
        <f>Ops!AN$9*Products!$C$11*Timeline!AN$9+Ops!AN$24*Products!$D$11*Timeline!AN$9+Ops!AN$39*Products!$E$11*Timeline!AN$9</f>
        <v/>
      </c>
      <c r="AO10" s="25">
        <f>Ops!AO$9*Products!$C$11*Timeline!AO$9+Ops!AO$24*Products!$D$11*Timeline!AO$9+Ops!AO$39*Products!$E$11*Timeline!AO$9</f>
        <v/>
      </c>
      <c r="AP10" s="25">
        <f>Ops!AP$9*Products!$C$11*Timeline!AP$9+Ops!AP$24*Products!$D$11*Timeline!AP$9+Ops!AP$39*Products!$E$11*Timeline!AP$9</f>
        <v/>
      </c>
      <c r="AQ10" s="25">
        <f>Ops!AQ$9*Products!$C$11*Timeline!AQ$9+Ops!AQ$24*Products!$D$11*Timeline!AQ$9+Ops!AQ$39*Products!$E$11*Timeline!AQ$9</f>
        <v/>
      </c>
      <c r="AR10" s="25">
        <f>Ops!AR$9*Products!$C$11*Timeline!AR$9+Ops!AR$24*Products!$D$11*Timeline!AR$9+Ops!AR$39*Products!$E$11*Timeline!AR$9</f>
        <v/>
      </c>
      <c r="AS10" s="25">
        <f>Ops!AS$9*Products!$C$11*Timeline!AS$9+Ops!AS$24*Products!$D$11*Timeline!AS$9+Ops!AS$39*Products!$E$11*Timeline!AS$9</f>
        <v/>
      </c>
      <c r="AT10" s="25">
        <f>Ops!AT$9*Products!$C$11*Timeline!AT$9+Ops!AT$24*Products!$D$11*Timeline!AT$9+Ops!AT$39*Products!$E$11*Timeline!AT$9</f>
        <v/>
      </c>
      <c r="AU10" s="25">
        <f>Ops!AU$9*Products!$C$11*Timeline!AU$9+Ops!AU$24*Products!$D$11*Timeline!AU$9+Ops!AU$39*Products!$E$11*Timeline!AU$9</f>
        <v/>
      </c>
      <c r="AV10" s="25">
        <f>Ops!AV$9*Products!$C$11*Timeline!AV$9+Ops!AV$24*Products!$D$11*Timeline!AV$9+Ops!AV$39*Products!$E$11*Timeline!AV$9</f>
        <v/>
      </c>
      <c r="AW10" s="25">
        <f>Ops!AW$9*Products!$C$11*Timeline!AW$9+Ops!AW$24*Products!$D$11*Timeline!AW$9+Ops!AW$39*Products!$E$11*Timeline!AW$9</f>
        <v/>
      </c>
      <c r="AX10" s="25">
        <f>Ops!AX$9*Products!$C$11*Timeline!AX$9+Ops!AX$24*Products!$D$11*Timeline!AX$9+Ops!AX$39*Products!$E$11*Timeline!AX$9</f>
        <v/>
      </c>
      <c r="AY10" s="25">
        <f>Ops!AY$9*Products!$C$11*Timeline!AY$9+Ops!AY$24*Products!$D$11*Timeline!AY$9+Ops!AY$39*Products!$E$11*Timeline!AY$9</f>
        <v/>
      </c>
      <c r="AZ10" s="25">
        <f>Ops!AZ$9*Products!$C$11*Timeline!AZ$9+Ops!AZ$24*Products!$D$11*Timeline!AZ$9+Ops!AZ$39*Products!$E$11*Timeline!AZ$9</f>
        <v/>
      </c>
      <c r="BA10" s="25">
        <f>Ops!BA$9*Products!$C$11*Timeline!BA$9+Ops!BA$24*Products!$D$11*Timeline!BA$9+Ops!BA$39*Products!$E$11*Timeline!BA$9</f>
        <v/>
      </c>
      <c r="BB10" s="25">
        <f>Ops!BB$9*Products!$C$11*Timeline!BB$9+Ops!BB$24*Products!$D$11*Timeline!BB$9+Ops!BB$39*Products!$E$11*Timeline!BB$9</f>
        <v/>
      </c>
      <c r="BC10" s="25">
        <f>Ops!BC$9*Products!$C$11*Timeline!BC$9+Ops!BC$24*Products!$D$11*Timeline!BC$9+Ops!BC$39*Products!$E$11*Timeline!BC$9</f>
        <v/>
      </c>
      <c r="BD10" s="25">
        <f>Ops!BD$9*Products!$C$11*Timeline!BD$9+Ops!BD$24*Products!$D$11*Timeline!BD$9+Ops!BD$39*Products!$E$11*Timeline!BD$9</f>
        <v/>
      </c>
      <c r="BE10" s="25">
        <f>Ops!BE$9*Products!$C$11*Timeline!BE$9+Ops!BE$24*Products!$D$11*Timeline!BE$9+Ops!BE$39*Products!$E$11*Timeline!BE$9</f>
        <v/>
      </c>
      <c r="BF10" s="25">
        <f>Ops!BF$9*Products!$C$11*Timeline!BF$9+Ops!BF$24*Products!$D$11*Timeline!BF$9+Ops!BF$39*Products!$E$11*Timeline!BF$9</f>
        <v/>
      </c>
      <c r="BG10" s="25">
        <f>Ops!BG$9*Products!$C$11*Timeline!BG$9+Ops!BG$24*Products!$D$11*Timeline!BG$9+Ops!BG$39*Products!$E$11*Timeline!BG$9</f>
        <v/>
      </c>
      <c r="BH10" s="25">
        <f>Ops!BH$9*Products!$C$11*Timeline!BH$9+Ops!BH$24*Products!$D$11*Timeline!BH$9+Ops!BH$39*Products!$E$11*Timeline!BH$9</f>
        <v/>
      </c>
      <c r="BI10" s="25">
        <f>Ops!BI$9*Products!$C$11*Timeline!BI$9+Ops!BI$24*Products!$D$11*Timeline!BI$9+Ops!BI$39*Products!$E$11*Timeline!BI$9</f>
        <v/>
      </c>
      <c r="BJ10" s="25">
        <f>Ops!BJ$9*Products!$C$11*Timeline!BJ$9+Ops!BJ$24*Products!$D$11*Timeline!BJ$9+Ops!BJ$39*Products!$E$11*Timeline!BJ$9</f>
        <v/>
      </c>
      <c r="BK10" s="25">
        <f>Ops!BK$9*Products!$C$11*Timeline!BK$9+Ops!BK$24*Products!$D$11*Timeline!BK$9+Ops!BK$39*Products!$E$11*Timeline!BK$9</f>
        <v/>
      </c>
      <c r="BL10" s="25">
        <f>Ops!BL$9*Products!$C$11*Timeline!BL$9+Ops!BL$24*Products!$D$11*Timeline!BL$9+Ops!BL$39*Products!$E$11*Timeline!BL$9</f>
        <v/>
      </c>
    </row>
    <row r="11">
      <c r="A11" s="44" t="inlineStr">
        <is>
          <t>Marketing &amp; acquisition</t>
        </is>
      </c>
      <c r="B11" s="13" t="inlineStr">
        <is>
          <t>LCY</t>
        </is>
      </c>
      <c r="C11" s="45">
        <f>SUM(E11:BL11)</f>
        <v/>
      </c>
      <c r="E11" s="25">
        <f>Ops!E$9*Products!$C$12*Timeline!E$9+Ops!E$24*Products!$D$12*Timeline!E$9+Ops!E$39*Products!$E$12*Timeline!E$9</f>
        <v/>
      </c>
      <c r="F11" s="25">
        <f>Ops!F$9*Products!$C$12*Timeline!F$9+Ops!F$24*Products!$D$12*Timeline!F$9+Ops!F$39*Products!$E$12*Timeline!F$9</f>
        <v/>
      </c>
      <c r="G11" s="25">
        <f>Ops!G$9*Products!$C$12*Timeline!G$9+Ops!G$24*Products!$D$12*Timeline!G$9+Ops!G$39*Products!$E$12*Timeline!G$9</f>
        <v/>
      </c>
      <c r="H11" s="25">
        <f>Ops!H$9*Products!$C$12*Timeline!H$9+Ops!H$24*Products!$D$12*Timeline!H$9+Ops!H$39*Products!$E$12*Timeline!H$9</f>
        <v/>
      </c>
      <c r="I11" s="25">
        <f>Ops!I$9*Products!$C$12*Timeline!I$9+Ops!I$24*Products!$D$12*Timeline!I$9+Ops!I$39*Products!$E$12*Timeline!I$9</f>
        <v/>
      </c>
      <c r="J11" s="25">
        <f>Ops!J$9*Products!$C$12*Timeline!J$9+Ops!J$24*Products!$D$12*Timeline!J$9+Ops!J$39*Products!$E$12*Timeline!J$9</f>
        <v/>
      </c>
      <c r="K11" s="25">
        <f>Ops!K$9*Products!$C$12*Timeline!K$9+Ops!K$24*Products!$D$12*Timeline!K$9+Ops!K$39*Products!$E$12*Timeline!K$9</f>
        <v/>
      </c>
      <c r="L11" s="25">
        <f>Ops!L$9*Products!$C$12*Timeline!L$9+Ops!L$24*Products!$D$12*Timeline!L$9+Ops!L$39*Products!$E$12*Timeline!L$9</f>
        <v/>
      </c>
      <c r="M11" s="25">
        <f>Ops!M$9*Products!$C$12*Timeline!M$9+Ops!M$24*Products!$D$12*Timeline!M$9+Ops!M$39*Products!$E$12*Timeline!M$9</f>
        <v/>
      </c>
      <c r="N11" s="25">
        <f>Ops!N$9*Products!$C$12*Timeline!N$9+Ops!N$24*Products!$D$12*Timeline!N$9+Ops!N$39*Products!$E$12*Timeline!N$9</f>
        <v/>
      </c>
      <c r="O11" s="25">
        <f>Ops!O$9*Products!$C$12*Timeline!O$9+Ops!O$24*Products!$D$12*Timeline!O$9+Ops!O$39*Products!$E$12*Timeline!O$9</f>
        <v/>
      </c>
      <c r="P11" s="25">
        <f>Ops!P$9*Products!$C$12*Timeline!P$9+Ops!P$24*Products!$D$12*Timeline!P$9+Ops!P$39*Products!$E$12*Timeline!P$9</f>
        <v/>
      </c>
      <c r="Q11" s="25">
        <f>Ops!Q$9*Products!$C$12*Timeline!Q$9+Ops!Q$24*Products!$D$12*Timeline!Q$9+Ops!Q$39*Products!$E$12*Timeline!Q$9</f>
        <v/>
      </c>
      <c r="R11" s="25">
        <f>Ops!R$9*Products!$C$12*Timeline!R$9+Ops!R$24*Products!$D$12*Timeline!R$9+Ops!R$39*Products!$E$12*Timeline!R$9</f>
        <v/>
      </c>
      <c r="S11" s="25">
        <f>Ops!S$9*Products!$C$12*Timeline!S$9+Ops!S$24*Products!$D$12*Timeline!S$9+Ops!S$39*Products!$E$12*Timeline!S$9</f>
        <v/>
      </c>
      <c r="T11" s="25">
        <f>Ops!T$9*Products!$C$12*Timeline!T$9+Ops!T$24*Products!$D$12*Timeline!T$9+Ops!T$39*Products!$E$12*Timeline!T$9</f>
        <v/>
      </c>
      <c r="U11" s="25">
        <f>Ops!U$9*Products!$C$12*Timeline!U$9+Ops!U$24*Products!$D$12*Timeline!U$9+Ops!U$39*Products!$E$12*Timeline!U$9</f>
        <v/>
      </c>
      <c r="V11" s="25">
        <f>Ops!V$9*Products!$C$12*Timeline!V$9+Ops!V$24*Products!$D$12*Timeline!V$9+Ops!V$39*Products!$E$12*Timeline!V$9</f>
        <v/>
      </c>
      <c r="W11" s="25">
        <f>Ops!W$9*Products!$C$12*Timeline!W$9+Ops!W$24*Products!$D$12*Timeline!W$9+Ops!W$39*Products!$E$12*Timeline!W$9</f>
        <v/>
      </c>
      <c r="X11" s="25">
        <f>Ops!X$9*Products!$C$12*Timeline!X$9+Ops!X$24*Products!$D$12*Timeline!X$9+Ops!X$39*Products!$E$12*Timeline!X$9</f>
        <v/>
      </c>
      <c r="Y11" s="25">
        <f>Ops!Y$9*Products!$C$12*Timeline!Y$9+Ops!Y$24*Products!$D$12*Timeline!Y$9+Ops!Y$39*Products!$E$12*Timeline!Y$9</f>
        <v/>
      </c>
      <c r="Z11" s="25">
        <f>Ops!Z$9*Products!$C$12*Timeline!Z$9+Ops!Z$24*Products!$D$12*Timeline!Z$9+Ops!Z$39*Products!$E$12*Timeline!Z$9</f>
        <v/>
      </c>
      <c r="AA11" s="25">
        <f>Ops!AA$9*Products!$C$12*Timeline!AA$9+Ops!AA$24*Products!$D$12*Timeline!AA$9+Ops!AA$39*Products!$E$12*Timeline!AA$9</f>
        <v/>
      </c>
      <c r="AB11" s="25">
        <f>Ops!AB$9*Products!$C$12*Timeline!AB$9+Ops!AB$24*Products!$D$12*Timeline!AB$9+Ops!AB$39*Products!$E$12*Timeline!AB$9</f>
        <v/>
      </c>
      <c r="AC11" s="25">
        <f>Ops!AC$9*Products!$C$12*Timeline!AC$9+Ops!AC$24*Products!$D$12*Timeline!AC$9+Ops!AC$39*Products!$E$12*Timeline!AC$9</f>
        <v/>
      </c>
      <c r="AD11" s="25">
        <f>Ops!AD$9*Products!$C$12*Timeline!AD$9+Ops!AD$24*Products!$D$12*Timeline!AD$9+Ops!AD$39*Products!$E$12*Timeline!AD$9</f>
        <v/>
      </c>
      <c r="AE11" s="25">
        <f>Ops!AE$9*Products!$C$12*Timeline!AE$9+Ops!AE$24*Products!$D$12*Timeline!AE$9+Ops!AE$39*Products!$E$12*Timeline!AE$9</f>
        <v/>
      </c>
      <c r="AF11" s="25">
        <f>Ops!AF$9*Products!$C$12*Timeline!AF$9+Ops!AF$24*Products!$D$12*Timeline!AF$9+Ops!AF$39*Products!$E$12*Timeline!AF$9</f>
        <v/>
      </c>
      <c r="AG11" s="25">
        <f>Ops!AG$9*Products!$C$12*Timeline!AG$9+Ops!AG$24*Products!$D$12*Timeline!AG$9+Ops!AG$39*Products!$E$12*Timeline!AG$9</f>
        <v/>
      </c>
      <c r="AH11" s="25">
        <f>Ops!AH$9*Products!$C$12*Timeline!AH$9+Ops!AH$24*Products!$D$12*Timeline!AH$9+Ops!AH$39*Products!$E$12*Timeline!AH$9</f>
        <v/>
      </c>
      <c r="AI11" s="25">
        <f>Ops!AI$9*Products!$C$12*Timeline!AI$9+Ops!AI$24*Products!$D$12*Timeline!AI$9+Ops!AI$39*Products!$E$12*Timeline!AI$9</f>
        <v/>
      </c>
      <c r="AJ11" s="25">
        <f>Ops!AJ$9*Products!$C$12*Timeline!AJ$9+Ops!AJ$24*Products!$D$12*Timeline!AJ$9+Ops!AJ$39*Products!$E$12*Timeline!AJ$9</f>
        <v/>
      </c>
      <c r="AK11" s="25">
        <f>Ops!AK$9*Products!$C$12*Timeline!AK$9+Ops!AK$24*Products!$D$12*Timeline!AK$9+Ops!AK$39*Products!$E$12*Timeline!AK$9</f>
        <v/>
      </c>
      <c r="AL11" s="25">
        <f>Ops!AL$9*Products!$C$12*Timeline!AL$9+Ops!AL$24*Products!$D$12*Timeline!AL$9+Ops!AL$39*Products!$E$12*Timeline!AL$9</f>
        <v/>
      </c>
      <c r="AM11" s="25">
        <f>Ops!AM$9*Products!$C$12*Timeline!AM$9+Ops!AM$24*Products!$D$12*Timeline!AM$9+Ops!AM$39*Products!$E$12*Timeline!AM$9</f>
        <v/>
      </c>
      <c r="AN11" s="25">
        <f>Ops!AN$9*Products!$C$12*Timeline!AN$9+Ops!AN$24*Products!$D$12*Timeline!AN$9+Ops!AN$39*Products!$E$12*Timeline!AN$9</f>
        <v/>
      </c>
      <c r="AO11" s="25">
        <f>Ops!AO$9*Products!$C$12*Timeline!AO$9+Ops!AO$24*Products!$D$12*Timeline!AO$9+Ops!AO$39*Products!$E$12*Timeline!AO$9</f>
        <v/>
      </c>
      <c r="AP11" s="25">
        <f>Ops!AP$9*Products!$C$12*Timeline!AP$9+Ops!AP$24*Products!$D$12*Timeline!AP$9+Ops!AP$39*Products!$E$12*Timeline!AP$9</f>
        <v/>
      </c>
      <c r="AQ11" s="25">
        <f>Ops!AQ$9*Products!$C$12*Timeline!AQ$9+Ops!AQ$24*Products!$D$12*Timeline!AQ$9+Ops!AQ$39*Products!$E$12*Timeline!AQ$9</f>
        <v/>
      </c>
      <c r="AR11" s="25">
        <f>Ops!AR$9*Products!$C$12*Timeline!AR$9+Ops!AR$24*Products!$D$12*Timeline!AR$9+Ops!AR$39*Products!$E$12*Timeline!AR$9</f>
        <v/>
      </c>
      <c r="AS11" s="25">
        <f>Ops!AS$9*Products!$C$12*Timeline!AS$9+Ops!AS$24*Products!$D$12*Timeline!AS$9+Ops!AS$39*Products!$E$12*Timeline!AS$9</f>
        <v/>
      </c>
      <c r="AT11" s="25">
        <f>Ops!AT$9*Products!$C$12*Timeline!AT$9+Ops!AT$24*Products!$D$12*Timeline!AT$9+Ops!AT$39*Products!$E$12*Timeline!AT$9</f>
        <v/>
      </c>
      <c r="AU11" s="25">
        <f>Ops!AU$9*Products!$C$12*Timeline!AU$9+Ops!AU$24*Products!$D$12*Timeline!AU$9+Ops!AU$39*Products!$E$12*Timeline!AU$9</f>
        <v/>
      </c>
      <c r="AV11" s="25">
        <f>Ops!AV$9*Products!$C$12*Timeline!AV$9+Ops!AV$24*Products!$D$12*Timeline!AV$9+Ops!AV$39*Products!$E$12*Timeline!AV$9</f>
        <v/>
      </c>
      <c r="AW11" s="25">
        <f>Ops!AW$9*Products!$C$12*Timeline!AW$9+Ops!AW$24*Products!$D$12*Timeline!AW$9+Ops!AW$39*Products!$E$12*Timeline!AW$9</f>
        <v/>
      </c>
      <c r="AX11" s="25">
        <f>Ops!AX$9*Products!$C$12*Timeline!AX$9+Ops!AX$24*Products!$D$12*Timeline!AX$9+Ops!AX$39*Products!$E$12*Timeline!AX$9</f>
        <v/>
      </c>
      <c r="AY11" s="25">
        <f>Ops!AY$9*Products!$C$12*Timeline!AY$9+Ops!AY$24*Products!$D$12*Timeline!AY$9+Ops!AY$39*Products!$E$12*Timeline!AY$9</f>
        <v/>
      </c>
      <c r="AZ11" s="25">
        <f>Ops!AZ$9*Products!$C$12*Timeline!AZ$9+Ops!AZ$24*Products!$D$12*Timeline!AZ$9+Ops!AZ$39*Products!$E$12*Timeline!AZ$9</f>
        <v/>
      </c>
      <c r="BA11" s="25">
        <f>Ops!BA$9*Products!$C$12*Timeline!BA$9+Ops!BA$24*Products!$D$12*Timeline!BA$9+Ops!BA$39*Products!$E$12*Timeline!BA$9</f>
        <v/>
      </c>
      <c r="BB11" s="25">
        <f>Ops!BB$9*Products!$C$12*Timeline!BB$9+Ops!BB$24*Products!$D$12*Timeline!BB$9+Ops!BB$39*Products!$E$12*Timeline!BB$9</f>
        <v/>
      </c>
      <c r="BC11" s="25">
        <f>Ops!BC$9*Products!$C$12*Timeline!BC$9+Ops!BC$24*Products!$D$12*Timeline!BC$9+Ops!BC$39*Products!$E$12*Timeline!BC$9</f>
        <v/>
      </c>
      <c r="BD11" s="25">
        <f>Ops!BD$9*Products!$C$12*Timeline!BD$9+Ops!BD$24*Products!$D$12*Timeline!BD$9+Ops!BD$39*Products!$E$12*Timeline!BD$9</f>
        <v/>
      </c>
      <c r="BE11" s="25">
        <f>Ops!BE$9*Products!$C$12*Timeline!BE$9+Ops!BE$24*Products!$D$12*Timeline!BE$9+Ops!BE$39*Products!$E$12*Timeline!BE$9</f>
        <v/>
      </c>
      <c r="BF11" s="25">
        <f>Ops!BF$9*Products!$C$12*Timeline!BF$9+Ops!BF$24*Products!$D$12*Timeline!BF$9+Ops!BF$39*Products!$E$12*Timeline!BF$9</f>
        <v/>
      </c>
      <c r="BG11" s="25">
        <f>Ops!BG$9*Products!$C$12*Timeline!BG$9+Ops!BG$24*Products!$D$12*Timeline!BG$9+Ops!BG$39*Products!$E$12*Timeline!BG$9</f>
        <v/>
      </c>
      <c r="BH11" s="25">
        <f>Ops!BH$9*Products!$C$12*Timeline!BH$9+Ops!BH$24*Products!$D$12*Timeline!BH$9+Ops!BH$39*Products!$E$12*Timeline!BH$9</f>
        <v/>
      </c>
      <c r="BI11" s="25">
        <f>Ops!BI$9*Products!$C$12*Timeline!BI$9+Ops!BI$24*Products!$D$12*Timeline!BI$9+Ops!BI$39*Products!$E$12*Timeline!BI$9</f>
        <v/>
      </c>
      <c r="BJ11" s="25">
        <f>Ops!BJ$9*Products!$C$12*Timeline!BJ$9+Ops!BJ$24*Products!$D$12*Timeline!BJ$9+Ops!BJ$39*Products!$E$12*Timeline!BJ$9</f>
        <v/>
      </c>
      <c r="BK11" s="25">
        <f>Ops!BK$9*Products!$C$12*Timeline!BK$9+Ops!BK$24*Products!$D$12*Timeline!BK$9+Ops!BK$39*Products!$E$12*Timeline!BK$9</f>
        <v/>
      </c>
      <c r="BL11" s="25">
        <f>Ops!BL$9*Products!$C$12*Timeline!BL$9+Ops!BL$24*Products!$D$12*Timeline!BL$9+Ops!BL$39*Products!$E$12*Timeline!BL$9</f>
        <v/>
      </c>
    </row>
    <row r="12">
      <c r="A12" s="44" t="inlineStr">
        <is>
          <t>Mobile-money / payment fees</t>
        </is>
      </c>
      <c r="B12" s="13" t="inlineStr">
        <is>
          <t>LCY</t>
        </is>
      </c>
      <c r="C12" s="45">
        <f>SUM(E12:BL12)</f>
        <v/>
      </c>
      <c r="E12" s="25">
        <f>(Ops!E$56+Ops!E$60)*Inputs!$C$23</f>
        <v/>
      </c>
      <c r="F12" s="25">
        <f>(Ops!F$56+Ops!F$60)*Inputs!$C$23</f>
        <v/>
      </c>
      <c r="G12" s="25">
        <f>(Ops!G$56+Ops!G$60)*Inputs!$C$23</f>
        <v/>
      </c>
      <c r="H12" s="25">
        <f>(Ops!H$56+Ops!H$60)*Inputs!$C$23</f>
        <v/>
      </c>
      <c r="I12" s="25">
        <f>(Ops!I$56+Ops!I$60)*Inputs!$C$23</f>
        <v/>
      </c>
      <c r="J12" s="25">
        <f>(Ops!J$56+Ops!J$60)*Inputs!$C$23</f>
        <v/>
      </c>
      <c r="K12" s="25">
        <f>(Ops!K$56+Ops!K$60)*Inputs!$C$23</f>
        <v/>
      </c>
      <c r="L12" s="25">
        <f>(Ops!L$56+Ops!L$60)*Inputs!$C$23</f>
        <v/>
      </c>
      <c r="M12" s="25">
        <f>(Ops!M$56+Ops!M$60)*Inputs!$C$23</f>
        <v/>
      </c>
      <c r="N12" s="25">
        <f>(Ops!N$56+Ops!N$60)*Inputs!$C$23</f>
        <v/>
      </c>
      <c r="O12" s="25">
        <f>(Ops!O$56+Ops!O$60)*Inputs!$C$23</f>
        <v/>
      </c>
      <c r="P12" s="25">
        <f>(Ops!P$56+Ops!P$60)*Inputs!$C$23</f>
        <v/>
      </c>
      <c r="Q12" s="25">
        <f>(Ops!Q$56+Ops!Q$60)*Inputs!$C$23</f>
        <v/>
      </c>
      <c r="R12" s="25">
        <f>(Ops!R$56+Ops!R$60)*Inputs!$C$23</f>
        <v/>
      </c>
      <c r="S12" s="25">
        <f>(Ops!S$56+Ops!S$60)*Inputs!$C$23</f>
        <v/>
      </c>
      <c r="T12" s="25">
        <f>(Ops!T$56+Ops!T$60)*Inputs!$C$23</f>
        <v/>
      </c>
      <c r="U12" s="25">
        <f>(Ops!U$56+Ops!U$60)*Inputs!$C$23</f>
        <v/>
      </c>
      <c r="V12" s="25">
        <f>(Ops!V$56+Ops!V$60)*Inputs!$C$23</f>
        <v/>
      </c>
      <c r="W12" s="25">
        <f>(Ops!W$56+Ops!W$60)*Inputs!$C$23</f>
        <v/>
      </c>
      <c r="X12" s="25">
        <f>(Ops!X$56+Ops!X$60)*Inputs!$C$23</f>
        <v/>
      </c>
      <c r="Y12" s="25">
        <f>(Ops!Y$56+Ops!Y$60)*Inputs!$C$23</f>
        <v/>
      </c>
      <c r="Z12" s="25">
        <f>(Ops!Z$56+Ops!Z$60)*Inputs!$C$23</f>
        <v/>
      </c>
      <c r="AA12" s="25">
        <f>(Ops!AA$56+Ops!AA$60)*Inputs!$C$23</f>
        <v/>
      </c>
      <c r="AB12" s="25">
        <f>(Ops!AB$56+Ops!AB$60)*Inputs!$C$23</f>
        <v/>
      </c>
      <c r="AC12" s="25">
        <f>(Ops!AC$56+Ops!AC$60)*Inputs!$C$23</f>
        <v/>
      </c>
      <c r="AD12" s="25">
        <f>(Ops!AD$56+Ops!AD$60)*Inputs!$C$23</f>
        <v/>
      </c>
      <c r="AE12" s="25">
        <f>(Ops!AE$56+Ops!AE$60)*Inputs!$C$23</f>
        <v/>
      </c>
      <c r="AF12" s="25">
        <f>(Ops!AF$56+Ops!AF$60)*Inputs!$C$23</f>
        <v/>
      </c>
      <c r="AG12" s="25">
        <f>(Ops!AG$56+Ops!AG$60)*Inputs!$C$23</f>
        <v/>
      </c>
      <c r="AH12" s="25">
        <f>(Ops!AH$56+Ops!AH$60)*Inputs!$C$23</f>
        <v/>
      </c>
      <c r="AI12" s="25">
        <f>(Ops!AI$56+Ops!AI$60)*Inputs!$C$23</f>
        <v/>
      </c>
      <c r="AJ12" s="25">
        <f>(Ops!AJ$56+Ops!AJ$60)*Inputs!$C$23</f>
        <v/>
      </c>
      <c r="AK12" s="25">
        <f>(Ops!AK$56+Ops!AK$60)*Inputs!$C$23</f>
        <v/>
      </c>
      <c r="AL12" s="25">
        <f>(Ops!AL$56+Ops!AL$60)*Inputs!$C$23</f>
        <v/>
      </c>
      <c r="AM12" s="25">
        <f>(Ops!AM$56+Ops!AM$60)*Inputs!$C$23</f>
        <v/>
      </c>
      <c r="AN12" s="25">
        <f>(Ops!AN$56+Ops!AN$60)*Inputs!$C$23</f>
        <v/>
      </c>
      <c r="AO12" s="25">
        <f>(Ops!AO$56+Ops!AO$60)*Inputs!$C$23</f>
        <v/>
      </c>
      <c r="AP12" s="25">
        <f>(Ops!AP$56+Ops!AP$60)*Inputs!$C$23</f>
        <v/>
      </c>
      <c r="AQ12" s="25">
        <f>(Ops!AQ$56+Ops!AQ$60)*Inputs!$C$23</f>
        <v/>
      </c>
      <c r="AR12" s="25">
        <f>(Ops!AR$56+Ops!AR$60)*Inputs!$C$23</f>
        <v/>
      </c>
      <c r="AS12" s="25">
        <f>(Ops!AS$56+Ops!AS$60)*Inputs!$C$23</f>
        <v/>
      </c>
      <c r="AT12" s="25">
        <f>(Ops!AT$56+Ops!AT$60)*Inputs!$C$23</f>
        <v/>
      </c>
      <c r="AU12" s="25">
        <f>(Ops!AU$56+Ops!AU$60)*Inputs!$C$23</f>
        <v/>
      </c>
      <c r="AV12" s="25">
        <f>(Ops!AV$56+Ops!AV$60)*Inputs!$C$23</f>
        <v/>
      </c>
      <c r="AW12" s="25">
        <f>(Ops!AW$56+Ops!AW$60)*Inputs!$C$23</f>
        <v/>
      </c>
      <c r="AX12" s="25">
        <f>(Ops!AX$56+Ops!AX$60)*Inputs!$C$23</f>
        <v/>
      </c>
      <c r="AY12" s="25">
        <f>(Ops!AY$56+Ops!AY$60)*Inputs!$C$23</f>
        <v/>
      </c>
      <c r="AZ12" s="25">
        <f>(Ops!AZ$56+Ops!AZ$60)*Inputs!$C$23</f>
        <v/>
      </c>
      <c r="BA12" s="25">
        <f>(Ops!BA$56+Ops!BA$60)*Inputs!$C$23</f>
        <v/>
      </c>
      <c r="BB12" s="25">
        <f>(Ops!BB$56+Ops!BB$60)*Inputs!$C$23</f>
        <v/>
      </c>
      <c r="BC12" s="25">
        <f>(Ops!BC$56+Ops!BC$60)*Inputs!$C$23</f>
        <v/>
      </c>
      <c r="BD12" s="25">
        <f>(Ops!BD$56+Ops!BD$60)*Inputs!$C$23</f>
        <v/>
      </c>
      <c r="BE12" s="25">
        <f>(Ops!BE$56+Ops!BE$60)*Inputs!$C$23</f>
        <v/>
      </c>
      <c r="BF12" s="25">
        <f>(Ops!BF$56+Ops!BF$60)*Inputs!$C$23</f>
        <v/>
      </c>
      <c r="BG12" s="25">
        <f>(Ops!BG$56+Ops!BG$60)*Inputs!$C$23</f>
        <v/>
      </c>
      <c r="BH12" s="25">
        <f>(Ops!BH$56+Ops!BH$60)*Inputs!$C$23</f>
        <v/>
      </c>
      <c r="BI12" s="25">
        <f>(Ops!BI$56+Ops!BI$60)*Inputs!$C$23</f>
        <v/>
      </c>
      <c r="BJ12" s="25">
        <f>(Ops!BJ$56+Ops!BJ$60)*Inputs!$C$23</f>
        <v/>
      </c>
      <c r="BK12" s="25">
        <f>(Ops!BK$56+Ops!BK$60)*Inputs!$C$23</f>
        <v/>
      </c>
      <c r="BL12" s="25">
        <f>(Ops!BL$56+Ops!BL$60)*Inputs!$C$23</f>
        <v/>
      </c>
    </row>
    <row r="13">
      <c r="A13" s="44" t="inlineStr">
        <is>
          <t>Customer service &amp; collections</t>
        </is>
      </c>
      <c r="B13" s="13" t="inlineStr">
        <is>
          <t>LCY</t>
        </is>
      </c>
      <c r="C13" s="45">
        <f>SUM(E13:BL13)</f>
        <v/>
      </c>
      <c r="E13" s="25">
        <f>Ops!E$64*Inputs!$C$24*Timeline!E$9</f>
        <v/>
      </c>
      <c r="F13" s="25">
        <f>Ops!F$64*Inputs!$C$24*Timeline!F$9</f>
        <v/>
      </c>
      <c r="G13" s="25">
        <f>Ops!G$64*Inputs!$C$24*Timeline!G$9</f>
        <v/>
      </c>
      <c r="H13" s="25">
        <f>Ops!H$64*Inputs!$C$24*Timeline!H$9</f>
        <v/>
      </c>
      <c r="I13" s="25">
        <f>Ops!I$64*Inputs!$C$24*Timeline!I$9</f>
        <v/>
      </c>
      <c r="J13" s="25">
        <f>Ops!J$64*Inputs!$C$24*Timeline!J$9</f>
        <v/>
      </c>
      <c r="K13" s="25">
        <f>Ops!K$64*Inputs!$C$24*Timeline!K$9</f>
        <v/>
      </c>
      <c r="L13" s="25">
        <f>Ops!L$64*Inputs!$C$24*Timeline!L$9</f>
        <v/>
      </c>
      <c r="M13" s="25">
        <f>Ops!M$64*Inputs!$C$24*Timeline!M$9</f>
        <v/>
      </c>
      <c r="N13" s="25">
        <f>Ops!N$64*Inputs!$C$24*Timeline!N$9</f>
        <v/>
      </c>
      <c r="O13" s="25">
        <f>Ops!O$64*Inputs!$C$24*Timeline!O$9</f>
        <v/>
      </c>
      <c r="P13" s="25">
        <f>Ops!P$64*Inputs!$C$24*Timeline!P$9</f>
        <v/>
      </c>
      <c r="Q13" s="25">
        <f>Ops!Q$64*Inputs!$C$24*Timeline!Q$9</f>
        <v/>
      </c>
      <c r="R13" s="25">
        <f>Ops!R$64*Inputs!$C$24*Timeline!R$9</f>
        <v/>
      </c>
      <c r="S13" s="25">
        <f>Ops!S$64*Inputs!$C$24*Timeline!S$9</f>
        <v/>
      </c>
      <c r="T13" s="25">
        <f>Ops!T$64*Inputs!$C$24*Timeline!T$9</f>
        <v/>
      </c>
      <c r="U13" s="25">
        <f>Ops!U$64*Inputs!$C$24*Timeline!U$9</f>
        <v/>
      </c>
      <c r="V13" s="25">
        <f>Ops!V$64*Inputs!$C$24*Timeline!V$9</f>
        <v/>
      </c>
      <c r="W13" s="25">
        <f>Ops!W$64*Inputs!$C$24*Timeline!W$9</f>
        <v/>
      </c>
      <c r="X13" s="25">
        <f>Ops!X$64*Inputs!$C$24*Timeline!X$9</f>
        <v/>
      </c>
      <c r="Y13" s="25">
        <f>Ops!Y$64*Inputs!$C$24*Timeline!Y$9</f>
        <v/>
      </c>
      <c r="Z13" s="25">
        <f>Ops!Z$64*Inputs!$C$24*Timeline!Z$9</f>
        <v/>
      </c>
      <c r="AA13" s="25">
        <f>Ops!AA$64*Inputs!$C$24*Timeline!AA$9</f>
        <v/>
      </c>
      <c r="AB13" s="25">
        <f>Ops!AB$64*Inputs!$C$24*Timeline!AB$9</f>
        <v/>
      </c>
      <c r="AC13" s="25">
        <f>Ops!AC$64*Inputs!$C$24*Timeline!AC$9</f>
        <v/>
      </c>
      <c r="AD13" s="25">
        <f>Ops!AD$64*Inputs!$C$24*Timeline!AD$9</f>
        <v/>
      </c>
      <c r="AE13" s="25">
        <f>Ops!AE$64*Inputs!$C$24*Timeline!AE$9</f>
        <v/>
      </c>
      <c r="AF13" s="25">
        <f>Ops!AF$64*Inputs!$C$24*Timeline!AF$9</f>
        <v/>
      </c>
      <c r="AG13" s="25">
        <f>Ops!AG$64*Inputs!$C$24*Timeline!AG$9</f>
        <v/>
      </c>
      <c r="AH13" s="25">
        <f>Ops!AH$64*Inputs!$C$24*Timeline!AH$9</f>
        <v/>
      </c>
      <c r="AI13" s="25">
        <f>Ops!AI$64*Inputs!$C$24*Timeline!AI$9</f>
        <v/>
      </c>
      <c r="AJ13" s="25">
        <f>Ops!AJ$64*Inputs!$C$24*Timeline!AJ$9</f>
        <v/>
      </c>
      <c r="AK13" s="25">
        <f>Ops!AK$64*Inputs!$C$24*Timeline!AK$9</f>
        <v/>
      </c>
      <c r="AL13" s="25">
        <f>Ops!AL$64*Inputs!$C$24*Timeline!AL$9</f>
        <v/>
      </c>
      <c r="AM13" s="25">
        <f>Ops!AM$64*Inputs!$C$24*Timeline!AM$9</f>
        <v/>
      </c>
      <c r="AN13" s="25">
        <f>Ops!AN$64*Inputs!$C$24*Timeline!AN$9</f>
        <v/>
      </c>
      <c r="AO13" s="25">
        <f>Ops!AO$64*Inputs!$C$24*Timeline!AO$9</f>
        <v/>
      </c>
      <c r="AP13" s="25">
        <f>Ops!AP$64*Inputs!$C$24*Timeline!AP$9</f>
        <v/>
      </c>
      <c r="AQ13" s="25">
        <f>Ops!AQ$64*Inputs!$C$24*Timeline!AQ$9</f>
        <v/>
      </c>
      <c r="AR13" s="25">
        <f>Ops!AR$64*Inputs!$C$24*Timeline!AR$9</f>
        <v/>
      </c>
      <c r="AS13" s="25">
        <f>Ops!AS$64*Inputs!$C$24*Timeline!AS$9</f>
        <v/>
      </c>
      <c r="AT13" s="25">
        <f>Ops!AT$64*Inputs!$C$24*Timeline!AT$9</f>
        <v/>
      </c>
      <c r="AU13" s="25">
        <f>Ops!AU$64*Inputs!$C$24*Timeline!AU$9</f>
        <v/>
      </c>
      <c r="AV13" s="25">
        <f>Ops!AV$64*Inputs!$C$24*Timeline!AV$9</f>
        <v/>
      </c>
      <c r="AW13" s="25">
        <f>Ops!AW$64*Inputs!$C$24*Timeline!AW$9</f>
        <v/>
      </c>
      <c r="AX13" s="25">
        <f>Ops!AX$64*Inputs!$C$24*Timeline!AX$9</f>
        <v/>
      </c>
      <c r="AY13" s="25">
        <f>Ops!AY$64*Inputs!$C$24*Timeline!AY$9</f>
        <v/>
      </c>
      <c r="AZ13" s="25">
        <f>Ops!AZ$64*Inputs!$C$24*Timeline!AZ$9</f>
        <v/>
      </c>
      <c r="BA13" s="25">
        <f>Ops!BA$64*Inputs!$C$24*Timeline!BA$9</f>
        <v/>
      </c>
      <c r="BB13" s="25">
        <f>Ops!BB$64*Inputs!$C$24*Timeline!BB$9</f>
        <v/>
      </c>
      <c r="BC13" s="25">
        <f>Ops!BC$64*Inputs!$C$24*Timeline!BC$9</f>
        <v/>
      </c>
      <c r="BD13" s="25">
        <f>Ops!BD$64*Inputs!$C$24*Timeline!BD$9</f>
        <v/>
      </c>
      <c r="BE13" s="25">
        <f>Ops!BE$64*Inputs!$C$24*Timeline!BE$9</f>
        <v/>
      </c>
      <c r="BF13" s="25">
        <f>Ops!BF$64*Inputs!$C$24*Timeline!BF$9</f>
        <v/>
      </c>
      <c r="BG13" s="25">
        <f>Ops!BG$64*Inputs!$C$24*Timeline!BG$9</f>
        <v/>
      </c>
      <c r="BH13" s="25">
        <f>Ops!BH$64*Inputs!$C$24*Timeline!BH$9</f>
        <v/>
      </c>
      <c r="BI13" s="25">
        <f>Ops!BI$64*Inputs!$C$24*Timeline!BI$9</f>
        <v/>
      </c>
      <c r="BJ13" s="25">
        <f>Ops!BJ$64*Inputs!$C$24*Timeline!BJ$9</f>
        <v/>
      </c>
      <c r="BK13" s="25">
        <f>Ops!BK$64*Inputs!$C$24*Timeline!BK$9</f>
        <v/>
      </c>
      <c r="BL13" s="25">
        <f>Ops!BL$64*Inputs!$C$24*Timeline!BL$9</f>
        <v/>
      </c>
    </row>
    <row r="14">
      <c r="A14" s="44" t="inlineStr">
        <is>
          <t>Staff</t>
        </is>
      </c>
      <c r="B14" s="13" t="inlineStr">
        <is>
          <t>LCY</t>
        </is>
      </c>
      <c r="C14" s="45">
        <f>SUM(E14:BL14)</f>
        <v/>
      </c>
      <c r="E14" s="25">
        <f>Inputs!$C$25*Timeline!E$9</f>
        <v/>
      </c>
      <c r="F14" s="25">
        <f>Inputs!$C$25*Timeline!F$9</f>
        <v/>
      </c>
      <c r="G14" s="25">
        <f>Inputs!$C$25*Timeline!G$9</f>
        <v/>
      </c>
      <c r="H14" s="25">
        <f>Inputs!$C$25*Timeline!H$9</f>
        <v/>
      </c>
      <c r="I14" s="25">
        <f>Inputs!$C$25*Timeline!I$9</f>
        <v/>
      </c>
      <c r="J14" s="25">
        <f>Inputs!$C$25*Timeline!J$9</f>
        <v/>
      </c>
      <c r="K14" s="25">
        <f>Inputs!$C$25*Timeline!K$9</f>
        <v/>
      </c>
      <c r="L14" s="25">
        <f>Inputs!$C$25*Timeline!L$9</f>
        <v/>
      </c>
      <c r="M14" s="25">
        <f>Inputs!$C$25*Timeline!M$9</f>
        <v/>
      </c>
      <c r="N14" s="25">
        <f>Inputs!$C$25*Timeline!N$9</f>
        <v/>
      </c>
      <c r="O14" s="25">
        <f>Inputs!$C$25*Timeline!O$9</f>
        <v/>
      </c>
      <c r="P14" s="25">
        <f>Inputs!$C$25*Timeline!P$9</f>
        <v/>
      </c>
      <c r="Q14" s="25">
        <f>Inputs!$C$25*Timeline!Q$9</f>
        <v/>
      </c>
      <c r="R14" s="25">
        <f>Inputs!$C$25*Timeline!R$9</f>
        <v/>
      </c>
      <c r="S14" s="25">
        <f>Inputs!$C$25*Timeline!S$9</f>
        <v/>
      </c>
      <c r="T14" s="25">
        <f>Inputs!$C$25*Timeline!T$9</f>
        <v/>
      </c>
      <c r="U14" s="25">
        <f>Inputs!$C$25*Timeline!U$9</f>
        <v/>
      </c>
      <c r="V14" s="25">
        <f>Inputs!$C$25*Timeline!V$9</f>
        <v/>
      </c>
      <c r="W14" s="25">
        <f>Inputs!$C$25*Timeline!W$9</f>
        <v/>
      </c>
      <c r="X14" s="25">
        <f>Inputs!$C$25*Timeline!X$9</f>
        <v/>
      </c>
      <c r="Y14" s="25">
        <f>Inputs!$C$25*Timeline!Y$9</f>
        <v/>
      </c>
      <c r="Z14" s="25">
        <f>Inputs!$C$25*Timeline!Z$9</f>
        <v/>
      </c>
      <c r="AA14" s="25">
        <f>Inputs!$C$25*Timeline!AA$9</f>
        <v/>
      </c>
      <c r="AB14" s="25">
        <f>Inputs!$C$25*Timeline!AB$9</f>
        <v/>
      </c>
      <c r="AC14" s="25">
        <f>Inputs!$C$25*Timeline!AC$9</f>
        <v/>
      </c>
      <c r="AD14" s="25">
        <f>Inputs!$C$25*Timeline!AD$9</f>
        <v/>
      </c>
      <c r="AE14" s="25">
        <f>Inputs!$C$25*Timeline!AE$9</f>
        <v/>
      </c>
      <c r="AF14" s="25">
        <f>Inputs!$C$25*Timeline!AF$9</f>
        <v/>
      </c>
      <c r="AG14" s="25">
        <f>Inputs!$C$25*Timeline!AG$9</f>
        <v/>
      </c>
      <c r="AH14" s="25">
        <f>Inputs!$C$25*Timeline!AH$9</f>
        <v/>
      </c>
      <c r="AI14" s="25">
        <f>Inputs!$C$25*Timeline!AI$9</f>
        <v/>
      </c>
      <c r="AJ14" s="25">
        <f>Inputs!$C$25*Timeline!AJ$9</f>
        <v/>
      </c>
      <c r="AK14" s="25">
        <f>Inputs!$C$25*Timeline!AK$9</f>
        <v/>
      </c>
      <c r="AL14" s="25">
        <f>Inputs!$C$25*Timeline!AL$9</f>
        <v/>
      </c>
      <c r="AM14" s="25">
        <f>Inputs!$C$25*Timeline!AM$9</f>
        <v/>
      </c>
      <c r="AN14" s="25">
        <f>Inputs!$C$25*Timeline!AN$9</f>
        <v/>
      </c>
      <c r="AO14" s="25">
        <f>Inputs!$C$25*Timeline!AO$9</f>
        <v/>
      </c>
      <c r="AP14" s="25">
        <f>Inputs!$C$25*Timeline!AP$9</f>
        <v/>
      </c>
      <c r="AQ14" s="25">
        <f>Inputs!$C$25*Timeline!AQ$9</f>
        <v/>
      </c>
      <c r="AR14" s="25">
        <f>Inputs!$C$25*Timeline!AR$9</f>
        <v/>
      </c>
      <c r="AS14" s="25">
        <f>Inputs!$C$25*Timeline!AS$9</f>
        <v/>
      </c>
      <c r="AT14" s="25">
        <f>Inputs!$C$25*Timeline!AT$9</f>
        <v/>
      </c>
      <c r="AU14" s="25">
        <f>Inputs!$C$25*Timeline!AU$9</f>
        <v/>
      </c>
      <c r="AV14" s="25">
        <f>Inputs!$C$25*Timeline!AV$9</f>
        <v/>
      </c>
      <c r="AW14" s="25">
        <f>Inputs!$C$25*Timeline!AW$9</f>
        <v/>
      </c>
      <c r="AX14" s="25">
        <f>Inputs!$C$25*Timeline!AX$9</f>
        <v/>
      </c>
      <c r="AY14" s="25">
        <f>Inputs!$C$25*Timeline!AY$9</f>
        <v/>
      </c>
      <c r="AZ14" s="25">
        <f>Inputs!$C$25*Timeline!AZ$9</f>
        <v/>
      </c>
      <c r="BA14" s="25">
        <f>Inputs!$C$25*Timeline!BA$9</f>
        <v/>
      </c>
      <c r="BB14" s="25">
        <f>Inputs!$C$25*Timeline!BB$9</f>
        <v/>
      </c>
      <c r="BC14" s="25">
        <f>Inputs!$C$25*Timeline!BC$9</f>
        <v/>
      </c>
      <c r="BD14" s="25">
        <f>Inputs!$C$25*Timeline!BD$9</f>
        <v/>
      </c>
      <c r="BE14" s="25">
        <f>Inputs!$C$25*Timeline!BE$9</f>
        <v/>
      </c>
      <c r="BF14" s="25">
        <f>Inputs!$C$25*Timeline!BF$9</f>
        <v/>
      </c>
      <c r="BG14" s="25">
        <f>Inputs!$C$25*Timeline!BG$9</f>
        <v/>
      </c>
      <c r="BH14" s="25">
        <f>Inputs!$C$25*Timeline!BH$9</f>
        <v/>
      </c>
      <c r="BI14" s="25">
        <f>Inputs!$C$25*Timeline!BI$9</f>
        <v/>
      </c>
      <c r="BJ14" s="25">
        <f>Inputs!$C$25*Timeline!BJ$9</f>
        <v/>
      </c>
      <c r="BK14" s="25">
        <f>Inputs!$C$25*Timeline!BK$9</f>
        <v/>
      </c>
      <c r="BL14" s="25">
        <f>Inputs!$C$25*Timeline!BL$9</f>
        <v/>
      </c>
    </row>
    <row r="15">
      <c r="A15" s="44" t="inlineStr">
        <is>
          <t>G&amp;A, rent, IT</t>
        </is>
      </c>
      <c r="B15" s="13" t="inlineStr">
        <is>
          <t>LCY</t>
        </is>
      </c>
      <c r="C15" s="45">
        <f>SUM(E15:BL15)</f>
        <v/>
      </c>
      <c r="E15" s="25">
        <f>Inputs!$C$26*Timeline!E$9</f>
        <v/>
      </c>
      <c r="F15" s="25">
        <f>Inputs!$C$26*Timeline!F$9</f>
        <v/>
      </c>
      <c r="G15" s="25">
        <f>Inputs!$C$26*Timeline!G$9</f>
        <v/>
      </c>
      <c r="H15" s="25">
        <f>Inputs!$C$26*Timeline!H$9</f>
        <v/>
      </c>
      <c r="I15" s="25">
        <f>Inputs!$C$26*Timeline!I$9</f>
        <v/>
      </c>
      <c r="J15" s="25">
        <f>Inputs!$C$26*Timeline!J$9</f>
        <v/>
      </c>
      <c r="K15" s="25">
        <f>Inputs!$C$26*Timeline!K$9</f>
        <v/>
      </c>
      <c r="L15" s="25">
        <f>Inputs!$C$26*Timeline!L$9</f>
        <v/>
      </c>
      <c r="M15" s="25">
        <f>Inputs!$C$26*Timeline!M$9</f>
        <v/>
      </c>
      <c r="N15" s="25">
        <f>Inputs!$C$26*Timeline!N$9</f>
        <v/>
      </c>
      <c r="O15" s="25">
        <f>Inputs!$C$26*Timeline!O$9</f>
        <v/>
      </c>
      <c r="P15" s="25">
        <f>Inputs!$C$26*Timeline!P$9</f>
        <v/>
      </c>
      <c r="Q15" s="25">
        <f>Inputs!$C$26*Timeline!Q$9</f>
        <v/>
      </c>
      <c r="R15" s="25">
        <f>Inputs!$C$26*Timeline!R$9</f>
        <v/>
      </c>
      <c r="S15" s="25">
        <f>Inputs!$C$26*Timeline!S$9</f>
        <v/>
      </c>
      <c r="T15" s="25">
        <f>Inputs!$C$26*Timeline!T$9</f>
        <v/>
      </c>
      <c r="U15" s="25">
        <f>Inputs!$C$26*Timeline!U$9</f>
        <v/>
      </c>
      <c r="V15" s="25">
        <f>Inputs!$C$26*Timeline!V$9</f>
        <v/>
      </c>
      <c r="W15" s="25">
        <f>Inputs!$C$26*Timeline!W$9</f>
        <v/>
      </c>
      <c r="X15" s="25">
        <f>Inputs!$C$26*Timeline!X$9</f>
        <v/>
      </c>
      <c r="Y15" s="25">
        <f>Inputs!$C$26*Timeline!Y$9</f>
        <v/>
      </c>
      <c r="Z15" s="25">
        <f>Inputs!$C$26*Timeline!Z$9</f>
        <v/>
      </c>
      <c r="AA15" s="25">
        <f>Inputs!$C$26*Timeline!AA$9</f>
        <v/>
      </c>
      <c r="AB15" s="25">
        <f>Inputs!$C$26*Timeline!AB$9</f>
        <v/>
      </c>
      <c r="AC15" s="25">
        <f>Inputs!$C$26*Timeline!AC$9</f>
        <v/>
      </c>
      <c r="AD15" s="25">
        <f>Inputs!$C$26*Timeline!AD$9</f>
        <v/>
      </c>
      <c r="AE15" s="25">
        <f>Inputs!$C$26*Timeline!AE$9</f>
        <v/>
      </c>
      <c r="AF15" s="25">
        <f>Inputs!$C$26*Timeline!AF$9</f>
        <v/>
      </c>
      <c r="AG15" s="25">
        <f>Inputs!$C$26*Timeline!AG$9</f>
        <v/>
      </c>
      <c r="AH15" s="25">
        <f>Inputs!$C$26*Timeline!AH$9</f>
        <v/>
      </c>
      <c r="AI15" s="25">
        <f>Inputs!$C$26*Timeline!AI$9</f>
        <v/>
      </c>
      <c r="AJ15" s="25">
        <f>Inputs!$C$26*Timeline!AJ$9</f>
        <v/>
      </c>
      <c r="AK15" s="25">
        <f>Inputs!$C$26*Timeline!AK$9</f>
        <v/>
      </c>
      <c r="AL15" s="25">
        <f>Inputs!$C$26*Timeline!AL$9</f>
        <v/>
      </c>
      <c r="AM15" s="25">
        <f>Inputs!$C$26*Timeline!AM$9</f>
        <v/>
      </c>
      <c r="AN15" s="25">
        <f>Inputs!$C$26*Timeline!AN$9</f>
        <v/>
      </c>
      <c r="AO15" s="25">
        <f>Inputs!$C$26*Timeline!AO$9</f>
        <v/>
      </c>
      <c r="AP15" s="25">
        <f>Inputs!$C$26*Timeline!AP$9</f>
        <v/>
      </c>
      <c r="AQ15" s="25">
        <f>Inputs!$C$26*Timeline!AQ$9</f>
        <v/>
      </c>
      <c r="AR15" s="25">
        <f>Inputs!$C$26*Timeline!AR$9</f>
        <v/>
      </c>
      <c r="AS15" s="25">
        <f>Inputs!$C$26*Timeline!AS$9</f>
        <v/>
      </c>
      <c r="AT15" s="25">
        <f>Inputs!$C$26*Timeline!AT$9</f>
        <v/>
      </c>
      <c r="AU15" s="25">
        <f>Inputs!$C$26*Timeline!AU$9</f>
        <v/>
      </c>
      <c r="AV15" s="25">
        <f>Inputs!$C$26*Timeline!AV$9</f>
        <v/>
      </c>
      <c r="AW15" s="25">
        <f>Inputs!$C$26*Timeline!AW$9</f>
        <v/>
      </c>
      <c r="AX15" s="25">
        <f>Inputs!$C$26*Timeline!AX$9</f>
        <v/>
      </c>
      <c r="AY15" s="25">
        <f>Inputs!$C$26*Timeline!AY$9</f>
        <v/>
      </c>
      <c r="AZ15" s="25">
        <f>Inputs!$C$26*Timeline!AZ$9</f>
        <v/>
      </c>
      <c r="BA15" s="25">
        <f>Inputs!$C$26*Timeline!BA$9</f>
        <v/>
      </c>
      <c r="BB15" s="25">
        <f>Inputs!$C$26*Timeline!BB$9</f>
        <v/>
      </c>
      <c r="BC15" s="25">
        <f>Inputs!$C$26*Timeline!BC$9</f>
        <v/>
      </c>
      <c r="BD15" s="25">
        <f>Inputs!$C$26*Timeline!BD$9</f>
        <v/>
      </c>
      <c r="BE15" s="25">
        <f>Inputs!$C$26*Timeline!BE$9</f>
        <v/>
      </c>
      <c r="BF15" s="25">
        <f>Inputs!$C$26*Timeline!BF$9</f>
        <v/>
      </c>
      <c r="BG15" s="25">
        <f>Inputs!$C$26*Timeline!BG$9</f>
        <v/>
      </c>
      <c r="BH15" s="25">
        <f>Inputs!$C$26*Timeline!BH$9</f>
        <v/>
      </c>
      <c r="BI15" s="25">
        <f>Inputs!$C$26*Timeline!BI$9</f>
        <v/>
      </c>
      <c r="BJ15" s="25">
        <f>Inputs!$C$26*Timeline!BJ$9</f>
        <v/>
      </c>
      <c r="BK15" s="25">
        <f>Inputs!$C$26*Timeline!BK$9</f>
        <v/>
      </c>
      <c r="BL15" s="25">
        <f>Inputs!$C$26*Timeline!BL$9</f>
        <v/>
      </c>
    </row>
    <row r="16">
      <c r="A16" s="47" t="inlineStr">
        <is>
          <t>Total operating expenses (excl. COGS, ECL)</t>
        </is>
      </c>
      <c r="B16" s="48" t="inlineStr">
        <is>
          <t>LCY</t>
        </is>
      </c>
      <c r="C16" s="49">
        <f>SUM(E16:BL16)</f>
        <v/>
      </c>
      <c r="D16" s="50" t="n"/>
      <c r="E16" s="51">
        <f>SUM(E9:E15)</f>
        <v/>
      </c>
      <c r="F16" s="51">
        <f>SUM(F9:F15)</f>
        <v/>
      </c>
      <c r="G16" s="51">
        <f>SUM(G9:G15)</f>
        <v/>
      </c>
      <c r="H16" s="51">
        <f>SUM(H9:H15)</f>
        <v/>
      </c>
      <c r="I16" s="51">
        <f>SUM(I9:I15)</f>
        <v/>
      </c>
      <c r="J16" s="51">
        <f>SUM(J9:J15)</f>
        <v/>
      </c>
      <c r="K16" s="51">
        <f>SUM(K9:K15)</f>
        <v/>
      </c>
      <c r="L16" s="51">
        <f>SUM(L9:L15)</f>
        <v/>
      </c>
      <c r="M16" s="51">
        <f>SUM(M9:M15)</f>
        <v/>
      </c>
      <c r="N16" s="51">
        <f>SUM(N9:N15)</f>
        <v/>
      </c>
      <c r="O16" s="51">
        <f>SUM(O9:O15)</f>
        <v/>
      </c>
      <c r="P16" s="51">
        <f>SUM(P9:P15)</f>
        <v/>
      </c>
      <c r="Q16" s="51">
        <f>SUM(Q9:Q15)</f>
        <v/>
      </c>
      <c r="R16" s="51">
        <f>SUM(R9:R15)</f>
        <v/>
      </c>
      <c r="S16" s="51">
        <f>SUM(S9:S15)</f>
        <v/>
      </c>
      <c r="T16" s="51">
        <f>SUM(T9:T15)</f>
        <v/>
      </c>
      <c r="U16" s="51">
        <f>SUM(U9:U15)</f>
        <v/>
      </c>
      <c r="V16" s="51">
        <f>SUM(V9:V15)</f>
        <v/>
      </c>
      <c r="W16" s="51">
        <f>SUM(W9:W15)</f>
        <v/>
      </c>
      <c r="X16" s="51">
        <f>SUM(X9:X15)</f>
        <v/>
      </c>
      <c r="Y16" s="51">
        <f>SUM(Y9:Y15)</f>
        <v/>
      </c>
      <c r="Z16" s="51">
        <f>SUM(Z9:Z15)</f>
        <v/>
      </c>
      <c r="AA16" s="51">
        <f>SUM(AA9:AA15)</f>
        <v/>
      </c>
      <c r="AB16" s="51">
        <f>SUM(AB9:AB15)</f>
        <v/>
      </c>
      <c r="AC16" s="51">
        <f>SUM(AC9:AC15)</f>
        <v/>
      </c>
      <c r="AD16" s="51">
        <f>SUM(AD9:AD15)</f>
        <v/>
      </c>
      <c r="AE16" s="51">
        <f>SUM(AE9:AE15)</f>
        <v/>
      </c>
      <c r="AF16" s="51">
        <f>SUM(AF9:AF15)</f>
        <v/>
      </c>
      <c r="AG16" s="51">
        <f>SUM(AG9:AG15)</f>
        <v/>
      </c>
      <c r="AH16" s="51">
        <f>SUM(AH9:AH15)</f>
        <v/>
      </c>
      <c r="AI16" s="51">
        <f>SUM(AI9:AI15)</f>
        <v/>
      </c>
      <c r="AJ16" s="51">
        <f>SUM(AJ9:AJ15)</f>
        <v/>
      </c>
      <c r="AK16" s="51">
        <f>SUM(AK9:AK15)</f>
        <v/>
      </c>
      <c r="AL16" s="51">
        <f>SUM(AL9:AL15)</f>
        <v/>
      </c>
      <c r="AM16" s="51">
        <f>SUM(AM9:AM15)</f>
        <v/>
      </c>
      <c r="AN16" s="51">
        <f>SUM(AN9:AN15)</f>
        <v/>
      </c>
      <c r="AO16" s="51">
        <f>SUM(AO9:AO15)</f>
        <v/>
      </c>
      <c r="AP16" s="51">
        <f>SUM(AP9:AP15)</f>
        <v/>
      </c>
      <c r="AQ16" s="51">
        <f>SUM(AQ9:AQ15)</f>
        <v/>
      </c>
      <c r="AR16" s="51">
        <f>SUM(AR9:AR15)</f>
        <v/>
      </c>
      <c r="AS16" s="51">
        <f>SUM(AS9:AS15)</f>
        <v/>
      </c>
      <c r="AT16" s="51">
        <f>SUM(AT9:AT15)</f>
        <v/>
      </c>
      <c r="AU16" s="51">
        <f>SUM(AU9:AU15)</f>
        <v/>
      </c>
      <c r="AV16" s="51">
        <f>SUM(AV9:AV15)</f>
        <v/>
      </c>
      <c r="AW16" s="51">
        <f>SUM(AW9:AW15)</f>
        <v/>
      </c>
      <c r="AX16" s="51">
        <f>SUM(AX9:AX15)</f>
        <v/>
      </c>
      <c r="AY16" s="51">
        <f>SUM(AY9:AY15)</f>
        <v/>
      </c>
      <c r="AZ16" s="51">
        <f>SUM(AZ9:AZ15)</f>
        <v/>
      </c>
      <c r="BA16" s="51">
        <f>SUM(BA9:BA15)</f>
        <v/>
      </c>
      <c r="BB16" s="51">
        <f>SUM(BB9:BB15)</f>
        <v/>
      </c>
      <c r="BC16" s="51">
        <f>SUM(BC9:BC15)</f>
        <v/>
      </c>
      <c r="BD16" s="51">
        <f>SUM(BD9:BD15)</f>
        <v/>
      </c>
      <c r="BE16" s="51">
        <f>SUM(BE9:BE15)</f>
        <v/>
      </c>
      <c r="BF16" s="51">
        <f>SUM(BF9:BF15)</f>
        <v/>
      </c>
      <c r="BG16" s="51">
        <f>SUM(BG9:BG15)</f>
        <v/>
      </c>
      <c r="BH16" s="51">
        <f>SUM(BH9:BH15)</f>
        <v/>
      </c>
      <c r="BI16" s="51">
        <f>SUM(BI9:BI15)</f>
        <v/>
      </c>
      <c r="BJ16" s="51">
        <f>SUM(BJ9:BJ15)</f>
        <v/>
      </c>
      <c r="BK16" s="51">
        <f>SUM(BK9:BK15)</f>
        <v/>
      </c>
      <c r="BL16" s="51">
        <f>SUM(BL9:BL15)</f>
        <v/>
      </c>
    </row>
    <row r="17"/>
    <row r="18">
      <c r="A18" s="44" t="inlineStr">
        <is>
          <t>Inventory (closing)</t>
        </is>
      </c>
      <c r="B18" s="13" t="inlineStr">
        <is>
          <t>LCY</t>
        </is>
      </c>
      <c r="C18" s="45">
        <f>BL18</f>
        <v/>
      </c>
      <c r="E18" s="25">
        <f>E8*Inputs!$C$31</f>
        <v/>
      </c>
      <c r="F18" s="25">
        <f>F8*Inputs!$C$31</f>
        <v/>
      </c>
      <c r="G18" s="25">
        <f>G8*Inputs!$C$31</f>
        <v/>
      </c>
      <c r="H18" s="25">
        <f>H8*Inputs!$C$31</f>
        <v/>
      </c>
      <c r="I18" s="25">
        <f>I8*Inputs!$C$31</f>
        <v/>
      </c>
      <c r="J18" s="25">
        <f>J8*Inputs!$C$31</f>
        <v/>
      </c>
      <c r="K18" s="25">
        <f>K8*Inputs!$C$31</f>
        <v/>
      </c>
      <c r="L18" s="25">
        <f>L8*Inputs!$C$31</f>
        <v/>
      </c>
      <c r="M18" s="25">
        <f>M8*Inputs!$C$31</f>
        <v/>
      </c>
      <c r="N18" s="25">
        <f>N8*Inputs!$C$31</f>
        <v/>
      </c>
      <c r="O18" s="25">
        <f>O8*Inputs!$C$31</f>
        <v/>
      </c>
      <c r="P18" s="25">
        <f>P8*Inputs!$C$31</f>
        <v/>
      </c>
      <c r="Q18" s="25">
        <f>Q8*Inputs!$C$31</f>
        <v/>
      </c>
      <c r="R18" s="25">
        <f>R8*Inputs!$C$31</f>
        <v/>
      </c>
      <c r="S18" s="25">
        <f>S8*Inputs!$C$31</f>
        <v/>
      </c>
      <c r="T18" s="25">
        <f>T8*Inputs!$C$31</f>
        <v/>
      </c>
      <c r="U18" s="25">
        <f>U8*Inputs!$C$31</f>
        <v/>
      </c>
      <c r="V18" s="25">
        <f>V8*Inputs!$C$31</f>
        <v/>
      </c>
      <c r="W18" s="25">
        <f>W8*Inputs!$C$31</f>
        <v/>
      </c>
      <c r="X18" s="25">
        <f>X8*Inputs!$C$31</f>
        <v/>
      </c>
      <c r="Y18" s="25">
        <f>Y8*Inputs!$C$31</f>
        <v/>
      </c>
      <c r="Z18" s="25">
        <f>Z8*Inputs!$C$31</f>
        <v/>
      </c>
      <c r="AA18" s="25">
        <f>AA8*Inputs!$C$31</f>
        <v/>
      </c>
      <c r="AB18" s="25">
        <f>AB8*Inputs!$C$31</f>
        <v/>
      </c>
      <c r="AC18" s="25">
        <f>AC8*Inputs!$C$31</f>
        <v/>
      </c>
      <c r="AD18" s="25">
        <f>AD8*Inputs!$C$31</f>
        <v/>
      </c>
      <c r="AE18" s="25">
        <f>AE8*Inputs!$C$31</f>
        <v/>
      </c>
      <c r="AF18" s="25">
        <f>AF8*Inputs!$C$31</f>
        <v/>
      </c>
      <c r="AG18" s="25">
        <f>AG8*Inputs!$C$31</f>
        <v/>
      </c>
      <c r="AH18" s="25">
        <f>AH8*Inputs!$C$31</f>
        <v/>
      </c>
      <c r="AI18" s="25">
        <f>AI8*Inputs!$C$31</f>
        <v/>
      </c>
      <c r="AJ18" s="25">
        <f>AJ8*Inputs!$C$31</f>
        <v/>
      </c>
      <c r="AK18" s="25">
        <f>AK8*Inputs!$C$31</f>
        <v/>
      </c>
      <c r="AL18" s="25">
        <f>AL8*Inputs!$C$31</f>
        <v/>
      </c>
      <c r="AM18" s="25">
        <f>AM8*Inputs!$C$31</f>
        <v/>
      </c>
      <c r="AN18" s="25">
        <f>AN8*Inputs!$C$31</f>
        <v/>
      </c>
      <c r="AO18" s="25">
        <f>AO8*Inputs!$C$31</f>
        <v/>
      </c>
      <c r="AP18" s="25">
        <f>AP8*Inputs!$C$31</f>
        <v/>
      </c>
      <c r="AQ18" s="25">
        <f>AQ8*Inputs!$C$31</f>
        <v/>
      </c>
      <c r="AR18" s="25">
        <f>AR8*Inputs!$C$31</f>
        <v/>
      </c>
      <c r="AS18" s="25">
        <f>AS8*Inputs!$C$31</f>
        <v/>
      </c>
      <c r="AT18" s="25">
        <f>AT8*Inputs!$C$31</f>
        <v/>
      </c>
      <c r="AU18" s="25">
        <f>AU8*Inputs!$C$31</f>
        <v/>
      </c>
      <c r="AV18" s="25">
        <f>AV8*Inputs!$C$31</f>
        <v/>
      </c>
      <c r="AW18" s="25">
        <f>AW8*Inputs!$C$31</f>
        <v/>
      </c>
      <c r="AX18" s="25">
        <f>AX8*Inputs!$C$31</f>
        <v/>
      </c>
      <c r="AY18" s="25">
        <f>AY8*Inputs!$C$31</f>
        <v/>
      </c>
      <c r="AZ18" s="25">
        <f>AZ8*Inputs!$C$31</f>
        <v/>
      </c>
      <c r="BA18" s="25">
        <f>BA8*Inputs!$C$31</f>
        <v/>
      </c>
      <c r="BB18" s="25">
        <f>BB8*Inputs!$C$31</f>
        <v/>
      </c>
      <c r="BC18" s="25">
        <f>BC8*Inputs!$C$31</f>
        <v/>
      </c>
      <c r="BD18" s="25">
        <f>BD8*Inputs!$C$31</f>
        <v/>
      </c>
      <c r="BE18" s="25">
        <f>BE8*Inputs!$C$31</f>
        <v/>
      </c>
      <c r="BF18" s="25">
        <f>BF8*Inputs!$C$31</f>
        <v/>
      </c>
      <c r="BG18" s="25">
        <f>BG8*Inputs!$C$31</f>
        <v/>
      </c>
      <c r="BH18" s="25">
        <f>BH8*Inputs!$C$31</f>
        <v/>
      </c>
      <c r="BI18" s="25">
        <f>BI8*Inputs!$C$31</f>
        <v/>
      </c>
      <c r="BJ18" s="25">
        <f>BJ8*Inputs!$C$31</f>
        <v/>
      </c>
      <c r="BK18" s="25">
        <f>BK8*Inputs!$C$31</f>
        <v/>
      </c>
      <c r="BL18" s="25">
        <f>BL8*Inputs!$C$31</f>
        <v/>
      </c>
    </row>
    <row r="19">
      <c r="A19" s="44" t="inlineStr">
        <is>
          <t>Hardware purchases</t>
        </is>
      </c>
      <c r="B19" s="13" t="inlineStr">
        <is>
          <t>LCY</t>
        </is>
      </c>
      <c r="C19" s="45">
        <f>SUM(E19:BL19)</f>
        <v/>
      </c>
      <c r="E19" s="25">
        <f>E8+E18-D18</f>
        <v/>
      </c>
      <c r="F19" s="25">
        <f>F8+F18-E18</f>
        <v/>
      </c>
      <c r="G19" s="25">
        <f>G8+G18-F18</f>
        <v/>
      </c>
      <c r="H19" s="25">
        <f>H8+H18-G18</f>
        <v/>
      </c>
      <c r="I19" s="25">
        <f>I8+I18-H18</f>
        <v/>
      </c>
      <c r="J19" s="25">
        <f>J8+J18-I18</f>
        <v/>
      </c>
      <c r="K19" s="25">
        <f>K8+K18-J18</f>
        <v/>
      </c>
      <c r="L19" s="25">
        <f>L8+L18-K18</f>
        <v/>
      </c>
      <c r="M19" s="25">
        <f>M8+M18-L18</f>
        <v/>
      </c>
      <c r="N19" s="25">
        <f>N8+N18-M18</f>
        <v/>
      </c>
      <c r="O19" s="25">
        <f>O8+O18-N18</f>
        <v/>
      </c>
      <c r="P19" s="25">
        <f>P8+P18-O18</f>
        <v/>
      </c>
      <c r="Q19" s="25">
        <f>Q8+Q18-P18</f>
        <v/>
      </c>
      <c r="R19" s="25">
        <f>R8+R18-Q18</f>
        <v/>
      </c>
      <c r="S19" s="25">
        <f>S8+S18-R18</f>
        <v/>
      </c>
      <c r="T19" s="25">
        <f>T8+T18-S18</f>
        <v/>
      </c>
      <c r="U19" s="25">
        <f>U8+U18-T18</f>
        <v/>
      </c>
      <c r="V19" s="25">
        <f>V8+V18-U18</f>
        <v/>
      </c>
      <c r="W19" s="25">
        <f>W8+W18-V18</f>
        <v/>
      </c>
      <c r="X19" s="25">
        <f>X8+X18-W18</f>
        <v/>
      </c>
      <c r="Y19" s="25">
        <f>Y8+Y18-X18</f>
        <v/>
      </c>
      <c r="Z19" s="25">
        <f>Z8+Z18-Y18</f>
        <v/>
      </c>
      <c r="AA19" s="25">
        <f>AA8+AA18-Z18</f>
        <v/>
      </c>
      <c r="AB19" s="25">
        <f>AB8+AB18-AA18</f>
        <v/>
      </c>
      <c r="AC19" s="25">
        <f>AC8+AC18-AB18</f>
        <v/>
      </c>
      <c r="AD19" s="25">
        <f>AD8+AD18-AC18</f>
        <v/>
      </c>
      <c r="AE19" s="25">
        <f>AE8+AE18-AD18</f>
        <v/>
      </c>
      <c r="AF19" s="25">
        <f>AF8+AF18-AE18</f>
        <v/>
      </c>
      <c r="AG19" s="25">
        <f>AG8+AG18-AF18</f>
        <v/>
      </c>
      <c r="AH19" s="25">
        <f>AH8+AH18-AG18</f>
        <v/>
      </c>
      <c r="AI19" s="25">
        <f>AI8+AI18-AH18</f>
        <v/>
      </c>
      <c r="AJ19" s="25">
        <f>AJ8+AJ18-AI18</f>
        <v/>
      </c>
      <c r="AK19" s="25">
        <f>AK8+AK18-AJ18</f>
        <v/>
      </c>
      <c r="AL19" s="25">
        <f>AL8+AL18-AK18</f>
        <v/>
      </c>
      <c r="AM19" s="25">
        <f>AM8+AM18-AL18</f>
        <v/>
      </c>
      <c r="AN19" s="25">
        <f>AN8+AN18-AM18</f>
        <v/>
      </c>
      <c r="AO19" s="25">
        <f>AO8+AO18-AN18</f>
        <v/>
      </c>
      <c r="AP19" s="25">
        <f>AP8+AP18-AO18</f>
        <v/>
      </c>
      <c r="AQ19" s="25">
        <f>AQ8+AQ18-AP18</f>
        <v/>
      </c>
      <c r="AR19" s="25">
        <f>AR8+AR18-AQ18</f>
        <v/>
      </c>
      <c r="AS19" s="25">
        <f>AS8+AS18-AR18</f>
        <v/>
      </c>
      <c r="AT19" s="25">
        <f>AT8+AT18-AS18</f>
        <v/>
      </c>
      <c r="AU19" s="25">
        <f>AU8+AU18-AT18</f>
        <v/>
      </c>
      <c r="AV19" s="25">
        <f>AV8+AV18-AU18</f>
        <v/>
      </c>
      <c r="AW19" s="25">
        <f>AW8+AW18-AV18</f>
        <v/>
      </c>
      <c r="AX19" s="25">
        <f>AX8+AX18-AW18</f>
        <v/>
      </c>
      <c r="AY19" s="25">
        <f>AY8+AY18-AX18</f>
        <v/>
      </c>
      <c r="AZ19" s="25">
        <f>AZ8+AZ18-AY18</f>
        <v/>
      </c>
      <c r="BA19" s="25">
        <f>BA8+BA18-AZ18</f>
        <v/>
      </c>
      <c r="BB19" s="25">
        <f>BB8+BB18-BA18</f>
        <v/>
      </c>
      <c r="BC19" s="25">
        <f>BC8+BC18-BB18</f>
        <v/>
      </c>
      <c r="BD19" s="25">
        <f>BD8+BD18-BC18</f>
        <v/>
      </c>
      <c r="BE19" s="25">
        <f>BE8+BE18-BD18</f>
        <v/>
      </c>
      <c r="BF19" s="25">
        <f>BF8+BF18-BE18</f>
        <v/>
      </c>
      <c r="BG19" s="25">
        <f>BG8+BG18-BF18</f>
        <v/>
      </c>
      <c r="BH19" s="25">
        <f>BH8+BH18-BG18</f>
        <v/>
      </c>
      <c r="BI19" s="25">
        <f>BI8+BI18-BH18</f>
        <v/>
      </c>
      <c r="BJ19" s="25">
        <f>BJ8+BJ18-BI18</f>
        <v/>
      </c>
      <c r="BK19" s="25">
        <f>BK8+BK18-BJ18</f>
        <v/>
      </c>
      <c r="BL19" s="25">
        <f>BL8+BL18-BK18</f>
        <v/>
      </c>
    </row>
    <row r="20">
      <c r="A20" s="44" t="inlineStr">
        <is>
          <t>Supplier payables (closing)</t>
        </is>
      </c>
      <c r="B20" s="13" t="inlineStr">
        <is>
          <t>LCY</t>
        </is>
      </c>
      <c r="C20" s="45">
        <f>BL20</f>
        <v/>
      </c>
      <c r="E20" s="25">
        <f>E19*Inputs!$C$32/(365/12)</f>
        <v/>
      </c>
      <c r="F20" s="25">
        <f>F19*Inputs!$C$32/(365/12)</f>
        <v/>
      </c>
      <c r="G20" s="25">
        <f>G19*Inputs!$C$32/(365/12)</f>
        <v/>
      </c>
      <c r="H20" s="25">
        <f>H19*Inputs!$C$32/(365/12)</f>
        <v/>
      </c>
      <c r="I20" s="25">
        <f>I19*Inputs!$C$32/(365/12)</f>
        <v/>
      </c>
      <c r="J20" s="25">
        <f>J19*Inputs!$C$32/(365/12)</f>
        <v/>
      </c>
      <c r="K20" s="25">
        <f>K19*Inputs!$C$32/(365/12)</f>
        <v/>
      </c>
      <c r="L20" s="25">
        <f>L19*Inputs!$C$32/(365/12)</f>
        <v/>
      </c>
      <c r="M20" s="25">
        <f>M19*Inputs!$C$32/(365/12)</f>
        <v/>
      </c>
      <c r="N20" s="25">
        <f>N19*Inputs!$C$32/(365/12)</f>
        <v/>
      </c>
      <c r="O20" s="25">
        <f>O19*Inputs!$C$32/(365/12)</f>
        <v/>
      </c>
      <c r="P20" s="25">
        <f>P19*Inputs!$C$32/(365/12)</f>
        <v/>
      </c>
      <c r="Q20" s="25">
        <f>Q19*Inputs!$C$32/(365/12)</f>
        <v/>
      </c>
      <c r="R20" s="25">
        <f>R19*Inputs!$C$32/(365/12)</f>
        <v/>
      </c>
      <c r="S20" s="25">
        <f>S19*Inputs!$C$32/(365/12)</f>
        <v/>
      </c>
      <c r="T20" s="25">
        <f>T19*Inputs!$C$32/(365/12)</f>
        <v/>
      </c>
      <c r="U20" s="25">
        <f>U19*Inputs!$C$32/(365/12)</f>
        <v/>
      </c>
      <c r="V20" s="25">
        <f>V19*Inputs!$C$32/(365/12)</f>
        <v/>
      </c>
      <c r="W20" s="25">
        <f>W19*Inputs!$C$32/(365/12)</f>
        <v/>
      </c>
      <c r="X20" s="25">
        <f>X19*Inputs!$C$32/(365/12)</f>
        <v/>
      </c>
      <c r="Y20" s="25">
        <f>Y19*Inputs!$C$32/(365/12)</f>
        <v/>
      </c>
      <c r="Z20" s="25">
        <f>Z19*Inputs!$C$32/(365/12)</f>
        <v/>
      </c>
      <c r="AA20" s="25">
        <f>AA19*Inputs!$C$32/(365/12)</f>
        <v/>
      </c>
      <c r="AB20" s="25">
        <f>AB19*Inputs!$C$32/(365/12)</f>
        <v/>
      </c>
      <c r="AC20" s="25">
        <f>AC19*Inputs!$C$32/(365/12)</f>
        <v/>
      </c>
      <c r="AD20" s="25">
        <f>AD19*Inputs!$C$32/(365/12)</f>
        <v/>
      </c>
      <c r="AE20" s="25">
        <f>AE19*Inputs!$C$32/(365/12)</f>
        <v/>
      </c>
      <c r="AF20" s="25">
        <f>AF19*Inputs!$C$32/(365/12)</f>
        <v/>
      </c>
      <c r="AG20" s="25">
        <f>AG19*Inputs!$C$32/(365/12)</f>
        <v/>
      </c>
      <c r="AH20" s="25">
        <f>AH19*Inputs!$C$32/(365/12)</f>
        <v/>
      </c>
      <c r="AI20" s="25">
        <f>AI19*Inputs!$C$32/(365/12)</f>
        <v/>
      </c>
      <c r="AJ20" s="25">
        <f>AJ19*Inputs!$C$32/(365/12)</f>
        <v/>
      </c>
      <c r="AK20" s="25">
        <f>AK19*Inputs!$C$32/(365/12)</f>
        <v/>
      </c>
      <c r="AL20" s="25">
        <f>AL19*Inputs!$C$32/(365/12)</f>
        <v/>
      </c>
      <c r="AM20" s="25">
        <f>AM19*Inputs!$C$32/(365/12)</f>
        <v/>
      </c>
      <c r="AN20" s="25">
        <f>AN19*Inputs!$C$32/(365/12)</f>
        <v/>
      </c>
      <c r="AO20" s="25">
        <f>AO19*Inputs!$C$32/(365/12)</f>
        <v/>
      </c>
      <c r="AP20" s="25">
        <f>AP19*Inputs!$C$32/(365/12)</f>
        <v/>
      </c>
      <c r="AQ20" s="25">
        <f>AQ19*Inputs!$C$32/(365/12)</f>
        <v/>
      </c>
      <c r="AR20" s="25">
        <f>AR19*Inputs!$C$32/(365/12)</f>
        <v/>
      </c>
      <c r="AS20" s="25">
        <f>AS19*Inputs!$C$32/(365/12)</f>
        <v/>
      </c>
      <c r="AT20" s="25">
        <f>AT19*Inputs!$C$32/(365/12)</f>
        <v/>
      </c>
      <c r="AU20" s="25">
        <f>AU19*Inputs!$C$32/(365/12)</f>
        <v/>
      </c>
      <c r="AV20" s="25">
        <f>AV19*Inputs!$C$32/(365/12)</f>
        <v/>
      </c>
      <c r="AW20" s="25">
        <f>AW19*Inputs!$C$32/(365/12)</f>
        <v/>
      </c>
      <c r="AX20" s="25">
        <f>AX19*Inputs!$C$32/(365/12)</f>
        <v/>
      </c>
      <c r="AY20" s="25">
        <f>AY19*Inputs!$C$32/(365/12)</f>
        <v/>
      </c>
      <c r="AZ20" s="25">
        <f>AZ19*Inputs!$C$32/(365/12)</f>
        <v/>
      </c>
      <c r="BA20" s="25">
        <f>BA19*Inputs!$C$32/(365/12)</f>
        <v/>
      </c>
      <c r="BB20" s="25">
        <f>BB19*Inputs!$C$32/(365/12)</f>
        <v/>
      </c>
      <c r="BC20" s="25">
        <f>BC19*Inputs!$C$32/(365/12)</f>
        <v/>
      </c>
      <c r="BD20" s="25">
        <f>BD19*Inputs!$C$32/(365/12)</f>
        <v/>
      </c>
      <c r="BE20" s="25">
        <f>BE19*Inputs!$C$32/(365/12)</f>
        <v/>
      </c>
      <c r="BF20" s="25">
        <f>BF19*Inputs!$C$32/(365/12)</f>
        <v/>
      </c>
      <c r="BG20" s="25">
        <f>BG19*Inputs!$C$32/(365/12)</f>
        <v/>
      </c>
      <c r="BH20" s="25">
        <f>BH19*Inputs!$C$32/(365/12)</f>
        <v/>
      </c>
      <c r="BI20" s="25">
        <f>BI19*Inputs!$C$32/(365/12)</f>
        <v/>
      </c>
      <c r="BJ20" s="25">
        <f>BJ19*Inputs!$C$32/(365/12)</f>
        <v/>
      </c>
      <c r="BK20" s="25">
        <f>BK19*Inputs!$C$32/(365/12)</f>
        <v/>
      </c>
      <c r="BL20" s="25">
        <f>BL19*Inputs!$C$32/(365/12)</f>
        <v/>
      </c>
    </row>
    <row r="21"/>
    <row r="22">
      <c r="A22" s="44" t="inlineStr">
        <is>
          <t>Fixed capex</t>
        </is>
      </c>
      <c r="B22" s="13" t="inlineStr">
        <is>
          <t>LCY</t>
        </is>
      </c>
      <c r="C22" s="45">
        <f>SUM(E22:BL22)</f>
        <v/>
      </c>
      <c r="E22" s="25">
        <f>Inputs!$C$33*Timeline!E$9</f>
        <v/>
      </c>
      <c r="F22" s="25">
        <f>Inputs!$C$33*Timeline!F$9</f>
        <v/>
      </c>
      <c r="G22" s="25">
        <f>Inputs!$C$33*Timeline!G$9</f>
        <v/>
      </c>
      <c r="H22" s="25">
        <f>Inputs!$C$33*Timeline!H$9</f>
        <v/>
      </c>
      <c r="I22" s="25">
        <f>Inputs!$C$33*Timeline!I$9</f>
        <v/>
      </c>
      <c r="J22" s="25">
        <f>Inputs!$C$33*Timeline!J$9</f>
        <v/>
      </c>
      <c r="K22" s="25">
        <f>Inputs!$C$33*Timeline!K$9</f>
        <v/>
      </c>
      <c r="L22" s="25">
        <f>Inputs!$C$33*Timeline!L$9</f>
        <v/>
      </c>
      <c r="M22" s="25">
        <f>Inputs!$C$33*Timeline!M$9</f>
        <v/>
      </c>
      <c r="N22" s="25">
        <f>Inputs!$C$33*Timeline!N$9</f>
        <v/>
      </c>
      <c r="O22" s="25">
        <f>Inputs!$C$33*Timeline!O$9</f>
        <v/>
      </c>
      <c r="P22" s="25">
        <f>Inputs!$C$33*Timeline!P$9</f>
        <v/>
      </c>
      <c r="Q22" s="25">
        <f>Inputs!$C$33*Timeline!Q$9</f>
        <v/>
      </c>
      <c r="R22" s="25">
        <f>Inputs!$C$33*Timeline!R$9</f>
        <v/>
      </c>
      <c r="S22" s="25">
        <f>Inputs!$C$33*Timeline!S$9</f>
        <v/>
      </c>
      <c r="T22" s="25">
        <f>Inputs!$C$33*Timeline!T$9</f>
        <v/>
      </c>
      <c r="U22" s="25">
        <f>Inputs!$C$33*Timeline!U$9</f>
        <v/>
      </c>
      <c r="V22" s="25">
        <f>Inputs!$C$33*Timeline!V$9</f>
        <v/>
      </c>
      <c r="W22" s="25">
        <f>Inputs!$C$33*Timeline!W$9</f>
        <v/>
      </c>
      <c r="X22" s="25">
        <f>Inputs!$C$33*Timeline!X$9</f>
        <v/>
      </c>
      <c r="Y22" s="25">
        <f>Inputs!$C$33*Timeline!Y$9</f>
        <v/>
      </c>
      <c r="Z22" s="25">
        <f>Inputs!$C$33*Timeline!Z$9</f>
        <v/>
      </c>
      <c r="AA22" s="25">
        <f>Inputs!$C$33*Timeline!AA$9</f>
        <v/>
      </c>
      <c r="AB22" s="25">
        <f>Inputs!$C$33*Timeline!AB$9</f>
        <v/>
      </c>
      <c r="AC22" s="25">
        <f>Inputs!$C$33*Timeline!AC$9</f>
        <v/>
      </c>
      <c r="AD22" s="25">
        <f>Inputs!$C$33*Timeline!AD$9</f>
        <v/>
      </c>
      <c r="AE22" s="25">
        <f>Inputs!$C$33*Timeline!AE$9</f>
        <v/>
      </c>
      <c r="AF22" s="25">
        <f>Inputs!$C$33*Timeline!AF$9</f>
        <v/>
      </c>
      <c r="AG22" s="25">
        <f>Inputs!$C$33*Timeline!AG$9</f>
        <v/>
      </c>
      <c r="AH22" s="25">
        <f>Inputs!$C$33*Timeline!AH$9</f>
        <v/>
      </c>
      <c r="AI22" s="25">
        <f>Inputs!$C$33*Timeline!AI$9</f>
        <v/>
      </c>
      <c r="AJ22" s="25">
        <f>Inputs!$C$33*Timeline!AJ$9</f>
        <v/>
      </c>
      <c r="AK22" s="25">
        <f>Inputs!$C$33*Timeline!AK$9</f>
        <v/>
      </c>
      <c r="AL22" s="25">
        <f>Inputs!$C$33*Timeline!AL$9</f>
        <v/>
      </c>
      <c r="AM22" s="25">
        <f>Inputs!$C$33*Timeline!AM$9</f>
        <v/>
      </c>
      <c r="AN22" s="25">
        <f>Inputs!$C$33*Timeline!AN$9</f>
        <v/>
      </c>
      <c r="AO22" s="25">
        <f>Inputs!$C$33*Timeline!AO$9</f>
        <v/>
      </c>
      <c r="AP22" s="25">
        <f>Inputs!$C$33*Timeline!AP$9</f>
        <v/>
      </c>
      <c r="AQ22" s="25">
        <f>Inputs!$C$33*Timeline!AQ$9</f>
        <v/>
      </c>
      <c r="AR22" s="25">
        <f>Inputs!$C$33*Timeline!AR$9</f>
        <v/>
      </c>
      <c r="AS22" s="25">
        <f>Inputs!$C$33*Timeline!AS$9</f>
        <v/>
      </c>
      <c r="AT22" s="25">
        <f>Inputs!$C$33*Timeline!AT$9</f>
        <v/>
      </c>
      <c r="AU22" s="25">
        <f>Inputs!$C$33*Timeline!AU$9</f>
        <v/>
      </c>
      <c r="AV22" s="25">
        <f>Inputs!$C$33*Timeline!AV$9</f>
        <v/>
      </c>
      <c r="AW22" s="25">
        <f>Inputs!$C$33*Timeline!AW$9</f>
        <v/>
      </c>
      <c r="AX22" s="25">
        <f>Inputs!$C$33*Timeline!AX$9</f>
        <v/>
      </c>
      <c r="AY22" s="25">
        <f>Inputs!$C$33*Timeline!AY$9</f>
        <v/>
      </c>
      <c r="AZ22" s="25">
        <f>Inputs!$C$33*Timeline!AZ$9</f>
        <v/>
      </c>
      <c r="BA22" s="25">
        <f>Inputs!$C$33*Timeline!BA$9</f>
        <v/>
      </c>
      <c r="BB22" s="25">
        <f>Inputs!$C$33*Timeline!BB$9</f>
        <v/>
      </c>
      <c r="BC22" s="25">
        <f>Inputs!$C$33*Timeline!BC$9</f>
        <v/>
      </c>
      <c r="BD22" s="25">
        <f>Inputs!$C$33*Timeline!BD$9</f>
        <v/>
      </c>
      <c r="BE22" s="25">
        <f>Inputs!$C$33*Timeline!BE$9</f>
        <v/>
      </c>
      <c r="BF22" s="25">
        <f>Inputs!$C$33*Timeline!BF$9</f>
        <v/>
      </c>
      <c r="BG22" s="25">
        <f>Inputs!$C$33*Timeline!BG$9</f>
        <v/>
      </c>
      <c r="BH22" s="25">
        <f>Inputs!$C$33*Timeline!BH$9</f>
        <v/>
      </c>
      <c r="BI22" s="25">
        <f>Inputs!$C$33*Timeline!BI$9</f>
        <v/>
      </c>
      <c r="BJ22" s="25">
        <f>Inputs!$C$33*Timeline!BJ$9</f>
        <v/>
      </c>
      <c r="BK22" s="25">
        <f>Inputs!$C$33*Timeline!BK$9</f>
        <v/>
      </c>
      <c r="BL22" s="25">
        <f>Inputs!$C$33*Timeline!BL$9</f>
        <v/>
      </c>
    </row>
    <row r="23">
      <c r="A23" s="44" t="inlineStr">
        <is>
          <t>Depreciation (straight-line, by vintage)</t>
        </is>
      </c>
      <c r="B23" s="13" t="inlineStr">
        <is>
          <t>LCY</t>
        </is>
      </c>
      <c r="C23" s="45">
        <f>SUM(E23:BL23)</f>
        <v/>
      </c>
      <c r="E23" s="25">
        <f>SUMIFS($E22:E22,$E$4:E$4,"&gt;"&amp;(E$4-Inputs!$C$34))/Inputs!$C$34</f>
        <v/>
      </c>
      <c r="F23" s="25">
        <f>SUMIFS($E22:F22,$E$4:F$4,"&gt;"&amp;(F$4-Inputs!$C$34))/Inputs!$C$34</f>
        <v/>
      </c>
      <c r="G23" s="25">
        <f>SUMIFS($E22:G22,$E$4:G$4,"&gt;"&amp;(G$4-Inputs!$C$34))/Inputs!$C$34</f>
        <v/>
      </c>
      <c r="H23" s="25">
        <f>SUMIFS($E22:H22,$E$4:H$4,"&gt;"&amp;(H$4-Inputs!$C$34))/Inputs!$C$34</f>
        <v/>
      </c>
      <c r="I23" s="25">
        <f>SUMIFS($E22:I22,$E$4:I$4,"&gt;"&amp;(I$4-Inputs!$C$34))/Inputs!$C$34</f>
        <v/>
      </c>
      <c r="J23" s="25">
        <f>SUMIFS($E22:J22,$E$4:J$4,"&gt;"&amp;(J$4-Inputs!$C$34))/Inputs!$C$34</f>
        <v/>
      </c>
      <c r="K23" s="25">
        <f>SUMIFS($E22:K22,$E$4:K$4,"&gt;"&amp;(K$4-Inputs!$C$34))/Inputs!$C$34</f>
        <v/>
      </c>
      <c r="L23" s="25">
        <f>SUMIFS($E22:L22,$E$4:L$4,"&gt;"&amp;(L$4-Inputs!$C$34))/Inputs!$C$34</f>
        <v/>
      </c>
      <c r="M23" s="25">
        <f>SUMIFS($E22:M22,$E$4:M$4,"&gt;"&amp;(M$4-Inputs!$C$34))/Inputs!$C$34</f>
        <v/>
      </c>
      <c r="N23" s="25">
        <f>SUMIFS($E22:N22,$E$4:N$4,"&gt;"&amp;(N$4-Inputs!$C$34))/Inputs!$C$34</f>
        <v/>
      </c>
      <c r="O23" s="25">
        <f>SUMIFS($E22:O22,$E$4:O$4,"&gt;"&amp;(O$4-Inputs!$C$34))/Inputs!$C$34</f>
        <v/>
      </c>
      <c r="P23" s="25">
        <f>SUMIFS($E22:P22,$E$4:P$4,"&gt;"&amp;(P$4-Inputs!$C$34))/Inputs!$C$34</f>
        <v/>
      </c>
      <c r="Q23" s="25">
        <f>SUMIFS($E22:Q22,$E$4:Q$4,"&gt;"&amp;(Q$4-Inputs!$C$34))/Inputs!$C$34</f>
        <v/>
      </c>
      <c r="R23" s="25">
        <f>SUMIFS($E22:R22,$E$4:R$4,"&gt;"&amp;(R$4-Inputs!$C$34))/Inputs!$C$34</f>
        <v/>
      </c>
      <c r="S23" s="25">
        <f>SUMIFS($E22:S22,$E$4:S$4,"&gt;"&amp;(S$4-Inputs!$C$34))/Inputs!$C$34</f>
        <v/>
      </c>
      <c r="T23" s="25">
        <f>SUMIFS($E22:T22,$E$4:T$4,"&gt;"&amp;(T$4-Inputs!$C$34))/Inputs!$C$34</f>
        <v/>
      </c>
      <c r="U23" s="25">
        <f>SUMIFS($E22:U22,$E$4:U$4,"&gt;"&amp;(U$4-Inputs!$C$34))/Inputs!$C$34</f>
        <v/>
      </c>
      <c r="V23" s="25">
        <f>SUMIFS($E22:V22,$E$4:V$4,"&gt;"&amp;(V$4-Inputs!$C$34))/Inputs!$C$34</f>
        <v/>
      </c>
      <c r="W23" s="25">
        <f>SUMIFS($E22:W22,$E$4:W$4,"&gt;"&amp;(W$4-Inputs!$C$34))/Inputs!$C$34</f>
        <v/>
      </c>
      <c r="X23" s="25">
        <f>SUMIFS($E22:X22,$E$4:X$4,"&gt;"&amp;(X$4-Inputs!$C$34))/Inputs!$C$34</f>
        <v/>
      </c>
      <c r="Y23" s="25">
        <f>SUMIFS($E22:Y22,$E$4:Y$4,"&gt;"&amp;(Y$4-Inputs!$C$34))/Inputs!$C$34</f>
        <v/>
      </c>
      <c r="Z23" s="25">
        <f>SUMIFS($E22:Z22,$E$4:Z$4,"&gt;"&amp;(Z$4-Inputs!$C$34))/Inputs!$C$34</f>
        <v/>
      </c>
      <c r="AA23" s="25">
        <f>SUMIFS($E22:AA22,$E$4:AA$4,"&gt;"&amp;(AA$4-Inputs!$C$34))/Inputs!$C$34</f>
        <v/>
      </c>
      <c r="AB23" s="25">
        <f>SUMIFS($E22:AB22,$E$4:AB$4,"&gt;"&amp;(AB$4-Inputs!$C$34))/Inputs!$C$34</f>
        <v/>
      </c>
      <c r="AC23" s="25">
        <f>SUMIFS($E22:AC22,$E$4:AC$4,"&gt;"&amp;(AC$4-Inputs!$C$34))/Inputs!$C$34</f>
        <v/>
      </c>
      <c r="AD23" s="25">
        <f>SUMIFS($E22:AD22,$E$4:AD$4,"&gt;"&amp;(AD$4-Inputs!$C$34))/Inputs!$C$34</f>
        <v/>
      </c>
      <c r="AE23" s="25">
        <f>SUMIFS($E22:AE22,$E$4:AE$4,"&gt;"&amp;(AE$4-Inputs!$C$34))/Inputs!$C$34</f>
        <v/>
      </c>
      <c r="AF23" s="25">
        <f>SUMIFS($E22:AF22,$E$4:AF$4,"&gt;"&amp;(AF$4-Inputs!$C$34))/Inputs!$C$34</f>
        <v/>
      </c>
      <c r="AG23" s="25">
        <f>SUMIFS($E22:AG22,$E$4:AG$4,"&gt;"&amp;(AG$4-Inputs!$C$34))/Inputs!$C$34</f>
        <v/>
      </c>
      <c r="AH23" s="25">
        <f>SUMIFS($E22:AH22,$E$4:AH$4,"&gt;"&amp;(AH$4-Inputs!$C$34))/Inputs!$C$34</f>
        <v/>
      </c>
      <c r="AI23" s="25">
        <f>SUMIFS($E22:AI22,$E$4:AI$4,"&gt;"&amp;(AI$4-Inputs!$C$34))/Inputs!$C$34</f>
        <v/>
      </c>
      <c r="AJ23" s="25">
        <f>SUMIFS($E22:AJ22,$E$4:AJ$4,"&gt;"&amp;(AJ$4-Inputs!$C$34))/Inputs!$C$34</f>
        <v/>
      </c>
      <c r="AK23" s="25">
        <f>SUMIFS($E22:AK22,$E$4:AK$4,"&gt;"&amp;(AK$4-Inputs!$C$34))/Inputs!$C$34</f>
        <v/>
      </c>
      <c r="AL23" s="25">
        <f>SUMIFS($E22:AL22,$E$4:AL$4,"&gt;"&amp;(AL$4-Inputs!$C$34))/Inputs!$C$34</f>
        <v/>
      </c>
      <c r="AM23" s="25">
        <f>SUMIFS($E22:AM22,$E$4:AM$4,"&gt;"&amp;(AM$4-Inputs!$C$34))/Inputs!$C$34</f>
        <v/>
      </c>
      <c r="AN23" s="25">
        <f>SUMIFS($E22:AN22,$E$4:AN$4,"&gt;"&amp;(AN$4-Inputs!$C$34))/Inputs!$C$34</f>
        <v/>
      </c>
      <c r="AO23" s="25">
        <f>SUMIFS($E22:AO22,$E$4:AO$4,"&gt;"&amp;(AO$4-Inputs!$C$34))/Inputs!$C$34</f>
        <v/>
      </c>
      <c r="AP23" s="25">
        <f>SUMIFS($E22:AP22,$E$4:AP$4,"&gt;"&amp;(AP$4-Inputs!$C$34))/Inputs!$C$34</f>
        <v/>
      </c>
      <c r="AQ23" s="25">
        <f>SUMIFS($E22:AQ22,$E$4:AQ$4,"&gt;"&amp;(AQ$4-Inputs!$C$34))/Inputs!$C$34</f>
        <v/>
      </c>
      <c r="AR23" s="25">
        <f>SUMIFS($E22:AR22,$E$4:AR$4,"&gt;"&amp;(AR$4-Inputs!$C$34))/Inputs!$C$34</f>
        <v/>
      </c>
      <c r="AS23" s="25">
        <f>SUMIFS($E22:AS22,$E$4:AS$4,"&gt;"&amp;(AS$4-Inputs!$C$34))/Inputs!$C$34</f>
        <v/>
      </c>
      <c r="AT23" s="25">
        <f>SUMIFS($E22:AT22,$E$4:AT$4,"&gt;"&amp;(AT$4-Inputs!$C$34))/Inputs!$C$34</f>
        <v/>
      </c>
      <c r="AU23" s="25">
        <f>SUMIFS($E22:AU22,$E$4:AU$4,"&gt;"&amp;(AU$4-Inputs!$C$34))/Inputs!$C$34</f>
        <v/>
      </c>
      <c r="AV23" s="25">
        <f>SUMIFS($E22:AV22,$E$4:AV$4,"&gt;"&amp;(AV$4-Inputs!$C$34))/Inputs!$C$34</f>
        <v/>
      </c>
      <c r="AW23" s="25">
        <f>SUMIFS($E22:AW22,$E$4:AW$4,"&gt;"&amp;(AW$4-Inputs!$C$34))/Inputs!$C$34</f>
        <v/>
      </c>
      <c r="AX23" s="25">
        <f>SUMIFS($E22:AX22,$E$4:AX$4,"&gt;"&amp;(AX$4-Inputs!$C$34))/Inputs!$C$34</f>
        <v/>
      </c>
      <c r="AY23" s="25">
        <f>SUMIFS($E22:AY22,$E$4:AY$4,"&gt;"&amp;(AY$4-Inputs!$C$34))/Inputs!$C$34</f>
        <v/>
      </c>
      <c r="AZ23" s="25">
        <f>SUMIFS($E22:AZ22,$E$4:AZ$4,"&gt;"&amp;(AZ$4-Inputs!$C$34))/Inputs!$C$34</f>
        <v/>
      </c>
      <c r="BA23" s="25">
        <f>SUMIFS($E22:BA22,$E$4:BA$4,"&gt;"&amp;(BA$4-Inputs!$C$34))/Inputs!$C$34</f>
        <v/>
      </c>
      <c r="BB23" s="25">
        <f>SUMIFS($E22:BB22,$E$4:BB$4,"&gt;"&amp;(BB$4-Inputs!$C$34))/Inputs!$C$34</f>
        <v/>
      </c>
      <c r="BC23" s="25">
        <f>SUMIFS($E22:BC22,$E$4:BC$4,"&gt;"&amp;(BC$4-Inputs!$C$34))/Inputs!$C$34</f>
        <v/>
      </c>
      <c r="BD23" s="25">
        <f>SUMIFS($E22:BD22,$E$4:BD$4,"&gt;"&amp;(BD$4-Inputs!$C$34))/Inputs!$C$34</f>
        <v/>
      </c>
      <c r="BE23" s="25">
        <f>SUMIFS($E22:BE22,$E$4:BE$4,"&gt;"&amp;(BE$4-Inputs!$C$34))/Inputs!$C$34</f>
        <v/>
      </c>
      <c r="BF23" s="25">
        <f>SUMIFS($E22:BF22,$E$4:BF$4,"&gt;"&amp;(BF$4-Inputs!$C$34))/Inputs!$C$34</f>
        <v/>
      </c>
      <c r="BG23" s="25">
        <f>SUMIFS($E22:BG22,$E$4:BG$4,"&gt;"&amp;(BG$4-Inputs!$C$34))/Inputs!$C$34</f>
        <v/>
      </c>
      <c r="BH23" s="25">
        <f>SUMIFS($E22:BH22,$E$4:BH$4,"&gt;"&amp;(BH$4-Inputs!$C$34))/Inputs!$C$34</f>
        <v/>
      </c>
      <c r="BI23" s="25">
        <f>SUMIFS($E22:BI22,$E$4:BI$4,"&gt;"&amp;(BI$4-Inputs!$C$34))/Inputs!$C$34</f>
        <v/>
      </c>
      <c r="BJ23" s="25">
        <f>SUMIFS($E22:BJ22,$E$4:BJ$4,"&gt;"&amp;(BJ$4-Inputs!$C$34))/Inputs!$C$34</f>
        <v/>
      </c>
      <c r="BK23" s="25">
        <f>SUMIFS($E22:BK22,$E$4:BK$4,"&gt;"&amp;(BK$4-Inputs!$C$34))/Inputs!$C$34</f>
        <v/>
      </c>
      <c r="BL23" s="25">
        <f>SUMIFS($E22:BL22,$E$4:BL$4,"&gt;"&amp;(BL$4-Inputs!$C$34))/Inputs!$C$34</f>
        <v/>
      </c>
    </row>
    <row r="24">
      <c r="A24" s="44" t="inlineStr">
        <is>
          <t>Net fixed assets (closing)</t>
        </is>
      </c>
      <c r="B24" s="13" t="inlineStr">
        <is>
          <t>LCY</t>
        </is>
      </c>
      <c r="C24" s="45">
        <f>BL24</f>
        <v/>
      </c>
      <c r="E24" s="25">
        <f>D24+E22-E23</f>
        <v/>
      </c>
      <c r="F24" s="25">
        <f>E24+F22-F23</f>
        <v/>
      </c>
      <c r="G24" s="25">
        <f>F24+G22-G23</f>
        <v/>
      </c>
      <c r="H24" s="25">
        <f>G24+H22-H23</f>
        <v/>
      </c>
      <c r="I24" s="25">
        <f>H24+I22-I23</f>
        <v/>
      </c>
      <c r="J24" s="25">
        <f>I24+J22-J23</f>
        <v/>
      </c>
      <c r="K24" s="25">
        <f>J24+K22-K23</f>
        <v/>
      </c>
      <c r="L24" s="25">
        <f>K24+L22-L23</f>
        <v/>
      </c>
      <c r="M24" s="25">
        <f>L24+M22-M23</f>
        <v/>
      </c>
      <c r="N24" s="25">
        <f>M24+N22-N23</f>
        <v/>
      </c>
      <c r="O24" s="25">
        <f>N24+O22-O23</f>
        <v/>
      </c>
      <c r="P24" s="25">
        <f>O24+P22-P23</f>
        <v/>
      </c>
      <c r="Q24" s="25">
        <f>P24+Q22-Q23</f>
        <v/>
      </c>
      <c r="R24" s="25">
        <f>Q24+R22-R23</f>
        <v/>
      </c>
      <c r="S24" s="25">
        <f>R24+S22-S23</f>
        <v/>
      </c>
      <c r="T24" s="25">
        <f>S24+T22-T23</f>
        <v/>
      </c>
      <c r="U24" s="25">
        <f>T24+U22-U23</f>
        <v/>
      </c>
      <c r="V24" s="25">
        <f>U24+V22-V23</f>
        <v/>
      </c>
      <c r="W24" s="25">
        <f>V24+W22-W23</f>
        <v/>
      </c>
      <c r="X24" s="25">
        <f>W24+X22-X23</f>
        <v/>
      </c>
      <c r="Y24" s="25">
        <f>X24+Y22-Y23</f>
        <v/>
      </c>
      <c r="Z24" s="25">
        <f>Y24+Z22-Z23</f>
        <v/>
      </c>
      <c r="AA24" s="25">
        <f>Z24+AA22-AA23</f>
        <v/>
      </c>
      <c r="AB24" s="25">
        <f>AA24+AB22-AB23</f>
        <v/>
      </c>
      <c r="AC24" s="25">
        <f>AB24+AC22-AC23</f>
        <v/>
      </c>
      <c r="AD24" s="25">
        <f>AC24+AD22-AD23</f>
        <v/>
      </c>
      <c r="AE24" s="25">
        <f>AD24+AE22-AE23</f>
        <v/>
      </c>
      <c r="AF24" s="25">
        <f>AE24+AF22-AF23</f>
        <v/>
      </c>
      <c r="AG24" s="25">
        <f>AF24+AG22-AG23</f>
        <v/>
      </c>
      <c r="AH24" s="25">
        <f>AG24+AH22-AH23</f>
        <v/>
      </c>
      <c r="AI24" s="25">
        <f>AH24+AI22-AI23</f>
        <v/>
      </c>
      <c r="AJ24" s="25">
        <f>AI24+AJ22-AJ23</f>
        <v/>
      </c>
      <c r="AK24" s="25">
        <f>AJ24+AK22-AK23</f>
        <v/>
      </c>
      <c r="AL24" s="25">
        <f>AK24+AL22-AL23</f>
        <v/>
      </c>
      <c r="AM24" s="25">
        <f>AL24+AM22-AM23</f>
        <v/>
      </c>
      <c r="AN24" s="25">
        <f>AM24+AN22-AN23</f>
        <v/>
      </c>
      <c r="AO24" s="25">
        <f>AN24+AO22-AO23</f>
        <v/>
      </c>
      <c r="AP24" s="25">
        <f>AO24+AP22-AP23</f>
        <v/>
      </c>
      <c r="AQ24" s="25">
        <f>AP24+AQ22-AQ23</f>
        <v/>
      </c>
      <c r="AR24" s="25">
        <f>AQ24+AR22-AR23</f>
        <v/>
      </c>
      <c r="AS24" s="25">
        <f>AR24+AS22-AS23</f>
        <v/>
      </c>
      <c r="AT24" s="25">
        <f>AS24+AT22-AT23</f>
        <v/>
      </c>
      <c r="AU24" s="25">
        <f>AT24+AU22-AU23</f>
        <v/>
      </c>
      <c r="AV24" s="25">
        <f>AU24+AV22-AV23</f>
        <v/>
      </c>
      <c r="AW24" s="25">
        <f>AV24+AW22-AW23</f>
        <v/>
      </c>
      <c r="AX24" s="25">
        <f>AW24+AX22-AX23</f>
        <v/>
      </c>
      <c r="AY24" s="25">
        <f>AX24+AY22-AY23</f>
        <v/>
      </c>
      <c r="AZ24" s="25">
        <f>AY24+AZ22-AZ23</f>
        <v/>
      </c>
      <c r="BA24" s="25">
        <f>AZ24+BA22-BA23</f>
        <v/>
      </c>
      <c r="BB24" s="25">
        <f>BA24+BB22-BB23</f>
        <v/>
      </c>
      <c r="BC24" s="25">
        <f>BB24+BC22-BC23</f>
        <v/>
      </c>
      <c r="BD24" s="25">
        <f>BC24+BD22-BD23</f>
        <v/>
      </c>
      <c r="BE24" s="25">
        <f>BD24+BE22-BE23</f>
        <v/>
      </c>
      <c r="BF24" s="25">
        <f>BE24+BF22-BF23</f>
        <v/>
      </c>
      <c r="BG24" s="25">
        <f>BF24+BG22-BG23</f>
        <v/>
      </c>
      <c r="BH24" s="25">
        <f>BG24+BH22-BH23</f>
        <v/>
      </c>
      <c r="BI24" s="25">
        <f>BH24+BI22-BI23</f>
        <v/>
      </c>
      <c r="BJ24" s="25">
        <f>BI24+BJ22-BJ23</f>
        <v/>
      </c>
      <c r="BK24" s="25">
        <f>BJ24+BK22-BK23</f>
        <v/>
      </c>
      <c r="BL24" s="25">
        <f>BK24+BL22-BL23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L27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</cols>
  <sheetData>
    <row r="1">
      <c r="A1" s="1" t="inlineStr">
        <is>
          <t>Financing</t>
        </is>
      </c>
    </row>
    <row r="2">
      <c r="A2" s="2" t="inlineStr">
        <is>
          <t>Equity, USD term loan (with FX translation), receivables-backed facility</t>
        </is>
      </c>
    </row>
    <row r="3"/>
    <row r="4">
      <c r="A4" s="40" t="inlineStr">
        <is>
          <t>Month #</t>
        </is>
      </c>
      <c r="B4" s="41" t="n"/>
      <c r="C4" s="41" t="n"/>
      <c r="D4" s="40" t="inlineStr">
        <is>
          <t>Opening</t>
        </is>
      </c>
      <c r="E4" s="42">
        <f>Timeline!E4</f>
        <v/>
      </c>
      <c r="F4" s="42">
        <f>Timeline!F4</f>
        <v/>
      </c>
      <c r="G4" s="42">
        <f>Timeline!G4</f>
        <v/>
      </c>
      <c r="H4" s="42">
        <f>Timeline!H4</f>
        <v/>
      </c>
      <c r="I4" s="42">
        <f>Timeline!I4</f>
        <v/>
      </c>
      <c r="J4" s="42">
        <f>Timeline!J4</f>
        <v/>
      </c>
      <c r="K4" s="42">
        <f>Timeline!K4</f>
        <v/>
      </c>
      <c r="L4" s="42">
        <f>Timeline!L4</f>
        <v/>
      </c>
      <c r="M4" s="42">
        <f>Timeline!M4</f>
        <v/>
      </c>
      <c r="N4" s="42">
        <f>Timeline!N4</f>
        <v/>
      </c>
      <c r="O4" s="42">
        <f>Timeline!O4</f>
        <v/>
      </c>
      <c r="P4" s="42">
        <f>Timeline!P4</f>
        <v/>
      </c>
      <c r="Q4" s="42">
        <f>Timeline!Q4</f>
        <v/>
      </c>
      <c r="R4" s="42">
        <f>Timeline!R4</f>
        <v/>
      </c>
      <c r="S4" s="42">
        <f>Timeline!S4</f>
        <v/>
      </c>
      <c r="T4" s="42">
        <f>Timeline!T4</f>
        <v/>
      </c>
      <c r="U4" s="42">
        <f>Timeline!U4</f>
        <v/>
      </c>
      <c r="V4" s="42">
        <f>Timeline!V4</f>
        <v/>
      </c>
      <c r="W4" s="42">
        <f>Timeline!W4</f>
        <v/>
      </c>
      <c r="X4" s="42">
        <f>Timeline!X4</f>
        <v/>
      </c>
      <c r="Y4" s="42">
        <f>Timeline!Y4</f>
        <v/>
      </c>
      <c r="Z4" s="42">
        <f>Timeline!Z4</f>
        <v/>
      </c>
      <c r="AA4" s="42">
        <f>Timeline!AA4</f>
        <v/>
      </c>
      <c r="AB4" s="42">
        <f>Timeline!AB4</f>
        <v/>
      </c>
      <c r="AC4" s="42">
        <f>Timeline!AC4</f>
        <v/>
      </c>
      <c r="AD4" s="42">
        <f>Timeline!AD4</f>
        <v/>
      </c>
      <c r="AE4" s="42">
        <f>Timeline!AE4</f>
        <v/>
      </c>
      <c r="AF4" s="42">
        <f>Timeline!AF4</f>
        <v/>
      </c>
      <c r="AG4" s="42">
        <f>Timeline!AG4</f>
        <v/>
      </c>
      <c r="AH4" s="42">
        <f>Timeline!AH4</f>
        <v/>
      </c>
      <c r="AI4" s="42">
        <f>Timeline!AI4</f>
        <v/>
      </c>
      <c r="AJ4" s="42">
        <f>Timeline!AJ4</f>
        <v/>
      </c>
      <c r="AK4" s="42">
        <f>Timeline!AK4</f>
        <v/>
      </c>
      <c r="AL4" s="42">
        <f>Timeline!AL4</f>
        <v/>
      </c>
      <c r="AM4" s="42">
        <f>Timeline!AM4</f>
        <v/>
      </c>
      <c r="AN4" s="42">
        <f>Timeline!AN4</f>
        <v/>
      </c>
      <c r="AO4" s="42">
        <f>Timeline!AO4</f>
        <v/>
      </c>
      <c r="AP4" s="42">
        <f>Timeline!AP4</f>
        <v/>
      </c>
      <c r="AQ4" s="42">
        <f>Timeline!AQ4</f>
        <v/>
      </c>
      <c r="AR4" s="42">
        <f>Timeline!AR4</f>
        <v/>
      </c>
      <c r="AS4" s="42">
        <f>Timeline!AS4</f>
        <v/>
      </c>
      <c r="AT4" s="42">
        <f>Timeline!AT4</f>
        <v/>
      </c>
      <c r="AU4" s="42">
        <f>Timeline!AU4</f>
        <v/>
      </c>
      <c r="AV4" s="42">
        <f>Timeline!AV4</f>
        <v/>
      </c>
      <c r="AW4" s="42">
        <f>Timeline!AW4</f>
        <v/>
      </c>
      <c r="AX4" s="42">
        <f>Timeline!AX4</f>
        <v/>
      </c>
      <c r="AY4" s="42">
        <f>Timeline!AY4</f>
        <v/>
      </c>
      <c r="AZ4" s="42">
        <f>Timeline!AZ4</f>
        <v/>
      </c>
      <c r="BA4" s="42">
        <f>Timeline!BA4</f>
        <v/>
      </c>
      <c r="BB4" s="42">
        <f>Timeline!BB4</f>
        <v/>
      </c>
      <c r="BC4" s="42">
        <f>Timeline!BC4</f>
        <v/>
      </c>
      <c r="BD4" s="42">
        <f>Timeline!BD4</f>
        <v/>
      </c>
      <c r="BE4" s="42">
        <f>Timeline!BE4</f>
        <v/>
      </c>
      <c r="BF4" s="42">
        <f>Timeline!BF4</f>
        <v/>
      </c>
      <c r="BG4" s="42">
        <f>Timeline!BG4</f>
        <v/>
      </c>
      <c r="BH4" s="42">
        <f>Timeline!BH4</f>
        <v/>
      </c>
      <c r="BI4" s="42">
        <f>Timeline!BI4</f>
        <v/>
      </c>
      <c r="BJ4" s="42">
        <f>Timeline!BJ4</f>
        <v/>
      </c>
      <c r="BK4" s="42">
        <f>Timeline!BK4</f>
        <v/>
      </c>
      <c r="BL4" s="42">
        <f>Timeline!BL4</f>
        <v/>
      </c>
    </row>
    <row r="5">
      <c r="A5" s="40" t="inlineStr">
        <is>
          <t>Period end</t>
        </is>
      </c>
      <c r="B5" s="41" t="n"/>
      <c r="C5" s="41" t="n"/>
      <c r="D5" s="40" t="n"/>
      <c r="E5" s="43">
        <f>Timeline!E5</f>
        <v/>
      </c>
      <c r="F5" s="43">
        <f>Timeline!F5</f>
        <v/>
      </c>
      <c r="G5" s="43">
        <f>Timeline!G5</f>
        <v/>
      </c>
      <c r="H5" s="43">
        <f>Timeline!H5</f>
        <v/>
      </c>
      <c r="I5" s="43">
        <f>Timeline!I5</f>
        <v/>
      </c>
      <c r="J5" s="43">
        <f>Timeline!J5</f>
        <v/>
      </c>
      <c r="K5" s="43">
        <f>Timeline!K5</f>
        <v/>
      </c>
      <c r="L5" s="43">
        <f>Timeline!L5</f>
        <v/>
      </c>
      <c r="M5" s="43">
        <f>Timeline!M5</f>
        <v/>
      </c>
      <c r="N5" s="43">
        <f>Timeline!N5</f>
        <v/>
      </c>
      <c r="O5" s="43">
        <f>Timeline!O5</f>
        <v/>
      </c>
      <c r="P5" s="43">
        <f>Timeline!P5</f>
        <v/>
      </c>
      <c r="Q5" s="43">
        <f>Timeline!Q5</f>
        <v/>
      </c>
      <c r="R5" s="43">
        <f>Timeline!R5</f>
        <v/>
      </c>
      <c r="S5" s="43">
        <f>Timeline!S5</f>
        <v/>
      </c>
      <c r="T5" s="43">
        <f>Timeline!T5</f>
        <v/>
      </c>
      <c r="U5" s="43">
        <f>Timeline!U5</f>
        <v/>
      </c>
      <c r="V5" s="43">
        <f>Timeline!V5</f>
        <v/>
      </c>
      <c r="W5" s="43">
        <f>Timeline!W5</f>
        <v/>
      </c>
      <c r="X5" s="43">
        <f>Timeline!X5</f>
        <v/>
      </c>
      <c r="Y5" s="43">
        <f>Timeline!Y5</f>
        <v/>
      </c>
      <c r="Z5" s="43">
        <f>Timeline!Z5</f>
        <v/>
      </c>
      <c r="AA5" s="43">
        <f>Timeline!AA5</f>
        <v/>
      </c>
      <c r="AB5" s="43">
        <f>Timeline!AB5</f>
        <v/>
      </c>
      <c r="AC5" s="43">
        <f>Timeline!AC5</f>
        <v/>
      </c>
      <c r="AD5" s="43">
        <f>Timeline!AD5</f>
        <v/>
      </c>
      <c r="AE5" s="43">
        <f>Timeline!AE5</f>
        <v/>
      </c>
      <c r="AF5" s="43">
        <f>Timeline!AF5</f>
        <v/>
      </c>
      <c r="AG5" s="43">
        <f>Timeline!AG5</f>
        <v/>
      </c>
      <c r="AH5" s="43">
        <f>Timeline!AH5</f>
        <v/>
      </c>
      <c r="AI5" s="43">
        <f>Timeline!AI5</f>
        <v/>
      </c>
      <c r="AJ5" s="43">
        <f>Timeline!AJ5</f>
        <v/>
      </c>
      <c r="AK5" s="43">
        <f>Timeline!AK5</f>
        <v/>
      </c>
      <c r="AL5" s="43">
        <f>Timeline!AL5</f>
        <v/>
      </c>
      <c r="AM5" s="43">
        <f>Timeline!AM5</f>
        <v/>
      </c>
      <c r="AN5" s="43">
        <f>Timeline!AN5</f>
        <v/>
      </c>
      <c r="AO5" s="43">
        <f>Timeline!AO5</f>
        <v/>
      </c>
      <c r="AP5" s="43">
        <f>Timeline!AP5</f>
        <v/>
      </c>
      <c r="AQ5" s="43">
        <f>Timeline!AQ5</f>
        <v/>
      </c>
      <c r="AR5" s="43">
        <f>Timeline!AR5</f>
        <v/>
      </c>
      <c r="AS5" s="43">
        <f>Timeline!AS5</f>
        <v/>
      </c>
      <c r="AT5" s="43">
        <f>Timeline!AT5</f>
        <v/>
      </c>
      <c r="AU5" s="43">
        <f>Timeline!AU5</f>
        <v/>
      </c>
      <c r="AV5" s="43">
        <f>Timeline!AV5</f>
        <v/>
      </c>
      <c r="AW5" s="43">
        <f>Timeline!AW5</f>
        <v/>
      </c>
      <c r="AX5" s="43">
        <f>Timeline!AX5</f>
        <v/>
      </c>
      <c r="AY5" s="43">
        <f>Timeline!AY5</f>
        <v/>
      </c>
      <c r="AZ5" s="43">
        <f>Timeline!AZ5</f>
        <v/>
      </c>
      <c r="BA5" s="43">
        <f>Timeline!BA5</f>
        <v/>
      </c>
      <c r="BB5" s="43">
        <f>Timeline!BB5</f>
        <v/>
      </c>
      <c r="BC5" s="43">
        <f>Timeline!BC5</f>
        <v/>
      </c>
      <c r="BD5" s="43">
        <f>Timeline!BD5</f>
        <v/>
      </c>
      <c r="BE5" s="43">
        <f>Timeline!BE5</f>
        <v/>
      </c>
      <c r="BF5" s="43">
        <f>Timeline!BF5</f>
        <v/>
      </c>
      <c r="BG5" s="43">
        <f>Timeline!BG5</f>
        <v/>
      </c>
      <c r="BH5" s="43">
        <f>Timeline!BH5</f>
        <v/>
      </c>
      <c r="BI5" s="43">
        <f>Timeline!BI5</f>
        <v/>
      </c>
      <c r="BJ5" s="43">
        <f>Timeline!BJ5</f>
        <v/>
      </c>
      <c r="BK5" s="43">
        <f>Timeline!BK5</f>
        <v/>
      </c>
      <c r="BL5" s="43">
        <f>Timeline!BL5</f>
        <v/>
      </c>
    </row>
    <row r="6">
      <c r="A6" s="40" t="inlineStr">
        <is>
          <t>Year #</t>
        </is>
      </c>
      <c r="B6" s="41" t="n"/>
      <c r="C6" s="41" t="n"/>
      <c r="D6" s="40" t="n"/>
      <c r="E6" s="42">
        <f>Timeline!E6</f>
        <v/>
      </c>
      <c r="F6" s="42">
        <f>Timeline!F6</f>
        <v/>
      </c>
      <c r="G6" s="42">
        <f>Timeline!G6</f>
        <v/>
      </c>
      <c r="H6" s="42">
        <f>Timeline!H6</f>
        <v/>
      </c>
      <c r="I6" s="42">
        <f>Timeline!I6</f>
        <v/>
      </c>
      <c r="J6" s="42">
        <f>Timeline!J6</f>
        <v/>
      </c>
      <c r="K6" s="42">
        <f>Timeline!K6</f>
        <v/>
      </c>
      <c r="L6" s="42">
        <f>Timeline!L6</f>
        <v/>
      </c>
      <c r="M6" s="42">
        <f>Timeline!M6</f>
        <v/>
      </c>
      <c r="N6" s="42">
        <f>Timeline!N6</f>
        <v/>
      </c>
      <c r="O6" s="42">
        <f>Timeline!O6</f>
        <v/>
      </c>
      <c r="P6" s="42">
        <f>Timeline!P6</f>
        <v/>
      </c>
      <c r="Q6" s="42">
        <f>Timeline!Q6</f>
        <v/>
      </c>
      <c r="R6" s="42">
        <f>Timeline!R6</f>
        <v/>
      </c>
      <c r="S6" s="42">
        <f>Timeline!S6</f>
        <v/>
      </c>
      <c r="T6" s="42">
        <f>Timeline!T6</f>
        <v/>
      </c>
      <c r="U6" s="42">
        <f>Timeline!U6</f>
        <v/>
      </c>
      <c r="V6" s="42">
        <f>Timeline!V6</f>
        <v/>
      </c>
      <c r="W6" s="42">
        <f>Timeline!W6</f>
        <v/>
      </c>
      <c r="X6" s="42">
        <f>Timeline!X6</f>
        <v/>
      </c>
      <c r="Y6" s="42">
        <f>Timeline!Y6</f>
        <v/>
      </c>
      <c r="Z6" s="42">
        <f>Timeline!Z6</f>
        <v/>
      </c>
      <c r="AA6" s="42">
        <f>Timeline!AA6</f>
        <v/>
      </c>
      <c r="AB6" s="42">
        <f>Timeline!AB6</f>
        <v/>
      </c>
      <c r="AC6" s="42">
        <f>Timeline!AC6</f>
        <v/>
      </c>
      <c r="AD6" s="42">
        <f>Timeline!AD6</f>
        <v/>
      </c>
      <c r="AE6" s="42">
        <f>Timeline!AE6</f>
        <v/>
      </c>
      <c r="AF6" s="42">
        <f>Timeline!AF6</f>
        <v/>
      </c>
      <c r="AG6" s="42">
        <f>Timeline!AG6</f>
        <v/>
      </c>
      <c r="AH6" s="42">
        <f>Timeline!AH6</f>
        <v/>
      </c>
      <c r="AI6" s="42">
        <f>Timeline!AI6</f>
        <v/>
      </c>
      <c r="AJ6" s="42">
        <f>Timeline!AJ6</f>
        <v/>
      </c>
      <c r="AK6" s="42">
        <f>Timeline!AK6</f>
        <v/>
      </c>
      <c r="AL6" s="42">
        <f>Timeline!AL6</f>
        <v/>
      </c>
      <c r="AM6" s="42">
        <f>Timeline!AM6</f>
        <v/>
      </c>
      <c r="AN6" s="42">
        <f>Timeline!AN6</f>
        <v/>
      </c>
      <c r="AO6" s="42">
        <f>Timeline!AO6</f>
        <v/>
      </c>
      <c r="AP6" s="42">
        <f>Timeline!AP6</f>
        <v/>
      </c>
      <c r="AQ6" s="42">
        <f>Timeline!AQ6</f>
        <v/>
      </c>
      <c r="AR6" s="42">
        <f>Timeline!AR6</f>
        <v/>
      </c>
      <c r="AS6" s="42">
        <f>Timeline!AS6</f>
        <v/>
      </c>
      <c r="AT6" s="42">
        <f>Timeline!AT6</f>
        <v/>
      </c>
      <c r="AU6" s="42">
        <f>Timeline!AU6</f>
        <v/>
      </c>
      <c r="AV6" s="42">
        <f>Timeline!AV6</f>
        <v/>
      </c>
      <c r="AW6" s="42">
        <f>Timeline!AW6</f>
        <v/>
      </c>
      <c r="AX6" s="42">
        <f>Timeline!AX6</f>
        <v/>
      </c>
      <c r="AY6" s="42">
        <f>Timeline!AY6</f>
        <v/>
      </c>
      <c r="AZ6" s="42">
        <f>Timeline!AZ6</f>
        <v/>
      </c>
      <c r="BA6" s="42">
        <f>Timeline!BA6</f>
        <v/>
      </c>
      <c r="BB6" s="42">
        <f>Timeline!BB6</f>
        <v/>
      </c>
      <c r="BC6" s="42">
        <f>Timeline!BC6</f>
        <v/>
      </c>
      <c r="BD6" s="42">
        <f>Timeline!BD6</f>
        <v/>
      </c>
      <c r="BE6" s="42">
        <f>Timeline!BE6</f>
        <v/>
      </c>
      <c r="BF6" s="42">
        <f>Timeline!BF6</f>
        <v/>
      </c>
      <c r="BG6" s="42">
        <f>Timeline!BG6</f>
        <v/>
      </c>
      <c r="BH6" s="42">
        <f>Timeline!BH6</f>
        <v/>
      </c>
      <c r="BI6" s="42">
        <f>Timeline!BI6</f>
        <v/>
      </c>
      <c r="BJ6" s="42">
        <f>Timeline!BJ6</f>
        <v/>
      </c>
      <c r="BK6" s="42">
        <f>Timeline!BK6</f>
        <v/>
      </c>
      <c r="BL6" s="42">
        <f>Timeline!BL6</f>
        <v/>
      </c>
    </row>
    <row r="7"/>
    <row r="8">
      <c r="A8" s="11" t="inlineStr">
        <is>
          <t>EQUITY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  <c r="BJ8" s="12" t="n"/>
      <c r="BK8" s="12" t="n"/>
      <c r="BL8" s="12" t="n"/>
    </row>
    <row r="9">
      <c r="A9" s="44" t="inlineStr">
        <is>
          <t>Initial equity injection</t>
        </is>
      </c>
      <c r="B9" s="13" t="inlineStr">
        <is>
          <t>LCY</t>
        </is>
      </c>
      <c r="C9" s="45">
        <f>SUM(E9:BL9)</f>
        <v/>
      </c>
      <c r="E9" s="25">
        <f>IF(E$4=1,Inputs!$C$38,0)</f>
        <v/>
      </c>
      <c r="F9" s="25">
        <f>IF(F$4=1,Inputs!$C$38,0)</f>
        <v/>
      </c>
      <c r="G9" s="25">
        <f>IF(G$4=1,Inputs!$C$38,0)</f>
        <v/>
      </c>
      <c r="H9" s="25">
        <f>IF(H$4=1,Inputs!$C$38,0)</f>
        <v/>
      </c>
      <c r="I9" s="25">
        <f>IF(I$4=1,Inputs!$C$38,0)</f>
        <v/>
      </c>
      <c r="J9" s="25">
        <f>IF(J$4=1,Inputs!$C$38,0)</f>
        <v/>
      </c>
      <c r="K9" s="25">
        <f>IF(K$4=1,Inputs!$C$38,0)</f>
        <v/>
      </c>
      <c r="L9" s="25">
        <f>IF(L$4=1,Inputs!$C$38,0)</f>
        <v/>
      </c>
      <c r="M9" s="25">
        <f>IF(M$4=1,Inputs!$C$38,0)</f>
        <v/>
      </c>
      <c r="N9" s="25">
        <f>IF(N$4=1,Inputs!$C$38,0)</f>
        <v/>
      </c>
      <c r="O9" s="25">
        <f>IF(O$4=1,Inputs!$C$38,0)</f>
        <v/>
      </c>
      <c r="P9" s="25">
        <f>IF(P$4=1,Inputs!$C$38,0)</f>
        <v/>
      </c>
      <c r="Q9" s="25">
        <f>IF(Q$4=1,Inputs!$C$38,0)</f>
        <v/>
      </c>
      <c r="R9" s="25">
        <f>IF(R$4=1,Inputs!$C$38,0)</f>
        <v/>
      </c>
      <c r="S9" s="25">
        <f>IF(S$4=1,Inputs!$C$38,0)</f>
        <v/>
      </c>
      <c r="T9" s="25">
        <f>IF(T$4=1,Inputs!$C$38,0)</f>
        <v/>
      </c>
      <c r="U9" s="25">
        <f>IF(U$4=1,Inputs!$C$38,0)</f>
        <v/>
      </c>
      <c r="V9" s="25">
        <f>IF(V$4=1,Inputs!$C$38,0)</f>
        <v/>
      </c>
      <c r="W9" s="25">
        <f>IF(W$4=1,Inputs!$C$38,0)</f>
        <v/>
      </c>
      <c r="X9" s="25">
        <f>IF(X$4=1,Inputs!$C$38,0)</f>
        <v/>
      </c>
      <c r="Y9" s="25">
        <f>IF(Y$4=1,Inputs!$C$38,0)</f>
        <v/>
      </c>
      <c r="Z9" s="25">
        <f>IF(Z$4=1,Inputs!$C$38,0)</f>
        <v/>
      </c>
      <c r="AA9" s="25">
        <f>IF(AA$4=1,Inputs!$C$38,0)</f>
        <v/>
      </c>
      <c r="AB9" s="25">
        <f>IF(AB$4=1,Inputs!$C$38,0)</f>
        <v/>
      </c>
      <c r="AC9" s="25">
        <f>IF(AC$4=1,Inputs!$C$38,0)</f>
        <v/>
      </c>
      <c r="AD9" s="25">
        <f>IF(AD$4=1,Inputs!$C$38,0)</f>
        <v/>
      </c>
      <c r="AE9" s="25">
        <f>IF(AE$4=1,Inputs!$C$38,0)</f>
        <v/>
      </c>
      <c r="AF9" s="25">
        <f>IF(AF$4=1,Inputs!$C$38,0)</f>
        <v/>
      </c>
      <c r="AG9" s="25">
        <f>IF(AG$4=1,Inputs!$C$38,0)</f>
        <v/>
      </c>
      <c r="AH9" s="25">
        <f>IF(AH$4=1,Inputs!$C$38,0)</f>
        <v/>
      </c>
      <c r="AI9" s="25">
        <f>IF(AI$4=1,Inputs!$C$38,0)</f>
        <v/>
      </c>
      <c r="AJ9" s="25">
        <f>IF(AJ$4=1,Inputs!$C$38,0)</f>
        <v/>
      </c>
      <c r="AK9" s="25">
        <f>IF(AK$4=1,Inputs!$C$38,0)</f>
        <v/>
      </c>
      <c r="AL9" s="25">
        <f>IF(AL$4=1,Inputs!$C$38,0)</f>
        <v/>
      </c>
      <c r="AM9" s="25">
        <f>IF(AM$4=1,Inputs!$C$38,0)</f>
        <v/>
      </c>
      <c r="AN9" s="25">
        <f>IF(AN$4=1,Inputs!$C$38,0)</f>
        <v/>
      </c>
      <c r="AO9" s="25">
        <f>IF(AO$4=1,Inputs!$C$38,0)</f>
        <v/>
      </c>
      <c r="AP9" s="25">
        <f>IF(AP$4=1,Inputs!$C$38,0)</f>
        <v/>
      </c>
      <c r="AQ9" s="25">
        <f>IF(AQ$4=1,Inputs!$C$38,0)</f>
        <v/>
      </c>
      <c r="AR9" s="25">
        <f>IF(AR$4=1,Inputs!$C$38,0)</f>
        <v/>
      </c>
      <c r="AS9" s="25">
        <f>IF(AS$4=1,Inputs!$C$38,0)</f>
        <v/>
      </c>
      <c r="AT9" s="25">
        <f>IF(AT$4=1,Inputs!$C$38,0)</f>
        <v/>
      </c>
      <c r="AU9" s="25">
        <f>IF(AU$4=1,Inputs!$C$38,0)</f>
        <v/>
      </c>
      <c r="AV9" s="25">
        <f>IF(AV$4=1,Inputs!$C$38,0)</f>
        <v/>
      </c>
      <c r="AW9" s="25">
        <f>IF(AW$4=1,Inputs!$C$38,0)</f>
        <v/>
      </c>
      <c r="AX9" s="25">
        <f>IF(AX$4=1,Inputs!$C$38,0)</f>
        <v/>
      </c>
      <c r="AY9" s="25">
        <f>IF(AY$4=1,Inputs!$C$38,0)</f>
        <v/>
      </c>
      <c r="AZ9" s="25">
        <f>IF(AZ$4=1,Inputs!$C$38,0)</f>
        <v/>
      </c>
      <c r="BA9" s="25">
        <f>IF(BA$4=1,Inputs!$C$38,0)</f>
        <v/>
      </c>
      <c r="BB9" s="25">
        <f>IF(BB$4=1,Inputs!$C$38,0)</f>
        <v/>
      </c>
      <c r="BC9" s="25">
        <f>IF(BC$4=1,Inputs!$C$38,0)</f>
        <v/>
      </c>
      <c r="BD9" s="25">
        <f>IF(BD$4=1,Inputs!$C$38,0)</f>
        <v/>
      </c>
      <c r="BE9" s="25">
        <f>IF(BE$4=1,Inputs!$C$38,0)</f>
        <v/>
      </c>
      <c r="BF9" s="25">
        <f>IF(BF$4=1,Inputs!$C$38,0)</f>
        <v/>
      </c>
      <c r="BG9" s="25">
        <f>IF(BG$4=1,Inputs!$C$38,0)</f>
        <v/>
      </c>
      <c r="BH9" s="25">
        <f>IF(BH$4=1,Inputs!$C$38,0)</f>
        <v/>
      </c>
      <c r="BI9" s="25">
        <f>IF(BI$4=1,Inputs!$C$38,0)</f>
        <v/>
      </c>
      <c r="BJ9" s="25">
        <f>IF(BJ$4=1,Inputs!$C$38,0)</f>
        <v/>
      </c>
      <c r="BK9" s="25">
        <f>IF(BK$4=1,Inputs!$C$38,0)</f>
        <v/>
      </c>
      <c r="BL9" s="25">
        <f>IF(BL$4=1,Inputs!$C$38,0)</f>
        <v/>
      </c>
    </row>
    <row r="10">
      <c r="A10" s="44" t="inlineStr">
        <is>
          <t>Automatic equity top-up (funding requirement)</t>
        </is>
      </c>
      <c r="B10" s="13" t="inlineStr">
        <is>
          <t>LCY</t>
        </is>
      </c>
      <c r="C10" s="45">
        <f>SUM(E10:BL10)</f>
        <v/>
      </c>
      <c r="E10" s="25">
        <f>FS!E$59</f>
        <v/>
      </c>
      <c r="F10" s="25">
        <f>FS!F$59</f>
        <v/>
      </c>
      <c r="G10" s="25">
        <f>FS!G$59</f>
        <v/>
      </c>
      <c r="H10" s="25">
        <f>FS!H$59</f>
        <v/>
      </c>
      <c r="I10" s="25">
        <f>FS!I$59</f>
        <v/>
      </c>
      <c r="J10" s="25">
        <f>FS!J$59</f>
        <v/>
      </c>
      <c r="K10" s="25">
        <f>FS!K$59</f>
        <v/>
      </c>
      <c r="L10" s="25">
        <f>FS!L$59</f>
        <v/>
      </c>
      <c r="M10" s="25">
        <f>FS!M$59</f>
        <v/>
      </c>
      <c r="N10" s="25">
        <f>FS!N$59</f>
        <v/>
      </c>
      <c r="O10" s="25">
        <f>FS!O$59</f>
        <v/>
      </c>
      <c r="P10" s="25">
        <f>FS!P$59</f>
        <v/>
      </c>
      <c r="Q10" s="25">
        <f>FS!Q$59</f>
        <v/>
      </c>
      <c r="R10" s="25">
        <f>FS!R$59</f>
        <v/>
      </c>
      <c r="S10" s="25">
        <f>FS!S$59</f>
        <v/>
      </c>
      <c r="T10" s="25">
        <f>FS!T$59</f>
        <v/>
      </c>
      <c r="U10" s="25">
        <f>FS!U$59</f>
        <v/>
      </c>
      <c r="V10" s="25">
        <f>FS!V$59</f>
        <v/>
      </c>
      <c r="W10" s="25">
        <f>FS!W$59</f>
        <v/>
      </c>
      <c r="X10" s="25">
        <f>FS!X$59</f>
        <v/>
      </c>
      <c r="Y10" s="25">
        <f>FS!Y$59</f>
        <v/>
      </c>
      <c r="Z10" s="25">
        <f>FS!Z$59</f>
        <v/>
      </c>
      <c r="AA10" s="25">
        <f>FS!AA$59</f>
        <v/>
      </c>
      <c r="AB10" s="25">
        <f>FS!AB$59</f>
        <v/>
      </c>
      <c r="AC10" s="25">
        <f>FS!AC$59</f>
        <v/>
      </c>
      <c r="AD10" s="25">
        <f>FS!AD$59</f>
        <v/>
      </c>
      <c r="AE10" s="25">
        <f>FS!AE$59</f>
        <v/>
      </c>
      <c r="AF10" s="25">
        <f>FS!AF$59</f>
        <v/>
      </c>
      <c r="AG10" s="25">
        <f>FS!AG$59</f>
        <v/>
      </c>
      <c r="AH10" s="25">
        <f>FS!AH$59</f>
        <v/>
      </c>
      <c r="AI10" s="25">
        <f>FS!AI$59</f>
        <v/>
      </c>
      <c r="AJ10" s="25">
        <f>FS!AJ$59</f>
        <v/>
      </c>
      <c r="AK10" s="25">
        <f>FS!AK$59</f>
        <v/>
      </c>
      <c r="AL10" s="25">
        <f>FS!AL$59</f>
        <v/>
      </c>
      <c r="AM10" s="25">
        <f>FS!AM$59</f>
        <v/>
      </c>
      <c r="AN10" s="25">
        <f>FS!AN$59</f>
        <v/>
      </c>
      <c r="AO10" s="25">
        <f>FS!AO$59</f>
        <v/>
      </c>
      <c r="AP10" s="25">
        <f>FS!AP$59</f>
        <v/>
      </c>
      <c r="AQ10" s="25">
        <f>FS!AQ$59</f>
        <v/>
      </c>
      <c r="AR10" s="25">
        <f>FS!AR$59</f>
        <v/>
      </c>
      <c r="AS10" s="25">
        <f>FS!AS$59</f>
        <v/>
      </c>
      <c r="AT10" s="25">
        <f>FS!AT$59</f>
        <v/>
      </c>
      <c r="AU10" s="25">
        <f>FS!AU$59</f>
        <v/>
      </c>
      <c r="AV10" s="25">
        <f>FS!AV$59</f>
        <v/>
      </c>
      <c r="AW10" s="25">
        <f>FS!AW$59</f>
        <v/>
      </c>
      <c r="AX10" s="25">
        <f>FS!AX$59</f>
        <v/>
      </c>
      <c r="AY10" s="25">
        <f>FS!AY$59</f>
        <v/>
      </c>
      <c r="AZ10" s="25">
        <f>FS!AZ$59</f>
        <v/>
      </c>
      <c r="BA10" s="25">
        <f>FS!BA$59</f>
        <v/>
      </c>
      <c r="BB10" s="25">
        <f>FS!BB$59</f>
        <v/>
      </c>
      <c r="BC10" s="25">
        <f>FS!BC$59</f>
        <v/>
      </c>
      <c r="BD10" s="25">
        <f>FS!BD$59</f>
        <v/>
      </c>
      <c r="BE10" s="25">
        <f>FS!BE$59</f>
        <v/>
      </c>
      <c r="BF10" s="25">
        <f>FS!BF$59</f>
        <v/>
      </c>
      <c r="BG10" s="25">
        <f>FS!BG$59</f>
        <v/>
      </c>
      <c r="BH10" s="25">
        <f>FS!BH$59</f>
        <v/>
      </c>
      <c r="BI10" s="25">
        <f>FS!BI$59</f>
        <v/>
      </c>
      <c r="BJ10" s="25">
        <f>FS!BJ$59</f>
        <v/>
      </c>
      <c r="BK10" s="25">
        <f>FS!BK$59</f>
        <v/>
      </c>
      <c r="BL10" s="25">
        <f>FS!BL$59</f>
        <v/>
      </c>
    </row>
    <row r="11">
      <c r="A11" s="44" t="inlineStr">
        <is>
          <t>Cumulative equity invested</t>
        </is>
      </c>
      <c r="B11" s="13" t="inlineStr">
        <is>
          <t>LCY</t>
        </is>
      </c>
      <c r="C11" s="45">
        <f>BL11</f>
        <v/>
      </c>
      <c r="E11" s="25">
        <f>D11+E9+E10</f>
        <v/>
      </c>
      <c r="F11" s="25">
        <f>E11+F9+F10</f>
        <v/>
      </c>
      <c r="G11" s="25">
        <f>F11+G9+G10</f>
        <v/>
      </c>
      <c r="H11" s="25">
        <f>G11+H9+H10</f>
        <v/>
      </c>
      <c r="I11" s="25">
        <f>H11+I9+I10</f>
        <v/>
      </c>
      <c r="J11" s="25">
        <f>I11+J9+J10</f>
        <v/>
      </c>
      <c r="K11" s="25">
        <f>J11+K9+K10</f>
        <v/>
      </c>
      <c r="L11" s="25">
        <f>K11+L9+L10</f>
        <v/>
      </c>
      <c r="M11" s="25">
        <f>L11+M9+M10</f>
        <v/>
      </c>
      <c r="N11" s="25">
        <f>M11+N9+N10</f>
        <v/>
      </c>
      <c r="O11" s="25">
        <f>N11+O9+O10</f>
        <v/>
      </c>
      <c r="P11" s="25">
        <f>O11+P9+P10</f>
        <v/>
      </c>
      <c r="Q11" s="25">
        <f>P11+Q9+Q10</f>
        <v/>
      </c>
      <c r="R11" s="25">
        <f>Q11+R9+R10</f>
        <v/>
      </c>
      <c r="S11" s="25">
        <f>R11+S9+S10</f>
        <v/>
      </c>
      <c r="T11" s="25">
        <f>S11+T9+T10</f>
        <v/>
      </c>
      <c r="U11" s="25">
        <f>T11+U9+U10</f>
        <v/>
      </c>
      <c r="V11" s="25">
        <f>U11+V9+V10</f>
        <v/>
      </c>
      <c r="W11" s="25">
        <f>V11+W9+W10</f>
        <v/>
      </c>
      <c r="X11" s="25">
        <f>W11+X9+X10</f>
        <v/>
      </c>
      <c r="Y11" s="25">
        <f>X11+Y9+Y10</f>
        <v/>
      </c>
      <c r="Z11" s="25">
        <f>Y11+Z9+Z10</f>
        <v/>
      </c>
      <c r="AA11" s="25">
        <f>Z11+AA9+AA10</f>
        <v/>
      </c>
      <c r="AB11" s="25">
        <f>AA11+AB9+AB10</f>
        <v/>
      </c>
      <c r="AC11" s="25">
        <f>AB11+AC9+AC10</f>
        <v/>
      </c>
      <c r="AD11" s="25">
        <f>AC11+AD9+AD10</f>
        <v/>
      </c>
      <c r="AE11" s="25">
        <f>AD11+AE9+AE10</f>
        <v/>
      </c>
      <c r="AF11" s="25">
        <f>AE11+AF9+AF10</f>
        <v/>
      </c>
      <c r="AG11" s="25">
        <f>AF11+AG9+AG10</f>
        <v/>
      </c>
      <c r="AH11" s="25">
        <f>AG11+AH9+AH10</f>
        <v/>
      </c>
      <c r="AI11" s="25">
        <f>AH11+AI9+AI10</f>
        <v/>
      </c>
      <c r="AJ11" s="25">
        <f>AI11+AJ9+AJ10</f>
        <v/>
      </c>
      <c r="AK11" s="25">
        <f>AJ11+AK9+AK10</f>
        <v/>
      </c>
      <c r="AL11" s="25">
        <f>AK11+AL9+AL10</f>
        <v/>
      </c>
      <c r="AM11" s="25">
        <f>AL11+AM9+AM10</f>
        <v/>
      </c>
      <c r="AN11" s="25">
        <f>AM11+AN9+AN10</f>
        <v/>
      </c>
      <c r="AO11" s="25">
        <f>AN11+AO9+AO10</f>
        <v/>
      </c>
      <c r="AP11" s="25">
        <f>AO11+AP9+AP10</f>
        <v/>
      </c>
      <c r="AQ11" s="25">
        <f>AP11+AQ9+AQ10</f>
        <v/>
      </c>
      <c r="AR11" s="25">
        <f>AQ11+AR9+AR10</f>
        <v/>
      </c>
      <c r="AS11" s="25">
        <f>AR11+AS9+AS10</f>
        <v/>
      </c>
      <c r="AT11" s="25">
        <f>AS11+AT9+AT10</f>
        <v/>
      </c>
      <c r="AU11" s="25">
        <f>AT11+AU9+AU10</f>
        <v/>
      </c>
      <c r="AV11" s="25">
        <f>AU11+AV9+AV10</f>
        <v/>
      </c>
      <c r="AW11" s="25">
        <f>AV11+AW9+AW10</f>
        <v/>
      </c>
      <c r="AX11" s="25">
        <f>AW11+AX9+AX10</f>
        <v/>
      </c>
      <c r="AY11" s="25">
        <f>AX11+AY9+AY10</f>
        <v/>
      </c>
      <c r="AZ11" s="25">
        <f>AY11+AZ9+AZ10</f>
        <v/>
      </c>
      <c r="BA11" s="25">
        <f>AZ11+BA9+BA10</f>
        <v/>
      </c>
      <c r="BB11" s="25">
        <f>BA11+BB9+BB10</f>
        <v/>
      </c>
      <c r="BC11" s="25">
        <f>BB11+BC9+BC10</f>
        <v/>
      </c>
      <c r="BD11" s="25">
        <f>BC11+BD9+BD10</f>
        <v/>
      </c>
      <c r="BE11" s="25">
        <f>BD11+BE9+BE10</f>
        <v/>
      </c>
      <c r="BF11" s="25">
        <f>BE11+BF9+BF10</f>
        <v/>
      </c>
      <c r="BG11" s="25">
        <f>BF11+BG9+BG10</f>
        <v/>
      </c>
      <c r="BH11" s="25">
        <f>BG11+BH9+BH10</f>
        <v/>
      </c>
      <c r="BI11" s="25">
        <f>BH11+BI9+BI10</f>
        <v/>
      </c>
      <c r="BJ11" s="25">
        <f>BI11+BJ9+BJ10</f>
        <v/>
      </c>
      <c r="BK11" s="25">
        <f>BJ11+BK9+BK10</f>
        <v/>
      </c>
      <c r="BL11" s="25">
        <f>BK11+BL9+BL10</f>
        <v/>
      </c>
    </row>
    <row r="12">
      <c r="A12" s="11" t="inlineStr">
        <is>
          <t>USD TERM LOAN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  <c r="AW12" s="12" t="n"/>
      <c r="AX12" s="12" t="n"/>
      <c r="AY12" s="12" t="n"/>
      <c r="AZ12" s="12" t="n"/>
      <c r="BA12" s="12" t="n"/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2" t="n"/>
      <c r="BK12" s="12" t="n"/>
      <c r="BL12" s="12" t="n"/>
    </row>
    <row r="13">
      <c r="A13" s="44" t="inlineStr">
        <is>
          <t>Drawdown (USD)</t>
        </is>
      </c>
      <c r="B13" s="13" t="inlineStr">
        <is>
          <t>USD</t>
        </is>
      </c>
      <c r="C13" s="45">
        <f>SUM(E13:BL13)</f>
        <v/>
      </c>
      <c r="E13" s="25">
        <f>IF(E$4=Inputs!$C$40,Inputs!$C$39,0)</f>
        <v/>
      </c>
      <c r="F13" s="25">
        <f>IF(F$4=Inputs!$C$40,Inputs!$C$39,0)</f>
        <v/>
      </c>
      <c r="G13" s="25">
        <f>IF(G$4=Inputs!$C$40,Inputs!$C$39,0)</f>
        <v/>
      </c>
      <c r="H13" s="25">
        <f>IF(H$4=Inputs!$C$40,Inputs!$C$39,0)</f>
        <v/>
      </c>
      <c r="I13" s="25">
        <f>IF(I$4=Inputs!$C$40,Inputs!$C$39,0)</f>
        <v/>
      </c>
      <c r="J13" s="25">
        <f>IF(J$4=Inputs!$C$40,Inputs!$C$39,0)</f>
        <v/>
      </c>
      <c r="K13" s="25">
        <f>IF(K$4=Inputs!$C$40,Inputs!$C$39,0)</f>
        <v/>
      </c>
      <c r="L13" s="25">
        <f>IF(L$4=Inputs!$C$40,Inputs!$C$39,0)</f>
        <v/>
      </c>
      <c r="M13" s="25">
        <f>IF(M$4=Inputs!$C$40,Inputs!$C$39,0)</f>
        <v/>
      </c>
      <c r="N13" s="25">
        <f>IF(N$4=Inputs!$C$40,Inputs!$C$39,0)</f>
        <v/>
      </c>
      <c r="O13" s="25">
        <f>IF(O$4=Inputs!$C$40,Inputs!$C$39,0)</f>
        <v/>
      </c>
      <c r="P13" s="25">
        <f>IF(P$4=Inputs!$C$40,Inputs!$C$39,0)</f>
        <v/>
      </c>
      <c r="Q13" s="25">
        <f>IF(Q$4=Inputs!$C$40,Inputs!$C$39,0)</f>
        <v/>
      </c>
      <c r="R13" s="25">
        <f>IF(R$4=Inputs!$C$40,Inputs!$C$39,0)</f>
        <v/>
      </c>
      <c r="S13" s="25">
        <f>IF(S$4=Inputs!$C$40,Inputs!$C$39,0)</f>
        <v/>
      </c>
      <c r="T13" s="25">
        <f>IF(T$4=Inputs!$C$40,Inputs!$C$39,0)</f>
        <v/>
      </c>
      <c r="U13" s="25">
        <f>IF(U$4=Inputs!$C$40,Inputs!$C$39,0)</f>
        <v/>
      </c>
      <c r="V13" s="25">
        <f>IF(V$4=Inputs!$C$40,Inputs!$C$39,0)</f>
        <v/>
      </c>
      <c r="W13" s="25">
        <f>IF(W$4=Inputs!$C$40,Inputs!$C$39,0)</f>
        <v/>
      </c>
      <c r="X13" s="25">
        <f>IF(X$4=Inputs!$C$40,Inputs!$C$39,0)</f>
        <v/>
      </c>
      <c r="Y13" s="25">
        <f>IF(Y$4=Inputs!$C$40,Inputs!$C$39,0)</f>
        <v/>
      </c>
      <c r="Z13" s="25">
        <f>IF(Z$4=Inputs!$C$40,Inputs!$C$39,0)</f>
        <v/>
      </c>
      <c r="AA13" s="25">
        <f>IF(AA$4=Inputs!$C$40,Inputs!$C$39,0)</f>
        <v/>
      </c>
      <c r="AB13" s="25">
        <f>IF(AB$4=Inputs!$C$40,Inputs!$C$39,0)</f>
        <v/>
      </c>
      <c r="AC13" s="25">
        <f>IF(AC$4=Inputs!$C$40,Inputs!$C$39,0)</f>
        <v/>
      </c>
      <c r="AD13" s="25">
        <f>IF(AD$4=Inputs!$C$40,Inputs!$C$39,0)</f>
        <v/>
      </c>
      <c r="AE13" s="25">
        <f>IF(AE$4=Inputs!$C$40,Inputs!$C$39,0)</f>
        <v/>
      </c>
      <c r="AF13" s="25">
        <f>IF(AF$4=Inputs!$C$40,Inputs!$C$39,0)</f>
        <v/>
      </c>
      <c r="AG13" s="25">
        <f>IF(AG$4=Inputs!$C$40,Inputs!$C$39,0)</f>
        <v/>
      </c>
      <c r="AH13" s="25">
        <f>IF(AH$4=Inputs!$C$40,Inputs!$C$39,0)</f>
        <v/>
      </c>
      <c r="AI13" s="25">
        <f>IF(AI$4=Inputs!$C$40,Inputs!$C$39,0)</f>
        <v/>
      </c>
      <c r="AJ13" s="25">
        <f>IF(AJ$4=Inputs!$C$40,Inputs!$C$39,0)</f>
        <v/>
      </c>
      <c r="AK13" s="25">
        <f>IF(AK$4=Inputs!$C$40,Inputs!$C$39,0)</f>
        <v/>
      </c>
      <c r="AL13" s="25">
        <f>IF(AL$4=Inputs!$C$40,Inputs!$C$39,0)</f>
        <v/>
      </c>
      <c r="AM13" s="25">
        <f>IF(AM$4=Inputs!$C$40,Inputs!$C$39,0)</f>
        <v/>
      </c>
      <c r="AN13" s="25">
        <f>IF(AN$4=Inputs!$C$40,Inputs!$C$39,0)</f>
        <v/>
      </c>
      <c r="AO13" s="25">
        <f>IF(AO$4=Inputs!$C$40,Inputs!$C$39,0)</f>
        <v/>
      </c>
      <c r="AP13" s="25">
        <f>IF(AP$4=Inputs!$C$40,Inputs!$C$39,0)</f>
        <v/>
      </c>
      <c r="AQ13" s="25">
        <f>IF(AQ$4=Inputs!$C$40,Inputs!$C$39,0)</f>
        <v/>
      </c>
      <c r="AR13" s="25">
        <f>IF(AR$4=Inputs!$C$40,Inputs!$C$39,0)</f>
        <v/>
      </c>
      <c r="AS13" s="25">
        <f>IF(AS$4=Inputs!$C$40,Inputs!$C$39,0)</f>
        <v/>
      </c>
      <c r="AT13" s="25">
        <f>IF(AT$4=Inputs!$C$40,Inputs!$C$39,0)</f>
        <v/>
      </c>
      <c r="AU13" s="25">
        <f>IF(AU$4=Inputs!$C$40,Inputs!$C$39,0)</f>
        <v/>
      </c>
      <c r="AV13" s="25">
        <f>IF(AV$4=Inputs!$C$40,Inputs!$C$39,0)</f>
        <v/>
      </c>
      <c r="AW13" s="25">
        <f>IF(AW$4=Inputs!$C$40,Inputs!$C$39,0)</f>
        <v/>
      </c>
      <c r="AX13" s="25">
        <f>IF(AX$4=Inputs!$C$40,Inputs!$C$39,0)</f>
        <v/>
      </c>
      <c r="AY13" s="25">
        <f>IF(AY$4=Inputs!$C$40,Inputs!$C$39,0)</f>
        <v/>
      </c>
      <c r="AZ13" s="25">
        <f>IF(AZ$4=Inputs!$C$40,Inputs!$C$39,0)</f>
        <v/>
      </c>
      <c r="BA13" s="25">
        <f>IF(BA$4=Inputs!$C$40,Inputs!$C$39,0)</f>
        <v/>
      </c>
      <c r="BB13" s="25">
        <f>IF(BB$4=Inputs!$C$40,Inputs!$C$39,0)</f>
        <v/>
      </c>
      <c r="BC13" s="25">
        <f>IF(BC$4=Inputs!$C$40,Inputs!$C$39,0)</f>
        <v/>
      </c>
      <c r="BD13" s="25">
        <f>IF(BD$4=Inputs!$C$40,Inputs!$C$39,0)</f>
        <v/>
      </c>
      <c r="BE13" s="25">
        <f>IF(BE$4=Inputs!$C$40,Inputs!$C$39,0)</f>
        <v/>
      </c>
      <c r="BF13" s="25">
        <f>IF(BF$4=Inputs!$C$40,Inputs!$C$39,0)</f>
        <v/>
      </c>
      <c r="BG13" s="25">
        <f>IF(BG$4=Inputs!$C$40,Inputs!$C$39,0)</f>
        <v/>
      </c>
      <c r="BH13" s="25">
        <f>IF(BH$4=Inputs!$C$40,Inputs!$C$39,0)</f>
        <v/>
      </c>
      <c r="BI13" s="25">
        <f>IF(BI$4=Inputs!$C$40,Inputs!$C$39,0)</f>
        <v/>
      </c>
      <c r="BJ13" s="25">
        <f>IF(BJ$4=Inputs!$C$40,Inputs!$C$39,0)</f>
        <v/>
      </c>
      <c r="BK13" s="25">
        <f>IF(BK$4=Inputs!$C$40,Inputs!$C$39,0)</f>
        <v/>
      </c>
      <c r="BL13" s="25">
        <f>IF(BL$4=Inputs!$C$40,Inputs!$C$39,0)</f>
        <v/>
      </c>
    </row>
    <row r="14">
      <c r="A14" s="44" t="inlineStr">
        <is>
          <t>Repayment (USD)</t>
        </is>
      </c>
      <c r="B14" s="13" t="inlineStr">
        <is>
          <t>USD</t>
        </is>
      </c>
      <c r="C14" s="45">
        <f>SUM(E14:BL14)</f>
        <v/>
      </c>
      <c r="E14" s="25">
        <f>IF(AND(E$4&gt;Inputs!$C$40+Inputs!$C$42,E$4&lt;=Inputs!$C$40+Inputs!$C$42+Inputs!$C$43),MIN(D15,Inputs!$C$39/Inputs!$C$43),0)</f>
        <v/>
      </c>
      <c r="F14" s="25">
        <f>IF(AND(F$4&gt;Inputs!$C$40+Inputs!$C$42,F$4&lt;=Inputs!$C$40+Inputs!$C$42+Inputs!$C$43),MIN(E15,Inputs!$C$39/Inputs!$C$43),0)</f>
        <v/>
      </c>
      <c r="G14" s="25">
        <f>IF(AND(G$4&gt;Inputs!$C$40+Inputs!$C$42,G$4&lt;=Inputs!$C$40+Inputs!$C$42+Inputs!$C$43),MIN(F15,Inputs!$C$39/Inputs!$C$43),0)</f>
        <v/>
      </c>
      <c r="H14" s="25">
        <f>IF(AND(H$4&gt;Inputs!$C$40+Inputs!$C$42,H$4&lt;=Inputs!$C$40+Inputs!$C$42+Inputs!$C$43),MIN(G15,Inputs!$C$39/Inputs!$C$43),0)</f>
        <v/>
      </c>
      <c r="I14" s="25">
        <f>IF(AND(I$4&gt;Inputs!$C$40+Inputs!$C$42,I$4&lt;=Inputs!$C$40+Inputs!$C$42+Inputs!$C$43),MIN(H15,Inputs!$C$39/Inputs!$C$43),0)</f>
        <v/>
      </c>
      <c r="J14" s="25">
        <f>IF(AND(J$4&gt;Inputs!$C$40+Inputs!$C$42,J$4&lt;=Inputs!$C$40+Inputs!$C$42+Inputs!$C$43),MIN(I15,Inputs!$C$39/Inputs!$C$43),0)</f>
        <v/>
      </c>
      <c r="K14" s="25">
        <f>IF(AND(K$4&gt;Inputs!$C$40+Inputs!$C$42,K$4&lt;=Inputs!$C$40+Inputs!$C$42+Inputs!$C$43),MIN(J15,Inputs!$C$39/Inputs!$C$43),0)</f>
        <v/>
      </c>
      <c r="L14" s="25">
        <f>IF(AND(L$4&gt;Inputs!$C$40+Inputs!$C$42,L$4&lt;=Inputs!$C$40+Inputs!$C$42+Inputs!$C$43),MIN(K15,Inputs!$C$39/Inputs!$C$43),0)</f>
        <v/>
      </c>
      <c r="M14" s="25">
        <f>IF(AND(M$4&gt;Inputs!$C$40+Inputs!$C$42,M$4&lt;=Inputs!$C$40+Inputs!$C$42+Inputs!$C$43),MIN(L15,Inputs!$C$39/Inputs!$C$43),0)</f>
        <v/>
      </c>
      <c r="N14" s="25">
        <f>IF(AND(N$4&gt;Inputs!$C$40+Inputs!$C$42,N$4&lt;=Inputs!$C$40+Inputs!$C$42+Inputs!$C$43),MIN(M15,Inputs!$C$39/Inputs!$C$43),0)</f>
        <v/>
      </c>
      <c r="O14" s="25">
        <f>IF(AND(O$4&gt;Inputs!$C$40+Inputs!$C$42,O$4&lt;=Inputs!$C$40+Inputs!$C$42+Inputs!$C$43),MIN(N15,Inputs!$C$39/Inputs!$C$43),0)</f>
        <v/>
      </c>
      <c r="P14" s="25">
        <f>IF(AND(P$4&gt;Inputs!$C$40+Inputs!$C$42,P$4&lt;=Inputs!$C$40+Inputs!$C$42+Inputs!$C$43),MIN(O15,Inputs!$C$39/Inputs!$C$43),0)</f>
        <v/>
      </c>
      <c r="Q14" s="25">
        <f>IF(AND(Q$4&gt;Inputs!$C$40+Inputs!$C$42,Q$4&lt;=Inputs!$C$40+Inputs!$C$42+Inputs!$C$43),MIN(P15,Inputs!$C$39/Inputs!$C$43),0)</f>
        <v/>
      </c>
      <c r="R14" s="25">
        <f>IF(AND(R$4&gt;Inputs!$C$40+Inputs!$C$42,R$4&lt;=Inputs!$C$40+Inputs!$C$42+Inputs!$C$43),MIN(Q15,Inputs!$C$39/Inputs!$C$43),0)</f>
        <v/>
      </c>
      <c r="S14" s="25">
        <f>IF(AND(S$4&gt;Inputs!$C$40+Inputs!$C$42,S$4&lt;=Inputs!$C$40+Inputs!$C$42+Inputs!$C$43),MIN(R15,Inputs!$C$39/Inputs!$C$43),0)</f>
        <v/>
      </c>
      <c r="T14" s="25">
        <f>IF(AND(T$4&gt;Inputs!$C$40+Inputs!$C$42,T$4&lt;=Inputs!$C$40+Inputs!$C$42+Inputs!$C$43),MIN(S15,Inputs!$C$39/Inputs!$C$43),0)</f>
        <v/>
      </c>
      <c r="U14" s="25">
        <f>IF(AND(U$4&gt;Inputs!$C$40+Inputs!$C$42,U$4&lt;=Inputs!$C$40+Inputs!$C$42+Inputs!$C$43),MIN(T15,Inputs!$C$39/Inputs!$C$43),0)</f>
        <v/>
      </c>
      <c r="V14" s="25">
        <f>IF(AND(V$4&gt;Inputs!$C$40+Inputs!$C$42,V$4&lt;=Inputs!$C$40+Inputs!$C$42+Inputs!$C$43),MIN(U15,Inputs!$C$39/Inputs!$C$43),0)</f>
        <v/>
      </c>
      <c r="W14" s="25">
        <f>IF(AND(W$4&gt;Inputs!$C$40+Inputs!$C$42,W$4&lt;=Inputs!$C$40+Inputs!$C$42+Inputs!$C$43),MIN(V15,Inputs!$C$39/Inputs!$C$43),0)</f>
        <v/>
      </c>
      <c r="X14" s="25">
        <f>IF(AND(X$4&gt;Inputs!$C$40+Inputs!$C$42,X$4&lt;=Inputs!$C$40+Inputs!$C$42+Inputs!$C$43),MIN(W15,Inputs!$C$39/Inputs!$C$43),0)</f>
        <v/>
      </c>
      <c r="Y14" s="25">
        <f>IF(AND(Y$4&gt;Inputs!$C$40+Inputs!$C$42,Y$4&lt;=Inputs!$C$40+Inputs!$C$42+Inputs!$C$43),MIN(X15,Inputs!$C$39/Inputs!$C$43),0)</f>
        <v/>
      </c>
      <c r="Z14" s="25">
        <f>IF(AND(Z$4&gt;Inputs!$C$40+Inputs!$C$42,Z$4&lt;=Inputs!$C$40+Inputs!$C$42+Inputs!$C$43),MIN(Y15,Inputs!$C$39/Inputs!$C$43),0)</f>
        <v/>
      </c>
      <c r="AA14" s="25">
        <f>IF(AND(AA$4&gt;Inputs!$C$40+Inputs!$C$42,AA$4&lt;=Inputs!$C$40+Inputs!$C$42+Inputs!$C$43),MIN(Z15,Inputs!$C$39/Inputs!$C$43),0)</f>
        <v/>
      </c>
      <c r="AB14" s="25">
        <f>IF(AND(AB$4&gt;Inputs!$C$40+Inputs!$C$42,AB$4&lt;=Inputs!$C$40+Inputs!$C$42+Inputs!$C$43),MIN(AA15,Inputs!$C$39/Inputs!$C$43),0)</f>
        <v/>
      </c>
      <c r="AC14" s="25">
        <f>IF(AND(AC$4&gt;Inputs!$C$40+Inputs!$C$42,AC$4&lt;=Inputs!$C$40+Inputs!$C$42+Inputs!$C$43),MIN(AB15,Inputs!$C$39/Inputs!$C$43),0)</f>
        <v/>
      </c>
      <c r="AD14" s="25">
        <f>IF(AND(AD$4&gt;Inputs!$C$40+Inputs!$C$42,AD$4&lt;=Inputs!$C$40+Inputs!$C$42+Inputs!$C$43),MIN(AC15,Inputs!$C$39/Inputs!$C$43),0)</f>
        <v/>
      </c>
      <c r="AE14" s="25">
        <f>IF(AND(AE$4&gt;Inputs!$C$40+Inputs!$C$42,AE$4&lt;=Inputs!$C$40+Inputs!$C$42+Inputs!$C$43),MIN(AD15,Inputs!$C$39/Inputs!$C$43),0)</f>
        <v/>
      </c>
      <c r="AF14" s="25">
        <f>IF(AND(AF$4&gt;Inputs!$C$40+Inputs!$C$42,AF$4&lt;=Inputs!$C$40+Inputs!$C$42+Inputs!$C$43),MIN(AE15,Inputs!$C$39/Inputs!$C$43),0)</f>
        <v/>
      </c>
      <c r="AG14" s="25">
        <f>IF(AND(AG$4&gt;Inputs!$C$40+Inputs!$C$42,AG$4&lt;=Inputs!$C$40+Inputs!$C$42+Inputs!$C$43),MIN(AF15,Inputs!$C$39/Inputs!$C$43),0)</f>
        <v/>
      </c>
      <c r="AH14" s="25">
        <f>IF(AND(AH$4&gt;Inputs!$C$40+Inputs!$C$42,AH$4&lt;=Inputs!$C$40+Inputs!$C$42+Inputs!$C$43),MIN(AG15,Inputs!$C$39/Inputs!$C$43),0)</f>
        <v/>
      </c>
      <c r="AI14" s="25">
        <f>IF(AND(AI$4&gt;Inputs!$C$40+Inputs!$C$42,AI$4&lt;=Inputs!$C$40+Inputs!$C$42+Inputs!$C$43),MIN(AH15,Inputs!$C$39/Inputs!$C$43),0)</f>
        <v/>
      </c>
      <c r="AJ14" s="25">
        <f>IF(AND(AJ$4&gt;Inputs!$C$40+Inputs!$C$42,AJ$4&lt;=Inputs!$C$40+Inputs!$C$42+Inputs!$C$43),MIN(AI15,Inputs!$C$39/Inputs!$C$43),0)</f>
        <v/>
      </c>
      <c r="AK14" s="25">
        <f>IF(AND(AK$4&gt;Inputs!$C$40+Inputs!$C$42,AK$4&lt;=Inputs!$C$40+Inputs!$C$42+Inputs!$C$43),MIN(AJ15,Inputs!$C$39/Inputs!$C$43),0)</f>
        <v/>
      </c>
      <c r="AL14" s="25">
        <f>IF(AND(AL$4&gt;Inputs!$C$40+Inputs!$C$42,AL$4&lt;=Inputs!$C$40+Inputs!$C$42+Inputs!$C$43),MIN(AK15,Inputs!$C$39/Inputs!$C$43),0)</f>
        <v/>
      </c>
      <c r="AM14" s="25">
        <f>IF(AND(AM$4&gt;Inputs!$C$40+Inputs!$C$42,AM$4&lt;=Inputs!$C$40+Inputs!$C$42+Inputs!$C$43),MIN(AL15,Inputs!$C$39/Inputs!$C$43),0)</f>
        <v/>
      </c>
      <c r="AN14" s="25">
        <f>IF(AND(AN$4&gt;Inputs!$C$40+Inputs!$C$42,AN$4&lt;=Inputs!$C$40+Inputs!$C$42+Inputs!$C$43),MIN(AM15,Inputs!$C$39/Inputs!$C$43),0)</f>
        <v/>
      </c>
      <c r="AO14" s="25">
        <f>IF(AND(AO$4&gt;Inputs!$C$40+Inputs!$C$42,AO$4&lt;=Inputs!$C$40+Inputs!$C$42+Inputs!$C$43),MIN(AN15,Inputs!$C$39/Inputs!$C$43),0)</f>
        <v/>
      </c>
      <c r="AP14" s="25">
        <f>IF(AND(AP$4&gt;Inputs!$C$40+Inputs!$C$42,AP$4&lt;=Inputs!$C$40+Inputs!$C$42+Inputs!$C$43),MIN(AO15,Inputs!$C$39/Inputs!$C$43),0)</f>
        <v/>
      </c>
      <c r="AQ14" s="25">
        <f>IF(AND(AQ$4&gt;Inputs!$C$40+Inputs!$C$42,AQ$4&lt;=Inputs!$C$40+Inputs!$C$42+Inputs!$C$43),MIN(AP15,Inputs!$C$39/Inputs!$C$43),0)</f>
        <v/>
      </c>
      <c r="AR14" s="25">
        <f>IF(AND(AR$4&gt;Inputs!$C$40+Inputs!$C$42,AR$4&lt;=Inputs!$C$40+Inputs!$C$42+Inputs!$C$43),MIN(AQ15,Inputs!$C$39/Inputs!$C$43),0)</f>
        <v/>
      </c>
      <c r="AS14" s="25">
        <f>IF(AND(AS$4&gt;Inputs!$C$40+Inputs!$C$42,AS$4&lt;=Inputs!$C$40+Inputs!$C$42+Inputs!$C$43),MIN(AR15,Inputs!$C$39/Inputs!$C$43),0)</f>
        <v/>
      </c>
      <c r="AT14" s="25">
        <f>IF(AND(AT$4&gt;Inputs!$C$40+Inputs!$C$42,AT$4&lt;=Inputs!$C$40+Inputs!$C$42+Inputs!$C$43),MIN(AS15,Inputs!$C$39/Inputs!$C$43),0)</f>
        <v/>
      </c>
      <c r="AU14" s="25">
        <f>IF(AND(AU$4&gt;Inputs!$C$40+Inputs!$C$42,AU$4&lt;=Inputs!$C$40+Inputs!$C$42+Inputs!$C$43),MIN(AT15,Inputs!$C$39/Inputs!$C$43),0)</f>
        <v/>
      </c>
      <c r="AV14" s="25">
        <f>IF(AND(AV$4&gt;Inputs!$C$40+Inputs!$C$42,AV$4&lt;=Inputs!$C$40+Inputs!$C$42+Inputs!$C$43),MIN(AU15,Inputs!$C$39/Inputs!$C$43),0)</f>
        <v/>
      </c>
      <c r="AW14" s="25">
        <f>IF(AND(AW$4&gt;Inputs!$C$40+Inputs!$C$42,AW$4&lt;=Inputs!$C$40+Inputs!$C$42+Inputs!$C$43),MIN(AV15,Inputs!$C$39/Inputs!$C$43),0)</f>
        <v/>
      </c>
      <c r="AX14" s="25">
        <f>IF(AND(AX$4&gt;Inputs!$C$40+Inputs!$C$42,AX$4&lt;=Inputs!$C$40+Inputs!$C$42+Inputs!$C$43),MIN(AW15,Inputs!$C$39/Inputs!$C$43),0)</f>
        <v/>
      </c>
      <c r="AY14" s="25">
        <f>IF(AND(AY$4&gt;Inputs!$C$40+Inputs!$C$42,AY$4&lt;=Inputs!$C$40+Inputs!$C$42+Inputs!$C$43),MIN(AX15,Inputs!$C$39/Inputs!$C$43),0)</f>
        <v/>
      </c>
      <c r="AZ14" s="25">
        <f>IF(AND(AZ$4&gt;Inputs!$C$40+Inputs!$C$42,AZ$4&lt;=Inputs!$C$40+Inputs!$C$42+Inputs!$C$43),MIN(AY15,Inputs!$C$39/Inputs!$C$43),0)</f>
        <v/>
      </c>
      <c r="BA14" s="25">
        <f>IF(AND(BA$4&gt;Inputs!$C$40+Inputs!$C$42,BA$4&lt;=Inputs!$C$40+Inputs!$C$42+Inputs!$C$43),MIN(AZ15,Inputs!$C$39/Inputs!$C$43),0)</f>
        <v/>
      </c>
      <c r="BB14" s="25">
        <f>IF(AND(BB$4&gt;Inputs!$C$40+Inputs!$C$42,BB$4&lt;=Inputs!$C$40+Inputs!$C$42+Inputs!$C$43),MIN(BA15,Inputs!$C$39/Inputs!$C$43),0)</f>
        <v/>
      </c>
      <c r="BC14" s="25">
        <f>IF(AND(BC$4&gt;Inputs!$C$40+Inputs!$C$42,BC$4&lt;=Inputs!$C$40+Inputs!$C$42+Inputs!$C$43),MIN(BB15,Inputs!$C$39/Inputs!$C$43),0)</f>
        <v/>
      </c>
      <c r="BD14" s="25">
        <f>IF(AND(BD$4&gt;Inputs!$C$40+Inputs!$C$42,BD$4&lt;=Inputs!$C$40+Inputs!$C$42+Inputs!$C$43),MIN(BC15,Inputs!$C$39/Inputs!$C$43),0)</f>
        <v/>
      </c>
      <c r="BE14" s="25">
        <f>IF(AND(BE$4&gt;Inputs!$C$40+Inputs!$C$42,BE$4&lt;=Inputs!$C$40+Inputs!$C$42+Inputs!$C$43),MIN(BD15,Inputs!$C$39/Inputs!$C$43),0)</f>
        <v/>
      </c>
      <c r="BF14" s="25">
        <f>IF(AND(BF$4&gt;Inputs!$C$40+Inputs!$C$42,BF$4&lt;=Inputs!$C$40+Inputs!$C$42+Inputs!$C$43),MIN(BE15,Inputs!$C$39/Inputs!$C$43),0)</f>
        <v/>
      </c>
      <c r="BG14" s="25">
        <f>IF(AND(BG$4&gt;Inputs!$C$40+Inputs!$C$42,BG$4&lt;=Inputs!$C$40+Inputs!$C$42+Inputs!$C$43),MIN(BF15,Inputs!$C$39/Inputs!$C$43),0)</f>
        <v/>
      </c>
      <c r="BH14" s="25">
        <f>IF(AND(BH$4&gt;Inputs!$C$40+Inputs!$C$42,BH$4&lt;=Inputs!$C$40+Inputs!$C$42+Inputs!$C$43),MIN(BG15,Inputs!$C$39/Inputs!$C$43),0)</f>
        <v/>
      </c>
      <c r="BI14" s="25">
        <f>IF(AND(BI$4&gt;Inputs!$C$40+Inputs!$C$42,BI$4&lt;=Inputs!$C$40+Inputs!$C$42+Inputs!$C$43),MIN(BH15,Inputs!$C$39/Inputs!$C$43),0)</f>
        <v/>
      </c>
      <c r="BJ14" s="25">
        <f>IF(AND(BJ$4&gt;Inputs!$C$40+Inputs!$C$42,BJ$4&lt;=Inputs!$C$40+Inputs!$C$42+Inputs!$C$43),MIN(BI15,Inputs!$C$39/Inputs!$C$43),0)</f>
        <v/>
      </c>
      <c r="BK14" s="25">
        <f>IF(AND(BK$4&gt;Inputs!$C$40+Inputs!$C$42,BK$4&lt;=Inputs!$C$40+Inputs!$C$42+Inputs!$C$43),MIN(BJ15,Inputs!$C$39/Inputs!$C$43),0)</f>
        <v/>
      </c>
      <c r="BL14" s="25">
        <f>IF(AND(BL$4&gt;Inputs!$C$40+Inputs!$C$42,BL$4&lt;=Inputs!$C$40+Inputs!$C$42+Inputs!$C$43),MIN(BK15,Inputs!$C$39/Inputs!$C$43),0)</f>
        <v/>
      </c>
    </row>
    <row r="15">
      <c r="A15" s="44" t="inlineStr">
        <is>
          <t>Closing balance (USD)</t>
        </is>
      </c>
      <c r="B15" s="13" t="inlineStr">
        <is>
          <t>USD</t>
        </is>
      </c>
      <c r="C15" s="45">
        <f>BL15</f>
        <v/>
      </c>
      <c r="E15" s="25">
        <f>D15+E13-E14</f>
        <v/>
      </c>
      <c r="F15" s="25">
        <f>E15+F13-F14</f>
        <v/>
      </c>
      <c r="G15" s="25">
        <f>F15+G13-G14</f>
        <v/>
      </c>
      <c r="H15" s="25">
        <f>G15+H13-H14</f>
        <v/>
      </c>
      <c r="I15" s="25">
        <f>H15+I13-I14</f>
        <v/>
      </c>
      <c r="J15" s="25">
        <f>I15+J13-J14</f>
        <v/>
      </c>
      <c r="K15" s="25">
        <f>J15+K13-K14</f>
        <v/>
      </c>
      <c r="L15" s="25">
        <f>K15+L13-L14</f>
        <v/>
      </c>
      <c r="M15" s="25">
        <f>L15+M13-M14</f>
        <v/>
      </c>
      <c r="N15" s="25">
        <f>M15+N13-N14</f>
        <v/>
      </c>
      <c r="O15" s="25">
        <f>N15+O13-O14</f>
        <v/>
      </c>
      <c r="P15" s="25">
        <f>O15+P13-P14</f>
        <v/>
      </c>
      <c r="Q15" s="25">
        <f>P15+Q13-Q14</f>
        <v/>
      </c>
      <c r="R15" s="25">
        <f>Q15+R13-R14</f>
        <v/>
      </c>
      <c r="S15" s="25">
        <f>R15+S13-S14</f>
        <v/>
      </c>
      <c r="T15" s="25">
        <f>S15+T13-T14</f>
        <v/>
      </c>
      <c r="U15" s="25">
        <f>T15+U13-U14</f>
        <v/>
      </c>
      <c r="V15" s="25">
        <f>U15+V13-V14</f>
        <v/>
      </c>
      <c r="W15" s="25">
        <f>V15+W13-W14</f>
        <v/>
      </c>
      <c r="X15" s="25">
        <f>W15+X13-X14</f>
        <v/>
      </c>
      <c r="Y15" s="25">
        <f>X15+Y13-Y14</f>
        <v/>
      </c>
      <c r="Z15" s="25">
        <f>Y15+Z13-Z14</f>
        <v/>
      </c>
      <c r="AA15" s="25">
        <f>Z15+AA13-AA14</f>
        <v/>
      </c>
      <c r="AB15" s="25">
        <f>AA15+AB13-AB14</f>
        <v/>
      </c>
      <c r="AC15" s="25">
        <f>AB15+AC13-AC14</f>
        <v/>
      </c>
      <c r="AD15" s="25">
        <f>AC15+AD13-AD14</f>
        <v/>
      </c>
      <c r="AE15" s="25">
        <f>AD15+AE13-AE14</f>
        <v/>
      </c>
      <c r="AF15" s="25">
        <f>AE15+AF13-AF14</f>
        <v/>
      </c>
      <c r="AG15" s="25">
        <f>AF15+AG13-AG14</f>
        <v/>
      </c>
      <c r="AH15" s="25">
        <f>AG15+AH13-AH14</f>
        <v/>
      </c>
      <c r="AI15" s="25">
        <f>AH15+AI13-AI14</f>
        <v/>
      </c>
      <c r="AJ15" s="25">
        <f>AI15+AJ13-AJ14</f>
        <v/>
      </c>
      <c r="AK15" s="25">
        <f>AJ15+AK13-AK14</f>
        <v/>
      </c>
      <c r="AL15" s="25">
        <f>AK15+AL13-AL14</f>
        <v/>
      </c>
      <c r="AM15" s="25">
        <f>AL15+AM13-AM14</f>
        <v/>
      </c>
      <c r="AN15" s="25">
        <f>AM15+AN13-AN14</f>
        <v/>
      </c>
      <c r="AO15" s="25">
        <f>AN15+AO13-AO14</f>
        <v/>
      </c>
      <c r="AP15" s="25">
        <f>AO15+AP13-AP14</f>
        <v/>
      </c>
      <c r="AQ15" s="25">
        <f>AP15+AQ13-AQ14</f>
        <v/>
      </c>
      <c r="AR15" s="25">
        <f>AQ15+AR13-AR14</f>
        <v/>
      </c>
      <c r="AS15" s="25">
        <f>AR15+AS13-AS14</f>
        <v/>
      </c>
      <c r="AT15" s="25">
        <f>AS15+AT13-AT14</f>
        <v/>
      </c>
      <c r="AU15" s="25">
        <f>AT15+AU13-AU14</f>
        <v/>
      </c>
      <c r="AV15" s="25">
        <f>AU15+AV13-AV14</f>
        <v/>
      </c>
      <c r="AW15" s="25">
        <f>AV15+AW13-AW14</f>
        <v/>
      </c>
      <c r="AX15" s="25">
        <f>AW15+AX13-AX14</f>
        <v/>
      </c>
      <c r="AY15" s="25">
        <f>AX15+AY13-AY14</f>
        <v/>
      </c>
      <c r="AZ15" s="25">
        <f>AY15+AZ13-AZ14</f>
        <v/>
      </c>
      <c r="BA15" s="25">
        <f>AZ15+BA13-BA14</f>
        <v/>
      </c>
      <c r="BB15" s="25">
        <f>BA15+BB13-BB14</f>
        <v/>
      </c>
      <c r="BC15" s="25">
        <f>BB15+BC13-BC14</f>
        <v/>
      </c>
      <c r="BD15" s="25">
        <f>BC15+BD13-BD14</f>
        <v/>
      </c>
      <c r="BE15" s="25">
        <f>BD15+BE13-BE14</f>
        <v/>
      </c>
      <c r="BF15" s="25">
        <f>BE15+BF13-BF14</f>
        <v/>
      </c>
      <c r="BG15" s="25">
        <f>BF15+BG13-BG14</f>
        <v/>
      </c>
      <c r="BH15" s="25">
        <f>BG15+BH13-BH14</f>
        <v/>
      </c>
      <c r="BI15" s="25">
        <f>BH15+BI13-BI14</f>
        <v/>
      </c>
      <c r="BJ15" s="25">
        <f>BI15+BJ13-BJ14</f>
        <v/>
      </c>
      <c r="BK15" s="25">
        <f>BJ15+BK13-BK14</f>
        <v/>
      </c>
      <c r="BL15" s="25">
        <f>BK15+BL13-BL14</f>
        <v/>
      </c>
    </row>
    <row r="16">
      <c r="A16" s="44" t="inlineStr">
        <is>
          <t>Interest (LCY)</t>
        </is>
      </c>
      <c r="B16" s="13" t="inlineStr">
        <is>
          <t>LCY</t>
        </is>
      </c>
      <c r="C16" s="45">
        <f>SUM(E16:BL16)</f>
        <v/>
      </c>
      <c r="E16" s="25">
        <f>D15*Inputs!$C$41/12*Timeline!E$8</f>
        <v/>
      </c>
      <c r="F16" s="25">
        <f>E15*Inputs!$C$41/12*Timeline!F$8</f>
        <v/>
      </c>
      <c r="G16" s="25">
        <f>F15*Inputs!$C$41/12*Timeline!G$8</f>
        <v/>
      </c>
      <c r="H16" s="25">
        <f>G15*Inputs!$C$41/12*Timeline!H$8</f>
        <v/>
      </c>
      <c r="I16" s="25">
        <f>H15*Inputs!$C$41/12*Timeline!I$8</f>
        <v/>
      </c>
      <c r="J16" s="25">
        <f>I15*Inputs!$C$41/12*Timeline!J$8</f>
        <v/>
      </c>
      <c r="K16" s="25">
        <f>J15*Inputs!$C$41/12*Timeline!K$8</f>
        <v/>
      </c>
      <c r="L16" s="25">
        <f>K15*Inputs!$C$41/12*Timeline!L$8</f>
        <v/>
      </c>
      <c r="M16" s="25">
        <f>L15*Inputs!$C$41/12*Timeline!M$8</f>
        <v/>
      </c>
      <c r="N16" s="25">
        <f>M15*Inputs!$C$41/12*Timeline!N$8</f>
        <v/>
      </c>
      <c r="O16" s="25">
        <f>N15*Inputs!$C$41/12*Timeline!O$8</f>
        <v/>
      </c>
      <c r="P16" s="25">
        <f>O15*Inputs!$C$41/12*Timeline!P$8</f>
        <v/>
      </c>
      <c r="Q16" s="25">
        <f>P15*Inputs!$C$41/12*Timeline!Q$8</f>
        <v/>
      </c>
      <c r="R16" s="25">
        <f>Q15*Inputs!$C$41/12*Timeline!R$8</f>
        <v/>
      </c>
      <c r="S16" s="25">
        <f>R15*Inputs!$C$41/12*Timeline!S$8</f>
        <v/>
      </c>
      <c r="T16" s="25">
        <f>S15*Inputs!$C$41/12*Timeline!T$8</f>
        <v/>
      </c>
      <c r="U16" s="25">
        <f>T15*Inputs!$C$41/12*Timeline!U$8</f>
        <v/>
      </c>
      <c r="V16" s="25">
        <f>U15*Inputs!$C$41/12*Timeline!V$8</f>
        <v/>
      </c>
      <c r="W16" s="25">
        <f>V15*Inputs!$C$41/12*Timeline!W$8</f>
        <v/>
      </c>
      <c r="X16" s="25">
        <f>W15*Inputs!$C$41/12*Timeline!X$8</f>
        <v/>
      </c>
      <c r="Y16" s="25">
        <f>X15*Inputs!$C$41/12*Timeline!Y$8</f>
        <v/>
      </c>
      <c r="Z16" s="25">
        <f>Y15*Inputs!$C$41/12*Timeline!Z$8</f>
        <v/>
      </c>
      <c r="AA16" s="25">
        <f>Z15*Inputs!$C$41/12*Timeline!AA$8</f>
        <v/>
      </c>
      <c r="AB16" s="25">
        <f>AA15*Inputs!$C$41/12*Timeline!AB$8</f>
        <v/>
      </c>
      <c r="AC16" s="25">
        <f>AB15*Inputs!$C$41/12*Timeline!AC$8</f>
        <v/>
      </c>
      <c r="AD16" s="25">
        <f>AC15*Inputs!$C$41/12*Timeline!AD$8</f>
        <v/>
      </c>
      <c r="AE16" s="25">
        <f>AD15*Inputs!$C$41/12*Timeline!AE$8</f>
        <v/>
      </c>
      <c r="AF16" s="25">
        <f>AE15*Inputs!$C$41/12*Timeline!AF$8</f>
        <v/>
      </c>
      <c r="AG16" s="25">
        <f>AF15*Inputs!$C$41/12*Timeline!AG$8</f>
        <v/>
      </c>
      <c r="AH16" s="25">
        <f>AG15*Inputs!$C$41/12*Timeline!AH$8</f>
        <v/>
      </c>
      <c r="AI16" s="25">
        <f>AH15*Inputs!$C$41/12*Timeline!AI$8</f>
        <v/>
      </c>
      <c r="AJ16" s="25">
        <f>AI15*Inputs!$C$41/12*Timeline!AJ$8</f>
        <v/>
      </c>
      <c r="AK16" s="25">
        <f>AJ15*Inputs!$C$41/12*Timeline!AK$8</f>
        <v/>
      </c>
      <c r="AL16" s="25">
        <f>AK15*Inputs!$C$41/12*Timeline!AL$8</f>
        <v/>
      </c>
      <c r="AM16" s="25">
        <f>AL15*Inputs!$C$41/12*Timeline!AM$8</f>
        <v/>
      </c>
      <c r="AN16" s="25">
        <f>AM15*Inputs!$C$41/12*Timeline!AN$8</f>
        <v/>
      </c>
      <c r="AO16" s="25">
        <f>AN15*Inputs!$C$41/12*Timeline!AO$8</f>
        <v/>
      </c>
      <c r="AP16" s="25">
        <f>AO15*Inputs!$C$41/12*Timeline!AP$8</f>
        <v/>
      </c>
      <c r="AQ16" s="25">
        <f>AP15*Inputs!$C$41/12*Timeline!AQ$8</f>
        <v/>
      </c>
      <c r="AR16" s="25">
        <f>AQ15*Inputs!$C$41/12*Timeline!AR$8</f>
        <v/>
      </c>
      <c r="AS16" s="25">
        <f>AR15*Inputs!$C$41/12*Timeline!AS$8</f>
        <v/>
      </c>
      <c r="AT16" s="25">
        <f>AS15*Inputs!$C$41/12*Timeline!AT$8</f>
        <v/>
      </c>
      <c r="AU16" s="25">
        <f>AT15*Inputs!$C$41/12*Timeline!AU$8</f>
        <v/>
      </c>
      <c r="AV16" s="25">
        <f>AU15*Inputs!$C$41/12*Timeline!AV$8</f>
        <v/>
      </c>
      <c r="AW16" s="25">
        <f>AV15*Inputs!$C$41/12*Timeline!AW$8</f>
        <v/>
      </c>
      <c r="AX16" s="25">
        <f>AW15*Inputs!$C$41/12*Timeline!AX$8</f>
        <v/>
      </c>
      <c r="AY16" s="25">
        <f>AX15*Inputs!$C$41/12*Timeline!AY$8</f>
        <v/>
      </c>
      <c r="AZ16" s="25">
        <f>AY15*Inputs!$C$41/12*Timeline!AZ$8</f>
        <v/>
      </c>
      <c r="BA16" s="25">
        <f>AZ15*Inputs!$C$41/12*Timeline!BA$8</f>
        <v/>
      </c>
      <c r="BB16" s="25">
        <f>BA15*Inputs!$C$41/12*Timeline!BB$8</f>
        <v/>
      </c>
      <c r="BC16" s="25">
        <f>BB15*Inputs!$C$41/12*Timeline!BC$8</f>
        <v/>
      </c>
      <c r="BD16" s="25">
        <f>BC15*Inputs!$C$41/12*Timeline!BD$8</f>
        <v/>
      </c>
      <c r="BE16" s="25">
        <f>BD15*Inputs!$C$41/12*Timeline!BE$8</f>
        <v/>
      </c>
      <c r="BF16" s="25">
        <f>BE15*Inputs!$C$41/12*Timeline!BF$8</f>
        <v/>
      </c>
      <c r="BG16" s="25">
        <f>BF15*Inputs!$C$41/12*Timeline!BG$8</f>
        <v/>
      </c>
      <c r="BH16" s="25">
        <f>BG15*Inputs!$C$41/12*Timeline!BH$8</f>
        <v/>
      </c>
      <c r="BI16" s="25">
        <f>BH15*Inputs!$C$41/12*Timeline!BI$8</f>
        <v/>
      </c>
      <c r="BJ16" s="25">
        <f>BI15*Inputs!$C$41/12*Timeline!BJ$8</f>
        <v/>
      </c>
      <c r="BK16" s="25">
        <f>BJ15*Inputs!$C$41/12*Timeline!BK$8</f>
        <v/>
      </c>
      <c r="BL16" s="25">
        <f>BK15*Inputs!$C$41/12*Timeline!BL$8</f>
        <v/>
      </c>
    </row>
    <row r="17">
      <c r="A17" s="44" t="inlineStr">
        <is>
          <t>Drawdown (LCY)</t>
        </is>
      </c>
      <c r="B17" s="13" t="inlineStr">
        <is>
          <t>LCY</t>
        </is>
      </c>
      <c r="C17" s="45">
        <f>SUM(E17:BL17)</f>
        <v/>
      </c>
      <c r="E17" s="25">
        <f>E13*Timeline!E$8</f>
        <v/>
      </c>
      <c r="F17" s="25">
        <f>F13*Timeline!F$8</f>
        <v/>
      </c>
      <c r="G17" s="25">
        <f>G13*Timeline!G$8</f>
        <v/>
      </c>
      <c r="H17" s="25">
        <f>H13*Timeline!H$8</f>
        <v/>
      </c>
      <c r="I17" s="25">
        <f>I13*Timeline!I$8</f>
        <v/>
      </c>
      <c r="J17" s="25">
        <f>J13*Timeline!J$8</f>
        <v/>
      </c>
      <c r="K17" s="25">
        <f>K13*Timeline!K$8</f>
        <v/>
      </c>
      <c r="L17" s="25">
        <f>L13*Timeline!L$8</f>
        <v/>
      </c>
      <c r="M17" s="25">
        <f>M13*Timeline!M$8</f>
        <v/>
      </c>
      <c r="N17" s="25">
        <f>N13*Timeline!N$8</f>
        <v/>
      </c>
      <c r="O17" s="25">
        <f>O13*Timeline!O$8</f>
        <v/>
      </c>
      <c r="P17" s="25">
        <f>P13*Timeline!P$8</f>
        <v/>
      </c>
      <c r="Q17" s="25">
        <f>Q13*Timeline!Q$8</f>
        <v/>
      </c>
      <c r="R17" s="25">
        <f>R13*Timeline!R$8</f>
        <v/>
      </c>
      <c r="S17" s="25">
        <f>S13*Timeline!S$8</f>
        <v/>
      </c>
      <c r="T17" s="25">
        <f>T13*Timeline!T$8</f>
        <v/>
      </c>
      <c r="U17" s="25">
        <f>U13*Timeline!U$8</f>
        <v/>
      </c>
      <c r="V17" s="25">
        <f>V13*Timeline!V$8</f>
        <v/>
      </c>
      <c r="W17" s="25">
        <f>W13*Timeline!W$8</f>
        <v/>
      </c>
      <c r="X17" s="25">
        <f>X13*Timeline!X$8</f>
        <v/>
      </c>
      <c r="Y17" s="25">
        <f>Y13*Timeline!Y$8</f>
        <v/>
      </c>
      <c r="Z17" s="25">
        <f>Z13*Timeline!Z$8</f>
        <v/>
      </c>
      <c r="AA17" s="25">
        <f>AA13*Timeline!AA$8</f>
        <v/>
      </c>
      <c r="AB17" s="25">
        <f>AB13*Timeline!AB$8</f>
        <v/>
      </c>
      <c r="AC17" s="25">
        <f>AC13*Timeline!AC$8</f>
        <v/>
      </c>
      <c r="AD17" s="25">
        <f>AD13*Timeline!AD$8</f>
        <v/>
      </c>
      <c r="AE17" s="25">
        <f>AE13*Timeline!AE$8</f>
        <v/>
      </c>
      <c r="AF17" s="25">
        <f>AF13*Timeline!AF$8</f>
        <v/>
      </c>
      <c r="AG17" s="25">
        <f>AG13*Timeline!AG$8</f>
        <v/>
      </c>
      <c r="AH17" s="25">
        <f>AH13*Timeline!AH$8</f>
        <v/>
      </c>
      <c r="AI17" s="25">
        <f>AI13*Timeline!AI$8</f>
        <v/>
      </c>
      <c r="AJ17" s="25">
        <f>AJ13*Timeline!AJ$8</f>
        <v/>
      </c>
      <c r="AK17" s="25">
        <f>AK13*Timeline!AK$8</f>
        <v/>
      </c>
      <c r="AL17" s="25">
        <f>AL13*Timeline!AL$8</f>
        <v/>
      </c>
      <c r="AM17" s="25">
        <f>AM13*Timeline!AM$8</f>
        <v/>
      </c>
      <c r="AN17" s="25">
        <f>AN13*Timeline!AN$8</f>
        <v/>
      </c>
      <c r="AO17" s="25">
        <f>AO13*Timeline!AO$8</f>
        <v/>
      </c>
      <c r="AP17" s="25">
        <f>AP13*Timeline!AP$8</f>
        <v/>
      </c>
      <c r="AQ17" s="25">
        <f>AQ13*Timeline!AQ$8</f>
        <v/>
      </c>
      <c r="AR17" s="25">
        <f>AR13*Timeline!AR$8</f>
        <v/>
      </c>
      <c r="AS17" s="25">
        <f>AS13*Timeline!AS$8</f>
        <v/>
      </c>
      <c r="AT17" s="25">
        <f>AT13*Timeline!AT$8</f>
        <v/>
      </c>
      <c r="AU17" s="25">
        <f>AU13*Timeline!AU$8</f>
        <v/>
      </c>
      <c r="AV17" s="25">
        <f>AV13*Timeline!AV$8</f>
        <v/>
      </c>
      <c r="AW17" s="25">
        <f>AW13*Timeline!AW$8</f>
        <v/>
      </c>
      <c r="AX17" s="25">
        <f>AX13*Timeline!AX$8</f>
        <v/>
      </c>
      <c r="AY17" s="25">
        <f>AY13*Timeline!AY$8</f>
        <v/>
      </c>
      <c r="AZ17" s="25">
        <f>AZ13*Timeline!AZ$8</f>
        <v/>
      </c>
      <c r="BA17" s="25">
        <f>BA13*Timeline!BA$8</f>
        <v/>
      </c>
      <c r="BB17" s="25">
        <f>BB13*Timeline!BB$8</f>
        <v/>
      </c>
      <c r="BC17" s="25">
        <f>BC13*Timeline!BC$8</f>
        <v/>
      </c>
      <c r="BD17" s="25">
        <f>BD13*Timeline!BD$8</f>
        <v/>
      </c>
      <c r="BE17" s="25">
        <f>BE13*Timeline!BE$8</f>
        <v/>
      </c>
      <c r="BF17" s="25">
        <f>BF13*Timeline!BF$8</f>
        <v/>
      </c>
      <c r="BG17" s="25">
        <f>BG13*Timeline!BG$8</f>
        <v/>
      </c>
      <c r="BH17" s="25">
        <f>BH13*Timeline!BH$8</f>
        <v/>
      </c>
      <c r="BI17" s="25">
        <f>BI13*Timeline!BI$8</f>
        <v/>
      </c>
      <c r="BJ17" s="25">
        <f>BJ13*Timeline!BJ$8</f>
        <v/>
      </c>
      <c r="BK17" s="25">
        <f>BK13*Timeline!BK$8</f>
        <v/>
      </c>
      <c r="BL17" s="25">
        <f>BL13*Timeline!BL$8</f>
        <v/>
      </c>
    </row>
    <row r="18">
      <c r="A18" s="44" t="inlineStr">
        <is>
          <t>Repayment (LCY)</t>
        </is>
      </c>
      <c r="B18" s="13" t="inlineStr">
        <is>
          <t>LCY</t>
        </is>
      </c>
      <c r="C18" s="45">
        <f>SUM(E18:BL18)</f>
        <v/>
      </c>
      <c r="E18" s="25">
        <f>E14*Timeline!E$8</f>
        <v/>
      </c>
      <c r="F18" s="25">
        <f>F14*Timeline!F$8</f>
        <v/>
      </c>
      <c r="G18" s="25">
        <f>G14*Timeline!G$8</f>
        <v/>
      </c>
      <c r="H18" s="25">
        <f>H14*Timeline!H$8</f>
        <v/>
      </c>
      <c r="I18" s="25">
        <f>I14*Timeline!I$8</f>
        <v/>
      </c>
      <c r="J18" s="25">
        <f>J14*Timeline!J$8</f>
        <v/>
      </c>
      <c r="K18" s="25">
        <f>K14*Timeline!K$8</f>
        <v/>
      </c>
      <c r="L18" s="25">
        <f>L14*Timeline!L$8</f>
        <v/>
      </c>
      <c r="M18" s="25">
        <f>M14*Timeline!M$8</f>
        <v/>
      </c>
      <c r="N18" s="25">
        <f>N14*Timeline!N$8</f>
        <v/>
      </c>
      <c r="O18" s="25">
        <f>O14*Timeline!O$8</f>
        <v/>
      </c>
      <c r="P18" s="25">
        <f>P14*Timeline!P$8</f>
        <v/>
      </c>
      <c r="Q18" s="25">
        <f>Q14*Timeline!Q$8</f>
        <v/>
      </c>
      <c r="R18" s="25">
        <f>R14*Timeline!R$8</f>
        <v/>
      </c>
      <c r="S18" s="25">
        <f>S14*Timeline!S$8</f>
        <v/>
      </c>
      <c r="T18" s="25">
        <f>T14*Timeline!T$8</f>
        <v/>
      </c>
      <c r="U18" s="25">
        <f>U14*Timeline!U$8</f>
        <v/>
      </c>
      <c r="V18" s="25">
        <f>V14*Timeline!V$8</f>
        <v/>
      </c>
      <c r="W18" s="25">
        <f>W14*Timeline!W$8</f>
        <v/>
      </c>
      <c r="X18" s="25">
        <f>X14*Timeline!X$8</f>
        <v/>
      </c>
      <c r="Y18" s="25">
        <f>Y14*Timeline!Y$8</f>
        <v/>
      </c>
      <c r="Z18" s="25">
        <f>Z14*Timeline!Z$8</f>
        <v/>
      </c>
      <c r="AA18" s="25">
        <f>AA14*Timeline!AA$8</f>
        <v/>
      </c>
      <c r="AB18" s="25">
        <f>AB14*Timeline!AB$8</f>
        <v/>
      </c>
      <c r="AC18" s="25">
        <f>AC14*Timeline!AC$8</f>
        <v/>
      </c>
      <c r="AD18" s="25">
        <f>AD14*Timeline!AD$8</f>
        <v/>
      </c>
      <c r="AE18" s="25">
        <f>AE14*Timeline!AE$8</f>
        <v/>
      </c>
      <c r="AF18" s="25">
        <f>AF14*Timeline!AF$8</f>
        <v/>
      </c>
      <c r="AG18" s="25">
        <f>AG14*Timeline!AG$8</f>
        <v/>
      </c>
      <c r="AH18" s="25">
        <f>AH14*Timeline!AH$8</f>
        <v/>
      </c>
      <c r="AI18" s="25">
        <f>AI14*Timeline!AI$8</f>
        <v/>
      </c>
      <c r="AJ18" s="25">
        <f>AJ14*Timeline!AJ$8</f>
        <v/>
      </c>
      <c r="AK18" s="25">
        <f>AK14*Timeline!AK$8</f>
        <v/>
      </c>
      <c r="AL18" s="25">
        <f>AL14*Timeline!AL$8</f>
        <v/>
      </c>
      <c r="AM18" s="25">
        <f>AM14*Timeline!AM$8</f>
        <v/>
      </c>
      <c r="AN18" s="25">
        <f>AN14*Timeline!AN$8</f>
        <v/>
      </c>
      <c r="AO18" s="25">
        <f>AO14*Timeline!AO$8</f>
        <v/>
      </c>
      <c r="AP18" s="25">
        <f>AP14*Timeline!AP$8</f>
        <v/>
      </c>
      <c r="AQ18" s="25">
        <f>AQ14*Timeline!AQ$8</f>
        <v/>
      </c>
      <c r="AR18" s="25">
        <f>AR14*Timeline!AR$8</f>
        <v/>
      </c>
      <c r="AS18" s="25">
        <f>AS14*Timeline!AS$8</f>
        <v/>
      </c>
      <c r="AT18" s="25">
        <f>AT14*Timeline!AT$8</f>
        <v/>
      </c>
      <c r="AU18" s="25">
        <f>AU14*Timeline!AU$8</f>
        <v/>
      </c>
      <c r="AV18" s="25">
        <f>AV14*Timeline!AV$8</f>
        <v/>
      </c>
      <c r="AW18" s="25">
        <f>AW14*Timeline!AW$8</f>
        <v/>
      </c>
      <c r="AX18" s="25">
        <f>AX14*Timeline!AX$8</f>
        <v/>
      </c>
      <c r="AY18" s="25">
        <f>AY14*Timeline!AY$8</f>
        <v/>
      </c>
      <c r="AZ18" s="25">
        <f>AZ14*Timeline!AZ$8</f>
        <v/>
      </c>
      <c r="BA18" s="25">
        <f>BA14*Timeline!BA$8</f>
        <v/>
      </c>
      <c r="BB18" s="25">
        <f>BB14*Timeline!BB$8</f>
        <v/>
      </c>
      <c r="BC18" s="25">
        <f>BC14*Timeline!BC$8</f>
        <v/>
      </c>
      <c r="BD18" s="25">
        <f>BD14*Timeline!BD$8</f>
        <v/>
      </c>
      <c r="BE18" s="25">
        <f>BE14*Timeline!BE$8</f>
        <v/>
      </c>
      <c r="BF18" s="25">
        <f>BF14*Timeline!BF$8</f>
        <v/>
      </c>
      <c r="BG18" s="25">
        <f>BG14*Timeline!BG$8</f>
        <v/>
      </c>
      <c r="BH18" s="25">
        <f>BH14*Timeline!BH$8</f>
        <v/>
      </c>
      <c r="BI18" s="25">
        <f>BI14*Timeline!BI$8</f>
        <v/>
      </c>
      <c r="BJ18" s="25">
        <f>BJ14*Timeline!BJ$8</f>
        <v/>
      </c>
      <c r="BK18" s="25">
        <f>BK14*Timeline!BK$8</f>
        <v/>
      </c>
      <c r="BL18" s="25">
        <f>BL14*Timeline!BL$8</f>
        <v/>
      </c>
    </row>
    <row r="19">
      <c r="A19" s="44" t="inlineStr">
        <is>
          <t>Closing balance (LCY)</t>
        </is>
      </c>
      <c r="B19" s="13" t="inlineStr">
        <is>
          <t>LCY</t>
        </is>
      </c>
      <c r="C19" s="45">
        <f>BL19</f>
        <v/>
      </c>
      <c r="E19" s="25">
        <f>E15*Timeline!E$8</f>
        <v/>
      </c>
      <c r="F19" s="25">
        <f>F15*Timeline!F$8</f>
        <v/>
      </c>
      <c r="G19" s="25">
        <f>G15*Timeline!G$8</f>
        <v/>
      </c>
      <c r="H19" s="25">
        <f>H15*Timeline!H$8</f>
        <v/>
      </c>
      <c r="I19" s="25">
        <f>I15*Timeline!I$8</f>
        <v/>
      </c>
      <c r="J19" s="25">
        <f>J15*Timeline!J$8</f>
        <v/>
      </c>
      <c r="K19" s="25">
        <f>K15*Timeline!K$8</f>
        <v/>
      </c>
      <c r="L19" s="25">
        <f>L15*Timeline!L$8</f>
        <v/>
      </c>
      <c r="M19" s="25">
        <f>M15*Timeline!M$8</f>
        <v/>
      </c>
      <c r="N19" s="25">
        <f>N15*Timeline!N$8</f>
        <v/>
      </c>
      <c r="O19" s="25">
        <f>O15*Timeline!O$8</f>
        <v/>
      </c>
      <c r="P19" s="25">
        <f>P15*Timeline!P$8</f>
        <v/>
      </c>
      <c r="Q19" s="25">
        <f>Q15*Timeline!Q$8</f>
        <v/>
      </c>
      <c r="R19" s="25">
        <f>R15*Timeline!R$8</f>
        <v/>
      </c>
      <c r="S19" s="25">
        <f>S15*Timeline!S$8</f>
        <v/>
      </c>
      <c r="T19" s="25">
        <f>T15*Timeline!T$8</f>
        <v/>
      </c>
      <c r="U19" s="25">
        <f>U15*Timeline!U$8</f>
        <v/>
      </c>
      <c r="V19" s="25">
        <f>V15*Timeline!V$8</f>
        <v/>
      </c>
      <c r="W19" s="25">
        <f>W15*Timeline!W$8</f>
        <v/>
      </c>
      <c r="X19" s="25">
        <f>X15*Timeline!X$8</f>
        <v/>
      </c>
      <c r="Y19" s="25">
        <f>Y15*Timeline!Y$8</f>
        <v/>
      </c>
      <c r="Z19" s="25">
        <f>Z15*Timeline!Z$8</f>
        <v/>
      </c>
      <c r="AA19" s="25">
        <f>AA15*Timeline!AA$8</f>
        <v/>
      </c>
      <c r="AB19" s="25">
        <f>AB15*Timeline!AB$8</f>
        <v/>
      </c>
      <c r="AC19" s="25">
        <f>AC15*Timeline!AC$8</f>
        <v/>
      </c>
      <c r="AD19" s="25">
        <f>AD15*Timeline!AD$8</f>
        <v/>
      </c>
      <c r="AE19" s="25">
        <f>AE15*Timeline!AE$8</f>
        <v/>
      </c>
      <c r="AF19" s="25">
        <f>AF15*Timeline!AF$8</f>
        <v/>
      </c>
      <c r="AG19" s="25">
        <f>AG15*Timeline!AG$8</f>
        <v/>
      </c>
      <c r="AH19" s="25">
        <f>AH15*Timeline!AH$8</f>
        <v/>
      </c>
      <c r="AI19" s="25">
        <f>AI15*Timeline!AI$8</f>
        <v/>
      </c>
      <c r="AJ19" s="25">
        <f>AJ15*Timeline!AJ$8</f>
        <v/>
      </c>
      <c r="AK19" s="25">
        <f>AK15*Timeline!AK$8</f>
        <v/>
      </c>
      <c r="AL19" s="25">
        <f>AL15*Timeline!AL$8</f>
        <v/>
      </c>
      <c r="AM19" s="25">
        <f>AM15*Timeline!AM$8</f>
        <v/>
      </c>
      <c r="AN19" s="25">
        <f>AN15*Timeline!AN$8</f>
        <v/>
      </c>
      <c r="AO19" s="25">
        <f>AO15*Timeline!AO$8</f>
        <v/>
      </c>
      <c r="AP19" s="25">
        <f>AP15*Timeline!AP$8</f>
        <v/>
      </c>
      <c r="AQ19" s="25">
        <f>AQ15*Timeline!AQ$8</f>
        <v/>
      </c>
      <c r="AR19" s="25">
        <f>AR15*Timeline!AR$8</f>
        <v/>
      </c>
      <c r="AS19" s="25">
        <f>AS15*Timeline!AS$8</f>
        <v/>
      </c>
      <c r="AT19" s="25">
        <f>AT15*Timeline!AT$8</f>
        <v/>
      </c>
      <c r="AU19" s="25">
        <f>AU15*Timeline!AU$8</f>
        <v/>
      </c>
      <c r="AV19" s="25">
        <f>AV15*Timeline!AV$8</f>
        <v/>
      </c>
      <c r="AW19" s="25">
        <f>AW15*Timeline!AW$8</f>
        <v/>
      </c>
      <c r="AX19" s="25">
        <f>AX15*Timeline!AX$8</f>
        <v/>
      </c>
      <c r="AY19" s="25">
        <f>AY15*Timeline!AY$8</f>
        <v/>
      </c>
      <c r="AZ19" s="25">
        <f>AZ15*Timeline!AZ$8</f>
        <v/>
      </c>
      <c r="BA19" s="25">
        <f>BA15*Timeline!BA$8</f>
        <v/>
      </c>
      <c r="BB19" s="25">
        <f>BB15*Timeline!BB$8</f>
        <v/>
      </c>
      <c r="BC19" s="25">
        <f>BC15*Timeline!BC$8</f>
        <v/>
      </c>
      <c r="BD19" s="25">
        <f>BD15*Timeline!BD$8</f>
        <v/>
      </c>
      <c r="BE19" s="25">
        <f>BE15*Timeline!BE$8</f>
        <v/>
      </c>
      <c r="BF19" s="25">
        <f>BF15*Timeline!BF$8</f>
        <v/>
      </c>
      <c r="BG19" s="25">
        <f>BG15*Timeline!BG$8</f>
        <v/>
      </c>
      <c r="BH19" s="25">
        <f>BH15*Timeline!BH$8</f>
        <v/>
      </c>
      <c r="BI19" s="25">
        <f>BI15*Timeline!BI$8</f>
        <v/>
      </c>
      <c r="BJ19" s="25">
        <f>BJ15*Timeline!BJ$8</f>
        <v/>
      </c>
      <c r="BK19" s="25">
        <f>BK15*Timeline!BK$8</f>
        <v/>
      </c>
      <c r="BL19" s="25">
        <f>BL15*Timeline!BL$8</f>
        <v/>
      </c>
    </row>
    <row r="20">
      <c r="A20" s="44" t="inlineStr">
        <is>
          <t>Unrealised FX loss / (gain) on USD debt (LCY)</t>
        </is>
      </c>
      <c r="B20" s="13" t="inlineStr">
        <is>
          <t>LCY</t>
        </is>
      </c>
      <c r="C20" s="45">
        <f>SUM(E20:BL20)</f>
        <v/>
      </c>
      <c r="E20" s="25">
        <f>D15*(Timeline!E$8-Timeline!D$8)</f>
        <v/>
      </c>
      <c r="F20" s="25">
        <f>E15*(Timeline!F$8-Timeline!E$8)</f>
        <v/>
      </c>
      <c r="G20" s="25">
        <f>F15*(Timeline!G$8-Timeline!F$8)</f>
        <v/>
      </c>
      <c r="H20" s="25">
        <f>G15*(Timeline!H$8-Timeline!G$8)</f>
        <v/>
      </c>
      <c r="I20" s="25">
        <f>H15*(Timeline!I$8-Timeline!H$8)</f>
        <v/>
      </c>
      <c r="J20" s="25">
        <f>I15*(Timeline!J$8-Timeline!I$8)</f>
        <v/>
      </c>
      <c r="K20" s="25">
        <f>J15*(Timeline!K$8-Timeline!J$8)</f>
        <v/>
      </c>
      <c r="L20" s="25">
        <f>K15*(Timeline!L$8-Timeline!K$8)</f>
        <v/>
      </c>
      <c r="M20" s="25">
        <f>L15*(Timeline!M$8-Timeline!L$8)</f>
        <v/>
      </c>
      <c r="N20" s="25">
        <f>M15*(Timeline!N$8-Timeline!M$8)</f>
        <v/>
      </c>
      <c r="O20" s="25">
        <f>N15*(Timeline!O$8-Timeline!N$8)</f>
        <v/>
      </c>
      <c r="P20" s="25">
        <f>O15*(Timeline!P$8-Timeline!O$8)</f>
        <v/>
      </c>
      <c r="Q20" s="25">
        <f>P15*(Timeline!Q$8-Timeline!P$8)</f>
        <v/>
      </c>
      <c r="R20" s="25">
        <f>Q15*(Timeline!R$8-Timeline!Q$8)</f>
        <v/>
      </c>
      <c r="S20" s="25">
        <f>R15*(Timeline!S$8-Timeline!R$8)</f>
        <v/>
      </c>
      <c r="T20" s="25">
        <f>S15*(Timeline!T$8-Timeline!S$8)</f>
        <v/>
      </c>
      <c r="U20" s="25">
        <f>T15*(Timeline!U$8-Timeline!T$8)</f>
        <v/>
      </c>
      <c r="V20" s="25">
        <f>U15*(Timeline!V$8-Timeline!U$8)</f>
        <v/>
      </c>
      <c r="W20" s="25">
        <f>V15*(Timeline!W$8-Timeline!V$8)</f>
        <v/>
      </c>
      <c r="X20" s="25">
        <f>W15*(Timeline!X$8-Timeline!W$8)</f>
        <v/>
      </c>
      <c r="Y20" s="25">
        <f>X15*(Timeline!Y$8-Timeline!X$8)</f>
        <v/>
      </c>
      <c r="Z20" s="25">
        <f>Y15*(Timeline!Z$8-Timeline!Y$8)</f>
        <v/>
      </c>
      <c r="AA20" s="25">
        <f>Z15*(Timeline!AA$8-Timeline!Z$8)</f>
        <v/>
      </c>
      <c r="AB20" s="25">
        <f>AA15*(Timeline!AB$8-Timeline!AA$8)</f>
        <v/>
      </c>
      <c r="AC20" s="25">
        <f>AB15*(Timeline!AC$8-Timeline!AB$8)</f>
        <v/>
      </c>
      <c r="AD20" s="25">
        <f>AC15*(Timeline!AD$8-Timeline!AC$8)</f>
        <v/>
      </c>
      <c r="AE20" s="25">
        <f>AD15*(Timeline!AE$8-Timeline!AD$8)</f>
        <v/>
      </c>
      <c r="AF20" s="25">
        <f>AE15*(Timeline!AF$8-Timeline!AE$8)</f>
        <v/>
      </c>
      <c r="AG20" s="25">
        <f>AF15*(Timeline!AG$8-Timeline!AF$8)</f>
        <v/>
      </c>
      <c r="AH20" s="25">
        <f>AG15*(Timeline!AH$8-Timeline!AG$8)</f>
        <v/>
      </c>
      <c r="AI20" s="25">
        <f>AH15*(Timeline!AI$8-Timeline!AH$8)</f>
        <v/>
      </c>
      <c r="AJ20" s="25">
        <f>AI15*(Timeline!AJ$8-Timeline!AI$8)</f>
        <v/>
      </c>
      <c r="AK20" s="25">
        <f>AJ15*(Timeline!AK$8-Timeline!AJ$8)</f>
        <v/>
      </c>
      <c r="AL20" s="25">
        <f>AK15*(Timeline!AL$8-Timeline!AK$8)</f>
        <v/>
      </c>
      <c r="AM20" s="25">
        <f>AL15*(Timeline!AM$8-Timeline!AL$8)</f>
        <v/>
      </c>
      <c r="AN20" s="25">
        <f>AM15*(Timeline!AN$8-Timeline!AM$8)</f>
        <v/>
      </c>
      <c r="AO20" s="25">
        <f>AN15*(Timeline!AO$8-Timeline!AN$8)</f>
        <v/>
      </c>
      <c r="AP20" s="25">
        <f>AO15*(Timeline!AP$8-Timeline!AO$8)</f>
        <v/>
      </c>
      <c r="AQ20" s="25">
        <f>AP15*(Timeline!AQ$8-Timeline!AP$8)</f>
        <v/>
      </c>
      <c r="AR20" s="25">
        <f>AQ15*(Timeline!AR$8-Timeline!AQ$8)</f>
        <v/>
      </c>
      <c r="AS20" s="25">
        <f>AR15*(Timeline!AS$8-Timeline!AR$8)</f>
        <v/>
      </c>
      <c r="AT20" s="25">
        <f>AS15*(Timeline!AT$8-Timeline!AS$8)</f>
        <v/>
      </c>
      <c r="AU20" s="25">
        <f>AT15*(Timeline!AU$8-Timeline!AT$8)</f>
        <v/>
      </c>
      <c r="AV20" s="25">
        <f>AU15*(Timeline!AV$8-Timeline!AU$8)</f>
        <v/>
      </c>
      <c r="AW20" s="25">
        <f>AV15*(Timeline!AW$8-Timeline!AV$8)</f>
        <v/>
      </c>
      <c r="AX20" s="25">
        <f>AW15*(Timeline!AX$8-Timeline!AW$8)</f>
        <v/>
      </c>
      <c r="AY20" s="25">
        <f>AX15*(Timeline!AY$8-Timeline!AX$8)</f>
        <v/>
      </c>
      <c r="AZ20" s="25">
        <f>AY15*(Timeline!AZ$8-Timeline!AY$8)</f>
        <v/>
      </c>
      <c r="BA20" s="25">
        <f>AZ15*(Timeline!BA$8-Timeline!AZ$8)</f>
        <v/>
      </c>
      <c r="BB20" s="25">
        <f>BA15*(Timeline!BB$8-Timeline!BA$8)</f>
        <v/>
      </c>
      <c r="BC20" s="25">
        <f>BB15*(Timeline!BC$8-Timeline!BB$8)</f>
        <v/>
      </c>
      <c r="BD20" s="25">
        <f>BC15*(Timeline!BD$8-Timeline!BC$8)</f>
        <v/>
      </c>
      <c r="BE20" s="25">
        <f>BD15*(Timeline!BE$8-Timeline!BD$8)</f>
        <v/>
      </c>
      <c r="BF20" s="25">
        <f>BE15*(Timeline!BF$8-Timeline!BE$8)</f>
        <v/>
      </c>
      <c r="BG20" s="25">
        <f>BF15*(Timeline!BG$8-Timeline!BF$8)</f>
        <v/>
      </c>
      <c r="BH20" s="25">
        <f>BG15*(Timeline!BH$8-Timeline!BG$8)</f>
        <v/>
      </c>
      <c r="BI20" s="25">
        <f>BH15*(Timeline!BI$8-Timeline!BH$8)</f>
        <v/>
      </c>
      <c r="BJ20" s="25">
        <f>BI15*(Timeline!BJ$8-Timeline!BI$8)</f>
        <v/>
      </c>
      <c r="BK20" s="25">
        <f>BJ15*(Timeline!BK$8-Timeline!BJ$8)</f>
        <v/>
      </c>
      <c r="BL20" s="25">
        <f>BK15*(Timeline!BL$8-Timeline!BK$8)</f>
        <v/>
      </c>
    </row>
    <row r="21">
      <c r="A21" s="11" t="inlineStr">
        <is>
          <t>RECEIVABLES FACILITY (LCY)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</row>
    <row r="22">
      <c r="A22" s="44" t="inlineStr">
        <is>
          <t>Eligible receivables (gross receivables - receivables at risk)</t>
        </is>
      </c>
      <c r="B22" s="13" t="inlineStr">
        <is>
          <t>LCY</t>
        </is>
      </c>
      <c r="C22" s="45">
        <f>BL22</f>
        <v/>
      </c>
      <c r="E22" s="25">
        <f>MAX(0,FS!E$30-Ops!E$65)</f>
        <v/>
      </c>
      <c r="F22" s="25">
        <f>MAX(0,FS!F$30-Ops!F$65)</f>
        <v/>
      </c>
      <c r="G22" s="25">
        <f>MAX(0,FS!G$30-Ops!G$65)</f>
        <v/>
      </c>
      <c r="H22" s="25">
        <f>MAX(0,FS!H$30-Ops!H$65)</f>
        <v/>
      </c>
      <c r="I22" s="25">
        <f>MAX(0,FS!I$30-Ops!I$65)</f>
        <v/>
      </c>
      <c r="J22" s="25">
        <f>MAX(0,FS!J$30-Ops!J$65)</f>
        <v/>
      </c>
      <c r="K22" s="25">
        <f>MAX(0,FS!K$30-Ops!K$65)</f>
        <v/>
      </c>
      <c r="L22" s="25">
        <f>MAX(0,FS!L$30-Ops!L$65)</f>
        <v/>
      </c>
      <c r="M22" s="25">
        <f>MAX(0,FS!M$30-Ops!M$65)</f>
        <v/>
      </c>
      <c r="N22" s="25">
        <f>MAX(0,FS!N$30-Ops!N$65)</f>
        <v/>
      </c>
      <c r="O22" s="25">
        <f>MAX(0,FS!O$30-Ops!O$65)</f>
        <v/>
      </c>
      <c r="P22" s="25">
        <f>MAX(0,FS!P$30-Ops!P$65)</f>
        <v/>
      </c>
      <c r="Q22" s="25">
        <f>MAX(0,FS!Q$30-Ops!Q$65)</f>
        <v/>
      </c>
      <c r="R22" s="25">
        <f>MAX(0,FS!R$30-Ops!R$65)</f>
        <v/>
      </c>
      <c r="S22" s="25">
        <f>MAX(0,FS!S$30-Ops!S$65)</f>
        <v/>
      </c>
      <c r="T22" s="25">
        <f>MAX(0,FS!T$30-Ops!T$65)</f>
        <v/>
      </c>
      <c r="U22" s="25">
        <f>MAX(0,FS!U$30-Ops!U$65)</f>
        <v/>
      </c>
      <c r="V22" s="25">
        <f>MAX(0,FS!V$30-Ops!V$65)</f>
        <v/>
      </c>
      <c r="W22" s="25">
        <f>MAX(0,FS!W$30-Ops!W$65)</f>
        <v/>
      </c>
      <c r="X22" s="25">
        <f>MAX(0,FS!X$30-Ops!X$65)</f>
        <v/>
      </c>
      <c r="Y22" s="25">
        <f>MAX(0,FS!Y$30-Ops!Y$65)</f>
        <v/>
      </c>
      <c r="Z22" s="25">
        <f>MAX(0,FS!Z$30-Ops!Z$65)</f>
        <v/>
      </c>
      <c r="AA22" s="25">
        <f>MAX(0,FS!AA$30-Ops!AA$65)</f>
        <v/>
      </c>
      <c r="AB22" s="25">
        <f>MAX(0,FS!AB$30-Ops!AB$65)</f>
        <v/>
      </c>
      <c r="AC22" s="25">
        <f>MAX(0,FS!AC$30-Ops!AC$65)</f>
        <v/>
      </c>
      <c r="AD22" s="25">
        <f>MAX(0,FS!AD$30-Ops!AD$65)</f>
        <v/>
      </c>
      <c r="AE22" s="25">
        <f>MAX(0,FS!AE$30-Ops!AE$65)</f>
        <v/>
      </c>
      <c r="AF22" s="25">
        <f>MAX(0,FS!AF$30-Ops!AF$65)</f>
        <v/>
      </c>
      <c r="AG22" s="25">
        <f>MAX(0,FS!AG$30-Ops!AG$65)</f>
        <v/>
      </c>
      <c r="AH22" s="25">
        <f>MAX(0,FS!AH$30-Ops!AH$65)</f>
        <v/>
      </c>
      <c r="AI22" s="25">
        <f>MAX(0,FS!AI$30-Ops!AI$65)</f>
        <v/>
      </c>
      <c r="AJ22" s="25">
        <f>MAX(0,FS!AJ$30-Ops!AJ$65)</f>
        <v/>
      </c>
      <c r="AK22" s="25">
        <f>MAX(0,FS!AK$30-Ops!AK$65)</f>
        <v/>
      </c>
      <c r="AL22" s="25">
        <f>MAX(0,FS!AL$30-Ops!AL$65)</f>
        <v/>
      </c>
      <c r="AM22" s="25">
        <f>MAX(0,FS!AM$30-Ops!AM$65)</f>
        <v/>
      </c>
      <c r="AN22" s="25">
        <f>MAX(0,FS!AN$30-Ops!AN$65)</f>
        <v/>
      </c>
      <c r="AO22" s="25">
        <f>MAX(0,FS!AO$30-Ops!AO$65)</f>
        <v/>
      </c>
      <c r="AP22" s="25">
        <f>MAX(0,FS!AP$30-Ops!AP$65)</f>
        <v/>
      </c>
      <c r="AQ22" s="25">
        <f>MAX(0,FS!AQ$30-Ops!AQ$65)</f>
        <v/>
      </c>
      <c r="AR22" s="25">
        <f>MAX(0,FS!AR$30-Ops!AR$65)</f>
        <v/>
      </c>
      <c r="AS22" s="25">
        <f>MAX(0,FS!AS$30-Ops!AS$65)</f>
        <v/>
      </c>
      <c r="AT22" s="25">
        <f>MAX(0,FS!AT$30-Ops!AT$65)</f>
        <v/>
      </c>
      <c r="AU22" s="25">
        <f>MAX(0,FS!AU$30-Ops!AU$65)</f>
        <v/>
      </c>
      <c r="AV22" s="25">
        <f>MAX(0,FS!AV$30-Ops!AV$65)</f>
        <v/>
      </c>
      <c r="AW22" s="25">
        <f>MAX(0,FS!AW$30-Ops!AW$65)</f>
        <v/>
      </c>
      <c r="AX22" s="25">
        <f>MAX(0,FS!AX$30-Ops!AX$65)</f>
        <v/>
      </c>
      <c r="AY22" s="25">
        <f>MAX(0,FS!AY$30-Ops!AY$65)</f>
        <v/>
      </c>
      <c r="AZ22" s="25">
        <f>MAX(0,FS!AZ$30-Ops!AZ$65)</f>
        <v/>
      </c>
      <c r="BA22" s="25">
        <f>MAX(0,FS!BA$30-Ops!BA$65)</f>
        <v/>
      </c>
      <c r="BB22" s="25">
        <f>MAX(0,FS!BB$30-Ops!BB$65)</f>
        <v/>
      </c>
      <c r="BC22" s="25">
        <f>MAX(0,FS!BC$30-Ops!BC$65)</f>
        <v/>
      </c>
      <c r="BD22" s="25">
        <f>MAX(0,FS!BD$30-Ops!BD$65)</f>
        <v/>
      </c>
      <c r="BE22" s="25">
        <f>MAX(0,FS!BE$30-Ops!BE$65)</f>
        <v/>
      </c>
      <c r="BF22" s="25">
        <f>MAX(0,FS!BF$30-Ops!BF$65)</f>
        <v/>
      </c>
      <c r="BG22" s="25">
        <f>MAX(0,FS!BG$30-Ops!BG$65)</f>
        <v/>
      </c>
      <c r="BH22" s="25">
        <f>MAX(0,FS!BH$30-Ops!BH$65)</f>
        <v/>
      </c>
      <c r="BI22" s="25">
        <f>MAX(0,FS!BI$30-Ops!BI$65)</f>
        <v/>
      </c>
      <c r="BJ22" s="25">
        <f>MAX(0,FS!BJ$30-Ops!BJ$65)</f>
        <v/>
      </c>
      <c r="BK22" s="25">
        <f>MAX(0,FS!BK$30-Ops!BK$65)</f>
        <v/>
      </c>
      <c r="BL22" s="25">
        <f>MAX(0,FS!BL$30-Ops!BL$65)</f>
        <v/>
      </c>
    </row>
    <row r="23">
      <c r="A23" s="44" t="inlineStr">
        <is>
          <t>Borrowing base (advance rate x eligible)</t>
        </is>
      </c>
      <c r="B23" s="13" t="inlineStr">
        <is>
          <t>LCY</t>
        </is>
      </c>
      <c r="C23" s="45">
        <f>BL23</f>
        <v/>
      </c>
      <c r="E23" s="25">
        <f>E22*Inputs!$C$45</f>
        <v/>
      </c>
      <c r="F23" s="25">
        <f>F22*Inputs!$C$45</f>
        <v/>
      </c>
      <c r="G23" s="25">
        <f>G22*Inputs!$C$45</f>
        <v/>
      </c>
      <c r="H23" s="25">
        <f>H22*Inputs!$C$45</f>
        <v/>
      </c>
      <c r="I23" s="25">
        <f>I22*Inputs!$C$45</f>
        <v/>
      </c>
      <c r="J23" s="25">
        <f>J22*Inputs!$C$45</f>
        <v/>
      </c>
      <c r="K23" s="25">
        <f>K22*Inputs!$C$45</f>
        <v/>
      </c>
      <c r="L23" s="25">
        <f>L22*Inputs!$C$45</f>
        <v/>
      </c>
      <c r="M23" s="25">
        <f>M22*Inputs!$C$45</f>
        <v/>
      </c>
      <c r="N23" s="25">
        <f>N22*Inputs!$C$45</f>
        <v/>
      </c>
      <c r="O23" s="25">
        <f>O22*Inputs!$C$45</f>
        <v/>
      </c>
      <c r="P23" s="25">
        <f>P22*Inputs!$C$45</f>
        <v/>
      </c>
      <c r="Q23" s="25">
        <f>Q22*Inputs!$C$45</f>
        <v/>
      </c>
      <c r="R23" s="25">
        <f>R22*Inputs!$C$45</f>
        <v/>
      </c>
      <c r="S23" s="25">
        <f>S22*Inputs!$C$45</f>
        <v/>
      </c>
      <c r="T23" s="25">
        <f>T22*Inputs!$C$45</f>
        <v/>
      </c>
      <c r="U23" s="25">
        <f>U22*Inputs!$C$45</f>
        <v/>
      </c>
      <c r="V23" s="25">
        <f>V22*Inputs!$C$45</f>
        <v/>
      </c>
      <c r="W23" s="25">
        <f>W22*Inputs!$C$45</f>
        <v/>
      </c>
      <c r="X23" s="25">
        <f>X22*Inputs!$C$45</f>
        <v/>
      </c>
      <c r="Y23" s="25">
        <f>Y22*Inputs!$C$45</f>
        <v/>
      </c>
      <c r="Z23" s="25">
        <f>Z22*Inputs!$C$45</f>
        <v/>
      </c>
      <c r="AA23" s="25">
        <f>AA22*Inputs!$C$45</f>
        <v/>
      </c>
      <c r="AB23" s="25">
        <f>AB22*Inputs!$C$45</f>
        <v/>
      </c>
      <c r="AC23" s="25">
        <f>AC22*Inputs!$C$45</f>
        <v/>
      </c>
      <c r="AD23" s="25">
        <f>AD22*Inputs!$C$45</f>
        <v/>
      </c>
      <c r="AE23" s="25">
        <f>AE22*Inputs!$C$45</f>
        <v/>
      </c>
      <c r="AF23" s="25">
        <f>AF22*Inputs!$C$45</f>
        <v/>
      </c>
      <c r="AG23" s="25">
        <f>AG22*Inputs!$C$45</f>
        <v/>
      </c>
      <c r="AH23" s="25">
        <f>AH22*Inputs!$C$45</f>
        <v/>
      </c>
      <c r="AI23" s="25">
        <f>AI22*Inputs!$C$45</f>
        <v/>
      </c>
      <c r="AJ23" s="25">
        <f>AJ22*Inputs!$C$45</f>
        <v/>
      </c>
      <c r="AK23" s="25">
        <f>AK22*Inputs!$C$45</f>
        <v/>
      </c>
      <c r="AL23" s="25">
        <f>AL22*Inputs!$C$45</f>
        <v/>
      </c>
      <c r="AM23" s="25">
        <f>AM22*Inputs!$C$45</f>
        <v/>
      </c>
      <c r="AN23" s="25">
        <f>AN22*Inputs!$C$45</f>
        <v/>
      </c>
      <c r="AO23" s="25">
        <f>AO22*Inputs!$C$45</f>
        <v/>
      </c>
      <c r="AP23" s="25">
        <f>AP22*Inputs!$C$45</f>
        <v/>
      </c>
      <c r="AQ23" s="25">
        <f>AQ22*Inputs!$C$45</f>
        <v/>
      </c>
      <c r="AR23" s="25">
        <f>AR22*Inputs!$C$45</f>
        <v/>
      </c>
      <c r="AS23" s="25">
        <f>AS22*Inputs!$C$45</f>
        <v/>
      </c>
      <c r="AT23" s="25">
        <f>AT22*Inputs!$C$45</f>
        <v/>
      </c>
      <c r="AU23" s="25">
        <f>AU22*Inputs!$C$45</f>
        <v/>
      </c>
      <c r="AV23" s="25">
        <f>AV22*Inputs!$C$45</f>
        <v/>
      </c>
      <c r="AW23" s="25">
        <f>AW22*Inputs!$C$45</f>
        <v/>
      </c>
      <c r="AX23" s="25">
        <f>AX22*Inputs!$C$45</f>
        <v/>
      </c>
      <c r="AY23" s="25">
        <f>AY22*Inputs!$C$45</f>
        <v/>
      </c>
      <c r="AZ23" s="25">
        <f>AZ22*Inputs!$C$45</f>
        <v/>
      </c>
      <c r="BA23" s="25">
        <f>BA22*Inputs!$C$45</f>
        <v/>
      </c>
      <c r="BB23" s="25">
        <f>BB22*Inputs!$C$45</f>
        <v/>
      </c>
      <c r="BC23" s="25">
        <f>BC22*Inputs!$C$45</f>
        <v/>
      </c>
      <c r="BD23" s="25">
        <f>BD22*Inputs!$C$45</f>
        <v/>
      </c>
      <c r="BE23" s="25">
        <f>BE22*Inputs!$C$45</f>
        <v/>
      </c>
      <c r="BF23" s="25">
        <f>BF22*Inputs!$C$45</f>
        <v/>
      </c>
      <c r="BG23" s="25">
        <f>BG22*Inputs!$C$45</f>
        <v/>
      </c>
      <c r="BH23" s="25">
        <f>BH22*Inputs!$C$45</f>
        <v/>
      </c>
      <c r="BI23" s="25">
        <f>BI22*Inputs!$C$45</f>
        <v/>
      </c>
      <c r="BJ23" s="25">
        <f>BJ22*Inputs!$C$45</f>
        <v/>
      </c>
      <c r="BK23" s="25">
        <f>BK22*Inputs!$C$45</f>
        <v/>
      </c>
      <c r="BL23" s="25">
        <f>BL22*Inputs!$C$45</f>
        <v/>
      </c>
    </row>
    <row r="24">
      <c r="A24" s="44" t="inlineStr">
        <is>
          <t>Facility drawn (closing)</t>
        </is>
      </c>
      <c r="B24" s="13" t="inlineStr">
        <is>
          <t>LCY</t>
        </is>
      </c>
      <c r="C24" s="45">
        <f>BL24</f>
        <v/>
      </c>
      <c r="E24" s="25">
        <f>IF(E$4&gt;=Inputs!$C$47,MIN(Inputs!$C$44,E23),0)</f>
        <v/>
      </c>
      <c r="F24" s="25">
        <f>IF(F$4&gt;=Inputs!$C$47,MIN(Inputs!$C$44,F23),0)</f>
        <v/>
      </c>
      <c r="G24" s="25">
        <f>IF(G$4&gt;=Inputs!$C$47,MIN(Inputs!$C$44,G23),0)</f>
        <v/>
      </c>
      <c r="H24" s="25">
        <f>IF(H$4&gt;=Inputs!$C$47,MIN(Inputs!$C$44,H23),0)</f>
        <v/>
      </c>
      <c r="I24" s="25">
        <f>IF(I$4&gt;=Inputs!$C$47,MIN(Inputs!$C$44,I23),0)</f>
        <v/>
      </c>
      <c r="J24" s="25">
        <f>IF(J$4&gt;=Inputs!$C$47,MIN(Inputs!$C$44,J23),0)</f>
        <v/>
      </c>
      <c r="K24" s="25">
        <f>IF(K$4&gt;=Inputs!$C$47,MIN(Inputs!$C$44,K23),0)</f>
        <v/>
      </c>
      <c r="L24" s="25">
        <f>IF(L$4&gt;=Inputs!$C$47,MIN(Inputs!$C$44,L23),0)</f>
        <v/>
      </c>
      <c r="M24" s="25">
        <f>IF(M$4&gt;=Inputs!$C$47,MIN(Inputs!$C$44,M23),0)</f>
        <v/>
      </c>
      <c r="N24" s="25">
        <f>IF(N$4&gt;=Inputs!$C$47,MIN(Inputs!$C$44,N23),0)</f>
        <v/>
      </c>
      <c r="O24" s="25">
        <f>IF(O$4&gt;=Inputs!$C$47,MIN(Inputs!$C$44,O23),0)</f>
        <v/>
      </c>
      <c r="P24" s="25">
        <f>IF(P$4&gt;=Inputs!$C$47,MIN(Inputs!$C$44,P23),0)</f>
        <v/>
      </c>
      <c r="Q24" s="25">
        <f>IF(Q$4&gt;=Inputs!$C$47,MIN(Inputs!$C$44,Q23),0)</f>
        <v/>
      </c>
      <c r="R24" s="25">
        <f>IF(R$4&gt;=Inputs!$C$47,MIN(Inputs!$C$44,R23),0)</f>
        <v/>
      </c>
      <c r="S24" s="25">
        <f>IF(S$4&gt;=Inputs!$C$47,MIN(Inputs!$C$44,S23),0)</f>
        <v/>
      </c>
      <c r="T24" s="25">
        <f>IF(T$4&gt;=Inputs!$C$47,MIN(Inputs!$C$44,T23),0)</f>
        <v/>
      </c>
      <c r="U24" s="25">
        <f>IF(U$4&gt;=Inputs!$C$47,MIN(Inputs!$C$44,U23),0)</f>
        <v/>
      </c>
      <c r="V24" s="25">
        <f>IF(V$4&gt;=Inputs!$C$47,MIN(Inputs!$C$44,V23),0)</f>
        <v/>
      </c>
      <c r="W24" s="25">
        <f>IF(W$4&gt;=Inputs!$C$47,MIN(Inputs!$C$44,W23),0)</f>
        <v/>
      </c>
      <c r="X24" s="25">
        <f>IF(X$4&gt;=Inputs!$C$47,MIN(Inputs!$C$44,X23),0)</f>
        <v/>
      </c>
      <c r="Y24" s="25">
        <f>IF(Y$4&gt;=Inputs!$C$47,MIN(Inputs!$C$44,Y23),0)</f>
        <v/>
      </c>
      <c r="Z24" s="25">
        <f>IF(Z$4&gt;=Inputs!$C$47,MIN(Inputs!$C$44,Z23),0)</f>
        <v/>
      </c>
      <c r="AA24" s="25">
        <f>IF(AA$4&gt;=Inputs!$C$47,MIN(Inputs!$C$44,AA23),0)</f>
        <v/>
      </c>
      <c r="AB24" s="25">
        <f>IF(AB$4&gt;=Inputs!$C$47,MIN(Inputs!$C$44,AB23),0)</f>
        <v/>
      </c>
      <c r="AC24" s="25">
        <f>IF(AC$4&gt;=Inputs!$C$47,MIN(Inputs!$C$44,AC23),0)</f>
        <v/>
      </c>
      <c r="AD24" s="25">
        <f>IF(AD$4&gt;=Inputs!$C$47,MIN(Inputs!$C$44,AD23),0)</f>
        <v/>
      </c>
      <c r="AE24" s="25">
        <f>IF(AE$4&gt;=Inputs!$C$47,MIN(Inputs!$C$44,AE23),0)</f>
        <v/>
      </c>
      <c r="AF24" s="25">
        <f>IF(AF$4&gt;=Inputs!$C$47,MIN(Inputs!$C$44,AF23),0)</f>
        <v/>
      </c>
      <c r="AG24" s="25">
        <f>IF(AG$4&gt;=Inputs!$C$47,MIN(Inputs!$C$44,AG23),0)</f>
        <v/>
      </c>
      <c r="AH24" s="25">
        <f>IF(AH$4&gt;=Inputs!$C$47,MIN(Inputs!$C$44,AH23),0)</f>
        <v/>
      </c>
      <c r="AI24" s="25">
        <f>IF(AI$4&gt;=Inputs!$C$47,MIN(Inputs!$C$44,AI23),0)</f>
        <v/>
      </c>
      <c r="AJ24" s="25">
        <f>IF(AJ$4&gt;=Inputs!$C$47,MIN(Inputs!$C$44,AJ23),0)</f>
        <v/>
      </c>
      <c r="AK24" s="25">
        <f>IF(AK$4&gt;=Inputs!$C$47,MIN(Inputs!$C$44,AK23),0)</f>
        <v/>
      </c>
      <c r="AL24" s="25">
        <f>IF(AL$4&gt;=Inputs!$C$47,MIN(Inputs!$C$44,AL23),0)</f>
        <v/>
      </c>
      <c r="AM24" s="25">
        <f>IF(AM$4&gt;=Inputs!$C$47,MIN(Inputs!$C$44,AM23),0)</f>
        <v/>
      </c>
      <c r="AN24" s="25">
        <f>IF(AN$4&gt;=Inputs!$C$47,MIN(Inputs!$C$44,AN23),0)</f>
        <v/>
      </c>
      <c r="AO24" s="25">
        <f>IF(AO$4&gt;=Inputs!$C$47,MIN(Inputs!$C$44,AO23),0)</f>
        <v/>
      </c>
      <c r="AP24" s="25">
        <f>IF(AP$4&gt;=Inputs!$C$47,MIN(Inputs!$C$44,AP23),0)</f>
        <v/>
      </c>
      <c r="AQ24" s="25">
        <f>IF(AQ$4&gt;=Inputs!$C$47,MIN(Inputs!$C$44,AQ23),0)</f>
        <v/>
      </c>
      <c r="AR24" s="25">
        <f>IF(AR$4&gt;=Inputs!$C$47,MIN(Inputs!$C$44,AR23),0)</f>
        <v/>
      </c>
      <c r="AS24" s="25">
        <f>IF(AS$4&gt;=Inputs!$C$47,MIN(Inputs!$C$44,AS23),0)</f>
        <v/>
      </c>
      <c r="AT24" s="25">
        <f>IF(AT$4&gt;=Inputs!$C$47,MIN(Inputs!$C$44,AT23),0)</f>
        <v/>
      </c>
      <c r="AU24" s="25">
        <f>IF(AU$4&gt;=Inputs!$C$47,MIN(Inputs!$C$44,AU23),0)</f>
        <v/>
      </c>
      <c r="AV24" s="25">
        <f>IF(AV$4&gt;=Inputs!$C$47,MIN(Inputs!$C$44,AV23),0)</f>
        <v/>
      </c>
      <c r="AW24" s="25">
        <f>IF(AW$4&gt;=Inputs!$C$47,MIN(Inputs!$C$44,AW23),0)</f>
        <v/>
      </c>
      <c r="AX24" s="25">
        <f>IF(AX$4&gt;=Inputs!$C$47,MIN(Inputs!$C$44,AX23),0)</f>
        <v/>
      </c>
      <c r="AY24" s="25">
        <f>IF(AY$4&gt;=Inputs!$C$47,MIN(Inputs!$C$44,AY23),0)</f>
        <v/>
      </c>
      <c r="AZ24" s="25">
        <f>IF(AZ$4&gt;=Inputs!$C$47,MIN(Inputs!$C$44,AZ23),0)</f>
        <v/>
      </c>
      <c r="BA24" s="25">
        <f>IF(BA$4&gt;=Inputs!$C$47,MIN(Inputs!$C$44,BA23),0)</f>
        <v/>
      </c>
      <c r="BB24" s="25">
        <f>IF(BB$4&gt;=Inputs!$C$47,MIN(Inputs!$C$44,BB23),0)</f>
        <v/>
      </c>
      <c r="BC24" s="25">
        <f>IF(BC$4&gt;=Inputs!$C$47,MIN(Inputs!$C$44,BC23),0)</f>
        <v/>
      </c>
      <c r="BD24" s="25">
        <f>IF(BD$4&gt;=Inputs!$C$47,MIN(Inputs!$C$44,BD23),0)</f>
        <v/>
      </c>
      <c r="BE24" s="25">
        <f>IF(BE$4&gt;=Inputs!$C$47,MIN(Inputs!$C$44,BE23),0)</f>
        <v/>
      </c>
      <c r="BF24" s="25">
        <f>IF(BF$4&gt;=Inputs!$C$47,MIN(Inputs!$C$44,BF23),0)</f>
        <v/>
      </c>
      <c r="BG24" s="25">
        <f>IF(BG$4&gt;=Inputs!$C$47,MIN(Inputs!$C$44,BG23),0)</f>
        <v/>
      </c>
      <c r="BH24" s="25">
        <f>IF(BH$4&gt;=Inputs!$C$47,MIN(Inputs!$C$44,BH23),0)</f>
        <v/>
      </c>
      <c r="BI24" s="25">
        <f>IF(BI$4&gt;=Inputs!$C$47,MIN(Inputs!$C$44,BI23),0)</f>
        <v/>
      </c>
      <c r="BJ24" s="25">
        <f>IF(BJ$4&gt;=Inputs!$C$47,MIN(Inputs!$C$44,BJ23),0)</f>
        <v/>
      </c>
      <c r="BK24" s="25">
        <f>IF(BK$4&gt;=Inputs!$C$47,MIN(Inputs!$C$44,BK23),0)</f>
        <v/>
      </c>
      <c r="BL24" s="25">
        <f>IF(BL$4&gt;=Inputs!$C$47,MIN(Inputs!$C$44,BL23),0)</f>
        <v/>
      </c>
    </row>
    <row r="25">
      <c r="A25" s="44" t="inlineStr">
        <is>
          <t>Net drawdown / (repayment)</t>
        </is>
      </c>
      <c r="B25" s="13" t="inlineStr">
        <is>
          <t>LCY</t>
        </is>
      </c>
      <c r="C25" s="45">
        <f>SUM(E25:BL25)</f>
        <v/>
      </c>
      <c r="E25" s="25">
        <f>E24-D24</f>
        <v/>
      </c>
      <c r="F25" s="25">
        <f>F24-E24</f>
        <v/>
      </c>
      <c r="G25" s="25">
        <f>G24-F24</f>
        <v/>
      </c>
      <c r="H25" s="25">
        <f>H24-G24</f>
        <v/>
      </c>
      <c r="I25" s="25">
        <f>I24-H24</f>
        <v/>
      </c>
      <c r="J25" s="25">
        <f>J24-I24</f>
        <v/>
      </c>
      <c r="K25" s="25">
        <f>K24-J24</f>
        <v/>
      </c>
      <c r="L25" s="25">
        <f>L24-K24</f>
        <v/>
      </c>
      <c r="M25" s="25">
        <f>M24-L24</f>
        <v/>
      </c>
      <c r="N25" s="25">
        <f>N24-M24</f>
        <v/>
      </c>
      <c r="O25" s="25">
        <f>O24-N24</f>
        <v/>
      </c>
      <c r="P25" s="25">
        <f>P24-O24</f>
        <v/>
      </c>
      <c r="Q25" s="25">
        <f>Q24-P24</f>
        <v/>
      </c>
      <c r="R25" s="25">
        <f>R24-Q24</f>
        <v/>
      </c>
      <c r="S25" s="25">
        <f>S24-R24</f>
        <v/>
      </c>
      <c r="T25" s="25">
        <f>T24-S24</f>
        <v/>
      </c>
      <c r="U25" s="25">
        <f>U24-T24</f>
        <v/>
      </c>
      <c r="V25" s="25">
        <f>V24-U24</f>
        <v/>
      </c>
      <c r="W25" s="25">
        <f>W24-V24</f>
        <v/>
      </c>
      <c r="X25" s="25">
        <f>X24-W24</f>
        <v/>
      </c>
      <c r="Y25" s="25">
        <f>Y24-X24</f>
        <v/>
      </c>
      <c r="Z25" s="25">
        <f>Z24-Y24</f>
        <v/>
      </c>
      <c r="AA25" s="25">
        <f>AA24-Z24</f>
        <v/>
      </c>
      <c r="AB25" s="25">
        <f>AB24-AA24</f>
        <v/>
      </c>
      <c r="AC25" s="25">
        <f>AC24-AB24</f>
        <v/>
      </c>
      <c r="AD25" s="25">
        <f>AD24-AC24</f>
        <v/>
      </c>
      <c r="AE25" s="25">
        <f>AE24-AD24</f>
        <v/>
      </c>
      <c r="AF25" s="25">
        <f>AF24-AE24</f>
        <v/>
      </c>
      <c r="AG25" s="25">
        <f>AG24-AF24</f>
        <v/>
      </c>
      <c r="AH25" s="25">
        <f>AH24-AG24</f>
        <v/>
      </c>
      <c r="AI25" s="25">
        <f>AI24-AH24</f>
        <v/>
      </c>
      <c r="AJ25" s="25">
        <f>AJ24-AI24</f>
        <v/>
      </c>
      <c r="AK25" s="25">
        <f>AK24-AJ24</f>
        <v/>
      </c>
      <c r="AL25" s="25">
        <f>AL24-AK24</f>
        <v/>
      </c>
      <c r="AM25" s="25">
        <f>AM24-AL24</f>
        <v/>
      </c>
      <c r="AN25" s="25">
        <f>AN24-AM24</f>
        <v/>
      </c>
      <c r="AO25" s="25">
        <f>AO24-AN24</f>
        <v/>
      </c>
      <c r="AP25" s="25">
        <f>AP24-AO24</f>
        <v/>
      </c>
      <c r="AQ25" s="25">
        <f>AQ24-AP24</f>
        <v/>
      </c>
      <c r="AR25" s="25">
        <f>AR24-AQ24</f>
        <v/>
      </c>
      <c r="AS25" s="25">
        <f>AS24-AR24</f>
        <v/>
      </c>
      <c r="AT25" s="25">
        <f>AT24-AS24</f>
        <v/>
      </c>
      <c r="AU25" s="25">
        <f>AU24-AT24</f>
        <v/>
      </c>
      <c r="AV25" s="25">
        <f>AV24-AU24</f>
        <v/>
      </c>
      <c r="AW25" s="25">
        <f>AW24-AV24</f>
        <v/>
      </c>
      <c r="AX25" s="25">
        <f>AX24-AW24</f>
        <v/>
      </c>
      <c r="AY25" s="25">
        <f>AY24-AX24</f>
        <v/>
      </c>
      <c r="AZ25" s="25">
        <f>AZ24-AY24</f>
        <v/>
      </c>
      <c r="BA25" s="25">
        <f>BA24-AZ24</f>
        <v/>
      </c>
      <c r="BB25" s="25">
        <f>BB24-BA24</f>
        <v/>
      </c>
      <c r="BC25" s="25">
        <f>BC24-BB24</f>
        <v/>
      </c>
      <c r="BD25" s="25">
        <f>BD24-BC24</f>
        <v/>
      </c>
      <c r="BE25" s="25">
        <f>BE24-BD24</f>
        <v/>
      </c>
      <c r="BF25" s="25">
        <f>BF24-BE24</f>
        <v/>
      </c>
      <c r="BG25" s="25">
        <f>BG24-BF24</f>
        <v/>
      </c>
      <c r="BH25" s="25">
        <f>BH24-BG24</f>
        <v/>
      </c>
      <c r="BI25" s="25">
        <f>BI24-BH24</f>
        <v/>
      </c>
      <c r="BJ25" s="25">
        <f>BJ24-BI24</f>
        <v/>
      </c>
      <c r="BK25" s="25">
        <f>BK24-BJ24</f>
        <v/>
      </c>
      <c r="BL25" s="25">
        <f>BL24-BK24</f>
        <v/>
      </c>
    </row>
    <row r="26">
      <c r="A26" s="44" t="inlineStr">
        <is>
          <t>Interest</t>
        </is>
      </c>
      <c r="B26" s="13" t="inlineStr">
        <is>
          <t>LCY</t>
        </is>
      </c>
      <c r="C26" s="45">
        <f>SUM(E26:BL26)</f>
        <v/>
      </c>
      <c r="E26" s="25">
        <f>D24*Inputs!$C$46/12</f>
        <v/>
      </c>
      <c r="F26" s="25">
        <f>E24*Inputs!$C$46/12</f>
        <v/>
      </c>
      <c r="G26" s="25">
        <f>F24*Inputs!$C$46/12</f>
        <v/>
      </c>
      <c r="H26" s="25">
        <f>G24*Inputs!$C$46/12</f>
        <v/>
      </c>
      <c r="I26" s="25">
        <f>H24*Inputs!$C$46/12</f>
        <v/>
      </c>
      <c r="J26" s="25">
        <f>I24*Inputs!$C$46/12</f>
        <v/>
      </c>
      <c r="K26" s="25">
        <f>J24*Inputs!$C$46/12</f>
        <v/>
      </c>
      <c r="L26" s="25">
        <f>K24*Inputs!$C$46/12</f>
        <v/>
      </c>
      <c r="M26" s="25">
        <f>L24*Inputs!$C$46/12</f>
        <v/>
      </c>
      <c r="N26" s="25">
        <f>M24*Inputs!$C$46/12</f>
        <v/>
      </c>
      <c r="O26" s="25">
        <f>N24*Inputs!$C$46/12</f>
        <v/>
      </c>
      <c r="P26" s="25">
        <f>O24*Inputs!$C$46/12</f>
        <v/>
      </c>
      <c r="Q26" s="25">
        <f>P24*Inputs!$C$46/12</f>
        <v/>
      </c>
      <c r="R26" s="25">
        <f>Q24*Inputs!$C$46/12</f>
        <v/>
      </c>
      <c r="S26" s="25">
        <f>R24*Inputs!$C$46/12</f>
        <v/>
      </c>
      <c r="T26" s="25">
        <f>S24*Inputs!$C$46/12</f>
        <v/>
      </c>
      <c r="U26" s="25">
        <f>T24*Inputs!$C$46/12</f>
        <v/>
      </c>
      <c r="V26" s="25">
        <f>U24*Inputs!$C$46/12</f>
        <v/>
      </c>
      <c r="W26" s="25">
        <f>V24*Inputs!$C$46/12</f>
        <v/>
      </c>
      <c r="X26" s="25">
        <f>W24*Inputs!$C$46/12</f>
        <v/>
      </c>
      <c r="Y26" s="25">
        <f>X24*Inputs!$C$46/12</f>
        <v/>
      </c>
      <c r="Z26" s="25">
        <f>Y24*Inputs!$C$46/12</f>
        <v/>
      </c>
      <c r="AA26" s="25">
        <f>Z24*Inputs!$C$46/12</f>
        <v/>
      </c>
      <c r="AB26" s="25">
        <f>AA24*Inputs!$C$46/12</f>
        <v/>
      </c>
      <c r="AC26" s="25">
        <f>AB24*Inputs!$C$46/12</f>
        <v/>
      </c>
      <c r="AD26" s="25">
        <f>AC24*Inputs!$C$46/12</f>
        <v/>
      </c>
      <c r="AE26" s="25">
        <f>AD24*Inputs!$C$46/12</f>
        <v/>
      </c>
      <c r="AF26" s="25">
        <f>AE24*Inputs!$C$46/12</f>
        <v/>
      </c>
      <c r="AG26" s="25">
        <f>AF24*Inputs!$C$46/12</f>
        <v/>
      </c>
      <c r="AH26" s="25">
        <f>AG24*Inputs!$C$46/12</f>
        <v/>
      </c>
      <c r="AI26" s="25">
        <f>AH24*Inputs!$C$46/12</f>
        <v/>
      </c>
      <c r="AJ26" s="25">
        <f>AI24*Inputs!$C$46/12</f>
        <v/>
      </c>
      <c r="AK26" s="25">
        <f>AJ24*Inputs!$C$46/12</f>
        <v/>
      </c>
      <c r="AL26" s="25">
        <f>AK24*Inputs!$C$46/12</f>
        <v/>
      </c>
      <c r="AM26" s="25">
        <f>AL24*Inputs!$C$46/12</f>
        <v/>
      </c>
      <c r="AN26" s="25">
        <f>AM24*Inputs!$C$46/12</f>
        <v/>
      </c>
      <c r="AO26" s="25">
        <f>AN24*Inputs!$C$46/12</f>
        <v/>
      </c>
      <c r="AP26" s="25">
        <f>AO24*Inputs!$C$46/12</f>
        <v/>
      </c>
      <c r="AQ26" s="25">
        <f>AP24*Inputs!$C$46/12</f>
        <v/>
      </c>
      <c r="AR26" s="25">
        <f>AQ24*Inputs!$C$46/12</f>
        <v/>
      </c>
      <c r="AS26" s="25">
        <f>AR24*Inputs!$C$46/12</f>
        <v/>
      </c>
      <c r="AT26" s="25">
        <f>AS24*Inputs!$C$46/12</f>
        <v/>
      </c>
      <c r="AU26" s="25">
        <f>AT24*Inputs!$C$46/12</f>
        <v/>
      </c>
      <c r="AV26" s="25">
        <f>AU24*Inputs!$C$46/12</f>
        <v/>
      </c>
      <c r="AW26" s="25">
        <f>AV24*Inputs!$C$46/12</f>
        <v/>
      </c>
      <c r="AX26" s="25">
        <f>AW24*Inputs!$C$46/12</f>
        <v/>
      </c>
      <c r="AY26" s="25">
        <f>AX24*Inputs!$C$46/12</f>
        <v/>
      </c>
      <c r="AZ26" s="25">
        <f>AY24*Inputs!$C$46/12</f>
        <v/>
      </c>
      <c r="BA26" s="25">
        <f>AZ24*Inputs!$C$46/12</f>
        <v/>
      </c>
      <c r="BB26" s="25">
        <f>BA24*Inputs!$C$46/12</f>
        <v/>
      </c>
      <c r="BC26" s="25">
        <f>BB24*Inputs!$C$46/12</f>
        <v/>
      </c>
      <c r="BD26" s="25">
        <f>BC24*Inputs!$C$46/12</f>
        <v/>
      </c>
      <c r="BE26" s="25">
        <f>BD24*Inputs!$C$46/12</f>
        <v/>
      </c>
      <c r="BF26" s="25">
        <f>BE24*Inputs!$C$46/12</f>
        <v/>
      </c>
      <c r="BG26" s="25">
        <f>BF24*Inputs!$C$46/12</f>
        <v/>
      </c>
      <c r="BH26" s="25">
        <f>BG24*Inputs!$C$46/12</f>
        <v/>
      </c>
      <c r="BI26" s="25">
        <f>BH24*Inputs!$C$46/12</f>
        <v/>
      </c>
      <c r="BJ26" s="25">
        <f>BI24*Inputs!$C$46/12</f>
        <v/>
      </c>
      <c r="BK26" s="25">
        <f>BJ24*Inputs!$C$46/12</f>
        <v/>
      </c>
      <c r="BL26" s="25">
        <f>BK24*Inputs!$C$46/12</f>
        <v/>
      </c>
    </row>
    <row r="27">
      <c r="A27" s="44" t="inlineStr">
        <is>
          <t>Utilisation of limit</t>
        </is>
      </c>
      <c r="B27" s="13" t="inlineStr">
        <is>
          <t>%</t>
        </is>
      </c>
      <c r="C27" s="52">
        <f>MAX(E27:BL27)</f>
        <v/>
      </c>
      <c r="E27" s="26">
        <f>IF(Inputs!$C$44=0,0,E24/Inputs!$C$44)</f>
        <v/>
      </c>
      <c r="F27" s="26">
        <f>IF(Inputs!$C$44=0,0,F24/Inputs!$C$44)</f>
        <v/>
      </c>
      <c r="G27" s="26">
        <f>IF(Inputs!$C$44=0,0,G24/Inputs!$C$44)</f>
        <v/>
      </c>
      <c r="H27" s="26">
        <f>IF(Inputs!$C$44=0,0,H24/Inputs!$C$44)</f>
        <v/>
      </c>
      <c r="I27" s="26">
        <f>IF(Inputs!$C$44=0,0,I24/Inputs!$C$44)</f>
        <v/>
      </c>
      <c r="J27" s="26">
        <f>IF(Inputs!$C$44=0,0,J24/Inputs!$C$44)</f>
        <v/>
      </c>
      <c r="K27" s="26">
        <f>IF(Inputs!$C$44=0,0,K24/Inputs!$C$44)</f>
        <v/>
      </c>
      <c r="L27" s="26">
        <f>IF(Inputs!$C$44=0,0,L24/Inputs!$C$44)</f>
        <v/>
      </c>
      <c r="M27" s="26">
        <f>IF(Inputs!$C$44=0,0,M24/Inputs!$C$44)</f>
        <v/>
      </c>
      <c r="N27" s="26">
        <f>IF(Inputs!$C$44=0,0,N24/Inputs!$C$44)</f>
        <v/>
      </c>
      <c r="O27" s="26">
        <f>IF(Inputs!$C$44=0,0,O24/Inputs!$C$44)</f>
        <v/>
      </c>
      <c r="P27" s="26">
        <f>IF(Inputs!$C$44=0,0,P24/Inputs!$C$44)</f>
        <v/>
      </c>
      <c r="Q27" s="26">
        <f>IF(Inputs!$C$44=0,0,Q24/Inputs!$C$44)</f>
        <v/>
      </c>
      <c r="R27" s="26">
        <f>IF(Inputs!$C$44=0,0,R24/Inputs!$C$44)</f>
        <v/>
      </c>
      <c r="S27" s="26">
        <f>IF(Inputs!$C$44=0,0,S24/Inputs!$C$44)</f>
        <v/>
      </c>
      <c r="T27" s="26">
        <f>IF(Inputs!$C$44=0,0,T24/Inputs!$C$44)</f>
        <v/>
      </c>
      <c r="U27" s="26">
        <f>IF(Inputs!$C$44=0,0,U24/Inputs!$C$44)</f>
        <v/>
      </c>
      <c r="V27" s="26">
        <f>IF(Inputs!$C$44=0,0,V24/Inputs!$C$44)</f>
        <v/>
      </c>
      <c r="W27" s="26">
        <f>IF(Inputs!$C$44=0,0,W24/Inputs!$C$44)</f>
        <v/>
      </c>
      <c r="X27" s="26">
        <f>IF(Inputs!$C$44=0,0,X24/Inputs!$C$44)</f>
        <v/>
      </c>
      <c r="Y27" s="26">
        <f>IF(Inputs!$C$44=0,0,Y24/Inputs!$C$44)</f>
        <v/>
      </c>
      <c r="Z27" s="26">
        <f>IF(Inputs!$C$44=0,0,Z24/Inputs!$C$44)</f>
        <v/>
      </c>
      <c r="AA27" s="26">
        <f>IF(Inputs!$C$44=0,0,AA24/Inputs!$C$44)</f>
        <v/>
      </c>
      <c r="AB27" s="26">
        <f>IF(Inputs!$C$44=0,0,AB24/Inputs!$C$44)</f>
        <v/>
      </c>
      <c r="AC27" s="26">
        <f>IF(Inputs!$C$44=0,0,AC24/Inputs!$C$44)</f>
        <v/>
      </c>
      <c r="AD27" s="26">
        <f>IF(Inputs!$C$44=0,0,AD24/Inputs!$C$44)</f>
        <v/>
      </c>
      <c r="AE27" s="26">
        <f>IF(Inputs!$C$44=0,0,AE24/Inputs!$C$44)</f>
        <v/>
      </c>
      <c r="AF27" s="26">
        <f>IF(Inputs!$C$44=0,0,AF24/Inputs!$C$44)</f>
        <v/>
      </c>
      <c r="AG27" s="26">
        <f>IF(Inputs!$C$44=0,0,AG24/Inputs!$C$44)</f>
        <v/>
      </c>
      <c r="AH27" s="26">
        <f>IF(Inputs!$C$44=0,0,AH24/Inputs!$C$44)</f>
        <v/>
      </c>
      <c r="AI27" s="26">
        <f>IF(Inputs!$C$44=0,0,AI24/Inputs!$C$44)</f>
        <v/>
      </c>
      <c r="AJ27" s="26">
        <f>IF(Inputs!$C$44=0,0,AJ24/Inputs!$C$44)</f>
        <v/>
      </c>
      <c r="AK27" s="26">
        <f>IF(Inputs!$C$44=0,0,AK24/Inputs!$C$44)</f>
        <v/>
      </c>
      <c r="AL27" s="26">
        <f>IF(Inputs!$C$44=0,0,AL24/Inputs!$C$44)</f>
        <v/>
      </c>
      <c r="AM27" s="26">
        <f>IF(Inputs!$C$44=0,0,AM24/Inputs!$C$44)</f>
        <v/>
      </c>
      <c r="AN27" s="26">
        <f>IF(Inputs!$C$44=0,0,AN24/Inputs!$C$44)</f>
        <v/>
      </c>
      <c r="AO27" s="26">
        <f>IF(Inputs!$C$44=0,0,AO24/Inputs!$C$44)</f>
        <v/>
      </c>
      <c r="AP27" s="26">
        <f>IF(Inputs!$C$44=0,0,AP24/Inputs!$C$44)</f>
        <v/>
      </c>
      <c r="AQ27" s="26">
        <f>IF(Inputs!$C$44=0,0,AQ24/Inputs!$C$44)</f>
        <v/>
      </c>
      <c r="AR27" s="26">
        <f>IF(Inputs!$C$44=0,0,AR24/Inputs!$C$44)</f>
        <v/>
      </c>
      <c r="AS27" s="26">
        <f>IF(Inputs!$C$44=0,0,AS24/Inputs!$C$44)</f>
        <v/>
      </c>
      <c r="AT27" s="26">
        <f>IF(Inputs!$C$44=0,0,AT24/Inputs!$C$44)</f>
        <v/>
      </c>
      <c r="AU27" s="26">
        <f>IF(Inputs!$C$44=0,0,AU24/Inputs!$C$44)</f>
        <v/>
      </c>
      <c r="AV27" s="26">
        <f>IF(Inputs!$C$44=0,0,AV24/Inputs!$C$44)</f>
        <v/>
      </c>
      <c r="AW27" s="26">
        <f>IF(Inputs!$C$44=0,0,AW24/Inputs!$C$44)</f>
        <v/>
      </c>
      <c r="AX27" s="26">
        <f>IF(Inputs!$C$44=0,0,AX24/Inputs!$C$44)</f>
        <v/>
      </c>
      <c r="AY27" s="26">
        <f>IF(Inputs!$C$44=0,0,AY24/Inputs!$C$44)</f>
        <v/>
      </c>
      <c r="AZ27" s="26">
        <f>IF(Inputs!$C$44=0,0,AZ24/Inputs!$C$44)</f>
        <v/>
      </c>
      <c r="BA27" s="26">
        <f>IF(Inputs!$C$44=0,0,BA24/Inputs!$C$44)</f>
        <v/>
      </c>
      <c r="BB27" s="26">
        <f>IF(Inputs!$C$44=0,0,BB24/Inputs!$C$44)</f>
        <v/>
      </c>
      <c r="BC27" s="26">
        <f>IF(Inputs!$C$44=0,0,BC24/Inputs!$C$44)</f>
        <v/>
      </c>
      <c r="BD27" s="26">
        <f>IF(Inputs!$C$44=0,0,BD24/Inputs!$C$44)</f>
        <v/>
      </c>
      <c r="BE27" s="26">
        <f>IF(Inputs!$C$44=0,0,BE24/Inputs!$C$44)</f>
        <v/>
      </c>
      <c r="BF27" s="26">
        <f>IF(Inputs!$C$44=0,0,BF24/Inputs!$C$44)</f>
        <v/>
      </c>
      <c r="BG27" s="26">
        <f>IF(Inputs!$C$44=0,0,BG24/Inputs!$C$44)</f>
        <v/>
      </c>
      <c r="BH27" s="26">
        <f>IF(Inputs!$C$44=0,0,BH24/Inputs!$C$44)</f>
        <v/>
      </c>
      <c r="BI27" s="26">
        <f>IF(Inputs!$C$44=0,0,BI24/Inputs!$C$44)</f>
        <v/>
      </c>
      <c r="BJ27" s="26">
        <f>IF(Inputs!$C$44=0,0,BJ24/Inputs!$C$44)</f>
        <v/>
      </c>
      <c r="BK27" s="26">
        <f>IF(Inputs!$C$44=0,0,BK24/Inputs!$C$44)</f>
        <v/>
      </c>
      <c r="BL27" s="26">
        <f>IF(Inputs!$C$44=0,0,BL24/Inputs!$C$44)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7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>
      <c r="A1" s="1" t="inlineStr">
        <is>
          <t>Per-unit repayment curves by account age</t>
        </is>
      </c>
    </row>
    <row r="2">
      <c r="A2" s="2" t="inlineStr">
        <is>
          <t>Age 0 = month of sale. One block per product. Values are per unit, in month-1 prices (cohorts are scaled by the price index).</t>
        </is>
      </c>
    </row>
    <row r="3"/>
    <row r="4"/>
    <row r="5">
      <c r="B5" s="53" t="inlineStr">
        <is>
          <t>P1 Solar lantern kit (Tier 1)</t>
        </is>
      </c>
      <c r="K5" s="53" t="inlineStr">
        <is>
          <t>P2 SHS lights+radio (Tier 2)</t>
        </is>
      </c>
      <c r="T5" s="53" t="inlineStr">
        <is>
          <t>P3 SHS with TV (Tier 3)</t>
        </is>
      </c>
    </row>
    <row r="6" ht="30" customHeight="1">
      <c r="A6" s="24" t="inlineStr">
        <is>
          <t>Age (m)</t>
        </is>
      </c>
      <c r="B6" s="24" t="inlineStr">
        <is>
          <t>Survival (still paying)</t>
        </is>
      </c>
      <c r="C6" s="24" t="inlineStr">
        <is>
          <t>Instalment due</t>
        </is>
      </c>
      <c r="D6" s="24" t="inlineStr">
        <is>
          <t>Collected</t>
        </is>
      </c>
      <c r="E6" s="24" t="inlineStr">
        <is>
          <t>Missed (written off)</t>
        </is>
      </c>
      <c r="F6" s="24" t="inlineStr">
        <is>
          <t>Receivable at risk</t>
        </is>
      </c>
      <c r="G6" s="24" t="inlineStr">
        <is>
          <t>Active account</t>
        </is>
      </c>
      <c r="H6" s="24" t="inlineStr">
        <is>
          <t>Net cash flow / unit</t>
        </is>
      </c>
      <c r="I6" s="24" t="inlineStr">
        <is>
          <t>Cumulative cash flow</t>
        </is>
      </c>
      <c r="K6" s="24" t="inlineStr">
        <is>
          <t>Survival (still paying)</t>
        </is>
      </c>
      <c r="L6" s="24" t="inlineStr">
        <is>
          <t>Instalment due</t>
        </is>
      </c>
      <c r="M6" s="24" t="inlineStr">
        <is>
          <t>Collected</t>
        </is>
      </c>
      <c r="N6" s="24" t="inlineStr">
        <is>
          <t>Missed (written off)</t>
        </is>
      </c>
      <c r="O6" s="24" t="inlineStr">
        <is>
          <t>Receivable at risk</t>
        </is>
      </c>
      <c r="P6" s="24" t="inlineStr">
        <is>
          <t>Active account</t>
        </is>
      </c>
      <c r="Q6" s="24" t="inlineStr">
        <is>
          <t>Net cash flow / unit</t>
        </is>
      </c>
      <c r="R6" s="24" t="inlineStr">
        <is>
          <t>Cumulative cash flow</t>
        </is>
      </c>
      <c r="T6" s="24" t="inlineStr">
        <is>
          <t>Survival (still paying)</t>
        </is>
      </c>
      <c r="U6" s="24" t="inlineStr">
        <is>
          <t>Instalment due</t>
        </is>
      </c>
      <c r="V6" s="24" t="inlineStr">
        <is>
          <t>Collected</t>
        </is>
      </c>
      <c r="W6" s="24" t="inlineStr">
        <is>
          <t>Missed (written off)</t>
        </is>
      </c>
      <c r="X6" s="24" t="inlineStr">
        <is>
          <t>Receivable at risk</t>
        </is>
      </c>
      <c r="Y6" s="24" t="inlineStr">
        <is>
          <t>Active account</t>
        </is>
      </c>
      <c r="Z6" s="24" t="inlineStr">
        <is>
          <t>Net cash flow / unit</t>
        </is>
      </c>
      <c r="AA6" s="24" t="inlineStr">
        <is>
          <t>Cumulative cash flow</t>
        </is>
      </c>
    </row>
    <row r="7"/>
    <row r="8">
      <c r="A8" s="39" t="n">
        <v>0</v>
      </c>
      <c r="B8" s="26">
        <f>1</f>
        <v/>
      </c>
      <c r="C8" s="25">
        <f>IF(AND($A8&gt;=1,$A8&lt;=Products!$C$9),Products!$C$18,0)</f>
        <v/>
      </c>
      <c r="D8" s="25">
        <f>C8*Products!$C$24*B8</f>
        <v/>
      </c>
      <c r="E8" s="25">
        <f>C8-D8</f>
        <v/>
      </c>
      <c r="F8" s="25">
        <f>(1-B8)*MAX(0,Products!$C$9-$A8)*(Products!$C$18-Products!$C$20/Products!$C$9)</f>
        <v/>
      </c>
      <c r="G8" s="26">
        <f>IF($A8&lt;=Products!$C$9,B8,0)</f>
        <v/>
      </c>
      <c r="H8" s="25">
        <f>Products!$C$7*(1-Inputs!$C$23)-Products!$C$25*(1+Inputs!$C$27)-Products!$C$26</f>
        <v/>
      </c>
      <c r="I8" s="25">
        <f>H8</f>
        <v/>
      </c>
      <c r="K8" s="26">
        <f>1</f>
        <v/>
      </c>
      <c r="L8" s="25">
        <f>IF(AND($A8&gt;=1,$A8&lt;=Products!$D$9),Products!$D$18,0)</f>
        <v/>
      </c>
      <c r="M8" s="25">
        <f>L8*Products!$D$24*K8</f>
        <v/>
      </c>
      <c r="N8" s="25">
        <f>L8-M8</f>
        <v/>
      </c>
      <c r="O8" s="25">
        <f>(1-K8)*MAX(0,Products!$D$9-$A8)*(Products!$D$18-Products!$D$20/Products!$D$9)</f>
        <v/>
      </c>
      <c r="P8" s="26">
        <f>IF($A8&lt;=Products!$D$9,K8,0)</f>
        <v/>
      </c>
      <c r="Q8" s="25">
        <f>Products!$D$7*(1-Inputs!$C$23)-Products!$D$25*(1+Inputs!$C$27)-Products!$D$26</f>
        <v/>
      </c>
      <c r="R8" s="25">
        <f>Q8</f>
        <v/>
      </c>
      <c r="T8" s="26">
        <f>1</f>
        <v/>
      </c>
      <c r="U8" s="25">
        <f>IF(AND($A8&gt;=1,$A8&lt;=Products!$E$9),Products!$E$18,0)</f>
        <v/>
      </c>
      <c r="V8" s="25">
        <f>U8*Products!$E$24*T8</f>
        <v/>
      </c>
      <c r="W8" s="25">
        <f>U8-V8</f>
        <v/>
      </c>
      <c r="X8" s="25">
        <f>(1-T8)*MAX(0,Products!$E$9-$A8)*(Products!$E$18-Products!$E$20/Products!$E$9)</f>
        <v/>
      </c>
      <c r="Y8" s="26">
        <f>IF($A8&lt;=Products!$E$9,T8,0)</f>
        <v/>
      </c>
      <c r="Z8" s="25">
        <f>Products!$E$7*(1-Inputs!$C$23)-Products!$E$25*(1+Inputs!$C$27)-Products!$E$26</f>
        <v/>
      </c>
      <c r="AA8" s="25">
        <f>Z8</f>
        <v/>
      </c>
    </row>
    <row r="9">
      <c r="A9" s="39" t="n">
        <v>1</v>
      </c>
      <c r="B9" s="26">
        <f>(1-Products!$C$23)^$A9</f>
        <v/>
      </c>
      <c r="C9" s="25">
        <f>IF(AND($A9&gt;=1,$A9&lt;=Products!$C$9),Products!$C$18,0)</f>
        <v/>
      </c>
      <c r="D9" s="25">
        <f>C9*Products!$C$24*B9</f>
        <v/>
      </c>
      <c r="E9" s="25">
        <f>C9-D9</f>
        <v/>
      </c>
      <c r="F9" s="25">
        <f>(1-B9)*MAX(0,Products!$C$9-$A9)*(Products!$C$18-Products!$C$20/Products!$C$9)</f>
        <v/>
      </c>
      <c r="G9" s="26">
        <f>IF($A9&lt;=Products!$C$9,B9,0)</f>
        <v/>
      </c>
      <c r="H9" s="25">
        <f>D9*(1-Inputs!$C$23)-Inputs!$C$24*G9</f>
        <v/>
      </c>
      <c r="I9" s="25">
        <f>I8+H9</f>
        <v/>
      </c>
      <c r="K9" s="26">
        <f>(1-Products!$D$23)^$A9</f>
        <v/>
      </c>
      <c r="L9" s="25">
        <f>IF(AND($A9&gt;=1,$A9&lt;=Products!$D$9),Products!$D$18,0)</f>
        <v/>
      </c>
      <c r="M9" s="25">
        <f>L9*Products!$D$24*K9</f>
        <v/>
      </c>
      <c r="N9" s="25">
        <f>L9-M9</f>
        <v/>
      </c>
      <c r="O9" s="25">
        <f>(1-K9)*MAX(0,Products!$D$9-$A9)*(Products!$D$18-Products!$D$20/Products!$D$9)</f>
        <v/>
      </c>
      <c r="P9" s="26">
        <f>IF($A9&lt;=Products!$D$9,K9,0)</f>
        <v/>
      </c>
      <c r="Q9" s="25">
        <f>M9*(1-Inputs!$C$23)-Inputs!$C$24*P9</f>
        <v/>
      </c>
      <c r="R9" s="25">
        <f>R8+Q9</f>
        <v/>
      </c>
      <c r="T9" s="26">
        <f>(1-Products!$E$23)^$A9</f>
        <v/>
      </c>
      <c r="U9" s="25">
        <f>IF(AND($A9&gt;=1,$A9&lt;=Products!$E$9),Products!$E$18,0)</f>
        <v/>
      </c>
      <c r="V9" s="25">
        <f>U9*Products!$E$24*T9</f>
        <v/>
      </c>
      <c r="W9" s="25">
        <f>U9-V9</f>
        <v/>
      </c>
      <c r="X9" s="25">
        <f>(1-T9)*MAX(0,Products!$E$9-$A9)*(Products!$E$18-Products!$E$20/Products!$E$9)</f>
        <v/>
      </c>
      <c r="Y9" s="26">
        <f>IF($A9&lt;=Products!$E$9,T9,0)</f>
        <v/>
      </c>
      <c r="Z9" s="25">
        <f>V9*(1-Inputs!$C$23)-Inputs!$C$24*Y9</f>
        <v/>
      </c>
      <c r="AA9" s="25">
        <f>AA8+Z9</f>
        <v/>
      </c>
    </row>
    <row r="10">
      <c r="A10" s="39" t="n">
        <v>2</v>
      </c>
      <c r="B10" s="26">
        <f>(1-Products!$C$23)^$A10</f>
        <v/>
      </c>
      <c r="C10" s="25">
        <f>IF(AND($A10&gt;=1,$A10&lt;=Products!$C$9),Products!$C$18,0)</f>
        <v/>
      </c>
      <c r="D10" s="25">
        <f>C10*Products!$C$24*B10</f>
        <v/>
      </c>
      <c r="E10" s="25">
        <f>C10-D10</f>
        <v/>
      </c>
      <c r="F10" s="25">
        <f>(1-B10)*MAX(0,Products!$C$9-$A10)*(Products!$C$18-Products!$C$20/Products!$C$9)</f>
        <v/>
      </c>
      <c r="G10" s="26">
        <f>IF($A10&lt;=Products!$C$9,B10,0)</f>
        <v/>
      </c>
      <c r="H10" s="25">
        <f>D10*(1-Inputs!$C$23)-Inputs!$C$24*G10</f>
        <v/>
      </c>
      <c r="I10" s="25">
        <f>I9+H10</f>
        <v/>
      </c>
      <c r="K10" s="26">
        <f>(1-Products!$D$23)^$A10</f>
        <v/>
      </c>
      <c r="L10" s="25">
        <f>IF(AND($A10&gt;=1,$A10&lt;=Products!$D$9),Products!$D$18,0)</f>
        <v/>
      </c>
      <c r="M10" s="25">
        <f>L10*Products!$D$24*K10</f>
        <v/>
      </c>
      <c r="N10" s="25">
        <f>L10-M10</f>
        <v/>
      </c>
      <c r="O10" s="25">
        <f>(1-K10)*MAX(0,Products!$D$9-$A10)*(Products!$D$18-Products!$D$20/Products!$D$9)</f>
        <v/>
      </c>
      <c r="P10" s="26">
        <f>IF($A10&lt;=Products!$D$9,K10,0)</f>
        <v/>
      </c>
      <c r="Q10" s="25">
        <f>M10*(1-Inputs!$C$23)-Inputs!$C$24*P10</f>
        <v/>
      </c>
      <c r="R10" s="25">
        <f>R9+Q10</f>
        <v/>
      </c>
      <c r="T10" s="26">
        <f>(1-Products!$E$23)^$A10</f>
        <v/>
      </c>
      <c r="U10" s="25">
        <f>IF(AND($A10&gt;=1,$A10&lt;=Products!$E$9),Products!$E$18,0)</f>
        <v/>
      </c>
      <c r="V10" s="25">
        <f>U10*Products!$E$24*T10</f>
        <v/>
      </c>
      <c r="W10" s="25">
        <f>U10-V10</f>
        <v/>
      </c>
      <c r="X10" s="25">
        <f>(1-T10)*MAX(0,Products!$E$9-$A10)*(Products!$E$18-Products!$E$20/Products!$E$9)</f>
        <v/>
      </c>
      <c r="Y10" s="26">
        <f>IF($A10&lt;=Products!$E$9,T10,0)</f>
        <v/>
      </c>
      <c r="Z10" s="25">
        <f>V10*(1-Inputs!$C$23)-Inputs!$C$24*Y10</f>
        <v/>
      </c>
      <c r="AA10" s="25">
        <f>AA9+Z10</f>
        <v/>
      </c>
    </row>
    <row r="11">
      <c r="A11" s="39" t="n">
        <v>3</v>
      </c>
      <c r="B11" s="26">
        <f>(1-Products!$C$23)^$A11</f>
        <v/>
      </c>
      <c r="C11" s="25">
        <f>IF(AND($A11&gt;=1,$A11&lt;=Products!$C$9),Products!$C$18,0)</f>
        <v/>
      </c>
      <c r="D11" s="25">
        <f>C11*Products!$C$24*B11</f>
        <v/>
      </c>
      <c r="E11" s="25">
        <f>C11-D11</f>
        <v/>
      </c>
      <c r="F11" s="25">
        <f>(1-B11)*MAX(0,Products!$C$9-$A11)*(Products!$C$18-Products!$C$20/Products!$C$9)</f>
        <v/>
      </c>
      <c r="G11" s="26">
        <f>IF($A11&lt;=Products!$C$9,B11,0)</f>
        <v/>
      </c>
      <c r="H11" s="25">
        <f>D11*(1-Inputs!$C$23)-Inputs!$C$24*G11</f>
        <v/>
      </c>
      <c r="I11" s="25">
        <f>I10+H11</f>
        <v/>
      </c>
      <c r="K11" s="26">
        <f>(1-Products!$D$23)^$A11</f>
        <v/>
      </c>
      <c r="L11" s="25">
        <f>IF(AND($A11&gt;=1,$A11&lt;=Products!$D$9),Products!$D$18,0)</f>
        <v/>
      </c>
      <c r="M11" s="25">
        <f>L11*Products!$D$24*K11</f>
        <v/>
      </c>
      <c r="N11" s="25">
        <f>L11-M11</f>
        <v/>
      </c>
      <c r="O11" s="25">
        <f>(1-K11)*MAX(0,Products!$D$9-$A11)*(Products!$D$18-Products!$D$20/Products!$D$9)</f>
        <v/>
      </c>
      <c r="P11" s="26">
        <f>IF($A11&lt;=Products!$D$9,K11,0)</f>
        <v/>
      </c>
      <c r="Q11" s="25">
        <f>M11*(1-Inputs!$C$23)-Inputs!$C$24*P11</f>
        <v/>
      </c>
      <c r="R11" s="25">
        <f>R10+Q11</f>
        <v/>
      </c>
      <c r="T11" s="26">
        <f>(1-Products!$E$23)^$A11</f>
        <v/>
      </c>
      <c r="U11" s="25">
        <f>IF(AND($A11&gt;=1,$A11&lt;=Products!$E$9),Products!$E$18,0)</f>
        <v/>
      </c>
      <c r="V11" s="25">
        <f>U11*Products!$E$24*T11</f>
        <v/>
      </c>
      <c r="W11" s="25">
        <f>U11-V11</f>
        <v/>
      </c>
      <c r="X11" s="25">
        <f>(1-T11)*MAX(0,Products!$E$9-$A11)*(Products!$E$18-Products!$E$20/Products!$E$9)</f>
        <v/>
      </c>
      <c r="Y11" s="26">
        <f>IF($A11&lt;=Products!$E$9,T11,0)</f>
        <v/>
      </c>
      <c r="Z11" s="25">
        <f>V11*(1-Inputs!$C$23)-Inputs!$C$24*Y11</f>
        <v/>
      </c>
      <c r="AA11" s="25">
        <f>AA10+Z11</f>
        <v/>
      </c>
    </row>
    <row r="12">
      <c r="A12" s="39" t="n">
        <v>4</v>
      </c>
      <c r="B12" s="26">
        <f>(1-Products!$C$23)^$A12</f>
        <v/>
      </c>
      <c r="C12" s="25">
        <f>IF(AND($A12&gt;=1,$A12&lt;=Products!$C$9),Products!$C$18,0)</f>
        <v/>
      </c>
      <c r="D12" s="25">
        <f>C12*Products!$C$24*B12</f>
        <v/>
      </c>
      <c r="E12" s="25">
        <f>C12-D12</f>
        <v/>
      </c>
      <c r="F12" s="25">
        <f>(1-B12)*MAX(0,Products!$C$9-$A12)*(Products!$C$18-Products!$C$20/Products!$C$9)</f>
        <v/>
      </c>
      <c r="G12" s="26">
        <f>IF($A12&lt;=Products!$C$9,B12,0)</f>
        <v/>
      </c>
      <c r="H12" s="25">
        <f>D12*(1-Inputs!$C$23)-Inputs!$C$24*G12</f>
        <v/>
      </c>
      <c r="I12" s="25">
        <f>I11+H12</f>
        <v/>
      </c>
      <c r="K12" s="26">
        <f>(1-Products!$D$23)^$A12</f>
        <v/>
      </c>
      <c r="L12" s="25">
        <f>IF(AND($A12&gt;=1,$A12&lt;=Products!$D$9),Products!$D$18,0)</f>
        <v/>
      </c>
      <c r="M12" s="25">
        <f>L12*Products!$D$24*K12</f>
        <v/>
      </c>
      <c r="N12" s="25">
        <f>L12-M12</f>
        <v/>
      </c>
      <c r="O12" s="25">
        <f>(1-K12)*MAX(0,Products!$D$9-$A12)*(Products!$D$18-Products!$D$20/Products!$D$9)</f>
        <v/>
      </c>
      <c r="P12" s="26">
        <f>IF($A12&lt;=Products!$D$9,K12,0)</f>
        <v/>
      </c>
      <c r="Q12" s="25">
        <f>M12*(1-Inputs!$C$23)-Inputs!$C$24*P12</f>
        <v/>
      </c>
      <c r="R12" s="25">
        <f>R11+Q12</f>
        <v/>
      </c>
      <c r="T12" s="26">
        <f>(1-Products!$E$23)^$A12</f>
        <v/>
      </c>
      <c r="U12" s="25">
        <f>IF(AND($A12&gt;=1,$A12&lt;=Products!$E$9),Products!$E$18,0)</f>
        <v/>
      </c>
      <c r="V12" s="25">
        <f>U12*Products!$E$24*T12</f>
        <v/>
      </c>
      <c r="W12" s="25">
        <f>U12-V12</f>
        <v/>
      </c>
      <c r="X12" s="25">
        <f>(1-T12)*MAX(0,Products!$E$9-$A12)*(Products!$E$18-Products!$E$20/Products!$E$9)</f>
        <v/>
      </c>
      <c r="Y12" s="26">
        <f>IF($A12&lt;=Products!$E$9,T12,0)</f>
        <v/>
      </c>
      <c r="Z12" s="25">
        <f>V12*(1-Inputs!$C$23)-Inputs!$C$24*Y12</f>
        <v/>
      </c>
      <c r="AA12" s="25">
        <f>AA11+Z12</f>
        <v/>
      </c>
    </row>
    <row r="13">
      <c r="A13" s="39" t="n">
        <v>5</v>
      </c>
      <c r="B13" s="26">
        <f>(1-Products!$C$23)^$A13</f>
        <v/>
      </c>
      <c r="C13" s="25">
        <f>IF(AND($A13&gt;=1,$A13&lt;=Products!$C$9),Products!$C$18,0)</f>
        <v/>
      </c>
      <c r="D13" s="25">
        <f>C13*Products!$C$24*B13</f>
        <v/>
      </c>
      <c r="E13" s="25">
        <f>C13-D13</f>
        <v/>
      </c>
      <c r="F13" s="25">
        <f>(1-B13)*MAX(0,Products!$C$9-$A13)*(Products!$C$18-Products!$C$20/Products!$C$9)</f>
        <v/>
      </c>
      <c r="G13" s="26">
        <f>IF($A13&lt;=Products!$C$9,B13,0)</f>
        <v/>
      </c>
      <c r="H13" s="25">
        <f>D13*(1-Inputs!$C$23)-Inputs!$C$24*G13</f>
        <v/>
      </c>
      <c r="I13" s="25">
        <f>I12+H13</f>
        <v/>
      </c>
      <c r="K13" s="26">
        <f>(1-Products!$D$23)^$A13</f>
        <v/>
      </c>
      <c r="L13" s="25">
        <f>IF(AND($A13&gt;=1,$A13&lt;=Products!$D$9),Products!$D$18,0)</f>
        <v/>
      </c>
      <c r="M13" s="25">
        <f>L13*Products!$D$24*K13</f>
        <v/>
      </c>
      <c r="N13" s="25">
        <f>L13-M13</f>
        <v/>
      </c>
      <c r="O13" s="25">
        <f>(1-K13)*MAX(0,Products!$D$9-$A13)*(Products!$D$18-Products!$D$20/Products!$D$9)</f>
        <v/>
      </c>
      <c r="P13" s="26">
        <f>IF($A13&lt;=Products!$D$9,K13,0)</f>
        <v/>
      </c>
      <c r="Q13" s="25">
        <f>M13*(1-Inputs!$C$23)-Inputs!$C$24*P13</f>
        <v/>
      </c>
      <c r="R13" s="25">
        <f>R12+Q13</f>
        <v/>
      </c>
      <c r="T13" s="26">
        <f>(1-Products!$E$23)^$A13</f>
        <v/>
      </c>
      <c r="U13" s="25">
        <f>IF(AND($A13&gt;=1,$A13&lt;=Products!$E$9),Products!$E$18,0)</f>
        <v/>
      </c>
      <c r="V13" s="25">
        <f>U13*Products!$E$24*T13</f>
        <v/>
      </c>
      <c r="W13" s="25">
        <f>U13-V13</f>
        <v/>
      </c>
      <c r="X13" s="25">
        <f>(1-T13)*MAX(0,Products!$E$9-$A13)*(Products!$E$18-Products!$E$20/Products!$E$9)</f>
        <v/>
      </c>
      <c r="Y13" s="26">
        <f>IF($A13&lt;=Products!$E$9,T13,0)</f>
        <v/>
      </c>
      <c r="Z13" s="25">
        <f>V13*(1-Inputs!$C$23)-Inputs!$C$24*Y13</f>
        <v/>
      </c>
      <c r="AA13" s="25">
        <f>AA12+Z13</f>
        <v/>
      </c>
    </row>
    <row r="14">
      <c r="A14" s="39" t="n">
        <v>6</v>
      </c>
      <c r="B14" s="26">
        <f>(1-Products!$C$23)^$A14</f>
        <v/>
      </c>
      <c r="C14" s="25">
        <f>IF(AND($A14&gt;=1,$A14&lt;=Products!$C$9),Products!$C$18,0)</f>
        <v/>
      </c>
      <c r="D14" s="25">
        <f>C14*Products!$C$24*B14</f>
        <v/>
      </c>
      <c r="E14" s="25">
        <f>C14-D14</f>
        <v/>
      </c>
      <c r="F14" s="25">
        <f>(1-B14)*MAX(0,Products!$C$9-$A14)*(Products!$C$18-Products!$C$20/Products!$C$9)</f>
        <v/>
      </c>
      <c r="G14" s="26">
        <f>IF($A14&lt;=Products!$C$9,B14,0)</f>
        <v/>
      </c>
      <c r="H14" s="25">
        <f>D14*(1-Inputs!$C$23)-Inputs!$C$24*G14</f>
        <v/>
      </c>
      <c r="I14" s="25">
        <f>I13+H14</f>
        <v/>
      </c>
      <c r="K14" s="26">
        <f>(1-Products!$D$23)^$A14</f>
        <v/>
      </c>
      <c r="L14" s="25">
        <f>IF(AND($A14&gt;=1,$A14&lt;=Products!$D$9),Products!$D$18,0)</f>
        <v/>
      </c>
      <c r="M14" s="25">
        <f>L14*Products!$D$24*K14</f>
        <v/>
      </c>
      <c r="N14" s="25">
        <f>L14-M14</f>
        <v/>
      </c>
      <c r="O14" s="25">
        <f>(1-K14)*MAX(0,Products!$D$9-$A14)*(Products!$D$18-Products!$D$20/Products!$D$9)</f>
        <v/>
      </c>
      <c r="P14" s="26">
        <f>IF($A14&lt;=Products!$D$9,K14,0)</f>
        <v/>
      </c>
      <c r="Q14" s="25">
        <f>M14*(1-Inputs!$C$23)-Inputs!$C$24*P14</f>
        <v/>
      </c>
      <c r="R14" s="25">
        <f>R13+Q14</f>
        <v/>
      </c>
      <c r="T14" s="26">
        <f>(1-Products!$E$23)^$A14</f>
        <v/>
      </c>
      <c r="U14" s="25">
        <f>IF(AND($A14&gt;=1,$A14&lt;=Products!$E$9),Products!$E$18,0)</f>
        <v/>
      </c>
      <c r="V14" s="25">
        <f>U14*Products!$E$24*T14</f>
        <v/>
      </c>
      <c r="W14" s="25">
        <f>U14-V14</f>
        <v/>
      </c>
      <c r="X14" s="25">
        <f>(1-T14)*MAX(0,Products!$E$9-$A14)*(Products!$E$18-Products!$E$20/Products!$E$9)</f>
        <v/>
      </c>
      <c r="Y14" s="26">
        <f>IF($A14&lt;=Products!$E$9,T14,0)</f>
        <v/>
      </c>
      <c r="Z14" s="25">
        <f>V14*(1-Inputs!$C$23)-Inputs!$C$24*Y14</f>
        <v/>
      </c>
      <c r="AA14" s="25">
        <f>AA13+Z14</f>
        <v/>
      </c>
    </row>
    <row r="15">
      <c r="A15" s="39" t="n">
        <v>7</v>
      </c>
      <c r="B15" s="26">
        <f>(1-Products!$C$23)^$A15</f>
        <v/>
      </c>
      <c r="C15" s="25">
        <f>IF(AND($A15&gt;=1,$A15&lt;=Products!$C$9),Products!$C$18,0)</f>
        <v/>
      </c>
      <c r="D15" s="25">
        <f>C15*Products!$C$24*B15</f>
        <v/>
      </c>
      <c r="E15" s="25">
        <f>C15-D15</f>
        <v/>
      </c>
      <c r="F15" s="25">
        <f>(1-B15)*MAX(0,Products!$C$9-$A15)*(Products!$C$18-Products!$C$20/Products!$C$9)</f>
        <v/>
      </c>
      <c r="G15" s="26">
        <f>IF($A15&lt;=Products!$C$9,B15,0)</f>
        <v/>
      </c>
      <c r="H15" s="25">
        <f>D15*(1-Inputs!$C$23)-Inputs!$C$24*G15</f>
        <v/>
      </c>
      <c r="I15" s="25">
        <f>I14+H15</f>
        <v/>
      </c>
      <c r="K15" s="26">
        <f>(1-Products!$D$23)^$A15</f>
        <v/>
      </c>
      <c r="L15" s="25">
        <f>IF(AND($A15&gt;=1,$A15&lt;=Products!$D$9),Products!$D$18,0)</f>
        <v/>
      </c>
      <c r="M15" s="25">
        <f>L15*Products!$D$24*K15</f>
        <v/>
      </c>
      <c r="N15" s="25">
        <f>L15-M15</f>
        <v/>
      </c>
      <c r="O15" s="25">
        <f>(1-K15)*MAX(0,Products!$D$9-$A15)*(Products!$D$18-Products!$D$20/Products!$D$9)</f>
        <v/>
      </c>
      <c r="P15" s="26">
        <f>IF($A15&lt;=Products!$D$9,K15,0)</f>
        <v/>
      </c>
      <c r="Q15" s="25">
        <f>M15*(1-Inputs!$C$23)-Inputs!$C$24*P15</f>
        <v/>
      </c>
      <c r="R15" s="25">
        <f>R14+Q15</f>
        <v/>
      </c>
      <c r="T15" s="26">
        <f>(1-Products!$E$23)^$A15</f>
        <v/>
      </c>
      <c r="U15" s="25">
        <f>IF(AND($A15&gt;=1,$A15&lt;=Products!$E$9),Products!$E$18,0)</f>
        <v/>
      </c>
      <c r="V15" s="25">
        <f>U15*Products!$E$24*T15</f>
        <v/>
      </c>
      <c r="W15" s="25">
        <f>U15-V15</f>
        <v/>
      </c>
      <c r="X15" s="25">
        <f>(1-T15)*MAX(0,Products!$E$9-$A15)*(Products!$E$18-Products!$E$20/Products!$E$9)</f>
        <v/>
      </c>
      <c r="Y15" s="26">
        <f>IF($A15&lt;=Products!$E$9,T15,0)</f>
        <v/>
      </c>
      <c r="Z15" s="25">
        <f>V15*(1-Inputs!$C$23)-Inputs!$C$24*Y15</f>
        <v/>
      </c>
      <c r="AA15" s="25">
        <f>AA14+Z15</f>
        <v/>
      </c>
    </row>
    <row r="16">
      <c r="A16" s="39" t="n">
        <v>8</v>
      </c>
      <c r="B16" s="26">
        <f>(1-Products!$C$23)^$A16</f>
        <v/>
      </c>
      <c r="C16" s="25">
        <f>IF(AND($A16&gt;=1,$A16&lt;=Products!$C$9),Products!$C$18,0)</f>
        <v/>
      </c>
      <c r="D16" s="25">
        <f>C16*Products!$C$24*B16</f>
        <v/>
      </c>
      <c r="E16" s="25">
        <f>C16-D16</f>
        <v/>
      </c>
      <c r="F16" s="25">
        <f>(1-B16)*MAX(0,Products!$C$9-$A16)*(Products!$C$18-Products!$C$20/Products!$C$9)</f>
        <v/>
      </c>
      <c r="G16" s="26">
        <f>IF($A16&lt;=Products!$C$9,B16,0)</f>
        <v/>
      </c>
      <c r="H16" s="25">
        <f>D16*(1-Inputs!$C$23)-Inputs!$C$24*G16</f>
        <v/>
      </c>
      <c r="I16" s="25">
        <f>I15+H16</f>
        <v/>
      </c>
      <c r="K16" s="26">
        <f>(1-Products!$D$23)^$A16</f>
        <v/>
      </c>
      <c r="L16" s="25">
        <f>IF(AND($A16&gt;=1,$A16&lt;=Products!$D$9),Products!$D$18,0)</f>
        <v/>
      </c>
      <c r="M16" s="25">
        <f>L16*Products!$D$24*K16</f>
        <v/>
      </c>
      <c r="N16" s="25">
        <f>L16-M16</f>
        <v/>
      </c>
      <c r="O16" s="25">
        <f>(1-K16)*MAX(0,Products!$D$9-$A16)*(Products!$D$18-Products!$D$20/Products!$D$9)</f>
        <v/>
      </c>
      <c r="P16" s="26">
        <f>IF($A16&lt;=Products!$D$9,K16,0)</f>
        <v/>
      </c>
      <c r="Q16" s="25">
        <f>M16*(1-Inputs!$C$23)-Inputs!$C$24*P16</f>
        <v/>
      </c>
      <c r="R16" s="25">
        <f>R15+Q16</f>
        <v/>
      </c>
      <c r="T16" s="26">
        <f>(1-Products!$E$23)^$A16</f>
        <v/>
      </c>
      <c r="U16" s="25">
        <f>IF(AND($A16&gt;=1,$A16&lt;=Products!$E$9),Products!$E$18,0)</f>
        <v/>
      </c>
      <c r="V16" s="25">
        <f>U16*Products!$E$24*T16</f>
        <v/>
      </c>
      <c r="W16" s="25">
        <f>U16-V16</f>
        <v/>
      </c>
      <c r="X16" s="25">
        <f>(1-T16)*MAX(0,Products!$E$9-$A16)*(Products!$E$18-Products!$E$20/Products!$E$9)</f>
        <v/>
      </c>
      <c r="Y16" s="26">
        <f>IF($A16&lt;=Products!$E$9,T16,0)</f>
        <v/>
      </c>
      <c r="Z16" s="25">
        <f>V16*(1-Inputs!$C$23)-Inputs!$C$24*Y16</f>
        <v/>
      </c>
      <c r="AA16" s="25">
        <f>AA15+Z16</f>
        <v/>
      </c>
    </row>
    <row r="17">
      <c r="A17" s="39" t="n">
        <v>9</v>
      </c>
      <c r="B17" s="26">
        <f>(1-Products!$C$23)^$A17</f>
        <v/>
      </c>
      <c r="C17" s="25">
        <f>IF(AND($A17&gt;=1,$A17&lt;=Products!$C$9),Products!$C$18,0)</f>
        <v/>
      </c>
      <c r="D17" s="25">
        <f>C17*Products!$C$24*B17</f>
        <v/>
      </c>
      <c r="E17" s="25">
        <f>C17-D17</f>
        <v/>
      </c>
      <c r="F17" s="25">
        <f>(1-B17)*MAX(0,Products!$C$9-$A17)*(Products!$C$18-Products!$C$20/Products!$C$9)</f>
        <v/>
      </c>
      <c r="G17" s="26">
        <f>IF($A17&lt;=Products!$C$9,B17,0)</f>
        <v/>
      </c>
      <c r="H17" s="25">
        <f>D17*(1-Inputs!$C$23)-Inputs!$C$24*G17</f>
        <v/>
      </c>
      <c r="I17" s="25">
        <f>I16+H17</f>
        <v/>
      </c>
      <c r="K17" s="26">
        <f>(1-Products!$D$23)^$A17</f>
        <v/>
      </c>
      <c r="L17" s="25">
        <f>IF(AND($A17&gt;=1,$A17&lt;=Products!$D$9),Products!$D$18,0)</f>
        <v/>
      </c>
      <c r="M17" s="25">
        <f>L17*Products!$D$24*K17</f>
        <v/>
      </c>
      <c r="N17" s="25">
        <f>L17-M17</f>
        <v/>
      </c>
      <c r="O17" s="25">
        <f>(1-K17)*MAX(0,Products!$D$9-$A17)*(Products!$D$18-Products!$D$20/Products!$D$9)</f>
        <v/>
      </c>
      <c r="P17" s="26">
        <f>IF($A17&lt;=Products!$D$9,K17,0)</f>
        <v/>
      </c>
      <c r="Q17" s="25">
        <f>M17*(1-Inputs!$C$23)-Inputs!$C$24*P17</f>
        <v/>
      </c>
      <c r="R17" s="25">
        <f>R16+Q17</f>
        <v/>
      </c>
      <c r="T17" s="26">
        <f>(1-Products!$E$23)^$A17</f>
        <v/>
      </c>
      <c r="U17" s="25">
        <f>IF(AND($A17&gt;=1,$A17&lt;=Products!$E$9),Products!$E$18,0)</f>
        <v/>
      </c>
      <c r="V17" s="25">
        <f>U17*Products!$E$24*T17</f>
        <v/>
      </c>
      <c r="W17" s="25">
        <f>U17-V17</f>
        <v/>
      </c>
      <c r="X17" s="25">
        <f>(1-T17)*MAX(0,Products!$E$9-$A17)*(Products!$E$18-Products!$E$20/Products!$E$9)</f>
        <v/>
      </c>
      <c r="Y17" s="26">
        <f>IF($A17&lt;=Products!$E$9,T17,0)</f>
        <v/>
      </c>
      <c r="Z17" s="25">
        <f>V17*(1-Inputs!$C$23)-Inputs!$C$24*Y17</f>
        <v/>
      </c>
      <c r="AA17" s="25">
        <f>AA16+Z17</f>
        <v/>
      </c>
    </row>
    <row r="18">
      <c r="A18" s="39" t="n">
        <v>10</v>
      </c>
      <c r="B18" s="26">
        <f>(1-Products!$C$23)^$A18</f>
        <v/>
      </c>
      <c r="C18" s="25">
        <f>IF(AND($A18&gt;=1,$A18&lt;=Products!$C$9),Products!$C$18,0)</f>
        <v/>
      </c>
      <c r="D18" s="25">
        <f>C18*Products!$C$24*B18</f>
        <v/>
      </c>
      <c r="E18" s="25">
        <f>C18-D18</f>
        <v/>
      </c>
      <c r="F18" s="25">
        <f>(1-B18)*MAX(0,Products!$C$9-$A18)*(Products!$C$18-Products!$C$20/Products!$C$9)</f>
        <v/>
      </c>
      <c r="G18" s="26">
        <f>IF($A18&lt;=Products!$C$9,B18,0)</f>
        <v/>
      </c>
      <c r="H18" s="25">
        <f>D18*(1-Inputs!$C$23)-Inputs!$C$24*G18</f>
        <v/>
      </c>
      <c r="I18" s="25">
        <f>I17+H18</f>
        <v/>
      </c>
      <c r="K18" s="26">
        <f>(1-Products!$D$23)^$A18</f>
        <v/>
      </c>
      <c r="L18" s="25">
        <f>IF(AND($A18&gt;=1,$A18&lt;=Products!$D$9),Products!$D$18,0)</f>
        <v/>
      </c>
      <c r="M18" s="25">
        <f>L18*Products!$D$24*K18</f>
        <v/>
      </c>
      <c r="N18" s="25">
        <f>L18-M18</f>
        <v/>
      </c>
      <c r="O18" s="25">
        <f>(1-K18)*MAX(0,Products!$D$9-$A18)*(Products!$D$18-Products!$D$20/Products!$D$9)</f>
        <v/>
      </c>
      <c r="P18" s="26">
        <f>IF($A18&lt;=Products!$D$9,K18,0)</f>
        <v/>
      </c>
      <c r="Q18" s="25">
        <f>M18*(1-Inputs!$C$23)-Inputs!$C$24*P18</f>
        <v/>
      </c>
      <c r="R18" s="25">
        <f>R17+Q18</f>
        <v/>
      </c>
      <c r="T18" s="26">
        <f>(1-Products!$E$23)^$A18</f>
        <v/>
      </c>
      <c r="U18" s="25">
        <f>IF(AND($A18&gt;=1,$A18&lt;=Products!$E$9),Products!$E$18,0)</f>
        <v/>
      </c>
      <c r="V18" s="25">
        <f>U18*Products!$E$24*T18</f>
        <v/>
      </c>
      <c r="W18" s="25">
        <f>U18-V18</f>
        <v/>
      </c>
      <c r="X18" s="25">
        <f>(1-T18)*MAX(0,Products!$E$9-$A18)*(Products!$E$18-Products!$E$20/Products!$E$9)</f>
        <v/>
      </c>
      <c r="Y18" s="26">
        <f>IF($A18&lt;=Products!$E$9,T18,0)</f>
        <v/>
      </c>
      <c r="Z18" s="25">
        <f>V18*(1-Inputs!$C$23)-Inputs!$C$24*Y18</f>
        <v/>
      </c>
      <c r="AA18" s="25">
        <f>AA17+Z18</f>
        <v/>
      </c>
    </row>
    <row r="19">
      <c r="A19" s="39" t="n">
        <v>11</v>
      </c>
      <c r="B19" s="26">
        <f>(1-Products!$C$23)^$A19</f>
        <v/>
      </c>
      <c r="C19" s="25">
        <f>IF(AND($A19&gt;=1,$A19&lt;=Products!$C$9),Products!$C$18,0)</f>
        <v/>
      </c>
      <c r="D19" s="25">
        <f>C19*Products!$C$24*B19</f>
        <v/>
      </c>
      <c r="E19" s="25">
        <f>C19-D19</f>
        <v/>
      </c>
      <c r="F19" s="25">
        <f>(1-B19)*MAX(0,Products!$C$9-$A19)*(Products!$C$18-Products!$C$20/Products!$C$9)</f>
        <v/>
      </c>
      <c r="G19" s="26">
        <f>IF($A19&lt;=Products!$C$9,B19,0)</f>
        <v/>
      </c>
      <c r="H19" s="25">
        <f>D19*(1-Inputs!$C$23)-Inputs!$C$24*G19</f>
        <v/>
      </c>
      <c r="I19" s="25">
        <f>I18+H19</f>
        <v/>
      </c>
      <c r="K19" s="26">
        <f>(1-Products!$D$23)^$A19</f>
        <v/>
      </c>
      <c r="L19" s="25">
        <f>IF(AND($A19&gt;=1,$A19&lt;=Products!$D$9),Products!$D$18,0)</f>
        <v/>
      </c>
      <c r="M19" s="25">
        <f>L19*Products!$D$24*K19</f>
        <v/>
      </c>
      <c r="N19" s="25">
        <f>L19-M19</f>
        <v/>
      </c>
      <c r="O19" s="25">
        <f>(1-K19)*MAX(0,Products!$D$9-$A19)*(Products!$D$18-Products!$D$20/Products!$D$9)</f>
        <v/>
      </c>
      <c r="P19" s="26">
        <f>IF($A19&lt;=Products!$D$9,K19,0)</f>
        <v/>
      </c>
      <c r="Q19" s="25">
        <f>M19*(1-Inputs!$C$23)-Inputs!$C$24*P19</f>
        <v/>
      </c>
      <c r="R19" s="25">
        <f>R18+Q19</f>
        <v/>
      </c>
      <c r="T19" s="26">
        <f>(1-Products!$E$23)^$A19</f>
        <v/>
      </c>
      <c r="U19" s="25">
        <f>IF(AND($A19&gt;=1,$A19&lt;=Products!$E$9),Products!$E$18,0)</f>
        <v/>
      </c>
      <c r="V19" s="25">
        <f>U19*Products!$E$24*T19</f>
        <v/>
      </c>
      <c r="W19" s="25">
        <f>U19-V19</f>
        <v/>
      </c>
      <c r="X19" s="25">
        <f>(1-T19)*MAX(0,Products!$E$9-$A19)*(Products!$E$18-Products!$E$20/Products!$E$9)</f>
        <v/>
      </c>
      <c r="Y19" s="26">
        <f>IF($A19&lt;=Products!$E$9,T19,0)</f>
        <v/>
      </c>
      <c r="Z19" s="25">
        <f>V19*(1-Inputs!$C$23)-Inputs!$C$24*Y19</f>
        <v/>
      </c>
      <c r="AA19" s="25">
        <f>AA18+Z19</f>
        <v/>
      </c>
    </row>
    <row r="20">
      <c r="A20" s="39" t="n">
        <v>12</v>
      </c>
      <c r="B20" s="26">
        <f>(1-Products!$C$23)^$A20</f>
        <v/>
      </c>
      <c r="C20" s="25">
        <f>IF(AND($A20&gt;=1,$A20&lt;=Products!$C$9),Products!$C$18,0)</f>
        <v/>
      </c>
      <c r="D20" s="25">
        <f>C20*Products!$C$24*B20</f>
        <v/>
      </c>
      <c r="E20" s="25">
        <f>C20-D20</f>
        <v/>
      </c>
      <c r="F20" s="25">
        <f>(1-B20)*MAX(0,Products!$C$9-$A20)*(Products!$C$18-Products!$C$20/Products!$C$9)</f>
        <v/>
      </c>
      <c r="G20" s="26">
        <f>IF($A20&lt;=Products!$C$9,B20,0)</f>
        <v/>
      </c>
      <c r="H20" s="25">
        <f>D20*(1-Inputs!$C$23)-Inputs!$C$24*G20</f>
        <v/>
      </c>
      <c r="I20" s="25">
        <f>I19+H20</f>
        <v/>
      </c>
      <c r="K20" s="26">
        <f>(1-Products!$D$23)^$A20</f>
        <v/>
      </c>
      <c r="L20" s="25">
        <f>IF(AND($A20&gt;=1,$A20&lt;=Products!$D$9),Products!$D$18,0)</f>
        <v/>
      </c>
      <c r="M20" s="25">
        <f>L20*Products!$D$24*K20</f>
        <v/>
      </c>
      <c r="N20" s="25">
        <f>L20-M20</f>
        <v/>
      </c>
      <c r="O20" s="25">
        <f>(1-K20)*MAX(0,Products!$D$9-$A20)*(Products!$D$18-Products!$D$20/Products!$D$9)</f>
        <v/>
      </c>
      <c r="P20" s="26">
        <f>IF($A20&lt;=Products!$D$9,K20,0)</f>
        <v/>
      </c>
      <c r="Q20" s="25">
        <f>M20*(1-Inputs!$C$23)-Inputs!$C$24*P20</f>
        <v/>
      </c>
      <c r="R20" s="25">
        <f>R19+Q20</f>
        <v/>
      </c>
      <c r="T20" s="26">
        <f>(1-Products!$E$23)^$A20</f>
        <v/>
      </c>
      <c r="U20" s="25">
        <f>IF(AND($A20&gt;=1,$A20&lt;=Products!$E$9),Products!$E$18,0)</f>
        <v/>
      </c>
      <c r="V20" s="25">
        <f>U20*Products!$E$24*T20</f>
        <v/>
      </c>
      <c r="W20" s="25">
        <f>U20-V20</f>
        <v/>
      </c>
      <c r="X20" s="25">
        <f>(1-T20)*MAX(0,Products!$E$9-$A20)*(Products!$E$18-Products!$E$20/Products!$E$9)</f>
        <v/>
      </c>
      <c r="Y20" s="26">
        <f>IF($A20&lt;=Products!$E$9,T20,0)</f>
        <v/>
      </c>
      <c r="Z20" s="25">
        <f>V20*(1-Inputs!$C$23)-Inputs!$C$24*Y20</f>
        <v/>
      </c>
      <c r="AA20" s="25">
        <f>AA19+Z20</f>
        <v/>
      </c>
    </row>
    <row r="21">
      <c r="A21" s="39" t="n">
        <v>13</v>
      </c>
      <c r="B21" s="26">
        <f>(1-Products!$C$23)^$A21</f>
        <v/>
      </c>
      <c r="C21" s="25">
        <f>IF(AND($A21&gt;=1,$A21&lt;=Products!$C$9),Products!$C$18,0)</f>
        <v/>
      </c>
      <c r="D21" s="25">
        <f>C21*Products!$C$24*B21</f>
        <v/>
      </c>
      <c r="E21" s="25">
        <f>C21-D21</f>
        <v/>
      </c>
      <c r="F21" s="25">
        <f>(1-B21)*MAX(0,Products!$C$9-$A21)*(Products!$C$18-Products!$C$20/Products!$C$9)</f>
        <v/>
      </c>
      <c r="G21" s="26">
        <f>IF($A21&lt;=Products!$C$9,B21,0)</f>
        <v/>
      </c>
      <c r="H21" s="25">
        <f>D21*(1-Inputs!$C$23)-Inputs!$C$24*G21</f>
        <v/>
      </c>
      <c r="I21" s="25">
        <f>I20+H21</f>
        <v/>
      </c>
      <c r="K21" s="26">
        <f>(1-Products!$D$23)^$A21</f>
        <v/>
      </c>
      <c r="L21" s="25">
        <f>IF(AND($A21&gt;=1,$A21&lt;=Products!$D$9),Products!$D$18,0)</f>
        <v/>
      </c>
      <c r="M21" s="25">
        <f>L21*Products!$D$24*K21</f>
        <v/>
      </c>
      <c r="N21" s="25">
        <f>L21-M21</f>
        <v/>
      </c>
      <c r="O21" s="25">
        <f>(1-K21)*MAX(0,Products!$D$9-$A21)*(Products!$D$18-Products!$D$20/Products!$D$9)</f>
        <v/>
      </c>
      <c r="P21" s="26">
        <f>IF($A21&lt;=Products!$D$9,K21,0)</f>
        <v/>
      </c>
      <c r="Q21" s="25">
        <f>M21*(1-Inputs!$C$23)-Inputs!$C$24*P21</f>
        <v/>
      </c>
      <c r="R21" s="25">
        <f>R20+Q21</f>
        <v/>
      </c>
      <c r="T21" s="26">
        <f>(1-Products!$E$23)^$A21</f>
        <v/>
      </c>
      <c r="U21" s="25">
        <f>IF(AND($A21&gt;=1,$A21&lt;=Products!$E$9),Products!$E$18,0)</f>
        <v/>
      </c>
      <c r="V21" s="25">
        <f>U21*Products!$E$24*T21</f>
        <v/>
      </c>
      <c r="W21" s="25">
        <f>U21-V21</f>
        <v/>
      </c>
      <c r="X21" s="25">
        <f>(1-T21)*MAX(0,Products!$E$9-$A21)*(Products!$E$18-Products!$E$20/Products!$E$9)</f>
        <v/>
      </c>
      <c r="Y21" s="26">
        <f>IF($A21&lt;=Products!$E$9,T21,0)</f>
        <v/>
      </c>
      <c r="Z21" s="25">
        <f>V21*(1-Inputs!$C$23)-Inputs!$C$24*Y21</f>
        <v/>
      </c>
      <c r="AA21" s="25">
        <f>AA20+Z21</f>
        <v/>
      </c>
    </row>
    <row r="22">
      <c r="A22" s="39" t="n">
        <v>14</v>
      </c>
      <c r="B22" s="26">
        <f>(1-Products!$C$23)^$A22</f>
        <v/>
      </c>
      <c r="C22" s="25">
        <f>IF(AND($A22&gt;=1,$A22&lt;=Products!$C$9),Products!$C$18,0)</f>
        <v/>
      </c>
      <c r="D22" s="25">
        <f>C22*Products!$C$24*B22</f>
        <v/>
      </c>
      <c r="E22" s="25">
        <f>C22-D22</f>
        <v/>
      </c>
      <c r="F22" s="25">
        <f>(1-B22)*MAX(0,Products!$C$9-$A22)*(Products!$C$18-Products!$C$20/Products!$C$9)</f>
        <v/>
      </c>
      <c r="G22" s="26">
        <f>IF($A22&lt;=Products!$C$9,B22,0)</f>
        <v/>
      </c>
      <c r="H22" s="25">
        <f>D22*(1-Inputs!$C$23)-Inputs!$C$24*G22</f>
        <v/>
      </c>
      <c r="I22" s="25">
        <f>I21+H22</f>
        <v/>
      </c>
      <c r="K22" s="26">
        <f>(1-Products!$D$23)^$A22</f>
        <v/>
      </c>
      <c r="L22" s="25">
        <f>IF(AND($A22&gt;=1,$A22&lt;=Products!$D$9),Products!$D$18,0)</f>
        <v/>
      </c>
      <c r="M22" s="25">
        <f>L22*Products!$D$24*K22</f>
        <v/>
      </c>
      <c r="N22" s="25">
        <f>L22-M22</f>
        <v/>
      </c>
      <c r="O22" s="25">
        <f>(1-K22)*MAX(0,Products!$D$9-$A22)*(Products!$D$18-Products!$D$20/Products!$D$9)</f>
        <v/>
      </c>
      <c r="P22" s="26">
        <f>IF($A22&lt;=Products!$D$9,K22,0)</f>
        <v/>
      </c>
      <c r="Q22" s="25">
        <f>M22*(1-Inputs!$C$23)-Inputs!$C$24*P22</f>
        <v/>
      </c>
      <c r="R22" s="25">
        <f>R21+Q22</f>
        <v/>
      </c>
      <c r="T22" s="26">
        <f>(1-Products!$E$23)^$A22</f>
        <v/>
      </c>
      <c r="U22" s="25">
        <f>IF(AND($A22&gt;=1,$A22&lt;=Products!$E$9),Products!$E$18,0)</f>
        <v/>
      </c>
      <c r="V22" s="25">
        <f>U22*Products!$E$24*T22</f>
        <v/>
      </c>
      <c r="W22" s="25">
        <f>U22-V22</f>
        <v/>
      </c>
      <c r="X22" s="25">
        <f>(1-T22)*MAX(0,Products!$E$9-$A22)*(Products!$E$18-Products!$E$20/Products!$E$9)</f>
        <v/>
      </c>
      <c r="Y22" s="26">
        <f>IF($A22&lt;=Products!$E$9,T22,0)</f>
        <v/>
      </c>
      <c r="Z22" s="25">
        <f>V22*(1-Inputs!$C$23)-Inputs!$C$24*Y22</f>
        <v/>
      </c>
      <c r="AA22" s="25">
        <f>AA21+Z22</f>
        <v/>
      </c>
    </row>
    <row r="23">
      <c r="A23" s="39" t="n">
        <v>15</v>
      </c>
      <c r="B23" s="26">
        <f>(1-Products!$C$23)^$A23</f>
        <v/>
      </c>
      <c r="C23" s="25">
        <f>IF(AND($A23&gt;=1,$A23&lt;=Products!$C$9),Products!$C$18,0)</f>
        <v/>
      </c>
      <c r="D23" s="25">
        <f>C23*Products!$C$24*B23</f>
        <v/>
      </c>
      <c r="E23" s="25">
        <f>C23-D23</f>
        <v/>
      </c>
      <c r="F23" s="25">
        <f>(1-B23)*MAX(0,Products!$C$9-$A23)*(Products!$C$18-Products!$C$20/Products!$C$9)</f>
        <v/>
      </c>
      <c r="G23" s="26">
        <f>IF($A23&lt;=Products!$C$9,B23,0)</f>
        <v/>
      </c>
      <c r="H23" s="25">
        <f>D23*(1-Inputs!$C$23)-Inputs!$C$24*G23</f>
        <v/>
      </c>
      <c r="I23" s="25">
        <f>I22+H23</f>
        <v/>
      </c>
      <c r="K23" s="26">
        <f>(1-Products!$D$23)^$A23</f>
        <v/>
      </c>
      <c r="L23" s="25">
        <f>IF(AND($A23&gt;=1,$A23&lt;=Products!$D$9),Products!$D$18,0)</f>
        <v/>
      </c>
      <c r="M23" s="25">
        <f>L23*Products!$D$24*K23</f>
        <v/>
      </c>
      <c r="N23" s="25">
        <f>L23-M23</f>
        <v/>
      </c>
      <c r="O23" s="25">
        <f>(1-K23)*MAX(0,Products!$D$9-$A23)*(Products!$D$18-Products!$D$20/Products!$D$9)</f>
        <v/>
      </c>
      <c r="P23" s="26">
        <f>IF($A23&lt;=Products!$D$9,K23,0)</f>
        <v/>
      </c>
      <c r="Q23" s="25">
        <f>M23*(1-Inputs!$C$23)-Inputs!$C$24*P23</f>
        <v/>
      </c>
      <c r="R23" s="25">
        <f>R22+Q23</f>
        <v/>
      </c>
      <c r="T23" s="26">
        <f>(1-Products!$E$23)^$A23</f>
        <v/>
      </c>
      <c r="U23" s="25">
        <f>IF(AND($A23&gt;=1,$A23&lt;=Products!$E$9),Products!$E$18,0)</f>
        <v/>
      </c>
      <c r="V23" s="25">
        <f>U23*Products!$E$24*T23</f>
        <v/>
      </c>
      <c r="W23" s="25">
        <f>U23-V23</f>
        <v/>
      </c>
      <c r="X23" s="25">
        <f>(1-T23)*MAX(0,Products!$E$9-$A23)*(Products!$E$18-Products!$E$20/Products!$E$9)</f>
        <v/>
      </c>
      <c r="Y23" s="26">
        <f>IF($A23&lt;=Products!$E$9,T23,0)</f>
        <v/>
      </c>
      <c r="Z23" s="25">
        <f>V23*(1-Inputs!$C$23)-Inputs!$C$24*Y23</f>
        <v/>
      </c>
      <c r="AA23" s="25">
        <f>AA22+Z23</f>
        <v/>
      </c>
    </row>
    <row r="24">
      <c r="A24" s="39" t="n">
        <v>16</v>
      </c>
      <c r="B24" s="26">
        <f>(1-Products!$C$23)^$A24</f>
        <v/>
      </c>
      <c r="C24" s="25">
        <f>IF(AND($A24&gt;=1,$A24&lt;=Products!$C$9),Products!$C$18,0)</f>
        <v/>
      </c>
      <c r="D24" s="25">
        <f>C24*Products!$C$24*B24</f>
        <v/>
      </c>
      <c r="E24" s="25">
        <f>C24-D24</f>
        <v/>
      </c>
      <c r="F24" s="25">
        <f>(1-B24)*MAX(0,Products!$C$9-$A24)*(Products!$C$18-Products!$C$20/Products!$C$9)</f>
        <v/>
      </c>
      <c r="G24" s="26">
        <f>IF($A24&lt;=Products!$C$9,B24,0)</f>
        <v/>
      </c>
      <c r="H24" s="25">
        <f>D24*(1-Inputs!$C$23)-Inputs!$C$24*G24</f>
        <v/>
      </c>
      <c r="I24" s="25">
        <f>I23+H24</f>
        <v/>
      </c>
      <c r="K24" s="26">
        <f>(1-Products!$D$23)^$A24</f>
        <v/>
      </c>
      <c r="L24" s="25">
        <f>IF(AND($A24&gt;=1,$A24&lt;=Products!$D$9),Products!$D$18,0)</f>
        <v/>
      </c>
      <c r="M24" s="25">
        <f>L24*Products!$D$24*K24</f>
        <v/>
      </c>
      <c r="N24" s="25">
        <f>L24-M24</f>
        <v/>
      </c>
      <c r="O24" s="25">
        <f>(1-K24)*MAX(0,Products!$D$9-$A24)*(Products!$D$18-Products!$D$20/Products!$D$9)</f>
        <v/>
      </c>
      <c r="P24" s="26">
        <f>IF($A24&lt;=Products!$D$9,K24,0)</f>
        <v/>
      </c>
      <c r="Q24" s="25">
        <f>M24*(1-Inputs!$C$23)-Inputs!$C$24*P24</f>
        <v/>
      </c>
      <c r="R24" s="25">
        <f>R23+Q24</f>
        <v/>
      </c>
      <c r="T24" s="26">
        <f>(1-Products!$E$23)^$A24</f>
        <v/>
      </c>
      <c r="U24" s="25">
        <f>IF(AND($A24&gt;=1,$A24&lt;=Products!$E$9),Products!$E$18,0)</f>
        <v/>
      </c>
      <c r="V24" s="25">
        <f>U24*Products!$E$24*T24</f>
        <v/>
      </c>
      <c r="W24" s="25">
        <f>U24-V24</f>
        <v/>
      </c>
      <c r="X24" s="25">
        <f>(1-T24)*MAX(0,Products!$E$9-$A24)*(Products!$E$18-Products!$E$20/Products!$E$9)</f>
        <v/>
      </c>
      <c r="Y24" s="26">
        <f>IF($A24&lt;=Products!$E$9,T24,0)</f>
        <v/>
      </c>
      <c r="Z24" s="25">
        <f>V24*(1-Inputs!$C$23)-Inputs!$C$24*Y24</f>
        <v/>
      </c>
      <c r="AA24" s="25">
        <f>AA23+Z24</f>
        <v/>
      </c>
    </row>
    <row r="25">
      <c r="A25" s="39" t="n">
        <v>17</v>
      </c>
      <c r="B25" s="26">
        <f>(1-Products!$C$23)^$A25</f>
        <v/>
      </c>
      <c r="C25" s="25">
        <f>IF(AND($A25&gt;=1,$A25&lt;=Products!$C$9),Products!$C$18,0)</f>
        <v/>
      </c>
      <c r="D25" s="25">
        <f>C25*Products!$C$24*B25</f>
        <v/>
      </c>
      <c r="E25" s="25">
        <f>C25-D25</f>
        <v/>
      </c>
      <c r="F25" s="25">
        <f>(1-B25)*MAX(0,Products!$C$9-$A25)*(Products!$C$18-Products!$C$20/Products!$C$9)</f>
        <v/>
      </c>
      <c r="G25" s="26">
        <f>IF($A25&lt;=Products!$C$9,B25,0)</f>
        <v/>
      </c>
      <c r="H25" s="25">
        <f>D25*(1-Inputs!$C$23)-Inputs!$C$24*G25</f>
        <v/>
      </c>
      <c r="I25" s="25">
        <f>I24+H25</f>
        <v/>
      </c>
      <c r="K25" s="26">
        <f>(1-Products!$D$23)^$A25</f>
        <v/>
      </c>
      <c r="L25" s="25">
        <f>IF(AND($A25&gt;=1,$A25&lt;=Products!$D$9),Products!$D$18,0)</f>
        <v/>
      </c>
      <c r="M25" s="25">
        <f>L25*Products!$D$24*K25</f>
        <v/>
      </c>
      <c r="N25" s="25">
        <f>L25-M25</f>
        <v/>
      </c>
      <c r="O25" s="25">
        <f>(1-K25)*MAX(0,Products!$D$9-$A25)*(Products!$D$18-Products!$D$20/Products!$D$9)</f>
        <v/>
      </c>
      <c r="P25" s="26">
        <f>IF($A25&lt;=Products!$D$9,K25,0)</f>
        <v/>
      </c>
      <c r="Q25" s="25">
        <f>M25*(1-Inputs!$C$23)-Inputs!$C$24*P25</f>
        <v/>
      </c>
      <c r="R25" s="25">
        <f>R24+Q25</f>
        <v/>
      </c>
      <c r="T25" s="26">
        <f>(1-Products!$E$23)^$A25</f>
        <v/>
      </c>
      <c r="U25" s="25">
        <f>IF(AND($A25&gt;=1,$A25&lt;=Products!$E$9),Products!$E$18,0)</f>
        <v/>
      </c>
      <c r="V25" s="25">
        <f>U25*Products!$E$24*T25</f>
        <v/>
      </c>
      <c r="W25" s="25">
        <f>U25-V25</f>
        <v/>
      </c>
      <c r="X25" s="25">
        <f>(1-T25)*MAX(0,Products!$E$9-$A25)*(Products!$E$18-Products!$E$20/Products!$E$9)</f>
        <v/>
      </c>
      <c r="Y25" s="26">
        <f>IF($A25&lt;=Products!$E$9,T25,0)</f>
        <v/>
      </c>
      <c r="Z25" s="25">
        <f>V25*(1-Inputs!$C$23)-Inputs!$C$24*Y25</f>
        <v/>
      </c>
      <c r="AA25" s="25">
        <f>AA24+Z25</f>
        <v/>
      </c>
    </row>
    <row r="26">
      <c r="A26" s="39" t="n">
        <v>18</v>
      </c>
      <c r="B26" s="26">
        <f>(1-Products!$C$23)^$A26</f>
        <v/>
      </c>
      <c r="C26" s="25">
        <f>IF(AND($A26&gt;=1,$A26&lt;=Products!$C$9),Products!$C$18,0)</f>
        <v/>
      </c>
      <c r="D26" s="25">
        <f>C26*Products!$C$24*B26</f>
        <v/>
      </c>
      <c r="E26" s="25">
        <f>C26-D26</f>
        <v/>
      </c>
      <c r="F26" s="25">
        <f>(1-B26)*MAX(0,Products!$C$9-$A26)*(Products!$C$18-Products!$C$20/Products!$C$9)</f>
        <v/>
      </c>
      <c r="G26" s="26">
        <f>IF($A26&lt;=Products!$C$9,B26,0)</f>
        <v/>
      </c>
      <c r="H26" s="25">
        <f>D26*(1-Inputs!$C$23)-Inputs!$C$24*G26</f>
        <v/>
      </c>
      <c r="I26" s="25">
        <f>I25+H26</f>
        <v/>
      </c>
      <c r="K26" s="26">
        <f>(1-Products!$D$23)^$A26</f>
        <v/>
      </c>
      <c r="L26" s="25">
        <f>IF(AND($A26&gt;=1,$A26&lt;=Products!$D$9),Products!$D$18,0)</f>
        <v/>
      </c>
      <c r="M26" s="25">
        <f>L26*Products!$D$24*K26</f>
        <v/>
      </c>
      <c r="N26" s="25">
        <f>L26-M26</f>
        <v/>
      </c>
      <c r="O26" s="25">
        <f>(1-K26)*MAX(0,Products!$D$9-$A26)*(Products!$D$18-Products!$D$20/Products!$D$9)</f>
        <v/>
      </c>
      <c r="P26" s="26">
        <f>IF($A26&lt;=Products!$D$9,K26,0)</f>
        <v/>
      </c>
      <c r="Q26" s="25">
        <f>M26*(1-Inputs!$C$23)-Inputs!$C$24*P26</f>
        <v/>
      </c>
      <c r="R26" s="25">
        <f>R25+Q26</f>
        <v/>
      </c>
      <c r="T26" s="26">
        <f>(1-Products!$E$23)^$A26</f>
        <v/>
      </c>
      <c r="U26" s="25">
        <f>IF(AND($A26&gt;=1,$A26&lt;=Products!$E$9),Products!$E$18,0)</f>
        <v/>
      </c>
      <c r="V26" s="25">
        <f>U26*Products!$E$24*T26</f>
        <v/>
      </c>
      <c r="W26" s="25">
        <f>U26-V26</f>
        <v/>
      </c>
      <c r="X26" s="25">
        <f>(1-T26)*MAX(0,Products!$E$9-$A26)*(Products!$E$18-Products!$E$20/Products!$E$9)</f>
        <v/>
      </c>
      <c r="Y26" s="26">
        <f>IF($A26&lt;=Products!$E$9,T26,0)</f>
        <v/>
      </c>
      <c r="Z26" s="25">
        <f>V26*(1-Inputs!$C$23)-Inputs!$C$24*Y26</f>
        <v/>
      </c>
      <c r="AA26" s="25">
        <f>AA25+Z26</f>
        <v/>
      </c>
    </row>
    <row r="27">
      <c r="A27" s="39" t="n">
        <v>19</v>
      </c>
      <c r="B27" s="26">
        <f>(1-Products!$C$23)^$A27</f>
        <v/>
      </c>
      <c r="C27" s="25">
        <f>IF(AND($A27&gt;=1,$A27&lt;=Products!$C$9),Products!$C$18,0)</f>
        <v/>
      </c>
      <c r="D27" s="25">
        <f>C27*Products!$C$24*B27</f>
        <v/>
      </c>
      <c r="E27" s="25">
        <f>C27-D27</f>
        <v/>
      </c>
      <c r="F27" s="25">
        <f>(1-B27)*MAX(0,Products!$C$9-$A27)*(Products!$C$18-Products!$C$20/Products!$C$9)</f>
        <v/>
      </c>
      <c r="G27" s="26">
        <f>IF($A27&lt;=Products!$C$9,B27,0)</f>
        <v/>
      </c>
      <c r="H27" s="25">
        <f>D27*(1-Inputs!$C$23)-Inputs!$C$24*G27</f>
        <v/>
      </c>
      <c r="I27" s="25">
        <f>I26+H27</f>
        <v/>
      </c>
      <c r="K27" s="26">
        <f>(1-Products!$D$23)^$A27</f>
        <v/>
      </c>
      <c r="L27" s="25">
        <f>IF(AND($A27&gt;=1,$A27&lt;=Products!$D$9),Products!$D$18,0)</f>
        <v/>
      </c>
      <c r="M27" s="25">
        <f>L27*Products!$D$24*K27</f>
        <v/>
      </c>
      <c r="N27" s="25">
        <f>L27-M27</f>
        <v/>
      </c>
      <c r="O27" s="25">
        <f>(1-K27)*MAX(0,Products!$D$9-$A27)*(Products!$D$18-Products!$D$20/Products!$D$9)</f>
        <v/>
      </c>
      <c r="P27" s="26">
        <f>IF($A27&lt;=Products!$D$9,K27,0)</f>
        <v/>
      </c>
      <c r="Q27" s="25">
        <f>M27*(1-Inputs!$C$23)-Inputs!$C$24*P27</f>
        <v/>
      </c>
      <c r="R27" s="25">
        <f>R26+Q27</f>
        <v/>
      </c>
      <c r="T27" s="26">
        <f>(1-Products!$E$23)^$A27</f>
        <v/>
      </c>
      <c r="U27" s="25">
        <f>IF(AND($A27&gt;=1,$A27&lt;=Products!$E$9),Products!$E$18,0)</f>
        <v/>
      </c>
      <c r="V27" s="25">
        <f>U27*Products!$E$24*T27</f>
        <v/>
      </c>
      <c r="W27" s="25">
        <f>U27-V27</f>
        <v/>
      </c>
      <c r="X27" s="25">
        <f>(1-T27)*MAX(0,Products!$E$9-$A27)*(Products!$E$18-Products!$E$20/Products!$E$9)</f>
        <v/>
      </c>
      <c r="Y27" s="26">
        <f>IF($A27&lt;=Products!$E$9,T27,0)</f>
        <v/>
      </c>
      <c r="Z27" s="25">
        <f>V27*(1-Inputs!$C$23)-Inputs!$C$24*Y27</f>
        <v/>
      </c>
      <c r="AA27" s="25">
        <f>AA26+Z27</f>
        <v/>
      </c>
    </row>
    <row r="28">
      <c r="A28" s="39" t="n">
        <v>20</v>
      </c>
      <c r="B28" s="26">
        <f>(1-Products!$C$23)^$A28</f>
        <v/>
      </c>
      <c r="C28" s="25">
        <f>IF(AND($A28&gt;=1,$A28&lt;=Products!$C$9),Products!$C$18,0)</f>
        <v/>
      </c>
      <c r="D28" s="25">
        <f>C28*Products!$C$24*B28</f>
        <v/>
      </c>
      <c r="E28" s="25">
        <f>C28-D28</f>
        <v/>
      </c>
      <c r="F28" s="25">
        <f>(1-B28)*MAX(0,Products!$C$9-$A28)*(Products!$C$18-Products!$C$20/Products!$C$9)</f>
        <v/>
      </c>
      <c r="G28" s="26">
        <f>IF($A28&lt;=Products!$C$9,B28,0)</f>
        <v/>
      </c>
      <c r="H28" s="25">
        <f>D28*(1-Inputs!$C$23)-Inputs!$C$24*G28</f>
        <v/>
      </c>
      <c r="I28" s="25">
        <f>I27+H28</f>
        <v/>
      </c>
      <c r="K28" s="26">
        <f>(1-Products!$D$23)^$A28</f>
        <v/>
      </c>
      <c r="L28" s="25">
        <f>IF(AND($A28&gt;=1,$A28&lt;=Products!$D$9),Products!$D$18,0)</f>
        <v/>
      </c>
      <c r="M28" s="25">
        <f>L28*Products!$D$24*K28</f>
        <v/>
      </c>
      <c r="N28" s="25">
        <f>L28-M28</f>
        <v/>
      </c>
      <c r="O28" s="25">
        <f>(1-K28)*MAX(0,Products!$D$9-$A28)*(Products!$D$18-Products!$D$20/Products!$D$9)</f>
        <v/>
      </c>
      <c r="P28" s="26">
        <f>IF($A28&lt;=Products!$D$9,K28,0)</f>
        <v/>
      </c>
      <c r="Q28" s="25">
        <f>M28*(1-Inputs!$C$23)-Inputs!$C$24*P28</f>
        <v/>
      </c>
      <c r="R28" s="25">
        <f>R27+Q28</f>
        <v/>
      </c>
      <c r="T28" s="26">
        <f>(1-Products!$E$23)^$A28</f>
        <v/>
      </c>
      <c r="U28" s="25">
        <f>IF(AND($A28&gt;=1,$A28&lt;=Products!$E$9),Products!$E$18,0)</f>
        <v/>
      </c>
      <c r="V28" s="25">
        <f>U28*Products!$E$24*T28</f>
        <v/>
      </c>
      <c r="W28" s="25">
        <f>U28-V28</f>
        <v/>
      </c>
      <c r="X28" s="25">
        <f>(1-T28)*MAX(0,Products!$E$9-$A28)*(Products!$E$18-Products!$E$20/Products!$E$9)</f>
        <v/>
      </c>
      <c r="Y28" s="26">
        <f>IF($A28&lt;=Products!$E$9,T28,0)</f>
        <v/>
      </c>
      <c r="Z28" s="25">
        <f>V28*(1-Inputs!$C$23)-Inputs!$C$24*Y28</f>
        <v/>
      </c>
      <c r="AA28" s="25">
        <f>AA27+Z28</f>
        <v/>
      </c>
    </row>
    <row r="29">
      <c r="A29" s="39" t="n">
        <v>21</v>
      </c>
      <c r="B29" s="26">
        <f>(1-Products!$C$23)^$A29</f>
        <v/>
      </c>
      <c r="C29" s="25">
        <f>IF(AND($A29&gt;=1,$A29&lt;=Products!$C$9),Products!$C$18,0)</f>
        <v/>
      </c>
      <c r="D29" s="25">
        <f>C29*Products!$C$24*B29</f>
        <v/>
      </c>
      <c r="E29" s="25">
        <f>C29-D29</f>
        <v/>
      </c>
      <c r="F29" s="25">
        <f>(1-B29)*MAX(0,Products!$C$9-$A29)*(Products!$C$18-Products!$C$20/Products!$C$9)</f>
        <v/>
      </c>
      <c r="G29" s="26">
        <f>IF($A29&lt;=Products!$C$9,B29,0)</f>
        <v/>
      </c>
      <c r="H29" s="25">
        <f>D29*(1-Inputs!$C$23)-Inputs!$C$24*G29</f>
        <v/>
      </c>
      <c r="I29" s="25">
        <f>I28+H29</f>
        <v/>
      </c>
      <c r="K29" s="26">
        <f>(1-Products!$D$23)^$A29</f>
        <v/>
      </c>
      <c r="L29" s="25">
        <f>IF(AND($A29&gt;=1,$A29&lt;=Products!$D$9),Products!$D$18,0)</f>
        <v/>
      </c>
      <c r="M29" s="25">
        <f>L29*Products!$D$24*K29</f>
        <v/>
      </c>
      <c r="N29" s="25">
        <f>L29-M29</f>
        <v/>
      </c>
      <c r="O29" s="25">
        <f>(1-K29)*MAX(0,Products!$D$9-$A29)*(Products!$D$18-Products!$D$20/Products!$D$9)</f>
        <v/>
      </c>
      <c r="P29" s="26">
        <f>IF($A29&lt;=Products!$D$9,K29,0)</f>
        <v/>
      </c>
      <c r="Q29" s="25">
        <f>M29*(1-Inputs!$C$23)-Inputs!$C$24*P29</f>
        <v/>
      </c>
      <c r="R29" s="25">
        <f>R28+Q29</f>
        <v/>
      </c>
      <c r="T29" s="26">
        <f>(1-Products!$E$23)^$A29</f>
        <v/>
      </c>
      <c r="U29" s="25">
        <f>IF(AND($A29&gt;=1,$A29&lt;=Products!$E$9),Products!$E$18,0)</f>
        <v/>
      </c>
      <c r="V29" s="25">
        <f>U29*Products!$E$24*T29</f>
        <v/>
      </c>
      <c r="W29" s="25">
        <f>U29-V29</f>
        <v/>
      </c>
      <c r="X29" s="25">
        <f>(1-T29)*MAX(0,Products!$E$9-$A29)*(Products!$E$18-Products!$E$20/Products!$E$9)</f>
        <v/>
      </c>
      <c r="Y29" s="26">
        <f>IF($A29&lt;=Products!$E$9,T29,0)</f>
        <v/>
      </c>
      <c r="Z29" s="25">
        <f>V29*(1-Inputs!$C$23)-Inputs!$C$24*Y29</f>
        <v/>
      </c>
      <c r="AA29" s="25">
        <f>AA28+Z29</f>
        <v/>
      </c>
    </row>
    <row r="30">
      <c r="A30" s="39" t="n">
        <v>22</v>
      </c>
      <c r="B30" s="26">
        <f>(1-Products!$C$23)^$A30</f>
        <v/>
      </c>
      <c r="C30" s="25">
        <f>IF(AND($A30&gt;=1,$A30&lt;=Products!$C$9),Products!$C$18,0)</f>
        <v/>
      </c>
      <c r="D30" s="25">
        <f>C30*Products!$C$24*B30</f>
        <v/>
      </c>
      <c r="E30" s="25">
        <f>C30-D30</f>
        <v/>
      </c>
      <c r="F30" s="25">
        <f>(1-B30)*MAX(0,Products!$C$9-$A30)*(Products!$C$18-Products!$C$20/Products!$C$9)</f>
        <v/>
      </c>
      <c r="G30" s="26">
        <f>IF($A30&lt;=Products!$C$9,B30,0)</f>
        <v/>
      </c>
      <c r="H30" s="25">
        <f>D30*(1-Inputs!$C$23)-Inputs!$C$24*G30</f>
        <v/>
      </c>
      <c r="I30" s="25">
        <f>I29+H30</f>
        <v/>
      </c>
      <c r="K30" s="26">
        <f>(1-Products!$D$23)^$A30</f>
        <v/>
      </c>
      <c r="L30" s="25">
        <f>IF(AND($A30&gt;=1,$A30&lt;=Products!$D$9),Products!$D$18,0)</f>
        <v/>
      </c>
      <c r="M30" s="25">
        <f>L30*Products!$D$24*K30</f>
        <v/>
      </c>
      <c r="N30" s="25">
        <f>L30-M30</f>
        <v/>
      </c>
      <c r="O30" s="25">
        <f>(1-K30)*MAX(0,Products!$D$9-$A30)*(Products!$D$18-Products!$D$20/Products!$D$9)</f>
        <v/>
      </c>
      <c r="P30" s="26">
        <f>IF($A30&lt;=Products!$D$9,K30,0)</f>
        <v/>
      </c>
      <c r="Q30" s="25">
        <f>M30*(1-Inputs!$C$23)-Inputs!$C$24*P30</f>
        <v/>
      </c>
      <c r="R30" s="25">
        <f>R29+Q30</f>
        <v/>
      </c>
      <c r="T30" s="26">
        <f>(1-Products!$E$23)^$A30</f>
        <v/>
      </c>
      <c r="U30" s="25">
        <f>IF(AND($A30&gt;=1,$A30&lt;=Products!$E$9),Products!$E$18,0)</f>
        <v/>
      </c>
      <c r="V30" s="25">
        <f>U30*Products!$E$24*T30</f>
        <v/>
      </c>
      <c r="W30" s="25">
        <f>U30-V30</f>
        <v/>
      </c>
      <c r="X30" s="25">
        <f>(1-T30)*MAX(0,Products!$E$9-$A30)*(Products!$E$18-Products!$E$20/Products!$E$9)</f>
        <v/>
      </c>
      <c r="Y30" s="26">
        <f>IF($A30&lt;=Products!$E$9,T30,0)</f>
        <v/>
      </c>
      <c r="Z30" s="25">
        <f>V30*(1-Inputs!$C$23)-Inputs!$C$24*Y30</f>
        <v/>
      </c>
      <c r="AA30" s="25">
        <f>AA29+Z30</f>
        <v/>
      </c>
    </row>
    <row r="31">
      <c r="A31" s="39" t="n">
        <v>23</v>
      </c>
      <c r="B31" s="26">
        <f>(1-Products!$C$23)^$A31</f>
        <v/>
      </c>
      <c r="C31" s="25">
        <f>IF(AND($A31&gt;=1,$A31&lt;=Products!$C$9),Products!$C$18,0)</f>
        <v/>
      </c>
      <c r="D31" s="25">
        <f>C31*Products!$C$24*B31</f>
        <v/>
      </c>
      <c r="E31" s="25">
        <f>C31-D31</f>
        <v/>
      </c>
      <c r="F31" s="25">
        <f>(1-B31)*MAX(0,Products!$C$9-$A31)*(Products!$C$18-Products!$C$20/Products!$C$9)</f>
        <v/>
      </c>
      <c r="G31" s="26">
        <f>IF($A31&lt;=Products!$C$9,B31,0)</f>
        <v/>
      </c>
      <c r="H31" s="25">
        <f>D31*(1-Inputs!$C$23)-Inputs!$C$24*G31</f>
        <v/>
      </c>
      <c r="I31" s="25">
        <f>I30+H31</f>
        <v/>
      </c>
      <c r="K31" s="26">
        <f>(1-Products!$D$23)^$A31</f>
        <v/>
      </c>
      <c r="L31" s="25">
        <f>IF(AND($A31&gt;=1,$A31&lt;=Products!$D$9),Products!$D$18,0)</f>
        <v/>
      </c>
      <c r="M31" s="25">
        <f>L31*Products!$D$24*K31</f>
        <v/>
      </c>
      <c r="N31" s="25">
        <f>L31-M31</f>
        <v/>
      </c>
      <c r="O31" s="25">
        <f>(1-K31)*MAX(0,Products!$D$9-$A31)*(Products!$D$18-Products!$D$20/Products!$D$9)</f>
        <v/>
      </c>
      <c r="P31" s="26">
        <f>IF($A31&lt;=Products!$D$9,K31,0)</f>
        <v/>
      </c>
      <c r="Q31" s="25">
        <f>M31*(1-Inputs!$C$23)-Inputs!$C$24*P31</f>
        <v/>
      </c>
      <c r="R31" s="25">
        <f>R30+Q31</f>
        <v/>
      </c>
      <c r="T31" s="26">
        <f>(1-Products!$E$23)^$A31</f>
        <v/>
      </c>
      <c r="U31" s="25">
        <f>IF(AND($A31&gt;=1,$A31&lt;=Products!$E$9),Products!$E$18,0)</f>
        <v/>
      </c>
      <c r="V31" s="25">
        <f>U31*Products!$E$24*T31</f>
        <v/>
      </c>
      <c r="W31" s="25">
        <f>U31-V31</f>
        <v/>
      </c>
      <c r="X31" s="25">
        <f>(1-T31)*MAX(0,Products!$E$9-$A31)*(Products!$E$18-Products!$E$20/Products!$E$9)</f>
        <v/>
      </c>
      <c r="Y31" s="26">
        <f>IF($A31&lt;=Products!$E$9,T31,0)</f>
        <v/>
      </c>
      <c r="Z31" s="25">
        <f>V31*(1-Inputs!$C$23)-Inputs!$C$24*Y31</f>
        <v/>
      </c>
      <c r="AA31" s="25">
        <f>AA30+Z31</f>
        <v/>
      </c>
    </row>
    <row r="32">
      <c r="A32" s="39" t="n">
        <v>24</v>
      </c>
      <c r="B32" s="26">
        <f>(1-Products!$C$23)^$A32</f>
        <v/>
      </c>
      <c r="C32" s="25">
        <f>IF(AND($A32&gt;=1,$A32&lt;=Products!$C$9),Products!$C$18,0)</f>
        <v/>
      </c>
      <c r="D32" s="25">
        <f>C32*Products!$C$24*B32</f>
        <v/>
      </c>
      <c r="E32" s="25">
        <f>C32-D32</f>
        <v/>
      </c>
      <c r="F32" s="25">
        <f>(1-B32)*MAX(0,Products!$C$9-$A32)*(Products!$C$18-Products!$C$20/Products!$C$9)</f>
        <v/>
      </c>
      <c r="G32" s="26">
        <f>IF($A32&lt;=Products!$C$9,B32,0)</f>
        <v/>
      </c>
      <c r="H32" s="25">
        <f>D32*(1-Inputs!$C$23)-Inputs!$C$24*G32</f>
        <v/>
      </c>
      <c r="I32" s="25">
        <f>I31+H32</f>
        <v/>
      </c>
      <c r="K32" s="26">
        <f>(1-Products!$D$23)^$A32</f>
        <v/>
      </c>
      <c r="L32" s="25">
        <f>IF(AND($A32&gt;=1,$A32&lt;=Products!$D$9),Products!$D$18,0)</f>
        <v/>
      </c>
      <c r="M32" s="25">
        <f>L32*Products!$D$24*K32</f>
        <v/>
      </c>
      <c r="N32" s="25">
        <f>L32-M32</f>
        <v/>
      </c>
      <c r="O32" s="25">
        <f>(1-K32)*MAX(0,Products!$D$9-$A32)*(Products!$D$18-Products!$D$20/Products!$D$9)</f>
        <v/>
      </c>
      <c r="P32" s="26">
        <f>IF($A32&lt;=Products!$D$9,K32,0)</f>
        <v/>
      </c>
      <c r="Q32" s="25">
        <f>M32*(1-Inputs!$C$23)-Inputs!$C$24*P32</f>
        <v/>
      </c>
      <c r="R32" s="25">
        <f>R31+Q32</f>
        <v/>
      </c>
      <c r="T32" s="26">
        <f>(1-Products!$E$23)^$A32</f>
        <v/>
      </c>
      <c r="U32" s="25">
        <f>IF(AND($A32&gt;=1,$A32&lt;=Products!$E$9),Products!$E$18,0)</f>
        <v/>
      </c>
      <c r="V32" s="25">
        <f>U32*Products!$E$24*T32</f>
        <v/>
      </c>
      <c r="W32" s="25">
        <f>U32-V32</f>
        <v/>
      </c>
      <c r="X32" s="25">
        <f>(1-T32)*MAX(0,Products!$E$9-$A32)*(Products!$E$18-Products!$E$20/Products!$E$9)</f>
        <v/>
      </c>
      <c r="Y32" s="26">
        <f>IF($A32&lt;=Products!$E$9,T32,0)</f>
        <v/>
      </c>
      <c r="Z32" s="25">
        <f>V32*(1-Inputs!$C$23)-Inputs!$C$24*Y32</f>
        <v/>
      </c>
      <c r="AA32" s="25">
        <f>AA31+Z32</f>
        <v/>
      </c>
    </row>
    <row r="33">
      <c r="A33" s="39" t="n">
        <v>25</v>
      </c>
      <c r="B33" s="26">
        <f>(1-Products!$C$23)^$A33</f>
        <v/>
      </c>
      <c r="C33" s="25">
        <f>IF(AND($A33&gt;=1,$A33&lt;=Products!$C$9),Products!$C$18,0)</f>
        <v/>
      </c>
      <c r="D33" s="25">
        <f>C33*Products!$C$24*B33</f>
        <v/>
      </c>
      <c r="E33" s="25">
        <f>C33-D33</f>
        <v/>
      </c>
      <c r="F33" s="25">
        <f>(1-B33)*MAX(0,Products!$C$9-$A33)*(Products!$C$18-Products!$C$20/Products!$C$9)</f>
        <v/>
      </c>
      <c r="G33" s="26">
        <f>IF($A33&lt;=Products!$C$9,B33,0)</f>
        <v/>
      </c>
      <c r="H33" s="25">
        <f>D33*(1-Inputs!$C$23)-Inputs!$C$24*G33</f>
        <v/>
      </c>
      <c r="I33" s="25">
        <f>I32+H33</f>
        <v/>
      </c>
      <c r="K33" s="26">
        <f>(1-Products!$D$23)^$A33</f>
        <v/>
      </c>
      <c r="L33" s="25">
        <f>IF(AND($A33&gt;=1,$A33&lt;=Products!$D$9),Products!$D$18,0)</f>
        <v/>
      </c>
      <c r="M33" s="25">
        <f>L33*Products!$D$24*K33</f>
        <v/>
      </c>
      <c r="N33" s="25">
        <f>L33-M33</f>
        <v/>
      </c>
      <c r="O33" s="25">
        <f>(1-K33)*MAX(0,Products!$D$9-$A33)*(Products!$D$18-Products!$D$20/Products!$D$9)</f>
        <v/>
      </c>
      <c r="P33" s="26">
        <f>IF($A33&lt;=Products!$D$9,K33,0)</f>
        <v/>
      </c>
      <c r="Q33" s="25">
        <f>M33*(1-Inputs!$C$23)-Inputs!$C$24*P33</f>
        <v/>
      </c>
      <c r="R33" s="25">
        <f>R32+Q33</f>
        <v/>
      </c>
      <c r="T33" s="26">
        <f>(1-Products!$E$23)^$A33</f>
        <v/>
      </c>
      <c r="U33" s="25">
        <f>IF(AND($A33&gt;=1,$A33&lt;=Products!$E$9),Products!$E$18,0)</f>
        <v/>
      </c>
      <c r="V33" s="25">
        <f>U33*Products!$E$24*T33</f>
        <v/>
      </c>
      <c r="W33" s="25">
        <f>U33-V33</f>
        <v/>
      </c>
      <c r="X33" s="25">
        <f>(1-T33)*MAX(0,Products!$E$9-$A33)*(Products!$E$18-Products!$E$20/Products!$E$9)</f>
        <v/>
      </c>
      <c r="Y33" s="26">
        <f>IF($A33&lt;=Products!$E$9,T33,0)</f>
        <v/>
      </c>
      <c r="Z33" s="25">
        <f>V33*(1-Inputs!$C$23)-Inputs!$C$24*Y33</f>
        <v/>
      </c>
      <c r="AA33" s="25">
        <f>AA32+Z33</f>
        <v/>
      </c>
    </row>
    <row r="34">
      <c r="A34" s="39" t="n">
        <v>26</v>
      </c>
      <c r="B34" s="26">
        <f>(1-Products!$C$23)^$A34</f>
        <v/>
      </c>
      <c r="C34" s="25">
        <f>IF(AND($A34&gt;=1,$A34&lt;=Products!$C$9),Products!$C$18,0)</f>
        <v/>
      </c>
      <c r="D34" s="25">
        <f>C34*Products!$C$24*B34</f>
        <v/>
      </c>
      <c r="E34" s="25">
        <f>C34-D34</f>
        <v/>
      </c>
      <c r="F34" s="25">
        <f>(1-B34)*MAX(0,Products!$C$9-$A34)*(Products!$C$18-Products!$C$20/Products!$C$9)</f>
        <v/>
      </c>
      <c r="G34" s="26">
        <f>IF($A34&lt;=Products!$C$9,B34,0)</f>
        <v/>
      </c>
      <c r="H34" s="25">
        <f>D34*(1-Inputs!$C$23)-Inputs!$C$24*G34</f>
        <v/>
      </c>
      <c r="I34" s="25">
        <f>I33+H34</f>
        <v/>
      </c>
      <c r="K34" s="26">
        <f>(1-Products!$D$23)^$A34</f>
        <v/>
      </c>
      <c r="L34" s="25">
        <f>IF(AND($A34&gt;=1,$A34&lt;=Products!$D$9),Products!$D$18,0)</f>
        <v/>
      </c>
      <c r="M34" s="25">
        <f>L34*Products!$D$24*K34</f>
        <v/>
      </c>
      <c r="N34" s="25">
        <f>L34-M34</f>
        <v/>
      </c>
      <c r="O34" s="25">
        <f>(1-K34)*MAX(0,Products!$D$9-$A34)*(Products!$D$18-Products!$D$20/Products!$D$9)</f>
        <v/>
      </c>
      <c r="P34" s="26">
        <f>IF($A34&lt;=Products!$D$9,K34,0)</f>
        <v/>
      </c>
      <c r="Q34" s="25">
        <f>M34*(1-Inputs!$C$23)-Inputs!$C$24*P34</f>
        <v/>
      </c>
      <c r="R34" s="25">
        <f>R33+Q34</f>
        <v/>
      </c>
      <c r="T34" s="26">
        <f>(1-Products!$E$23)^$A34</f>
        <v/>
      </c>
      <c r="U34" s="25">
        <f>IF(AND($A34&gt;=1,$A34&lt;=Products!$E$9),Products!$E$18,0)</f>
        <v/>
      </c>
      <c r="V34" s="25">
        <f>U34*Products!$E$24*T34</f>
        <v/>
      </c>
      <c r="W34" s="25">
        <f>U34-V34</f>
        <v/>
      </c>
      <c r="X34" s="25">
        <f>(1-T34)*MAX(0,Products!$E$9-$A34)*(Products!$E$18-Products!$E$20/Products!$E$9)</f>
        <v/>
      </c>
      <c r="Y34" s="26">
        <f>IF($A34&lt;=Products!$E$9,T34,0)</f>
        <v/>
      </c>
      <c r="Z34" s="25">
        <f>V34*(1-Inputs!$C$23)-Inputs!$C$24*Y34</f>
        <v/>
      </c>
      <c r="AA34" s="25">
        <f>AA33+Z34</f>
        <v/>
      </c>
    </row>
    <row r="35">
      <c r="A35" s="39" t="n">
        <v>27</v>
      </c>
      <c r="B35" s="26">
        <f>(1-Products!$C$23)^$A35</f>
        <v/>
      </c>
      <c r="C35" s="25">
        <f>IF(AND($A35&gt;=1,$A35&lt;=Products!$C$9),Products!$C$18,0)</f>
        <v/>
      </c>
      <c r="D35" s="25">
        <f>C35*Products!$C$24*B35</f>
        <v/>
      </c>
      <c r="E35" s="25">
        <f>C35-D35</f>
        <v/>
      </c>
      <c r="F35" s="25">
        <f>(1-B35)*MAX(0,Products!$C$9-$A35)*(Products!$C$18-Products!$C$20/Products!$C$9)</f>
        <v/>
      </c>
      <c r="G35" s="26">
        <f>IF($A35&lt;=Products!$C$9,B35,0)</f>
        <v/>
      </c>
      <c r="H35" s="25">
        <f>D35*(1-Inputs!$C$23)-Inputs!$C$24*G35</f>
        <v/>
      </c>
      <c r="I35" s="25">
        <f>I34+H35</f>
        <v/>
      </c>
      <c r="K35" s="26">
        <f>(1-Products!$D$23)^$A35</f>
        <v/>
      </c>
      <c r="L35" s="25">
        <f>IF(AND($A35&gt;=1,$A35&lt;=Products!$D$9),Products!$D$18,0)</f>
        <v/>
      </c>
      <c r="M35" s="25">
        <f>L35*Products!$D$24*K35</f>
        <v/>
      </c>
      <c r="N35" s="25">
        <f>L35-M35</f>
        <v/>
      </c>
      <c r="O35" s="25">
        <f>(1-K35)*MAX(0,Products!$D$9-$A35)*(Products!$D$18-Products!$D$20/Products!$D$9)</f>
        <v/>
      </c>
      <c r="P35" s="26">
        <f>IF($A35&lt;=Products!$D$9,K35,0)</f>
        <v/>
      </c>
      <c r="Q35" s="25">
        <f>M35*(1-Inputs!$C$23)-Inputs!$C$24*P35</f>
        <v/>
      </c>
      <c r="R35" s="25">
        <f>R34+Q35</f>
        <v/>
      </c>
      <c r="T35" s="26">
        <f>(1-Products!$E$23)^$A35</f>
        <v/>
      </c>
      <c r="U35" s="25">
        <f>IF(AND($A35&gt;=1,$A35&lt;=Products!$E$9),Products!$E$18,0)</f>
        <v/>
      </c>
      <c r="V35" s="25">
        <f>U35*Products!$E$24*T35</f>
        <v/>
      </c>
      <c r="W35" s="25">
        <f>U35-V35</f>
        <v/>
      </c>
      <c r="X35" s="25">
        <f>(1-T35)*MAX(0,Products!$E$9-$A35)*(Products!$E$18-Products!$E$20/Products!$E$9)</f>
        <v/>
      </c>
      <c r="Y35" s="26">
        <f>IF($A35&lt;=Products!$E$9,T35,0)</f>
        <v/>
      </c>
      <c r="Z35" s="25">
        <f>V35*(1-Inputs!$C$23)-Inputs!$C$24*Y35</f>
        <v/>
      </c>
      <c r="AA35" s="25">
        <f>AA34+Z35</f>
        <v/>
      </c>
    </row>
    <row r="36">
      <c r="A36" s="39" t="n">
        <v>28</v>
      </c>
      <c r="B36" s="26">
        <f>(1-Products!$C$23)^$A36</f>
        <v/>
      </c>
      <c r="C36" s="25">
        <f>IF(AND($A36&gt;=1,$A36&lt;=Products!$C$9),Products!$C$18,0)</f>
        <v/>
      </c>
      <c r="D36" s="25">
        <f>C36*Products!$C$24*B36</f>
        <v/>
      </c>
      <c r="E36" s="25">
        <f>C36-D36</f>
        <v/>
      </c>
      <c r="F36" s="25">
        <f>(1-B36)*MAX(0,Products!$C$9-$A36)*(Products!$C$18-Products!$C$20/Products!$C$9)</f>
        <v/>
      </c>
      <c r="G36" s="26">
        <f>IF($A36&lt;=Products!$C$9,B36,0)</f>
        <v/>
      </c>
      <c r="H36" s="25">
        <f>D36*(1-Inputs!$C$23)-Inputs!$C$24*G36</f>
        <v/>
      </c>
      <c r="I36" s="25">
        <f>I35+H36</f>
        <v/>
      </c>
      <c r="K36" s="26">
        <f>(1-Products!$D$23)^$A36</f>
        <v/>
      </c>
      <c r="L36" s="25">
        <f>IF(AND($A36&gt;=1,$A36&lt;=Products!$D$9),Products!$D$18,0)</f>
        <v/>
      </c>
      <c r="M36" s="25">
        <f>L36*Products!$D$24*K36</f>
        <v/>
      </c>
      <c r="N36" s="25">
        <f>L36-M36</f>
        <v/>
      </c>
      <c r="O36" s="25">
        <f>(1-K36)*MAX(0,Products!$D$9-$A36)*(Products!$D$18-Products!$D$20/Products!$D$9)</f>
        <v/>
      </c>
      <c r="P36" s="26">
        <f>IF($A36&lt;=Products!$D$9,K36,0)</f>
        <v/>
      </c>
      <c r="Q36" s="25">
        <f>M36*(1-Inputs!$C$23)-Inputs!$C$24*P36</f>
        <v/>
      </c>
      <c r="R36" s="25">
        <f>R35+Q36</f>
        <v/>
      </c>
      <c r="T36" s="26">
        <f>(1-Products!$E$23)^$A36</f>
        <v/>
      </c>
      <c r="U36" s="25">
        <f>IF(AND($A36&gt;=1,$A36&lt;=Products!$E$9),Products!$E$18,0)</f>
        <v/>
      </c>
      <c r="V36" s="25">
        <f>U36*Products!$E$24*T36</f>
        <v/>
      </c>
      <c r="W36" s="25">
        <f>U36-V36</f>
        <v/>
      </c>
      <c r="X36" s="25">
        <f>(1-T36)*MAX(0,Products!$E$9-$A36)*(Products!$E$18-Products!$E$20/Products!$E$9)</f>
        <v/>
      </c>
      <c r="Y36" s="26">
        <f>IF($A36&lt;=Products!$E$9,T36,0)</f>
        <v/>
      </c>
      <c r="Z36" s="25">
        <f>V36*(1-Inputs!$C$23)-Inputs!$C$24*Y36</f>
        <v/>
      </c>
      <c r="AA36" s="25">
        <f>AA35+Z36</f>
        <v/>
      </c>
    </row>
    <row r="37">
      <c r="A37" s="39" t="n">
        <v>29</v>
      </c>
      <c r="B37" s="26">
        <f>(1-Products!$C$23)^$A37</f>
        <v/>
      </c>
      <c r="C37" s="25">
        <f>IF(AND($A37&gt;=1,$A37&lt;=Products!$C$9),Products!$C$18,0)</f>
        <v/>
      </c>
      <c r="D37" s="25">
        <f>C37*Products!$C$24*B37</f>
        <v/>
      </c>
      <c r="E37" s="25">
        <f>C37-D37</f>
        <v/>
      </c>
      <c r="F37" s="25">
        <f>(1-B37)*MAX(0,Products!$C$9-$A37)*(Products!$C$18-Products!$C$20/Products!$C$9)</f>
        <v/>
      </c>
      <c r="G37" s="26">
        <f>IF($A37&lt;=Products!$C$9,B37,0)</f>
        <v/>
      </c>
      <c r="H37" s="25">
        <f>D37*(1-Inputs!$C$23)-Inputs!$C$24*G37</f>
        <v/>
      </c>
      <c r="I37" s="25">
        <f>I36+H37</f>
        <v/>
      </c>
      <c r="K37" s="26">
        <f>(1-Products!$D$23)^$A37</f>
        <v/>
      </c>
      <c r="L37" s="25">
        <f>IF(AND($A37&gt;=1,$A37&lt;=Products!$D$9),Products!$D$18,0)</f>
        <v/>
      </c>
      <c r="M37" s="25">
        <f>L37*Products!$D$24*K37</f>
        <v/>
      </c>
      <c r="N37" s="25">
        <f>L37-M37</f>
        <v/>
      </c>
      <c r="O37" s="25">
        <f>(1-K37)*MAX(0,Products!$D$9-$A37)*(Products!$D$18-Products!$D$20/Products!$D$9)</f>
        <v/>
      </c>
      <c r="P37" s="26">
        <f>IF($A37&lt;=Products!$D$9,K37,0)</f>
        <v/>
      </c>
      <c r="Q37" s="25">
        <f>M37*(1-Inputs!$C$23)-Inputs!$C$24*P37</f>
        <v/>
      </c>
      <c r="R37" s="25">
        <f>R36+Q37</f>
        <v/>
      </c>
      <c r="T37" s="26">
        <f>(1-Products!$E$23)^$A37</f>
        <v/>
      </c>
      <c r="U37" s="25">
        <f>IF(AND($A37&gt;=1,$A37&lt;=Products!$E$9),Products!$E$18,0)</f>
        <v/>
      </c>
      <c r="V37" s="25">
        <f>U37*Products!$E$24*T37</f>
        <v/>
      </c>
      <c r="W37" s="25">
        <f>U37-V37</f>
        <v/>
      </c>
      <c r="X37" s="25">
        <f>(1-T37)*MAX(0,Products!$E$9-$A37)*(Products!$E$18-Products!$E$20/Products!$E$9)</f>
        <v/>
      </c>
      <c r="Y37" s="26">
        <f>IF($A37&lt;=Products!$E$9,T37,0)</f>
        <v/>
      </c>
      <c r="Z37" s="25">
        <f>V37*(1-Inputs!$C$23)-Inputs!$C$24*Y37</f>
        <v/>
      </c>
      <c r="AA37" s="25">
        <f>AA36+Z37</f>
        <v/>
      </c>
    </row>
    <row r="38">
      <c r="A38" s="39" t="n">
        <v>30</v>
      </c>
      <c r="B38" s="26">
        <f>(1-Products!$C$23)^$A38</f>
        <v/>
      </c>
      <c r="C38" s="25">
        <f>IF(AND($A38&gt;=1,$A38&lt;=Products!$C$9),Products!$C$18,0)</f>
        <v/>
      </c>
      <c r="D38" s="25">
        <f>C38*Products!$C$24*B38</f>
        <v/>
      </c>
      <c r="E38" s="25">
        <f>C38-D38</f>
        <v/>
      </c>
      <c r="F38" s="25">
        <f>(1-B38)*MAX(0,Products!$C$9-$A38)*(Products!$C$18-Products!$C$20/Products!$C$9)</f>
        <v/>
      </c>
      <c r="G38" s="26">
        <f>IF($A38&lt;=Products!$C$9,B38,0)</f>
        <v/>
      </c>
      <c r="H38" s="25">
        <f>D38*(1-Inputs!$C$23)-Inputs!$C$24*G38</f>
        <v/>
      </c>
      <c r="I38" s="25">
        <f>I37+H38</f>
        <v/>
      </c>
      <c r="K38" s="26">
        <f>(1-Products!$D$23)^$A38</f>
        <v/>
      </c>
      <c r="L38" s="25">
        <f>IF(AND($A38&gt;=1,$A38&lt;=Products!$D$9),Products!$D$18,0)</f>
        <v/>
      </c>
      <c r="M38" s="25">
        <f>L38*Products!$D$24*K38</f>
        <v/>
      </c>
      <c r="N38" s="25">
        <f>L38-M38</f>
        <v/>
      </c>
      <c r="O38" s="25">
        <f>(1-K38)*MAX(0,Products!$D$9-$A38)*(Products!$D$18-Products!$D$20/Products!$D$9)</f>
        <v/>
      </c>
      <c r="P38" s="26">
        <f>IF($A38&lt;=Products!$D$9,K38,0)</f>
        <v/>
      </c>
      <c r="Q38" s="25">
        <f>M38*(1-Inputs!$C$23)-Inputs!$C$24*P38</f>
        <v/>
      </c>
      <c r="R38" s="25">
        <f>R37+Q38</f>
        <v/>
      </c>
      <c r="T38" s="26">
        <f>(1-Products!$E$23)^$A38</f>
        <v/>
      </c>
      <c r="U38" s="25">
        <f>IF(AND($A38&gt;=1,$A38&lt;=Products!$E$9),Products!$E$18,0)</f>
        <v/>
      </c>
      <c r="V38" s="25">
        <f>U38*Products!$E$24*T38</f>
        <v/>
      </c>
      <c r="W38" s="25">
        <f>U38-V38</f>
        <v/>
      </c>
      <c r="X38" s="25">
        <f>(1-T38)*MAX(0,Products!$E$9-$A38)*(Products!$E$18-Products!$E$20/Products!$E$9)</f>
        <v/>
      </c>
      <c r="Y38" s="26">
        <f>IF($A38&lt;=Products!$E$9,T38,0)</f>
        <v/>
      </c>
      <c r="Z38" s="25">
        <f>V38*(1-Inputs!$C$23)-Inputs!$C$24*Y38</f>
        <v/>
      </c>
      <c r="AA38" s="25">
        <f>AA37+Z38</f>
        <v/>
      </c>
    </row>
    <row r="39">
      <c r="A39" s="39" t="n">
        <v>31</v>
      </c>
      <c r="B39" s="26">
        <f>(1-Products!$C$23)^$A39</f>
        <v/>
      </c>
      <c r="C39" s="25">
        <f>IF(AND($A39&gt;=1,$A39&lt;=Products!$C$9),Products!$C$18,0)</f>
        <v/>
      </c>
      <c r="D39" s="25">
        <f>C39*Products!$C$24*B39</f>
        <v/>
      </c>
      <c r="E39" s="25">
        <f>C39-D39</f>
        <v/>
      </c>
      <c r="F39" s="25">
        <f>(1-B39)*MAX(0,Products!$C$9-$A39)*(Products!$C$18-Products!$C$20/Products!$C$9)</f>
        <v/>
      </c>
      <c r="G39" s="26">
        <f>IF($A39&lt;=Products!$C$9,B39,0)</f>
        <v/>
      </c>
      <c r="H39" s="25">
        <f>D39*(1-Inputs!$C$23)-Inputs!$C$24*G39</f>
        <v/>
      </c>
      <c r="I39" s="25">
        <f>I38+H39</f>
        <v/>
      </c>
      <c r="K39" s="26">
        <f>(1-Products!$D$23)^$A39</f>
        <v/>
      </c>
      <c r="L39" s="25">
        <f>IF(AND($A39&gt;=1,$A39&lt;=Products!$D$9),Products!$D$18,0)</f>
        <v/>
      </c>
      <c r="M39" s="25">
        <f>L39*Products!$D$24*K39</f>
        <v/>
      </c>
      <c r="N39" s="25">
        <f>L39-M39</f>
        <v/>
      </c>
      <c r="O39" s="25">
        <f>(1-K39)*MAX(0,Products!$D$9-$A39)*(Products!$D$18-Products!$D$20/Products!$D$9)</f>
        <v/>
      </c>
      <c r="P39" s="26">
        <f>IF($A39&lt;=Products!$D$9,K39,0)</f>
        <v/>
      </c>
      <c r="Q39" s="25">
        <f>M39*(1-Inputs!$C$23)-Inputs!$C$24*P39</f>
        <v/>
      </c>
      <c r="R39" s="25">
        <f>R38+Q39</f>
        <v/>
      </c>
      <c r="T39" s="26">
        <f>(1-Products!$E$23)^$A39</f>
        <v/>
      </c>
      <c r="U39" s="25">
        <f>IF(AND($A39&gt;=1,$A39&lt;=Products!$E$9),Products!$E$18,0)</f>
        <v/>
      </c>
      <c r="V39" s="25">
        <f>U39*Products!$E$24*T39</f>
        <v/>
      </c>
      <c r="W39" s="25">
        <f>U39-V39</f>
        <v/>
      </c>
      <c r="X39" s="25">
        <f>(1-T39)*MAX(0,Products!$E$9-$A39)*(Products!$E$18-Products!$E$20/Products!$E$9)</f>
        <v/>
      </c>
      <c r="Y39" s="26">
        <f>IF($A39&lt;=Products!$E$9,T39,0)</f>
        <v/>
      </c>
      <c r="Z39" s="25">
        <f>V39*(1-Inputs!$C$23)-Inputs!$C$24*Y39</f>
        <v/>
      </c>
      <c r="AA39" s="25">
        <f>AA38+Z39</f>
        <v/>
      </c>
    </row>
    <row r="40">
      <c r="A40" s="39" t="n">
        <v>32</v>
      </c>
      <c r="B40" s="26">
        <f>(1-Products!$C$23)^$A40</f>
        <v/>
      </c>
      <c r="C40" s="25">
        <f>IF(AND($A40&gt;=1,$A40&lt;=Products!$C$9),Products!$C$18,0)</f>
        <v/>
      </c>
      <c r="D40" s="25">
        <f>C40*Products!$C$24*B40</f>
        <v/>
      </c>
      <c r="E40" s="25">
        <f>C40-D40</f>
        <v/>
      </c>
      <c r="F40" s="25">
        <f>(1-B40)*MAX(0,Products!$C$9-$A40)*(Products!$C$18-Products!$C$20/Products!$C$9)</f>
        <v/>
      </c>
      <c r="G40" s="26">
        <f>IF($A40&lt;=Products!$C$9,B40,0)</f>
        <v/>
      </c>
      <c r="H40" s="25">
        <f>D40*(1-Inputs!$C$23)-Inputs!$C$24*G40</f>
        <v/>
      </c>
      <c r="I40" s="25">
        <f>I39+H40</f>
        <v/>
      </c>
      <c r="K40" s="26">
        <f>(1-Products!$D$23)^$A40</f>
        <v/>
      </c>
      <c r="L40" s="25">
        <f>IF(AND($A40&gt;=1,$A40&lt;=Products!$D$9),Products!$D$18,0)</f>
        <v/>
      </c>
      <c r="M40" s="25">
        <f>L40*Products!$D$24*K40</f>
        <v/>
      </c>
      <c r="N40" s="25">
        <f>L40-M40</f>
        <v/>
      </c>
      <c r="O40" s="25">
        <f>(1-K40)*MAX(0,Products!$D$9-$A40)*(Products!$D$18-Products!$D$20/Products!$D$9)</f>
        <v/>
      </c>
      <c r="P40" s="26">
        <f>IF($A40&lt;=Products!$D$9,K40,0)</f>
        <v/>
      </c>
      <c r="Q40" s="25">
        <f>M40*(1-Inputs!$C$23)-Inputs!$C$24*P40</f>
        <v/>
      </c>
      <c r="R40" s="25">
        <f>R39+Q40</f>
        <v/>
      </c>
      <c r="T40" s="26">
        <f>(1-Products!$E$23)^$A40</f>
        <v/>
      </c>
      <c r="U40" s="25">
        <f>IF(AND($A40&gt;=1,$A40&lt;=Products!$E$9),Products!$E$18,0)</f>
        <v/>
      </c>
      <c r="V40" s="25">
        <f>U40*Products!$E$24*T40</f>
        <v/>
      </c>
      <c r="W40" s="25">
        <f>U40-V40</f>
        <v/>
      </c>
      <c r="X40" s="25">
        <f>(1-T40)*MAX(0,Products!$E$9-$A40)*(Products!$E$18-Products!$E$20/Products!$E$9)</f>
        <v/>
      </c>
      <c r="Y40" s="26">
        <f>IF($A40&lt;=Products!$E$9,T40,0)</f>
        <v/>
      </c>
      <c r="Z40" s="25">
        <f>V40*(1-Inputs!$C$23)-Inputs!$C$24*Y40</f>
        <v/>
      </c>
      <c r="AA40" s="25">
        <f>AA39+Z40</f>
        <v/>
      </c>
    </row>
    <row r="41">
      <c r="A41" s="39" t="n">
        <v>33</v>
      </c>
      <c r="B41" s="26">
        <f>(1-Products!$C$23)^$A41</f>
        <v/>
      </c>
      <c r="C41" s="25">
        <f>IF(AND($A41&gt;=1,$A41&lt;=Products!$C$9),Products!$C$18,0)</f>
        <v/>
      </c>
      <c r="D41" s="25">
        <f>C41*Products!$C$24*B41</f>
        <v/>
      </c>
      <c r="E41" s="25">
        <f>C41-D41</f>
        <v/>
      </c>
      <c r="F41" s="25">
        <f>(1-B41)*MAX(0,Products!$C$9-$A41)*(Products!$C$18-Products!$C$20/Products!$C$9)</f>
        <v/>
      </c>
      <c r="G41" s="26">
        <f>IF($A41&lt;=Products!$C$9,B41,0)</f>
        <v/>
      </c>
      <c r="H41" s="25">
        <f>D41*(1-Inputs!$C$23)-Inputs!$C$24*G41</f>
        <v/>
      </c>
      <c r="I41" s="25">
        <f>I40+H41</f>
        <v/>
      </c>
      <c r="K41" s="26">
        <f>(1-Products!$D$23)^$A41</f>
        <v/>
      </c>
      <c r="L41" s="25">
        <f>IF(AND($A41&gt;=1,$A41&lt;=Products!$D$9),Products!$D$18,0)</f>
        <v/>
      </c>
      <c r="M41" s="25">
        <f>L41*Products!$D$24*K41</f>
        <v/>
      </c>
      <c r="N41" s="25">
        <f>L41-M41</f>
        <v/>
      </c>
      <c r="O41" s="25">
        <f>(1-K41)*MAX(0,Products!$D$9-$A41)*(Products!$D$18-Products!$D$20/Products!$D$9)</f>
        <v/>
      </c>
      <c r="P41" s="26">
        <f>IF($A41&lt;=Products!$D$9,K41,0)</f>
        <v/>
      </c>
      <c r="Q41" s="25">
        <f>M41*(1-Inputs!$C$23)-Inputs!$C$24*P41</f>
        <v/>
      </c>
      <c r="R41" s="25">
        <f>R40+Q41</f>
        <v/>
      </c>
      <c r="T41" s="26">
        <f>(1-Products!$E$23)^$A41</f>
        <v/>
      </c>
      <c r="U41" s="25">
        <f>IF(AND($A41&gt;=1,$A41&lt;=Products!$E$9),Products!$E$18,0)</f>
        <v/>
      </c>
      <c r="V41" s="25">
        <f>U41*Products!$E$24*T41</f>
        <v/>
      </c>
      <c r="W41" s="25">
        <f>U41-V41</f>
        <v/>
      </c>
      <c r="X41" s="25">
        <f>(1-T41)*MAX(0,Products!$E$9-$A41)*(Products!$E$18-Products!$E$20/Products!$E$9)</f>
        <v/>
      </c>
      <c r="Y41" s="26">
        <f>IF($A41&lt;=Products!$E$9,T41,0)</f>
        <v/>
      </c>
      <c r="Z41" s="25">
        <f>V41*(1-Inputs!$C$23)-Inputs!$C$24*Y41</f>
        <v/>
      </c>
      <c r="AA41" s="25">
        <f>AA40+Z41</f>
        <v/>
      </c>
    </row>
    <row r="42">
      <c r="A42" s="39" t="n">
        <v>34</v>
      </c>
      <c r="B42" s="26">
        <f>(1-Products!$C$23)^$A42</f>
        <v/>
      </c>
      <c r="C42" s="25">
        <f>IF(AND($A42&gt;=1,$A42&lt;=Products!$C$9),Products!$C$18,0)</f>
        <v/>
      </c>
      <c r="D42" s="25">
        <f>C42*Products!$C$24*B42</f>
        <v/>
      </c>
      <c r="E42" s="25">
        <f>C42-D42</f>
        <v/>
      </c>
      <c r="F42" s="25">
        <f>(1-B42)*MAX(0,Products!$C$9-$A42)*(Products!$C$18-Products!$C$20/Products!$C$9)</f>
        <v/>
      </c>
      <c r="G42" s="26">
        <f>IF($A42&lt;=Products!$C$9,B42,0)</f>
        <v/>
      </c>
      <c r="H42" s="25">
        <f>D42*(1-Inputs!$C$23)-Inputs!$C$24*G42</f>
        <v/>
      </c>
      <c r="I42" s="25">
        <f>I41+H42</f>
        <v/>
      </c>
      <c r="K42" s="26">
        <f>(1-Products!$D$23)^$A42</f>
        <v/>
      </c>
      <c r="L42" s="25">
        <f>IF(AND($A42&gt;=1,$A42&lt;=Products!$D$9),Products!$D$18,0)</f>
        <v/>
      </c>
      <c r="M42" s="25">
        <f>L42*Products!$D$24*K42</f>
        <v/>
      </c>
      <c r="N42" s="25">
        <f>L42-M42</f>
        <v/>
      </c>
      <c r="O42" s="25">
        <f>(1-K42)*MAX(0,Products!$D$9-$A42)*(Products!$D$18-Products!$D$20/Products!$D$9)</f>
        <v/>
      </c>
      <c r="P42" s="26">
        <f>IF($A42&lt;=Products!$D$9,K42,0)</f>
        <v/>
      </c>
      <c r="Q42" s="25">
        <f>M42*(1-Inputs!$C$23)-Inputs!$C$24*P42</f>
        <v/>
      </c>
      <c r="R42" s="25">
        <f>R41+Q42</f>
        <v/>
      </c>
      <c r="T42" s="26">
        <f>(1-Products!$E$23)^$A42</f>
        <v/>
      </c>
      <c r="U42" s="25">
        <f>IF(AND($A42&gt;=1,$A42&lt;=Products!$E$9),Products!$E$18,0)</f>
        <v/>
      </c>
      <c r="V42" s="25">
        <f>U42*Products!$E$24*T42</f>
        <v/>
      </c>
      <c r="W42" s="25">
        <f>U42-V42</f>
        <v/>
      </c>
      <c r="X42" s="25">
        <f>(1-T42)*MAX(0,Products!$E$9-$A42)*(Products!$E$18-Products!$E$20/Products!$E$9)</f>
        <v/>
      </c>
      <c r="Y42" s="26">
        <f>IF($A42&lt;=Products!$E$9,T42,0)</f>
        <v/>
      </c>
      <c r="Z42" s="25">
        <f>V42*(1-Inputs!$C$23)-Inputs!$C$24*Y42</f>
        <v/>
      </c>
      <c r="AA42" s="25">
        <f>AA41+Z42</f>
        <v/>
      </c>
    </row>
    <row r="43">
      <c r="A43" s="39" t="n">
        <v>35</v>
      </c>
      <c r="B43" s="26">
        <f>(1-Products!$C$23)^$A43</f>
        <v/>
      </c>
      <c r="C43" s="25">
        <f>IF(AND($A43&gt;=1,$A43&lt;=Products!$C$9),Products!$C$18,0)</f>
        <v/>
      </c>
      <c r="D43" s="25">
        <f>C43*Products!$C$24*B43</f>
        <v/>
      </c>
      <c r="E43" s="25">
        <f>C43-D43</f>
        <v/>
      </c>
      <c r="F43" s="25">
        <f>(1-B43)*MAX(0,Products!$C$9-$A43)*(Products!$C$18-Products!$C$20/Products!$C$9)</f>
        <v/>
      </c>
      <c r="G43" s="26">
        <f>IF($A43&lt;=Products!$C$9,B43,0)</f>
        <v/>
      </c>
      <c r="H43" s="25">
        <f>D43*(1-Inputs!$C$23)-Inputs!$C$24*G43</f>
        <v/>
      </c>
      <c r="I43" s="25">
        <f>I42+H43</f>
        <v/>
      </c>
      <c r="K43" s="26">
        <f>(1-Products!$D$23)^$A43</f>
        <v/>
      </c>
      <c r="L43" s="25">
        <f>IF(AND($A43&gt;=1,$A43&lt;=Products!$D$9),Products!$D$18,0)</f>
        <v/>
      </c>
      <c r="M43" s="25">
        <f>L43*Products!$D$24*K43</f>
        <v/>
      </c>
      <c r="N43" s="25">
        <f>L43-M43</f>
        <v/>
      </c>
      <c r="O43" s="25">
        <f>(1-K43)*MAX(0,Products!$D$9-$A43)*(Products!$D$18-Products!$D$20/Products!$D$9)</f>
        <v/>
      </c>
      <c r="P43" s="26">
        <f>IF($A43&lt;=Products!$D$9,K43,0)</f>
        <v/>
      </c>
      <c r="Q43" s="25">
        <f>M43*(1-Inputs!$C$23)-Inputs!$C$24*P43</f>
        <v/>
      </c>
      <c r="R43" s="25">
        <f>R42+Q43</f>
        <v/>
      </c>
      <c r="T43" s="26">
        <f>(1-Products!$E$23)^$A43</f>
        <v/>
      </c>
      <c r="U43" s="25">
        <f>IF(AND($A43&gt;=1,$A43&lt;=Products!$E$9),Products!$E$18,0)</f>
        <v/>
      </c>
      <c r="V43" s="25">
        <f>U43*Products!$E$24*T43</f>
        <v/>
      </c>
      <c r="W43" s="25">
        <f>U43-V43</f>
        <v/>
      </c>
      <c r="X43" s="25">
        <f>(1-T43)*MAX(0,Products!$E$9-$A43)*(Products!$E$18-Products!$E$20/Products!$E$9)</f>
        <v/>
      </c>
      <c r="Y43" s="26">
        <f>IF($A43&lt;=Products!$E$9,T43,0)</f>
        <v/>
      </c>
      <c r="Z43" s="25">
        <f>V43*(1-Inputs!$C$23)-Inputs!$C$24*Y43</f>
        <v/>
      </c>
      <c r="AA43" s="25">
        <f>AA42+Z43</f>
        <v/>
      </c>
    </row>
    <row r="44">
      <c r="A44" s="39" t="n">
        <v>36</v>
      </c>
      <c r="B44" s="26">
        <f>(1-Products!$C$23)^$A44</f>
        <v/>
      </c>
      <c r="C44" s="25">
        <f>IF(AND($A44&gt;=1,$A44&lt;=Products!$C$9),Products!$C$18,0)</f>
        <v/>
      </c>
      <c r="D44" s="25">
        <f>C44*Products!$C$24*B44</f>
        <v/>
      </c>
      <c r="E44" s="25">
        <f>C44-D44</f>
        <v/>
      </c>
      <c r="F44" s="25">
        <f>(1-B44)*MAX(0,Products!$C$9-$A44)*(Products!$C$18-Products!$C$20/Products!$C$9)</f>
        <v/>
      </c>
      <c r="G44" s="26">
        <f>IF($A44&lt;=Products!$C$9,B44,0)</f>
        <v/>
      </c>
      <c r="H44" s="25">
        <f>D44*(1-Inputs!$C$23)-Inputs!$C$24*G44</f>
        <v/>
      </c>
      <c r="I44" s="25">
        <f>I43+H44</f>
        <v/>
      </c>
      <c r="K44" s="26">
        <f>(1-Products!$D$23)^$A44</f>
        <v/>
      </c>
      <c r="L44" s="25">
        <f>IF(AND($A44&gt;=1,$A44&lt;=Products!$D$9),Products!$D$18,0)</f>
        <v/>
      </c>
      <c r="M44" s="25">
        <f>L44*Products!$D$24*K44</f>
        <v/>
      </c>
      <c r="N44" s="25">
        <f>L44-M44</f>
        <v/>
      </c>
      <c r="O44" s="25">
        <f>(1-K44)*MAX(0,Products!$D$9-$A44)*(Products!$D$18-Products!$D$20/Products!$D$9)</f>
        <v/>
      </c>
      <c r="P44" s="26">
        <f>IF($A44&lt;=Products!$D$9,K44,0)</f>
        <v/>
      </c>
      <c r="Q44" s="25">
        <f>M44*(1-Inputs!$C$23)-Inputs!$C$24*P44</f>
        <v/>
      </c>
      <c r="R44" s="25">
        <f>R43+Q44</f>
        <v/>
      </c>
      <c r="T44" s="26">
        <f>(1-Products!$E$23)^$A44</f>
        <v/>
      </c>
      <c r="U44" s="25">
        <f>IF(AND($A44&gt;=1,$A44&lt;=Products!$E$9),Products!$E$18,0)</f>
        <v/>
      </c>
      <c r="V44" s="25">
        <f>U44*Products!$E$24*T44</f>
        <v/>
      </c>
      <c r="W44" s="25">
        <f>U44-V44</f>
        <v/>
      </c>
      <c r="X44" s="25">
        <f>(1-T44)*MAX(0,Products!$E$9-$A44)*(Products!$E$18-Products!$E$20/Products!$E$9)</f>
        <v/>
      </c>
      <c r="Y44" s="26">
        <f>IF($A44&lt;=Products!$E$9,T44,0)</f>
        <v/>
      </c>
      <c r="Z44" s="25">
        <f>V44*(1-Inputs!$C$23)-Inputs!$C$24*Y44</f>
        <v/>
      </c>
      <c r="AA44" s="25">
        <f>AA43+Z44</f>
        <v/>
      </c>
    </row>
    <row r="45">
      <c r="A45" s="39" t="n">
        <v>37</v>
      </c>
      <c r="B45" s="26">
        <f>(1-Products!$C$23)^$A45</f>
        <v/>
      </c>
      <c r="C45" s="25">
        <f>IF(AND($A45&gt;=1,$A45&lt;=Products!$C$9),Products!$C$18,0)</f>
        <v/>
      </c>
      <c r="D45" s="25">
        <f>C45*Products!$C$24*B45</f>
        <v/>
      </c>
      <c r="E45" s="25">
        <f>C45-D45</f>
        <v/>
      </c>
      <c r="F45" s="25">
        <f>(1-B45)*MAX(0,Products!$C$9-$A45)*(Products!$C$18-Products!$C$20/Products!$C$9)</f>
        <v/>
      </c>
      <c r="G45" s="26">
        <f>IF($A45&lt;=Products!$C$9,B45,0)</f>
        <v/>
      </c>
      <c r="H45" s="25">
        <f>D45*(1-Inputs!$C$23)-Inputs!$C$24*G45</f>
        <v/>
      </c>
      <c r="I45" s="25">
        <f>I44+H45</f>
        <v/>
      </c>
      <c r="K45" s="26">
        <f>(1-Products!$D$23)^$A45</f>
        <v/>
      </c>
      <c r="L45" s="25">
        <f>IF(AND($A45&gt;=1,$A45&lt;=Products!$D$9),Products!$D$18,0)</f>
        <v/>
      </c>
      <c r="M45" s="25">
        <f>L45*Products!$D$24*K45</f>
        <v/>
      </c>
      <c r="N45" s="25">
        <f>L45-M45</f>
        <v/>
      </c>
      <c r="O45" s="25">
        <f>(1-K45)*MAX(0,Products!$D$9-$A45)*(Products!$D$18-Products!$D$20/Products!$D$9)</f>
        <v/>
      </c>
      <c r="P45" s="26">
        <f>IF($A45&lt;=Products!$D$9,K45,0)</f>
        <v/>
      </c>
      <c r="Q45" s="25">
        <f>M45*(1-Inputs!$C$23)-Inputs!$C$24*P45</f>
        <v/>
      </c>
      <c r="R45" s="25">
        <f>R44+Q45</f>
        <v/>
      </c>
      <c r="T45" s="26">
        <f>(1-Products!$E$23)^$A45</f>
        <v/>
      </c>
      <c r="U45" s="25">
        <f>IF(AND($A45&gt;=1,$A45&lt;=Products!$E$9),Products!$E$18,0)</f>
        <v/>
      </c>
      <c r="V45" s="25">
        <f>U45*Products!$E$24*T45</f>
        <v/>
      </c>
      <c r="W45" s="25">
        <f>U45-V45</f>
        <v/>
      </c>
      <c r="X45" s="25">
        <f>(1-T45)*MAX(0,Products!$E$9-$A45)*(Products!$E$18-Products!$E$20/Products!$E$9)</f>
        <v/>
      </c>
      <c r="Y45" s="26">
        <f>IF($A45&lt;=Products!$E$9,T45,0)</f>
        <v/>
      </c>
      <c r="Z45" s="25">
        <f>V45*(1-Inputs!$C$23)-Inputs!$C$24*Y45</f>
        <v/>
      </c>
      <c r="AA45" s="25">
        <f>AA44+Z45</f>
        <v/>
      </c>
    </row>
    <row r="46">
      <c r="A46" s="39" t="n">
        <v>38</v>
      </c>
      <c r="B46" s="26">
        <f>(1-Products!$C$23)^$A46</f>
        <v/>
      </c>
      <c r="C46" s="25">
        <f>IF(AND($A46&gt;=1,$A46&lt;=Products!$C$9),Products!$C$18,0)</f>
        <v/>
      </c>
      <c r="D46" s="25">
        <f>C46*Products!$C$24*B46</f>
        <v/>
      </c>
      <c r="E46" s="25">
        <f>C46-D46</f>
        <v/>
      </c>
      <c r="F46" s="25">
        <f>(1-B46)*MAX(0,Products!$C$9-$A46)*(Products!$C$18-Products!$C$20/Products!$C$9)</f>
        <v/>
      </c>
      <c r="G46" s="26">
        <f>IF($A46&lt;=Products!$C$9,B46,0)</f>
        <v/>
      </c>
      <c r="H46" s="25">
        <f>D46*(1-Inputs!$C$23)-Inputs!$C$24*G46</f>
        <v/>
      </c>
      <c r="I46" s="25">
        <f>I45+H46</f>
        <v/>
      </c>
      <c r="K46" s="26">
        <f>(1-Products!$D$23)^$A46</f>
        <v/>
      </c>
      <c r="L46" s="25">
        <f>IF(AND($A46&gt;=1,$A46&lt;=Products!$D$9),Products!$D$18,0)</f>
        <v/>
      </c>
      <c r="M46" s="25">
        <f>L46*Products!$D$24*K46</f>
        <v/>
      </c>
      <c r="N46" s="25">
        <f>L46-M46</f>
        <v/>
      </c>
      <c r="O46" s="25">
        <f>(1-K46)*MAX(0,Products!$D$9-$A46)*(Products!$D$18-Products!$D$20/Products!$D$9)</f>
        <v/>
      </c>
      <c r="P46" s="26">
        <f>IF($A46&lt;=Products!$D$9,K46,0)</f>
        <v/>
      </c>
      <c r="Q46" s="25">
        <f>M46*(1-Inputs!$C$23)-Inputs!$C$24*P46</f>
        <v/>
      </c>
      <c r="R46" s="25">
        <f>R45+Q46</f>
        <v/>
      </c>
      <c r="T46" s="26">
        <f>(1-Products!$E$23)^$A46</f>
        <v/>
      </c>
      <c r="U46" s="25">
        <f>IF(AND($A46&gt;=1,$A46&lt;=Products!$E$9),Products!$E$18,0)</f>
        <v/>
      </c>
      <c r="V46" s="25">
        <f>U46*Products!$E$24*T46</f>
        <v/>
      </c>
      <c r="W46" s="25">
        <f>U46-V46</f>
        <v/>
      </c>
      <c r="X46" s="25">
        <f>(1-T46)*MAX(0,Products!$E$9-$A46)*(Products!$E$18-Products!$E$20/Products!$E$9)</f>
        <v/>
      </c>
      <c r="Y46" s="26">
        <f>IF($A46&lt;=Products!$E$9,T46,0)</f>
        <v/>
      </c>
      <c r="Z46" s="25">
        <f>V46*(1-Inputs!$C$23)-Inputs!$C$24*Y46</f>
        <v/>
      </c>
      <c r="AA46" s="25">
        <f>AA45+Z46</f>
        <v/>
      </c>
    </row>
    <row r="47">
      <c r="A47" s="39" t="n">
        <v>39</v>
      </c>
      <c r="B47" s="26">
        <f>(1-Products!$C$23)^$A47</f>
        <v/>
      </c>
      <c r="C47" s="25">
        <f>IF(AND($A47&gt;=1,$A47&lt;=Products!$C$9),Products!$C$18,0)</f>
        <v/>
      </c>
      <c r="D47" s="25">
        <f>C47*Products!$C$24*B47</f>
        <v/>
      </c>
      <c r="E47" s="25">
        <f>C47-D47</f>
        <v/>
      </c>
      <c r="F47" s="25">
        <f>(1-B47)*MAX(0,Products!$C$9-$A47)*(Products!$C$18-Products!$C$20/Products!$C$9)</f>
        <v/>
      </c>
      <c r="G47" s="26">
        <f>IF($A47&lt;=Products!$C$9,B47,0)</f>
        <v/>
      </c>
      <c r="H47" s="25">
        <f>D47*(1-Inputs!$C$23)-Inputs!$C$24*G47</f>
        <v/>
      </c>
      <c r="I47" s="25">
        <f>I46+H47</f>
        <v/>
      </c>
      <c r="K47" s="26">
        <f>(1-Products!$D$23)^$A47</f>
        <v/>
      </c>
      <c r="L47" s="25">
        <f>IF(AND($A47&gt;=1,$A47&lt;=Products!$D$9),Products!$D$18,0)</f>
        <v/>
      </c>
      <c r="M47" s="25">
        <f>L47*Products!$D$24*K47</f>
        <v/>
      </c>
      <c r="N47" s="25">
        <f>L47-M47</f>
        <v/>
      </c>
      <c r="O47" s="25">
        <f>(1-K47)*MAX(0,Products!$D$9-$A47)*(Products!$D$18-Products!$D$20/Products!$D$9)</f>
        <v/>
      </c>
      <c r="P47" s="26">
        <f>IF($A47&lt;=Products!$D$9,K47,0)</f>
        <v/>
      </c>
      <c r="Q47" s="25">
        <f>M47*(1-Inputs!$C$23)-Inputs!$C$24*P47</f>
        <v/>
      </c>
      <c r="R47" s="25">
        <f>R46+Q47</f>
        <v/>
      </c>
      <c r="T47" s="26">
        <f>(1-Products!$E$23)^$A47</f>
        <v/>
      </c>
      <c r="U47" s="25">
        <f>IF(AND($A47&gt;=1,$A47&lt;=Products!$E$9),Products!$E$18,0)</f>
        <v/>
      </c>
      <c r="V47" s="25">
        <f>U47*Products!$E$24*T47</f>
        <v/>
      </c>
      <c r="W47" s="25">
        <f>U47-V47</f>
        <v/>
      </c>
      <c r="X47" s="25">
        <f>(1-T47)*MAX(0,Products!$E$9-$A47)*(Products!$E$18-Products!$E$20/Products!$E$9)</f>
        <v/>
      </c>
      <c r="Y47" s="26">
        <f>IF($A47&lt;=Products!$E$9,T47,0)</f>
        <v/>
      </c>
      <c r="Z47" s="25">
        <f>V47*(1-Inputs!$C$23)-Inputs!$C$24*Y47</f>
        <v/>
      </c>
      <c r="AA47" s="25">
        <f>AA46+Z47</f>
        <v/>
      </c>
    </row>
    <row r="48">
      <c r="A48" s="39" t="n">
        <v>40</v>
      </c>
      <c r="B48" s="26">
        <f>(1-Products!$C$23)^$A48</f>
        <v/>
      </c>
      <c r="C48" s="25">
        <f>IF(AND($A48&gt;=1,$A48&lt;=Products!$C$9),Products!$C$18,0)</f>
        <v/>
      </c>
      <c r="D48" s="25">
        <f>C48*Products!$C$24*B48</f>
        <v/>
      </c>
      <c r="E48" s="25">
        <f>C48-D48</f>
        <v/>
      </c>
      <c r="F48" s="25">
        <f>(1-B48)*MAX(0,Products!$C$9-$A48)*(Products!$C$18-Products!$C$20/Products!$C$9)</f>
        <v/>
      </c>
      <c r="G48" s="26">
        <f>IF($A48&lt;=Products!$C$9,B48,0)</f>
        <v/>
      </c>
      <c r="H48" s="25">
        <f>D48*(1-Inputs!$C$23)-Inputs!$C$24*G48</f>
        <v/>
      </c>
      <c r="I48" s="25">
        <f>I47+H48</f>
        <v/>
      </c>
      <c r="K48" s="26">
        <f>(1-Products!$D$23)^$A48</f>
        <v/>
      </c>
      <c r="L48" s="25">
        <f>IF(AND($A48&gt;=1,$A48&lt;=Products!$D$9),Products!$D$18,0)</f>
        <v/>
      </c>
      <c r="M48" s="25">
        <f>L48*Products!$D$24*K48</f>
        <v/>
      </c>
      <c r="N48" s="25">
        <f>L48-M48</f>
        <v/>
      </c>
      <c r="O48" s="25">
        <f>(1-K48)*MAX(0,Products!$D$9-$A48)*(Products!$D$18-Products!$D$20/Products!$D$9)</f>
        <v/>
      </c>
      <c r="P48" s="26">
        <f>IF($A48&lt;=Products!$D$9,K48,0)</f>
        <v/>
      </c>
      <c r="Q48" s="25">
        <f>M48*(1-Inputs!$C$23)-Inputs!$C$24*P48</f>
        <v/>
      </c>
      <c r="R48" s="25">
        <f>R47+Q48</f>
        <v/>
      </c>
      <c r="T48" s="26">
        <f>(1-Products!$E$23)^$A48</f>
        <v/>
      </c>
      <c r="U48" s="25">
        <f>IF(AND($A48&gt;=1,$A48&lt;=Products!$E$9),Products!$E$18,0)</f>
        <v/>
      </c>
      <c r="V48" s="25">
        <f>U48*Products!$E$24*T48</f>
        <v/>
      </c>
      <c r="W48" s="25">
        <f>U48-V48</f>
        <v/>
      </c>
      <c r="X48" s="25">
        <f>(1-T48)*MAX(0,Products!$E$9-$A48)*(Products!$E$18-Products!$E$20/Products!$E$9)</f>
        <v/>
      </c>
      <c r="Y48" s="26">
        <f>IF($A48&lt;=Products!$E$9,T48,0)</f>
        <v/>
      </c>
      <c r="Z48" s="25">
        <f>V48*(1-Inputs!$C$23)-Inputs!$C$24*Y48</f>
        <v/>
      </c>
      <c r="AA48" s="25">
        <f>AA47+Z48</f>
        <v/>
      </c>
    </row>
    <row r="49">
      <c r="A49" s="39" t="n">
        <v>41</v>
      </c>
      <c r="B49" s="26">
        <f>(1-Products!$C$23)^$A49</f>
        <v/>
      </c>
      <c r="C49" s="25">
        <f>IF(AND($A49&gt;=1,$A49&lt;=Products!$C$9),Products!$C$18,0)</f>
        <v/>
      </c>
      <c r="D49" s="25">
        <f>C49*Products!$C$24*B49</f>
        <v/>
      </c>
      <c r="E49" s="25">
        <f>C49-D49</f>
        <v/>
      </c>
      <c r="F49" s="25">
        <f>(1-B49)*MAX(0,Products!$C$9-$A49)*(Products!$C$18-Products!$C$20/Products!$C$9)</f>
        <v/>
      </c>
      <c r="G49" s="26">
        <f>IF($A49&lt;=Products!$C$9,B49,0)</f>
        <v/>
      </c>
      <c r="H49" s="25">
        <f>D49*(1-Inputs!$C$23)-Inputs!$C$24*G49</f>
        <v/>
      </c>
      <c r="I49" s="25">
        <f>I48+H49</f>
        <v/>
      </c>
      <c r="K49" s="26">
        <f>(1-Products!$D$23)^$A49</f>
        <v/>
      </c>
      <c r="L49" s="25">
        <f>IF(AND($A49&gt;=1,$A49&lt;=Products!$D$9),Products!$D$18,0)</f>
        <v/>
      </c>
      <c r="M49" s="25">
        <f>L49*Products!$D$24*K49</f>
        <v/>
      </c>
      <c r="N49" s="25">
        <f>L49-M49</f>
        <v/>
      </c>
      <c r="O49" s="25">
        <f>(1-K49)*MAX(0,Products!$D$9-$A49)*(Products!$D$18-Products!$D$20/Products!$D$9)</f>
        <v/>
      </c>
      <c r="P49" s="26">
        <f>IF($A49&lt;=Products!$D$9,K49,0)</f>
        <v/>
      </c>
      <c r="Q49" s="25">
        <f>M49*(1-Inputs!$C$23)-Inputs!$C$24*P49</f>
        <v/>
      </c>
      <c r="R49" s="25">
        <f>R48+Q49</f>
        <v/>
      </c>
      <c r="T49" s="26">
        <f>(1-Products!$E$23)^$A49</f>
        <v/>
      </c>
      <c r="U49" s="25">
        <f>IF(AND($A49&gt;=1,$A49&lt;=Products!$E$9),Products!$E$18,0)</f>
        <v/>
      </c>
      <c r="V49" s="25">
        <f>U49*Products!$E$24*T49</f>
        <v/>
      </c>
      <c r="W49" s="25">
        <f>U49-V49</f>
        <v/>
      </c>
      <c r="X49" s="25">
        <f>(1-T49)*MAX(0,Products!$E$9-$A49)*(Products!$E$18-Products!$E$20/Products!$E$9)</f>
        <v/>
      </c>
      <c r="Y49" s="26">
        <f>IF($A49&lt;=Products!$E$9,T49,0)</f>
        <v/>
      </c>
      <c r="Z49" s="25">
        <f>V49*(1-Inputs!$C$23)-Inputs!$C$24*Y49</f>
        <v/>
      </c>
      <c r="AA49" s="25">
        <f>AA48+Z49</f>
        <v/>
      </c>
    </row>
    <row r="50">
      <c r="A50" s="39" t="n">
        <v>42</v>
      </c>
      <c r="B50" s="26">
        <f>(1-Products!$C$23)^$A50</f>
        <v/>
      </c>
      <c r="C50" s="25">
        <f>IF(AND($A50&gt;=1,$A50&lt;=Products!$C$9),Products!$C$18,0)</f>
        <v/>
      </c>
      <c r="D50" s="25">
        <f>C50*Products!$C$24*B50</f>
        <v/>
      </c>
      <c r="E50" s="25">
        <f>C50-D50</f>
        <v/>
      </c>
      <c r="F50" s="25">
        <f>(1-B50)*MAX(0,Products!$C$9-$A50)*(Products!$C$18-Products!$C$20/Products!$C$9)</f>
        <v/>
      </c>
      <c r="G50" s="26">
        <f>IF($A50&lt;=Products!$C$9,B50,0)</f>
        <v/>
      </c>
      <c r="H50" s="25">
        <f>D50*(1-Inputs!$C$23)-Inputs!$C$24*G50</f>
        <v/>
      </c>
      <c r="I50" s="25">
        <f>I49+H50</f>
        <v/>
      </c>
      <c r="K50" s="26">
        <f>(1-Products!$D$23)^$A50</f>
        <v/>
      </c>
      <c r="L50" s="25">
        <f>IF(AND($A50&gt;=1,$A50&lt;=Products!$D$9),Products!$D$18,0)</f>
        <v/>
      </c>
      <c r="M50" s="25">
        <f>L50*Products!$D$24*K50</f>
        <v/>
      </c>
      <c r="N50" s="25">
        <f>L50-M50</f>
        <v/>
      </c>
      <c r="O50" s="25">
        <f>(1-K50)*MAX(0,Products!$D$9-$A50)*(Products!$D$18-Products!$D$20/Products!$D$9)</f>
        <v/>
      </c>
      <c r="P50" s="26">
        <f>IF($A50&lt;=Products!$D$9,K50,0)</f>
        <v/>
      </c>
      <c r="Q50" s="25">
        <f>M50*(1-Inputs!$C$23)-Inputs!$C$24*P50</f>
        <v/>
      </c>
      <c r="R50" s="25">
        <f>R49+Q50</f>
        <v/>
      </c>
      <c r="T50" s="26">
        <f>(1-Products!$E$23)^$A50</f>
        <v/>
      </c>
      <c r="U50" s="25">
        <f>IF(AND($A50&gt;=1,$A50&lt;=Products!$E$9),Products!$E$18,0)</f>
        <v/>
      </c>
      <c r="V50" s="25">
        <f>U50*Products!$E$24*T50</f>
        <v/>
      </c>
      <c r="W50" s="25">
        <f>U50-V50</f>
        <v/>
      </c>
      <c r="X50" s="25">
        <f>(1-T50)*MAX(0,Products!$E$9-$A50)*(Products!$E$18-Products!$E$20/Products!$E$9)</f>
        <v/>
      </c>
      <c r="Y50" s="26">
        <f>IF($A50&lt;=Products!$E$9,T50,0)</f>
        <v/>
      </c>
      <c r="Z50" s="25">
        <f>V50*(1-Inputs!$C$23)-Inputs!$C$24*Y50</f>
        <v/>
      </c>
      <c r="AA50" s="25">
        <f>AA49+Z50</f>
        <v/>
      </c>
    </row>
    <row r="51">
      <c r="A51" s="39" t="n">
        <v>43</v>
      </c>
      <c r="B51" s="26">
        <f>(1-Products!$C$23)^$A51</f>
        <v/>
      </c>
      <c r="C51" s="25">
        <f>IF(AND($A51&gt;=1,$A51&lt;=Products!$C$9),Products!$C$18,0)</f>
        <v/>
      </c>
      <c r="D51" s="25">
        <f>C51*Products!$C$24*B51</f>
        <v/>
      </c>
      <c r="E51" s="25">
        <f>C51-D51</f>
        <v/>
      </c>
      <c r="F51" s="25">
        <f>(1-B51)*MAX(0,Products!$C$9-$A51)*(Products!$C$18-Products!$C$20/Products!$C$9)</f>
        <v/>
      </c>
      <c r="G51" s="26">
        <f>IF($A51&lt;=Products!$C$9,B51,0)</f>
        <v/>
      </c>
      <c r="H51" s="25">
        <f>D51*(1-Inputs!$C$23)-Inputs!$C$24*G51</f>
        <v/>
      </c>
      <c r="I51" s="25">
        <f>I50+H51</f>
        <v/>
      </c>
      <c r="K51" s="26">
        <f>(1-Products!$D$23)^$A51</f>
        <v/>
      </c>
      <c r="L51" s="25">
        <f>IF(AND($A51&gt;=1,$A51&lt;=Products!$D$9),Products!$D$18,0)</f>
        <v/>
      </c>
      <c r="M51" s="25">
        <f>L51*Products!$D$24*K51</f>
        <v/>
      </c>
      <c r="N51" s="25">
        <f>L51-M51</f>
        <v/>
      </c>
      <c r="O51" s="25">
        <f>(1-K51)*MAX(0,Products!$D$9-$A51)*(Products!$D$18-Products!$D$20/Products!$D$9)</f>
        <v/>
      </c>
      <c r="P51" s="26">
        <f>IF($A51&lt;=Products!$D$9,K51,0)</f>
        <v/>
      </c>
      <c r="Q51" s="25">
        <f>M51*(1-Inputs!$C$23)-Inputs!$C$24*P51</f>
        <v/>
      </c>
      <c r="R51" s="25">
        <f>R50+Q51</f>
        <v/>
      </c>
      <c r="T51" s="26">
        <f>(1-Products!$E$23)^$A51</f>
        <v/>
      </c>
      <c r="U51" s="25">
        <f>IF(AND($A51&gt;=1,$A51&lt;=Products!$E$9),Products!$E$18,0)</f>
        <v/>
      </c>
      <c r="V51" s="25">
        <f>U51*Products!$E$24*T51</f>
        <v/>
      </c>
      <c r="W51" s="25">
        <f>U51-V51</f>
        <v/>
      </c>
      <c r="X51" s="25">
        <f>(1-T51)*MAX(0,Products!$E$9-$A51)*(Products!$E$18-Products!$E$20/Products!$E$9)</f>
        <v/>
      </c>
      <c r="Y51" s="26">
        <f>IF($A51&lt;=Products!$E$9,T51,0)</f>
        <v/>
      </c>
      <c r="Z51" s="25">
        <f>V51*(1-Inputs!$C$23)-Inputs!$C$24*Y51</f>
        <v/>
      </c>
      <c r="AA51" s="25">
        <f>AA50+Z51</f>
        <v/>
      </c>
    </row>
    <row r="52">
      <c r="A52" s="39" t="n">
        <v>44</v>
      </c>
      <c r="B52" s="26">
        <f>(1-Products!$C$23)^$A52</f>
        <v/>
      </c>
      <c r="C52" s="25">
        <f>IF(AND($A52&gt;=1,$A52&lt;=Products!$C$9),Products!$C$18,0)</f>
        <v/>
      </c>
      <c r="D52" s="25">
        <f>C52*Products!$C$24*B52</f>
        <v/>
      </c>
      <c r="E52" s="25">
        <f>C52-D52</f>
        <v/>
      </c>
      <c r="F52" s="25">
        <f>(1-B52)*MAX(0,Products!$C$9-$A52)*(Products!$C$18-Products!$C$20/Products!$C$9)</f>
        <v/>
      </c>
      <c r="G52" s="26">
        <f>IF($A52&lt;=Products!$C$9,B52,0)</f>
        <v/>
      </c>
      <c r="H52" s="25">
        <f>D52*(1-Inputs!$C$23)-Inputs!$C$24*G52</f>
        <v/>
      </c>
      <c r="I52" s="25">
        <f>I51+H52</f>
        <v/>
      </c>
      <c r="K52" s="26">
        <f>(1-Products!$D$23)^$A52</f>
        <v/>
      </c>
      <c r="L52" s="25">
        <f>IF(AND($A52&gt;=1,$A52&lt;=Products!$D$9),Products!$D$18,0)</f>
        <v/>
      </c>
      <c r="M52" s="25">
        <f>L52*Products!$D$24*K52</f>
        <v/>
      </c>
      <c r="N52" s="25">
        <f>L52-M52</f>
        <v/>
      </c>
      <c r="O52" s="25">
        <f>(1-K52)*MAX(0,Products!$D$9-$A52)*(Products!$D$18-Products!$D$20/Products!$D$9)</f>
        <v/>
      </c>
      <c r="P52" s="26">
        <f>IF($A52&lt;=Products!$D$9,K52,0)</f>
        <v/>
      </c>
      <c r="Q52" s="25">
        <f>M52*(1-Inputs!$C$23)-Inputs!$C$24*P52</f>
        <v/>
      </c>
      <c r="R52" s="25">
        <f>R51+Q52</f>
        <v/>
      </c>
      <c r="T52" s="26">
        <f>(1-Products!$E$23)^$A52</f>
        <v/>
      </c>
      <c r="U52" s="25">
        <f>IF(AND($A52&gt;=1,$A52&lt;=Products!$E$9),Products!$E$18,0)</f>
        <v/>
      </c>
      <c r="V52" s="25">
        <f>U52*Products!$E$24*T52</f>
        <v/>
      </c>
      <c r="W52" s="25">
        <f>U52-V52</f>
        <v/>
      </c>
      <c r="X52" s="25">
        <f>(1-T52)*MAX(0,Products!$E$9-$A52)*(Products!$E$18-Products!$E$20/Products!$E$9)</f>
        <v/>
      </c>
      <c r="Y52" s="26">
        <f>IF($A52&lt;=Products!$E$9,T52,0)</f>
        <v/>
      </c>
      <c r="Z52" s="25">
        <f>V52*(1-Inputs!$C$23)-Inputs!$C$24*Y52</f>
        <v/>
      </c>
      <c r="AA52" s="25">
        <f>AA51+Z52</f>
        <v/>
      </c>
    </row>
    <row r="53">
      <c r="A53" s="39" t="n">
        <v>45</v>
      </c>
      <c r="B53" s="26">
        <f>(1-Products!$C$23)^$A53</f>
        <v/>
      </c>
      <c r="C53" s="25">
        <f>IF(AND($A53&gt;=1,$A53&lt;=Products!$C$9),Products!$C$18,0)</f>
        <v/>
      </c>
      <c r="D53" s="25">
        <f>C53*Products!$C$24*B53</f>
        <v/>
      </c>
      <c r="E53" s="25">
        <f>C53-D53</f>
        <v/>
      </c>
      <c r="F53" s="25">
        <f>(1-B53)*MAX(0,Products!$C$9-$A53)*(Products!$C$18-Products!$C$20/Products!$C$9)</f>
        <v/>
      </c>
      <c r="G53" s="26">
        <f>IF($A53&lt;=Products!$C$9,B53,0)</f>
        <v/>
      </c>
      <c r="H53" s="25">
        <f>D53*(1-Inputs!$C$23)-Inputs!$C$24*G53</f>
        <v/>
      </c>
      <c r="I53" s="25">
        <f>I52+H53</f>
        <v/>
      </c>
      <c r="K53" s="26">
        <f>(1-Products!$D$23)^$A53</f>
        <v/>
      </c>
      <c r="L53" s="25">
        <f>IF(AND($A53&gt;=1,$A53&lt;=Products!$D$9),Products!$D$18,0)</f>
        <v/>
      </c>
      <c r="M53" s="25">
        <f>L53*Products!$D$24*K53</f>
        <v/>
      </c>
      <c r="N53" s="25">
        <f>L53-M53</f>
        <v/>
      </c>
      <c r="O53" s="25">
        <f>(1-K53)*MAX(0,Products!$D$9-$A53)*(Products!$D$18-Products!$D$20/Products!$D$9)</f>
        <v/>
      </c>
      <c r="P53" s="26">
        <f>IF($A53&lt;=Products!$D$9,K53,0)</f>
        <v/>
      </c>
      <c r="Q53" s="25">
        <f>M53*(1-Inputs!$C$23)-Inputs!$C$24*P53</f>
        <v/>
      </c>
      <c r="R53" s="25">
        <f>R52+Q53</f>
        <v/>
      </c>
      <c r="T53" s="26">
        <f>(1-Products!$E$23)^$A53</f>
        <v/>
      </c>
      <c r="U53" s="25">
        <f>IF(AND($A53&gt;=1,$A53&lt;=Products!$E$9),Products!$E$18,0)</f>
        <v/>
      </c>
      <c r="V53" s="25">
        <f>U53*Products!$E$24*T53</f>
        <v/>
      </c>
      <c r="W53" s="25">
        <f>U53-V53</f>
        <v/>
      </c>
      <c r="X53" s="25">
        <f>(1-T53)*MAX(0,Products!$E$9-$A53)*(Products!$E$18-Products!$E$20/Products!$E$9)</f>
        <v/>
      </c>
      <c r="Y53" s="26">
        <f>IF($A53&lt;=Products!$E$9,T53,0)</f>
        <v/>
      </c>
      <c r="Z53" s="25">
        <f>V53*(1-Inputs!$C$23)-Inputs!$C$24*Y53</f>
        <v/>
      </c>
      <c r="AA53" s="25">
        <f>AA52+Z53</f>
        <v/>
      </c>
    </row>
    <row r="54">
      <c r="A54" s="39" t="n">
        <v>46</v>
      </c>
      <c r="B54" s="26">
        <f>(1-Products!$C$23)^$A54</f>
        <v/>
      </c>
      <c r="C54" s="25">
        <f>IF(AND($A54&gt;=1,$A54&lt;=Products!$C$9),Products!$C$18,0)</f>
        <v/>
      </c>
      <c r="D54" s="25">
        <f>C54*Products!$C$24*B54</f>
        <v/>
      </c>
      <c r="E54" s="25">
        <f>C54-D54</f>
        <v/>
      </c>
      <c r="F54" s="25">
        <f>(1-B54)*MAX(0,Products!$C$9-$A54)*(Products!$C$18-Products!$C$20/Products!$C$9)</f>
        <v/>
      </c>
      <c r="G54" s="26">
        <f>IF($A54&lt;=Products!$C$9,B54,0)</f>
        <v/>
      </c>
      <c r="H54" s="25">
        <f>D54*(1-Inputs!$C$23)-Inputs!$C$24*G54</f>
        <v/>
      </c>
      <c r="I54" s="25">
        <f>I53+H54</f>
        <v/>
      </c>
      <c r="K54" s="26">
        <f>(1-Products!$D$23)^$A54</f>
        <v/>
      </c>
      <c r="L54" s="25">
        <f>IF(AND($A54&gt;=1,$A54&lt;=Products!$D$9),Products!$D$18,0)</f>
        <v/>
      </c>
      <c r="M54" s="25">
        <f>L54*Products!$D$24*K54</f>
        <v/>
      </c>
      <c r="N54" s="25">
        <f>L54-M54</f>
        <v/>
      </c>
      <c r="O54" s="25">
        <f>(1-K54)*MAX(0,Products!$D$9-$A54)*(Products!$D$18-Products!$D$20/Products!$D$9)</f>
        <v/>
      </c>
      <c r="P54" s="26">
        <f>IF($A54&lt;=Products!$D$9,K54,0)</f>
        <v/>
      </c>
      <c r="Q54" s="25">
        <f>M54*(1-Inputs!$C$23)-Inputs!$C$24*P54</f>
        <v/>
      </c>
      <c r="R54" s="25">
        <f>R53+Q54</f>
        <v/>
      </c>
      <c r="T54" s="26">
        <f>(1-Products!$E$23)^$A54</f>
        <v/>
      </c>
      <c r="U54" s="25">
        <f>IF(AND($A54&gt;=1,$A54&lt;=Products!$E$9),Products!$E$18,0)</f>
        <v/>
      </c>
      <c r="V54" s="25">
        <f>U54*Products!$E$24*T54</f>
        <v/>
      </c>
      <c r="W54" s="25">
        <f>U54-V54</f>
        <v/>
      </c>
      <c r="X54" s="25">
        <f>(1-T54)*MAX(0,Products!$E$9-$A54)*(Products!$E$18-Products!$E$20/Products!$E$9)</f>
        <v/>
      </c>
      <c r="Y54" s="26">
        <f>IF($A54&lt;=Products!$E$9,T54,0)</f>
        <v/>
      </c>
      <c r="Z54" s="25">
        <f>V54*(1-Inputs!$C$23)-Inputs!$C$24*Y54</f>
        <v/>
      </c>
      <c r="AA54" s="25">
        <f>AA53+Z54</f>
        <v/>
      </c>
    </row>
    <row r="55">
      <c r="A55" s="39" t="n">
        <v>47</v>
      </c>
      <c r="B55" s="26">
        <f>(1-Products!$C$23)^$A55</f>
        <v/>
      </c>
      <c r="C55" s="25">
        <f>IF(AND($A55&gt;=1,$A55&lt;=Products!$C$9),Products!$C$18,0)</f>
        <v/>
      </c>
      <c r="D55" s="25">
        <f>C55*Products!$C$24*B55</f>
        <v/>
      </c>
      <c r="E55" s="25">
        <f>C55-D55</f>
        <v/>
      </c>
      <c r="F55" s="25">
        <f>(1-B55)*MAX(0,Products!$C$9-$A55)*(Products!$C$18-Products!$C$20/Products!$C$9)</f>
        <v/>
      </c>
      <c r="G55" s="26">
        <f>IF($A55&lt;=Products!$C$9,B55,0)</f>
        <v/>
      </c>
      <c r="H55" s="25">
        <f>D55*(1-Inputs!$C$23)-Inputs!$C$24*G55</f>
        <v/>
      </c>
      <c r="I55" s="25">
        <f>I54+H55</f>
        <v/>
      </c>
      <c r="K55" s="26">
        <f>(1-Products!$D$23)^$A55</f>
        <v/>
      </c>
      <c r="L55" s="25">
        <f>IF(AND($A55&gt;=1,$A55&lt;=Products!$D$9),Products!$D$18,0)</f>
        <v/>
      </c>
      <c r="M55" s="25">
        <f>L55*Products!$D$24*K55</f>
        <v/>
      </c>
      <c r="N55" s="25">
        <f>L55-M55</f>
        <v/>
      </c>
      <c r="O55" s="25">
        <f>(1-K55)*MAX(0,Products!$D$9-$A55)*(Products!$D$18-Products!$D$20/Products!$D$9)</f>
        <v/>
      </c>
      <c r="P55" s="26">
        <f>IF($A55&lt;=Products!$D$9,K55,0)</f>
        <v/>
      </c>
      <c r="Q55" s="25">
        <f>M55*(1-Inputs!$C$23)-Inputs!$C$24*P55</f>
        <v/>
      </c>
      <c r="R55" s="25">
        <f>R54+Q55</f>
        <v/>
      </c>
      <c r="T55" s="26">
        <f>(1-Products!$E$23)^$A55</f>
        <v/>
      </c>
      <c r="U55" s="25">
        <f>IF(AND($A55&gt;=1,$A55&lt;=Products!$E$9),Products!$E$18,0)</f>
        <v/>
      </c>
      <c r="V55" s="25">
        <f>U55*Products!$E$24*T55</f>
        <v/>
      </c>
      <c r="W55" s="25">
        <f>U55-V55</f>
        <v/>
      </c>
      <c r="X55" s="25">
        <f>(1-T55)*MAX(0,Products!$E$9-$A55)*(Products!$E$18-Products!$E$20/Products!$E$9)</f>
        <v/>
      </c>
      <c r="Y55" s="26">
        <f>IF($A55&lt;=Products!$E$9,T55,0)</f>
        <v/>
      </c>
      <c r="Z55" s="25">
        <f>V55*(1-Inputs!$C$23)-Inputs!$C$24*Y55</f>
        <v/>
      </c>
      <c r="AA55" s="25">
        <f>AA54+Z55</f>
        <v/>
      </c>
    </row>
    <row r="56">
      <c r="A56" s="39" t="n">
        <v>48</v>
      </c>
      <c r="B56" s="26">
        <f>(1-Products!$C$23)^$A56</f>
        <v/>
      </c>
      <c r="C56" s="25">
        <f>IF(AND($A56&gt;=1,$A56&lt;=Products!$C$9),Products!$C$18,0)</f>
        <v/>
      </c>
      <c r="D56" s="25">
        <f>C56*Products!$C$24*B56</f>
        <v/>
      </c>
      <c r="E56" s="25">
        <f>C56-D56</f>
        <v/>
      </c>
      <c r="F56" s="25">
        <f>(1-B56)*MAX(0,Products!$C$9-$A56)*(Products!$C$18-Products!$C$20/Products!$C$9)</f>
        <v/>
      </c>
      <c r="G56" s="26">
        <f>IF($A56&lt;=Products!$C$9,B56,0)</f>
        <v/>
      </c>
      <c r="H56" s="25">
        <f>D56*(1-Inputs!$C$23)-Inputs!$C$24*G56</f>
        <v/>
      </c>
      <c r="I56" s="25">
        <f>I55+H56</f>
        <v/>
      </c>
      <c r="K56" s="26">
        <f>(1-Products!$D$23)^$A56</f>
        <v/>
      </c>
      <c r="L56" s="25">
        <f>IF(AND($A56&gt;=1,$A56&lt;=Products!$D$9),Products!$D$18,0)</f>
        <v/>
      </c>
      <c r="M56" s="25">
        <f>L56*Products!$D$24*K56</f>
        <v/>
      </c>
      <c r="N56" s="25">
        <f>L56-M56</f>
        <v/>
      </c>
      <c r="O56" s="25">
        <f>(1-K56)*MAX(0,Products!$D$9-$A56)*(Products!$D$18-Products!$D$20/Products!$D$9)</f>
        <v/>
      </c>
      <c r="P56" s="26">
        <f>IF($A56&lt;=Products!$D$9,K56,0)</f>
        <v/>
      </c>
      <c r="Q56" s="25">
        <f>M56*(1-Inputs!$C$23)-Inputs!$C$24*P56</f>
        <v/>
      </c>
      <c r="R56" s="25">
        <f>R55+Q56</f>
        <v/>
      </c>
      <c r="T56" s="26">
        <f>(1-Products!$E$23)^$A56</f>
        <v/>
      </c>
      <c r="U56" s="25">
        <f>IF(AND($A56&gt;=1,$A56&lt;=Products!$E$9),Products!$E$18,0)</f>
        <v/>
      </c>
      <c r="V56" s="25">
        <f>U56*Products!$E$24*T56</f>
        <v/>
      </c>
      <c r="W56" s="25">
        <f>U56-V56</f>
        <v/>
      </c>
      <c r="X56" s="25">
        <f>(1-T56)*MAX(0,Products!$E$9-$A56)*(Products!$E$18-Products!$E$20/Products!$E$9)</f>
        <v/>
      </c>
      <c r="Y56" s="26">
        <f>IF($A56&lt;=Products!$E$9,T56,0)</f>
        <v/>
      </c>
      <c r="Z56" s="25">
        <f>V56*(1-Inputs!$C$23)-Inputs!$C$24*Y56</f>
        <v/>
      </c>
      <c r="AA56" s="25">
        <f>AA55+Z56</f>
        <v/>
      </c>
    </row>
    <row r="57">
      <c r="A57" s="39" t="n">
        <v>49</v>
      </c>
      <c r="B57" s="26">
        <f>(1-Products!$C$23)^$A57</f>
        <v/>
      </c>
      <c r="C57" s="25">
        <f>IF(AND($A57&gt;=1,$A57&lt;=Products!$C$9),Products!$C$18,0)</f>
        <v/>
      </c>
      <c r="D57" s="25">
        <f>C57*Products!$C$24*B57</f>
        <v/>
      </c>
      <c r="E57" s="25">
        <f>C57-D57</f>
        <v/>
      </c>
      <c r="F57" s="25">
        <f>(1-B57)*MAX(0,Products!$C$9-$A57)*(Products!$C$18-Products!$C$20/Products!$C$9)</f>
        <v/>
      </c>
      <c r="G57" s="26">
        <f>IF($A57&lt;=Products!$C$9,B57,0)</f>
        <v/>
      </c>
      <c r="H57" s="25">
        <f>D57*(1-Inputs!$C$23)-Inputs!$C$24*G57</f>
        <v/>
      </c>
      <c r="I57" s="25">
        <f>I56+H57</f>
        <v/>
      </c>
      <c r="K57" s="26">
        <f>(1-Products!$D$23)^$A57</f>
        <v/>
      </c>
      <c r="L57" s="25">
        <f>IF(AND($A57&gt;=1,$A57&lt;=Products!$D$9),Products!$D$18,0)</f>
        <v/>
      </c>
      <c r="M57" s="25">
        <f>L57*Products!$D$24*K57</f>
        <v/>
      </c>
      <c r="N57" s="25">
        <f>L57-M57</f>
        <v/>
      </c>
      <c r="O57" s="25">
        <f>(1-K57)*MAX(0,Products!$D$9-$A57)*(Products!$D$18-Products!$D$20/Products!$D$9)</f>
        <v/>
      </c>
      <c r="P57" s="26">
        <f>IF($A57&lt;=Products!$D$9,K57,0)</f>
        <v/>
      </c>
      <c r="Q57" s="25">
        <f>M57*(1-Inputs!$C$23)-Inputs!$C$24*P57</f>
        <v/>
      </c>
      <c r="R57" s="25">
        <f>R56+Q57</f>
        <v/>
      </c>
      <c r="T57" s="26">
        <f>(1-Products!$E$23)^$A57</f>
        <v/>
      </c>
      <c r="U57" s="25">
        <f>IF(AND($A57&gt;=1,$A57&lt;=Products!$E$9),Products!$E$18,0)</f>
        <v/>
      </c>
      <c r="V57" s="25">
        <f>U57*Products!$E$24*T57</f>
        <v/>
      </c>
      <c r="W57" s="25">
        <f>U57-V57</f>
        <v/>
      </c>
      <c r="X57" s="25">
        <f>(1-T57)*MAX(0,Products!$E$9-$A57)*(Products!$E$18-Products!$E$20/Products!$E$9)</f>
        <v/>
      </c>
      <c r="Y57" s="26">
        <f>IF($A57&lt;=Products!$E$9,T57,0)</f>
        <v/>
      </c>
      <c r="Z57" s="25">
        <f>V57*(1-Inputs!$C$23)-Inputs!$C$24*Y57</f>
        <v/>
      </c>
      <c r="AA57" s="25">
        <f>AA56+Z57</f>
        <v/>
      </c>
    </row>
    <row r="58">
      <c r="A58" s="39" t="n">
        <v>50</v>
      </c>
      <c r="B58" s="26">
        <f>(1-Products!$C$23)^$A58</f>
        <v/>
      </c>
      <c r="C58" s="25">
        <f>IF(AND($A58&gt;=1,$A58&lt;=Products!$C$9),Products!$C$18,0)</f>
        <v/>
      </c>
      <c r="D58" s="25">
        <f>C58*Products!$C$24*B58</f>
        <v/>
      </c>
      <c r="E58" s="25">
        <f>C58-D58</f>
        <v/>
      </c>
      <c r="F58" s="25">
        <f>(1-B58)*MAX(0,Products!$C$9-$A58)*(Products!$C$18-Products!$C$20/Products!$C$9)</f>
        <v/>
      </c>
      <c r="G58" s="26">
        <f>IF($A58&lt;=Products!$C$9,B58,0)</f>
        <v/>
      </c>
      <c r="H58" s="25">
        <f>D58*(1-Inputs!$C$23)-Inputs!$C$24*G58</f>
        <v/>
      </c>
      <c r="I58" s="25">
        <f>I57+H58</f>
        <v/>
      </c>
      <c r="K58" s="26">
        <f>(1-Products!$D$23)^$A58</f>
        <v/>
      </c>
      <c r="L58" s="25">
        <f>IF(AND($A58&gt;=1,$A58&lt;=Products!$D$9),Products!$D$18,0)</f>
        <v/>
      </c>
      <c r="M58" s="25">
        <f>L58*Products!$D$24*K58</f>
        <v/>
      </c>
      <c r="N58" s="25">
        <f>L58-M58</f>
        <v/>
      </c>
      <c r="O58" s="25">
        <f>(1-K58)*MAX(0,Products!$D$9-$A58)*(Products!$D$18-Products!$D$20/Products!$D$9)</f>
        <v/>
      </c>
      <c r="P58" s="26">
        <f>IF($A58&lt;=Products!$D$9,K58,0)</f>
        <v/>
      </c>
      <c r="Q58" s="25">
        <f>M58*(1-Inputs!$C$23)-Inputs!$C$24*P58</f>
        <v/>
      </c>
      <c r="R58" s="25">
        <f>R57+Q58</f>
        <v/>
      </c>
      <c r="T58" s="26">
        <f>(1-Products!$E$23)^$A58</f>
        <v/>
      </c>
      <c r="U58" s="25">
        <f>IF(AND($A58&gt;=1,$A58&lt;=Products!$E$9),Products!$E$18,0)</f>
        <v/>
      </c>
      <c r="V58" s="25">
        <f>U58*Products!$E$24*T58</f>
        <v/>
      </c>
      <c r="W58" s="25">
        <f>U58-V58</f>
        <v/>
      </c>
      <c r="X58" s="25">
        <f>(1-T58)*MAX(0,Products!$E$9-$A58)*(Products!$E$18-Products!$E$20/Products!$E$9)</f>
        <v/>
      </c>
      <c r="Y58" s="26">
        <f>IF($A58&lt;=Products!$E$9,T58,0)</f>
        <v/>
      </c>
      <c r="Z58" s="25">
        <f>V58*(1-Inputs!$C$23)-Inputs!$C$24*Y58</f>
        <v/>
      </c>
      <c r="AA58" s="25">
        <f>AA57+Z58</f>
        <v/>
      </c>
    </row>
    <row r="59">
      <c r="A59" s="39" t="n">
        <v>51</v>
      </c>
      <c r="B59" s="26">
        <f>(1-Products!$C$23)^$A59</f>
        <v/>
      </c>
      <c r="C59" s="25">
        <f>IF(AND($A59&gt;=1,$A59&lt;=Products!$C$9),Products!$C$18,0)</f>
        <v/>
      </c>
      <c r="D59" s="25">
        <f>C59*Products!$C$24*B59</f>
        <v/>
      </c>
      <c r="E59" s="25">
        <f>C59-D59</f>
        <v/>
      </c>
      <c r="F59" s="25">
        <f>(1-B59)*MAX(0,Products!$C$9-$A59)*(Products!$C$18-Products!$C$20/Products!$C$9)</f>
        <v/>
      </c>
      <c r="G59" s="26">
        <f>IF($A59&lt;=Products!$C$9,B59,0)</f>
        <v/>
      </c>
      <c r="H59" s="25">
        <f>D59*(1-Inputs!$C$23)-Inputs!$C$24*G59</f>
        <v/>
      </c>
      <c r="I59" s="25">
        <f>I58+H59</f>
        <v/>
      </c>
      <c r="K59" s="26">
        <f>(1-Products!$D$23)^$A59</f>
        <v/>
      </c>
      <c r="L59" s="25">
        <f>IF(AND($A59&gt;=1,$A59&lt;=Products!$D$9),Products!$D$18,0)</f>
        <v/>
      </c>
      <c r="M59" s="25">
        <f>L59*Products!$D$24*K59</f>
        <v/>
      </c>
      <c r="N59" s="25">
        <f>L59-M59</f>
        <v/>
      </c>
      <c r="O59" s="25">
        <f>(1-K59)*MAX(0,Products!$D$9-$A59)*(Products!$D$18-Products!$D$20/Products!$D$9)</f>
        <v/>
      </c>
      <c r="P59" s="26">
        <f>IF($A59&lt;=Products!$D$9,K59,0)</f>
        <v/>
      </c>
      <c r="Q59" s="25">
        <f>M59*(1-Inputs!$C$23)-Inputs!$C$24*P59</f>
        <v/>
      </c>
      <c r="R59" s="25">
        <f>R58+Q59</f>
        <v/>
      </c>
      <c r="T59" s="26">
        <f>(1-Products!$E$23)^$A59</f>
        <v/>
      </c>
      <c r="U59" s="25">
        <f>IF(AND($A59&gt;=1,$A59&lt;=Products!$E$9),Products!$E$18,0)</f>
        <v/>
      </c>
      <c r="V59" s="25">
        <f>U59*Products!$E$24*T59</f>
        <v/>
      </c>
      <c r="W59" s="25">
        <f>U59-V59</f>
        <v/>
      </c>
      <c r="X59" s="25">
        <f>(1-T59)*MAX(0,Products!$E$9-$A59)*(Products!$E$18-Products!$E$20/Products!$E$9)</f>
        <v/>
      </c>
      <c r="Y59" s="26">
        <f>IF($A59&lt;=Products!$E$9,T59,0)</f>
        <v/>
      </c>
      <c r="Z59" s="25">
        <f>V59*(1-Inputs!$C$23)-Inputs!$C$24*Y59</f>
        <v/>
      </c>
      <c r="AA59" s="25">
        <f>AA58+Z59</f>
        <v/>
      </c>
    </row>
    <row r="60">
      <c r="A60" s="39" t="n">
        <v>52</v>
      </c>
      <c r="B60" s="26">
        <f>(1-Products!$C$23)^$A60</f>
        <v/>
      </c>
      <c r="C60" s="25">
        <f>IF(AND($A60&gt;=1,$A60&lt;=Products!$C$9),Products!$C$18,0)</f>
        <v/>
      </c>
      <c r="D60" s="25">
        <f>C60*Products!$C$24*B60</f>
        <v/>
      </c>
      <c r="E60" s="25">
        <f>C60-D60</f>
        <v/>
      </c>
      <c r="F60" s="25">
        <f>(1-B60)*MAX(0,Products!$C$9-$A60)*(Products!$C$18-Products!$C$20/Products!$C$9)</f>
        <v/>
      </c>
      <c r="G60" s="26">
        <f>IF($A60&lt;=Products!$C$9,B60,0)</f>
        <v/>
      </c>
      <c r="H60" s="25">
        <f>D60*(1-Inputs!$C$23)-Inputs!$C$24*G60</f>
        <v/>
      </c>
      <c r="I60" s="25">
        <f>I59+H60</f>
        <v/>
      </c>
      <c r="K60" s="26">
        <f>(1-Products!$D$23)^$A60</f>
        <v/>
      </c>
      <c r="L60" s="25">
        <f>IF(AND($A60&gt;=1,$A60&lt;=Products!$D$9),Products!$D$18,0)</f>
        <v/>
      </c>
      <c r="M60" s="25">
        <f>L60*Products!$D$24*K60</f>
        <v/>
      </c>
      <c r="N60" s="25">
        <f>L60-M60</f>
        <v/>
      </c>
      <c r="O60" s="25">
        <f>(1-K60)*MAX(0,Products!$D$9-$A60)*(Products!$D$18-Products!$D$20/Products!$D$9)</f>
        <v/>
      </c>
      <c r="P60" s="26">
        <f>IF($A60&lt;=Products!$D$9,K60,0)</f>
        <v/>
      </c>
      <c r="Q60" s="25">
        <f>M60*(1-Inputs!$C$23)-Inputs!$C$24*P60</f>
        <v/>
      </c>
      <c r="R60" s="25">
        <f>R59+Q60</f>
        <v/>
      </c>
      <c r="T60" s="26">
        <f>(1-Products!$E$23)^$A60</f>
        <v/>
      </c>
      <c r="U60" s="25">
        <f>IF(AND($A60&gt;=1,$A60&lt;=Products!$E$9),Products!$E$18,0)</f>
        <v/>
      </c>
      <c r="V60" s="25">
        <f>U60*Products!$E$24*T60</f>
        <v/>
      </c>
      <c r="W60" s="25">
        <f>U60-V60</f>
        <v/>
      </c>
      <c r="X60" s="25">
        <f>(1-T60)*MAX(0,Products!$E$9-$A60)*(Products!$E$18-Products!$E$20/Products!$E$9)</f>
        <v/>
      </c>
      <c r="Y60" s="26">
        <f>IF($A60&lt;=Products!$E$9,T60,0)</f>
        <v/>
      </c>
      <c r="Z60" s="25">
        <f>V60*(1-Inputs!$C$23)-Inputs!$C$24*Y60</f>
        <v/>
      </c>
      <c r="AA60" s="25">
        <f>AA59+Z60</f>
        <v/>
      </c>
    </row>
    <row r="61">
      <c r="A61" s="39" t="n">
        <v>53</v>
      </c>
      <c r="B61" s="26">
        <f>(1-Products!$C$23)^$A61</f>
        <v/>
      </c>
      <c r="C61" s="25">
        <f>IF(AND($A61&gt;=1,$A61&lt;=Products!$C$9),Products!$C$18,0)</f>
        <v/>
      </c>
      <c r="D61" s="25">
        <f>C61*Products!$C$24*B61</f>
        <v/>
      </c>
      <c r="E61" s="25">
        <f>C61-D61</f>
        <v/>
      </c>
      <c r="F61" s="25">
        <f>(1-B61)*MAX(0,Products!$C$9-$A61)*(Products!$C$18-Products!$C$20/Products!$C$9)</f>
        <v/>
      </c>
      <c r="G61" s="26">
        <f>IF($A61&lt;=Products!$C$9,B61,0)</f>
        <v/>
      </c>
      <c r="H61" s="25">
        <f>D61*(1-Inputs!$C$23)-Inputs!$C$24*G61</f>
        <v/>
      </c>
      <c r="I61" s="25">
        <f>I60+H61</f>
        <v/>
      </c>
      <c r="K61" s="26">
        <f>(1-Products!$D$23)^$A61</f>
        <v/>
      </c>
      <c r="L61" s="25">
        <f>IF(AND($A61&gt;=1,$A61&lt;=Products!$D$9),Products!$D$18,0)</f>
        <v/>
      </c>
      <c r="M61" s="25">
        <f>L61*Products!$D$24*K61</f>
        <v/>
      </c>
      <c r="N61" s="25">
        <f>L61-M61</f>
        <v/>
      </c>
      <c r="O61" s="25">
        <f>(1-K61)*MAX(0,Products!$D$9-$A61)*(Products!$D$18-Products!$D$20/Products!$D$9)</f>
        <v/>
      </c>
      <c r="P61" s="26">
        <f>IF($A61&lt;=Products!$D$9,K61,0)</f>
        <v/>
      </c>
      <c r="Q61" s="25">
        <f>M61*(1-Inputs!$C$23)-Inputs!$C$24*P61</f>
        <v/>
      </c>
      <c r="R61" s="25">
        <f>R60+Q61</f>
        <v/>
      </c>
      <c r="T61" s="26">
        <f>(1-Products!$E$23)^$A61</f>
        <v/>
      </c>
      <c r="U61" s="25">
        <f>IF(AND($A61&gt;=1,$A61&lt;=Products!$E$9),Products!$E$18,0)</f>
        <v/>
      </c>
      <c r="V61" s="25">
        <f>U61*Products!$E$24*T61</f>
        <v/>
      </c>
      <c r="W61" s="25">
        <f>U61-V61</f>
        <v/>
      </c>
      <c r="X61" s="25">
        <f>(1-T61)*MAX(0,Products!$E$9-$A61)*(Products!$E$18-Products!$E$20/Products!$E$9)</f>
        <v/>
      </c>
      <c r="Y61" s="26">
        <f>IF($A61&lt;=Products!$E$9,T61,0)</f>
        <v/>
      </c>
      <c r="Z61" s="25">
        <f>V61*(1-Inputs!$C$23)-Inputs!$C$24*Y61</f>
        <v/>
      </c>
      <c r="AA61" s="25">
        <f>AA60+Z61</f>
        <v/>
      </c>
    </row>
    <row r="62">
      <c r="A62" s="39" t="n">
        <v>54</v>
      </c>
      <c r="B62" s="26">
        <f>(1-Products!$C$23)^$A62</f>
        <v/>
      </c>
      <c r="C62" s="25">
        <f>IF(AND($A62&gt;=1,$A62&lt;=Products!$C$9),Products!$C$18,0)</f>
        <v/>
      </c>
      <c r="D62" s="25">
        <f>C62*Products!$C$24*B62</f>
        <v/>
      </c>
      <c r="E62" s="25">
        <f>C62-D62</f>
        <v/>
      </c>
      <c r="F62" s="25">
        <f>(1-B62)*MAX(0,Products!$C$9-$A62)*(Products!$C$18-Products!$C$20/Products!$C$9)</f>
        <v/>
      </c>
      <c r="G62" s="26">
        <f>IF($A62&lt;=Products!$C$9,B62,0)</f>
        <v/>
      </c>
      <c r="H62" s="25">
        <f>D62*(1-Inputs!$C$23)-Inputs!$C$24*G62</f>
        <v/>
      </c>
      <c r="I62" s="25">
        <f>I61+H62</f>
        <v/>
      </c>
      <c r="K62" s="26">
        <f>(1-Products!$D$23)^$A62</f>
        <v/>
      </c>
      <c r="L62" s="25">
        <f>IF(AND($A62&gt;=1,$A62&lt;=Products!$D$9),Products!$D$18,0)</f>
        <v/>
      </c>
      <c r="M62" s="25">
        <f>L62*Products!$D$24*K62</f>
        <v/>
      </c>
      <c r="N62" s="25">
        <f>L62-M62</f>
        <v/>
      </c>
      <c r="O62" s="25">
        <f>(1-K62)*MAX(0,Products!$D$9-$A62)*(Products!$D$18-Products!$D$20/Products!$D$9)</f>
        <v/>
      </c>
      <c r="P62" s="26">
        <f>IF($A62&lt;=Products!$D$9,K62,0)</f>
        <v/>
      </c>
      <c r="Q62" s="25">
        <f>M62*(1-Inputs!$C$23)-Inputs!$C$24*P62</f>
        <v/>
      </c>
      <c r="R62" s="25">
        <f>R61+Q62</f>
        <v/>
      </c>
      <c r="T62" s="26">
        <f>(1-Products!$E$23)^$A62</f>
        <v/>
      </c>
      <c r="U62" s="25">
        <f>IF(AND($A62&gt;=1,$A62&lt;=Products!$E$9),Products!$E$18,0)</f>
        <v/>
      </c>
      <c r="V62" s="25">
        <f>U62*Products!$E$24*T62</f>
        <v/>
      </c>
      <c r="W62" s="25">
        <f>U62-V62</f>
        <v/>
      </c>
      <c r="X62" s="25">
        <f>(1-T62)*MAX(0,Products!$E$9-$A62)*(Products!$E$18-Products!$E$20/Products!$E$9)</f>
        <v/>
      </c>
      <c r="Y62" s="26">
        <f>IF($A62&lt;=Products!$E$9,T62,0)</f>
        <v/>
      </c>
      <c r="Z62" s="25">
        <f>V62*(1-Inputs!$C$23)-Inputs!$C$24*Y62</f>
        <v/>
      </c>
      <c r="AA62" s="25">
        <f>AA61+Z62</f>
        <v/>
      </c>
    </row>
    <row r="63">
      <c r="A63" s="39" t="n">
        <v>55</v>
      </c>
      <c r="B63" s="26">
        <f>(1-Products!$C$23)^$A63</f>
        <v/>
      </c>
      <c r="C63" s="25">
        <f>IF(AND($A63&gt;=1,$A63&lt;=Products!$C$9),Products!$C$18,0)</f>
        <v/>
      </c>
      <c r="D63" s="25">
        <f>C63*Products!$C$24*B63</f>
        <v/>
      </c>
      <c r="E63" s="25">
        <f>C63-D63</f>
        <v/>
      </c>
      <c r="F63" s="25">
        <f>(1-B63)*MAX(0,Products!$C$9-$A63)*(Products!$C$18-Products!$C$20/Products!$C$9)</f>
        <v/>
      </c>
      <c r="G63" s="26">
        <f>IF($A63&lt;=Products!$C$9,B63,0)</f>
        <v/>
      </c>
      <c r="H63" s="25">
        <f>D63*(1-Inputs!$C$23)-Inputs!$C$24*G63</f>
        <v/>
      </c>
      <c r="I63" s="25">
        <f>I62+H63</f>
        <v/>
      </c>
      <c r="K63" s="26">
        <f>(1-Products!$D$23)^$A63</f>
        <v/>
      </c>
      <c r="L63" s="25">
        <f>IF(AND($A63&gt;=1,$A63&lt;=Products!$D$9),Products!$D$18,0)</f>
        <v/>
      </c>
      <c r="M63" s="25">
        <f>L63*Products!$D$24*K63</f>
        <v/>
      </c>
      <c r="N63" s="25">
        <f>L63-M63</f>
        <v/>
      </c>
      <c r="O63" s="25">
        <f>(1-K63)*MAX(0,Products!$D$9-$A63)*(Products!$D$18-Products!$D$20/Products!$D$9)</f>
        <v/>
      </c>
      <c r="P63" s="26">
        <f>IF($A63&lt;=Products!$D$9,K63,0)</f>
        <v/>
      </c>
      <c r="Q63" s="25">
        <f>M63*(1-Inputs!$C$23)-Inputs!$C$24*P63</f>
        <v/>
      </c>
      <c r="R63" s="25">
        <f>R62+Q63</f>
        <v/>
      </c>
      <c r="T63" s="26">
        <f>(1-Products!$E$23)^$A63</f>
        <v/>
      </c>
      <c r="U63" s="25">
        <f>IF(AND($A63&gt;=1,$A63&lt;=Products!$E$9),Products!$E$18,0)</f>
        <v/>
      </c>
      <c r="V63" s="25">
        <f>U63*Products!$E$24*T63</f>
        <v/>
      </c>
      <c r="W63" s="25">
        <f>U63-V63</f>
        <v/>
      </c>
      <c r="X63" s="25">
        <f>(1-T63)*MAX(0,Products!$E$9-$A63)*(Products!$E$18-Products!$E$20/Products!$E$9)</f>
        <v/>
      </c>
      <c r="Y63" s="26">
        <f>IF($A63&lt;=Products!$E$9,T63,0)</f>
        <v/>
      </c>
      <c r="Z63" s="25">
        <f>V63*(1-Inputs!$C$23)-Inputs!$C$24*Y63</f>
        <v/>
      </c>
      <c r="AA63" s="25">
        <f>AA62+Z63</f>
        <v/>
      </c>
    </row>
    <row r="64">
      <c r="A64" s="39" t="n">
        <v>56</v>
      </c>
      <c r="B64" s="26">
        <f>(1-Products!$C$23)^$A64</f>
        <v/>
      </c>
      <c r="C64" s="25">
        <f>IF(AND($A64&gt;=1,$A64&lt;=Products!$C$9),Products!$C$18,0)</f>
        <v/>
      </c>
      <c r="D64" s="25">
        <f>C64*Products!$C$24*B64</f>
        <v/>
      </c>
      <c r="E64" s="25">
        <f>C64-D64</f>
        <v/>
      </c>
      <c r="F64" s="25">
        <f>(1-B64)*MAX(0,Products!$C$9-$A64)*(Products!$C$18-Products!$C$20/Products!$C$9)</f>
        <v/>
      </c>
      <c r="G64" s="26">
        <f>IF($A64&lt;=Products!$C$9,B64,0)</f>
        <v/>
      </c>
      <c r="H64" s="25">
        <f>D64*(1-Inputs!$C$23)-Inputs!$C$24*G64</f>
        <v/>
      </c>
      <c r="I64" s="25">
        <f>I63+H64</f>
        <v/>
      </c>
      <c r="K64" s="26">
        <f>(1-Products!$D$23)^$A64</f>
        <v/>
      </c>
      <c r="L64" s="25">
        <f>IF(AND($A64&gt;=1,$A64&lt;=Products!$D$9),Products!$D$18,0)</f>
        <v/>
      </c>
      <c r="M64" s="25">
        <f>L64*Products!$D$24*K64</f>
        <v/>
      </c>
      <c r="N64" s="25">
        <f>L64-M64</f>
        <v/>
      </c>
      <c r="O64" s="25">
        <f>(1-K64)*MAX(0,Products!$D$9-$A64)*(Products!$D$18-Products!$D$20/Products!$D$9)</f>
        <v/>
      </c>
      <c r="P64" s="26">
        <f>IF($A64&lt;=Products!$D$9,K64,0)</f>
        <v/>
      </c>
      <c r="Q64" s="25">
        <f>M64*(1-Inputs!$C$23)-Inputs!$C$24*P64</f>
        <v/>
      </c>
      <c r="R64" s="25">
        <f>R63+Q64</f>
        <v/>
      </c>
      <c r="T64" s="26">
        <f>(1-Products!$E$23)^$A64</f>
        <v/>
      </c>
      <c r="U64" s="25">
        <f>IF(AND($A64&gt;=1,$A64&lt;=Products!$E$9),Products!$E$18,0)</f>
        <v/>
      </c>
      <c r="V64" s="25">
        <f>U64*Products!$E$24*T64</f>
        <v/>
      </c>
      <c r="W64" s="25">
        <f>U64-V64</f>
        <v/>
      </c>
      <c r="X64" s="25">
        <f>(1-T64)*MAX(0,Products!$E$9-$A64)*(Products!$E$18-Products!$E$20/Products!$E$9)</f>
        <v/>
      </c>
      <c r="Y64" s="26">
        <f>IF($A64&lt;=Products!$E$9,T64,0)</f>
        <v/>
      </c>
      <c r="Z64" s="25">
        <f>V64*(1-Inputs!$C$23)-Inputs!$C$24*Y64</f>
        <v/>
      </c>
      <c r="AA64" s="25">
        <f>AA63+Z64</f>
        <v/>
      </c>
    </row>
    <row r="65">
      <c r="A65" s="39" t="n">
        <v>57</v>
      </c>
      <c r="B65" s="26">
        <f>(1-Products!$C$23)^$A65</f>
        <v/>
      </c>
      <c r="C65" s="25">
        <f>IF(AND($A65&gt;=1,$A65&lt;=Products!$C$9),Products!$C$18,0)</f>
        <v/>
      </c>
      <c r="D65" s="25">
        <f>C65*Products!$C$24*B65</f>
        <v/>
      </c>
      <c r="E65" s="25">
        <f>C65-D65</f>
        <v/>
      </c>
      <c r="F65" s="25">
        <f>(1-B65)*MAX(0,Products!$C$9-$A65)*(Products!$C$18-Products!$C$20/Products!$C$9)</f>
        <v/>
      </c>
      <c r="G65" s="26">
        <f>IF($A65&lt;=Products!$C$9,B65,0)</f>
        <v/>
      </c>
      <c r="H65" s="25">
        <f>D65*(1-Inputs!$C$23)-Inputs!$C$24*G65</f>
        <v/>
      </c>
      <c r="I65" s="25">
        <f>I64+H65</f>
        <v/>
      </c>
      <c r="K65" s="26">
        <f>(1-Products!$D$23)^$A65</f>
        <v/>
      </c>
      <c r="L65" s="25">
        <f>IF(AND($A65&gt;=1,$A65&lt;=Products!$D$9),Products!$D$18,0)</f>
        <v/>
      </c>
      <c r="M65" s="25">
        <f>L65*Products!$D$24*K65</f>
        <v/>
      </c>
      <c r="N65" s="25">
        <f>L65-M65</f>
        <v/>
      </c>
      <c r="O65" s="25">
        <f>(1-K65)*MAX(0,Products!$D$9-$A65)*(Products!$D$18-Products!$D$20/Products!$D$9)</f>
        <v/>
      </c>
      <c r="P65" s="26">
        <f>IF($A65&lt;=Products!$D$9,K65,0)</f>
        <v/>
      </c>
      <c r="Q65" s="25">
        <f>M65*(1-Inputs!$C$23)-Inputs!$C$24*P65</f>
        <v/>
      </c>
      <c r="R65" s="25">
        <f>R64+Q65</f>
        <v/>
      </c>
      <c r="T65" s="26">
        <f>(1-Products!$E$23)^$A65</f>
        <v/>
      </c>
      <c r="U65" s="25">
        <f>IF(AND($A65&gt;=1,$A65&lt;=Products!$E$9),Products!$E$18,0)</f>
        <v/>
      </c>
      <c r="V65" s="25">
        <f>U65*Products!$E$24*T65</f>
        <v/>
      </c>
      <c r="W65" s="25">
        <f>U65-V65</f>
        <v/>
      </c>
      <c r="X65" s="25">
        <f>(1-T65)*MAX(0,Products!$E$9-$A65)*(Products!$E$18-Products!$E$20/Products!$E$9)</f>
        <v/>
      </c>
      <c r="Y65" s="26">
        <f>IF($A65&lt;=Products!$E$9,T65,0)</f>
        <v/>
      </c>
      <c r="Z65" s="25">
        <f>V65*(1-Inputs!$C$23)-Inputs!$C$24*Y65</f>
        <v/>
      </c>
      <c r="AA65" s="25">
        <f>AA64+Z65</f>
        <v/>
      </c>
    </row>
    <row r="66">
      <c r="A66" s="39" t="n">
        <v>58</v>
      </c>
      <c r="B66" s="26">
        <f>(1-Products!$C$23)^$A66</f>
        <v/>
      </c>
      <c r="C66" s="25">
        <f>IF(AND($A66&gt;=1,$A66&lt;=Products!$C$9),Products!$C$18,0)</f>
        <v/>
      </c>
      <c r="D66" s="25">
        <f>C66*Products!$C$24*B66</f>
        <v/>
      </c>
      <c r="E66" s="25">
        <f>C66-D66</f>
        <v/>
      </c>
      <c r="F66" s="25">
        <f>(1-B66)*MAX(0,Products!$C$9-$A66)*(Products!$C$18-Products!$C$20/Products!$C$9)</f>
        <v/>
      </c>
      <c r="G66" s="26">
        <f>IF($A66&lt;=Products!$C$9,B66,0)</f>
        <v/>
      </c>
      <c r="H66" s="25">
        <f>D66*(1-Inputs!$C$23)-Inputs!$C$24*G66</f>
        <v/>
      </c>
      <c r="I66" s="25">
        <f>I65+H66</f>
        <v/>
      </c>
      <c r="K66" s="26">
        <f>(1-Products!$D$23)^$A66</f>
        <v/>
      </c>
      <c r="L66" s="25">
        <f>IF(AND($A66&gt;=1,$A66&lt;=Products!$D$9),Products!$D$18,0)</f>
        <v/>
      </c>
      <c r="M66" s="25">
        <f>L66*Products!$D$24*K66</f>
        <v/>
      </c>
      <c r="N66" s="25">
        <f>L66-M66</f>
        <v/>
      </c>
      <c r="O66" s="25">
        <f>(1-K66)*MAX(0,Products!$D$9-$A66)*(Products!$D$18-Products!$D$20/Products!$D$9)</f>
        <v/>
      </c>
      <c r="P66" s="26">
        <f>IF($A66&lt;=Products!$D$9,K66,0)</f>
        <v/>
      </c>
      <c r="Q66" s="25">
        <f>M66*(1-Inputs!$C$23)-Inputs!$C$24*P66</f>
        <v/>
      </c>
      <c r="R66" s="25">
        <f>R65+Q66</f>
        <v/>
      </c>
      <c r="T66" s="26">
        <f>(1-Products!$E$23)^$A66</f>
        <v/>
      </c>
      <c r="U66" s="25">
        <f>IF(AND($A66&gt;=1,$A66&lt;=Products!$E$9),Products!$E$18,0)</f>
        <v/>
      </c>
      <c r="V66" s="25">
        <f>U66*Products!$E$24*T66</f>
        <v/>
      </c>
      <c r="W66" s="25">
        <f>U66-V66</f>
        <v/>
      </c>
      <c r="X66" s="25">
        <f>(1-T66)*MAX(0,Products!$E$9-$A66)*(Products!$E$18-Products!$E$20/Products!$E$9)</f>
        <v/>
      </c>
      <c r="Y66" s="26">
        <f>IF($A66&lt;=Products!$E$9,T66,0)</f>
        <v/>
      </c>
      <c r="Z66" s="25">
        <f>V66*(1-Inputs!$C$23)-Inputs!$C$24*Y66</f>
        <v/>
      </c>
      <c r="AA66" s="25">
        <f>AA65+Z66</f>
        <v/>
      </c>
    </row>
    <row r="67">
      <c r="A67" s="39" t="n">
        <v>59</v>
      </c>
      <c r="B67" s="26">
        <f>(1-Products!$C$23)^$A67</f>
        <v/>
      </c>
      <c r="C67" s="25">
        <f>IF(AND($A67&gt;=1,$A67&lt;=Products!$C$9),Products!$C$18,0)</f>
        <v/>
      </c>
      <c r="D67" s="25">
        <f>C67*Products!$C$24*B67</f>
        <v/>
      </c>
      <c r="E67" s="25">
        <f>C67-D67</f>
        <v/>
      </c>
      <c r="F67" s="25">
        <f>(1-B67)*MAX(0,Products!$C$9-$A67)*(Products!$C$18-Products!$C$20/Products!$C$9)</f>
        <v/>
      </c>
      <c r="G67" s="26">
        <f>IF($A67&lt;=Products!$C$9,B67,0)</f>
        <v/>
      </c>
      <c r="H67" s="25">
        <f>D67*(1-Inputs!$C$23)-Inputs!$C$24*G67</f>
        <v/>
      </c>
      <c r="I67" s="25">
        <f>I66+H67</f>
        <v/>
      </c>
      <c r="K67" s="26">
        <f>(1-Products!$D$23)^$A67</f>
        <v/>
      </c>
      <c r="L67" s="25">
        <f>IF(AND($A67&gt;=1,$A67&lt;=Products!$D$9),Products!$D$18,0)</f>
        <v/>
      </c>
      <c r="M67" s="25">
        <f>L67*Products!$D$24*K67</f>
        <v/>
      </c>
      <c r="N67" s="25">
        <f>L67-M67</f>
        <v/>
      </c>
      <c r="O67" s="25">
        <f>(1-K67)*MAX(0,Products!$D$9-$A67)*(Products!$D$18-Products!$D$20/Products!$D$9)</f>
        <v/>
      </c>
      <c r="P67" s="26">
        <f>IF($A67&lt;=Products!$D$9,K67,0)</f>
        <v/>
      </c>
      <c r="Q67" s="25">
        <f>M67*(1-Inputs!$C$23)-Inputs!$C$24*P67</f>
        <v/>
      </c>
      <c r="R67" s="25">
        <f>R66+Q67</f>
        <v/>
      </c>
      <c r="T67" s="26">
        <f>(1-Products!$E$23)^$A67</f>
        <v/>
      </c>
      <c r="U67" s="25">
        <f>IF(AND($A67&gt;=1,$A67&lt;=Products!$E$9),Products!$E$18,0)</f>
        <v/>
      </c>
      <c r="V67" s="25">
        <f>U67*Products!$E$24*T67</f>
        <v/>
      </c>
      <c r="W67" s="25">
        <f>U67-V67</f>
        <v/>
      </c>
      <c r="X67" s="25">
        <f>(1-T67)*MAX(0,Products!$E$9-$A67)*(Products!$E$18-Products!$E$20/Products!$E$9)</f>
        <v/>
      </c>
      <c r="Y67" s="26">
        <f>IF($A67&lt;=Products!$E$9,T67,0)</f>
        <v/>
      </c>
      <c r="Z67" s="25">
        <f>V67*(1-Inputs!$C$23)-Inputs!$C$24*Y67</f>
        <v/>
      </c>
      <c r="AA67" s="25">
        <f>AA66+Z67</f>
        <v/>
      </c>
    </row>
    <row r="68">
      <c r="A68" s="39" t="n">
        <v>60</v>
      </c>
      <c r="B68" s="26">
        <f>(1-Products!$C$23)^$A68</f>
        <v/>
      </c>
      <c r="C68" s="25">
        <f>IF(AND($A68&gt;=1,$A68&lt;=Products!$C$9),Products!$C$18,0)</f>
        <v/>
      </c>
      <c r="D68" s="25">
        <f>C68*Products!$C$24*B68</f>
        <v/>
      </c>
      <c r="E68" s="25">
        <f>C68-D68</f>
        <v/>
      </c>
      <c r="F68" s="25">
        <f>(1-B68)*MAX(0,Products!$C$9-$A68)*(Products!$C$18-Products!$C$20/Products!$C$9)</f>
        <v/>
      </c>
      <c r="G68" s="26">
        <f>IF($A68&lt;=Products!$C$9,B68,0)</f>
        <v/>
      </c>
      <c r="H68" s="25">
        <f>D68*(1-Inputs!$C$23)-Inputs!$C$24*G68</f>
        <v/>
      </c>
      <c r="I68" s="25">
        <f>I67+H68</f>
        <v/>
      </c>
      <c r="K68" s="26">
        <f>(1-Products!$D$23)^$A68</f>
        <v/>
      </c>
      <c r="L68" s="25">
        <f>IF(AND($A68&gt;=1,$A68&lt;=Products!$D$9),Products!$D$18,0)</f>
        <v/>
      </c>
      <c r="M68" s="25">
        <f>L68*Products!$D$24*K68</f>
        <v/>
      </c>
      <c r="N68" s="25">
        <f>L68-M68</f>
        <v/>
      </c>
      <c r="O68" s="25">
        <f>(1-K68)*MAX(0,Products!$D$9-$A68)*(Products!$D$18-Products!$D$20/Products!$D$9)</f>
        <v/>
      </c>
      <c r="P68" s="26">
        <f>IF($A68&lt;=Products!$D$9,K68,0)</f>
        <v/>
      </c>
      <c r="Q68" s="25">
        <f>M68*(1-Inputs!$C$23)-Inputs!$C$24*P68</f>
        <v/>
      </c>
      <c r="R68" s="25">
        <f>R67+Q68</f>
        <v/>
      </c>
      <c r="T68" s="26">
        <f>(1-Products!$E$23)^$A68</f>
        <v/>
      </c>
      <c r="U68" s="25">
        <f>IF(AND($A68&gt;=1,$A68&lt;=Products!$E$9),Products!$E$18,0)</f>
        <v/>
      </c>
      <c r="V68" s="25">
        <f>U68*Products!$E$24*T68</f>
        <v/>
      </c>
      <c r="W68" s="25">
        <f>U68-V68</f>
        <v/>
      </c>
      <c r="X68" s="25">
        <f>(1-T68)*MAX(0,Products!$E$9-$A68)*(Products!$E$18-Products!$E$20/Products!$E$9)</f>
        <v/>
      </c>
      <c r="Y68" s="26">
        <f>IF($A68&lt;=Products!$E$9,T68,0)</f>
        <v/>
      </c>
      <c r="Z68" s="25">
        <f>V68*(1-Inputs!$C$23)-Inputs!$C$24*Y68</f>
        <v/>
      </c>
      <c r="AA68" s="25">
        <f>AA67+Z68</f>
        <v/>
      </c>
    </row>
    <row r="69"/>
    <row r="70">
      <c r="A70" s="54" t="inlineStr">
        <is>
          <t>Totals per unit (month-1 prices)</t>
        </is>
      </c>
      <c r="C70" s="32">
        <f>SUM(C8:C68)</f>
        <v/>
      </c>
      <c r="D70" s="32">
        <f>SUM(D8:D68)</f>
        <v/>
      </c>
      <c r="E70" s="32">
        <f>SUM(E8:E68)</f>
        <v/>
      </c>
      <c r="L70" s="32">
        <f>SUM(L8:L68)</f>
        <v/>
      </c>
      <c r="M70" s="32">
        <f>SUM(M8:M68)</f>
        <v/>
      </c>
      <c r="N70" s="32">
        <f>SUM(N8:N68)</f>
        <v/>
      </c>
      <c r="U70" s="32">
        <f>SUM(U8:U68)</f>
        <v/>
      </c>
      <c r="V70" s="32">
        <f>SUM(V8:V68)</f>
        <v/>
      </c>
      <c r="W70" s="32">
        <f>SUM(W8:W68)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L195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</cols>
  <sheetData>
    <row r="1">
      <c r="A1" s="1" t="inlineStr">
        <is>
          <t>Cohort (vintage) matrix - P1 Solar lantern kit (Tier 1)</t>
        </is>
      </c>
    </row>
    <row r="2">
      <c r="A2" s="2" t="inlineStr">
        <is>
          <t>Rows = sales cohort (month of sale); columns = calendar month. Cohort size in column C.</t>
        </is>
      </c>
    </row>
    <row r="3"/>
    <row r="4">
      <c r="A4" s="40" t="inlineStr">
        <is>
          <t>Month #</t>
        </is>
      </c>
      <c r="B4" s="41" t="n"/>
      <c r="C4" s="41" t="n"/>
      <c r="D4" s="40" t="inlineStr">
        <is>
          <t>Opening</t>
        </is>
      </c>
      <c r="E4" s="42">
        <f>Timeline!E4</f>
        <v/>
      </c>
      <c r="F4" s="42">
        <f>Timeline!F4</f>
        <v/>
      </c>
      <c r="G4" s="42">
        <f>Timeline!G4</f>
        <v/>
      </c>
      <c r="H4" s="42">
        <f>Timeline!H4</f>
        <v/>
      </c>
      <c r="I4" s="42">
        <f>Timeline!I4</f>
        <v/>
      </c>
      <c r="J4" s="42">
        <f>Timeline!J4</f>
        <v/>
      </c>
      <c r="K4" s="42">
        <f>Timeline!K4</f>
        <v/>
      </c>
      <c r="L4" s="42">
        <f>Timeline!L4</f>
        <v/>
      </c>
      <c r="M4" s="42">
        <f>Timeline!M4</f>
        <v/>
      </c>
      <c r="N4" s="42">
        <f>Timeline!N4</f>
        <v/>
      </c>
      <c r="O4" s="42">
        <f>Timeline!O4</f>
        <v/>
      </c>
      <c r="P4" s="42">
        <f>Timeline!P4</f>
        <v/>
      </c>
      <c r="Q4" s="42">
        <f>Timeline!Q4</f>
        <v/>
      </c>
      <c r="R4" s="42">
        <f>Timeline!R4</f>
        <v/>
      </c>
      <c r="S4" s="42">
        <f>Timeline!S4</f>
        <v/>
      </c>
      <c r="T4" s="42">
        <f>Timeline!T4</f>
        <v/>
      </c>
      <c r="U4" s="42">
        <f>Timeline!U4</f>
        <v/>
      </c>
      <c r="V4" s="42">
        <f>Timeline!V4</f>
        <v/>
      </c>
      <c r="W4" s="42">
        <f>Timeline!W4</f>
        <v/>
      </c>
      <c r="X4" s="42">
        <f>Timeline!X4</f>
        <v/>
      </c>
      <c r="Y4" s="42">
        <f>Timeline!Y4</f>
        <v/>
      </c>
      <c r="Z4" s="42">
        <f>Timeline!Z4</f>
        <v/>
      </c>
      <c r="AA4" s="42">
        <f>Timeline!AA4</f>
        <v/>
      </c>
      <c r="AB4" s="42">
        <f>Timeline!AB4</f>
        <v/>
      </c>
      <c r="AC4" s="42">
        <f>Timeline!AC4</f>
        <v/>
      </c>
      <c r="AD4" s="42">
        <f>Timeline!AD4</f>
        <v/>
      </c>
      <c r="AE4" s="42">
        <f>Timeline!AE4</f>
        <v/>
      </c>
      <c r="AF4" s="42">
        <f>Timeline!AF4</f>
        <v/>
      </c>
      <c r="AG4" s="42">
        <f>Timeline!AG4</f>
        <v/>
      </c>
      <c r="AH4" s="42">
        <f>Timeline!AH4</f>
        <v/>
      </c>
      <c r="AI4" s="42">
        <f>Timeline!AI4</f>
        <v/>
      </c>
      <c r="AJ4" s="42">
        <f>Timeline!AJ4</f>
        <v/>
      </c>
      <c r="AK4" s="42">
        <f>Timeline!AK4</f>
        <v/>
      </c>
      <c r="AL4" s="42">
        <f>Timeline!AL4</f>
        <v/>
      </c>
      <c r="AM4" s="42">
        <f>Timeline!AM4</f>
        <v/>
      </c>
      <c r="AN4" s="42">
        <f>Timeline!AN4</f>
        <v/>
      </c>
      <c r="AO4" s="42">
        <f>Timeline!AO4</f>
        <v/>
      </c>
      <c r="AP4" s="42">
        <f>Timeline!AP4</f>
        <v/>
      </c>
      <c r="AQ4" s="42">
        <f>Timeline!AQ4</f>
        <v/>
      </c>
      <c r="AR4" s="42">
        <f>Timeline!AR4</f>
        <v/>
      </c>
      <c r="AS4" s="42">
        <f>Timeline!AS4</f>
        <v/>
      </c>
      <c r="AT4" s="42">
        <f>Timeline!AT4</f>
        <v/>
      </c>
      <c r="AU4" s="42">
        <f>Timeline!AU4</f>
        <v/>
      </c>
      <c r="AV4" s="42">
        <f>Timeline!AV4</f>
        <v/>
      </c>
      <c r="AW4" s="42">
        <f>Timeline!AW4</f>
        <v/>
      </c>
      <c r="AX4" s="42">
        <f>Timeline!AX4</f>
        <v/>
      </c>
      <c r="AY4" s="42">
        <f>Timeline!AY4</f>
        <v/>
      </c>
      <c r="AZ4" s="42">
        <f>Timeline!AZ4</f>
        <v/>
      </c>
      <c r="BA4" s="42">
        <f>Timeline!BA4</f>
        <v/>
      </c>
      <c r="BB4" s="42">
        <f>Timeline!BB4</f>
        <v/>
      </c>
      <c r="BC4" s="42">
        <f>Timeline!BC4</f>
        <v/>
      </c>
      <c r="BD4" s="42">
        <f>Timeline!BD4</f>
        <v/>
      </c>
      <c r="BE4" s="42">
        <f>Timeline!BE4</f>
        <v/>
      </c>
      <c r="BF4" s="42">
        <f>Timeline!BF4</f>
        <v/>
      </c>
      <c r="BG4" s="42">
        <f>Timeline!BG4</f>
        <v/>
      </c>
      <c r="BH4" s="42">
        <f>Timeline!BH4</f>
        <v/>
      </c>
      <c r="BI4" s="42">
        <f>Timeline!BI4</f>
        <v/>
      </c>
      <c r="BJ4" s="42">
        <f>Timeline!BJ4</f>
        <v/>
      </c>
      <c r="BK4" s="42">
        <f>Timeline!BK4</f>
        <v/>
      </c>
      <c r="BL4" s="42">
        <f>Timeline!BL4</f>
        <v/>
      </c>
    </row>
    <row r="5">
      <c r="A5" s="40" t="inlineStr">
        <is>
          <t>Period end</t>
        </is>
      </c>
      <c r="B5" s="41" t="n"/>
      <c r="C5" s="41" t="n"/>
      <c r="D5" s="40" t="n"/>
      <c r="E5" s="43">
        <f>Timeline!E5</f>
        <v/>
      </c>
      <c r="F5" s="43">
        <f>Timeline!F5</f>
        <v/>
      </c>
      <c r="G5" s="43">
        <f>Timeline!G5</f>
        <v/>
      </c>
      <c r="H5" s="43">
        <f>Timeline!H5</f>
        <v/>
      </c>
      <c r="I5" s="43">
        <f>Timeline!I5</f>
        <v/>
      </c>
      <c r="J5" s="43">
        <f>Timeline!J5</f>
        <v/>
      </c>
      <c r="K5" s="43">
        <f>Timeline!K5</f>
        <v/>
      </c>
      <c r="L5" s="43">
        <f>Timeline!L5</f>
        <v/>
      </c>
      <c r="M5" s="43">
        <f>Timeline!M5</f>
        <v/>
      </c>
      <c r="N5" s="43">
        <f>Timeline!N5</f>
        <v/>
      </c>
      <c r="O5" s="43">
        <f>Timeline!O5</f>
        <v/>
      </c>
      <c r="P5" s="43">
        <f>Timeline!P5</f>
        <v/>
      </c>
      <c r="Q5" s="43">
        <f>Timeline!Q5</f>
        <v/>
      </c>
      <c r="R5" s="43">
        <f>Timeline!R5</f>
        <v/>
      </c>
      <c r="S5" s="43">
        <f>Timeline!S5</f>
        <v/>
      </c>
      <c r="T5" s="43">
        <f>Timeline!T5</f>
        <v/>
      </c>
      <c r="U5" s="43">
        <f>Timeline!U5</f>
        <v/>
      </c>
      <c r="V5" s="43">
        <f>Timeline!V5</f>
        <v/>
      </c>
      <c r="W5" s="43">
        <f>Timeline!W5</f>
        <v/>
      </c>
      <c r="X5" s="43">
        <f>Timeline!X5</f>
        <v/>
      </c>
      <c r="Y5" s="43">
        <f>Timeline!Y5</f>
        <v/>
      </c>
      <c r="Z5" s="43">
        <f>Timeline!Z5</f>
        <v/>
      </c>
      <c r="AA5" s="43">
        <f>Timeline!AA5</f>
        <v/>
      </c>
      <c r="AB5" s="43">
        <f>Timeline!AB5</f>
        <v/>
      </c>
      <c r="AC5" s="43">
        <f>Timeline!AC5</f>
        <v/>
      </c>
      <c r="AD5" s="43">
        <f>Timeline!AD5</f>
        <v/>
      </c>
      <c r="AE5" s="43">
        <f>Timeline!AE5</f>
        <v/>
      </c>
      <c r="AF5" s="43">
        <f>Timeline!AF5</f>
        <v/>
      </c>
      <c r="AG5" s="43">
        <f>Timeline!AG5</f>
        <v/>
      </c>
      <c r="AH5" s="43">
        <f>Timeline!AH5</f>
        <v/>
      </c>
      <c r="AI5" s="43">
        <f>Timeline!AI5</f>
        <v/>
      </c>
      <c r="AJ5" s="43">
        <f>Timeline!AJ5</f>
        <v/>
      </c>
      <c r="AK5" s="43">
        <f>Timeline!AK5</f>
        <v/>
      </c>
      <c r="AL5" s="43">
        <f>Timeline!AL5</f>
        <v/>
      </c>
      <c r="AM5" s="43">
        <f>Timeline!AM5</f>
        <v/>
      </c>
      <c r="AN5" s="43">
        <f>Timeline!AN5</f>
        <v/>
      </c>
      <c r="AO5" s="43">
        <f>Timeline!AO5</f>
        <v/>
      </c>
      <c r="AP5" s="43">
        <f>Timeline!AP5</f>
        <v/>
      </c>
      <c r="AQ5" s="43">
        <f>Timeline!AQ5</f>
        <v/>
      </c>
      <c r="AR5" s="43">
        <f>Timeline!AR5</f>
        <v/>
      </c>
      <c r="AS5" s="43">
        <f>Timeline!AS5</f>
        <v/>
      </c>
      <c r="AT5" s="43">
        <f>Timeline!AT5</f>
        <v/>
      </c>
      <c r="AU5" s="43">
        <f>Timeline!AU5</f>
        <v/>
      </c>
      <c r="AV5" s="43">
        <f>Timeline!AV5</f>
        <v/>
      </c>
      <c r="AW5" s="43">
        <f>Timeline!AW5</f>
        <v/>
      </c>
      <c r="AX5" s="43">
        <f>Timeline!AX5</f>
        <v/>
      </c>
      <c r="AY5" s="43">
        <f>Timeline!AY5</f>
        <v/>
      </c>
      <c r="AZ5" s="43">
        <f>Timeline!AZ5</f>
        <v/>
      </c>
      <c r="BA5" s="43">
        <f>Timeline!BA5</f>
        <v/>
      </c>
      <c r="BB5" s="43">
        <f>Timeline!BB5</f>
        <v/>
      </c>
      <c r="BC5" s="43">
        <f>Timeline!BC5</f>
        <v/>
      </c>
      <c r="BD5" s="43">
        <f>Timeline!BD5</f>
        <v/>
      </c>
      <c r="BE5" s="43">
        <f>Timeline!BE5</f>
        <v/>
      </c>
      <c r="BF5" s="43">
        <f>Timeline!BF5</f>
        <v/>
      </c>
      <c r="BG5" s="43">
        <f>Timeline!BG5</f>
        <v/>
      </c>
      <c r="BH5" s="43">
        <f>Timeline!BH5</f>
        <v/>
      </c>
      <c r="BI5" s="43">
        <f>Timeline!BI5</f>
        <v/>
      </c>
      <c r="BJ5" s="43">
        <f>Timeline!BJ5</f>
        <v/>
      </c>
      <c r="BK5" s="43">
        <f>Timeline!BK5</f>
        <v/>
      </c>
      <c r="BL5" s="43">
        <f>Timeline!BL5</f>
        <v/>
      </c>
    </row>
    <row r="6">
      <c r="A6" s="40" t="inlineStr">
        <is>
          <t>Year #</t>
        </is>
      </c>
      <c r="B6" s="41" t="n"/>
      <c r="C6" s="41" t="n"/>
      <c r="D6" s="40" t="n"/>
      <c r="E6" s="42">
        <f>Timeline!E6</f>
        <v/>
      </c>
      <c r="F6" s="42">
        <f>Timeline!F6</f>
        <v/>
      </c>
      <c r="G6" s="42">
        <f>Timeline!G6</f>
        <v/>
      </c>
      <c r="H6" s="42">
        <f>Timeline!H6</f>
        <v/>
      </c>
      <c r="I6" s="42">
        <f>Timeline!I6</f>
        <v/>
      </c>
      <c r="J6" s="42">
        <f>Timeline!J6</f>
        <v/>
      </c>
      <c r="K6" s="42">
        <f>Timeline!K6</f>
        <v/>
      </c>
      <c r="L6" s="42">
        <f>Timeline!L6</f>
        <v/>
      </c>
      <c r="M6" s="42">
        <f>Timeline!M6</f>
        <v/>
      </c>
      <c r="N6" s="42">
        <f>Timeline!N6</f>
        <v/>
      </c>
      <c r="O6" s="42">
        <f>Timeline!O6</f>
        <v/>
      </c>
      <c r="P6" s="42">
        <f>Timeline!P6</f>
        <v/>
      </c>
      <c r="Q6" s="42">
        <f>Timeline!Q6</f>
        <v/>
      </c>
      <c r="R6" s="42">
        <f>Timeline!R6</f>
        <v/>
      </c>
      <c r="S6" s="42">
        <f>Timeline!S6</f>
        <v/>
      </c>
      <c r="T6" s="42">
        <f>Timeline!T6</f>
        <v/>
      </c>
      <c r="U6" s="42">
        <f>Timeline!U6</f>
        <v/>
      </c>
      <c r="V6" s="42">
        <f>Timeline!V6</f>
        <v/>
      </c>
      <c r="W6" s="42">
        <f>Timeline!W6</f>
        <v/>
      </c>
      <c r="X6" s="42">
        <f>Timeline!X6</f>
        <v/>
      </c>
      <c r="Y6" s="42">
        <f>Timeline!Y6</f>
        <v/>
      </c>
      <c r="Z6" s="42">
        <f>Timeline!Z6</f>
        <v/>
      </c>
      <c r="AA6" s="42">
        <f>Timeline!AA6</f>
        <v/>
      </c>
      <c r="AB6" s="42">
        <f>Timeline!AB6</f>
        <v/>
      </c>
      <c r="AC6" s="42">
        <f>Timeline!AC6</f>
        <v/>
      </c>
      <c r="AD6" s="42">
        <f>Timeline!AD6</f>
        <v/>
      </c>
      <c r="AE6" s="42">
        <f>Timeline!AE6</f>
        <v/>
      </c>
      <c r="AF6" s="42">
        <f>Timeline!AF6</f>
        <v/>
      </c>
      <c r="AG6" s="42">
        <f>Timeline!AG6</f>
        <v/>
      </c>
      <c r="AH6" s="42">
        <f>Timeline!AH6</f>
        <v/>
      </c>
      <c r="AI6" s="42">
        <f>Timeline!AI6</f>
        <v/>
      </c>
      <c r="AJ6" s="42">
        <f>Timeline!AJ6</f>
        <v/>
      </c>
      <c r="AK6" s="42">
        <f>Timeline!AK6</f>
        <v/>
      </c>
      <c r="AL6" s="42">
        <f>Timeline!AL6</f>
        <v/>
      </c>
      <c r="AM6" s="42">
        <f>Timeline!AM6</f>
        <v/>
      </c>
      <c r="AN6" s="42">
        <f>Timeline!AN6</f>
        <v/>
      </c>
      <c r="AO6" s="42">
        <f>Timeline!AO6</f>
        <v/>
      </c>
      <c r="AP6" s="42">
        <f>Timeline!AP6</f>
        <v/>
      </c>
      <c r="AQ6" s="42">
        <f>Timeline!AQ6</f>
        <v/>
      </c>
      <c r="AR6" s="42">
        <f>Timeline!AR6</f>
        <v/>
      </c>
      <c r="AS6" s="42">
        <f>Timeline!AS6</f>
        <v/>
      </c>
      <c r="AT6" s="42">
        <f>Timeline!AT6</f>
        <v/>
      </c>
      <c r="AU6" s="42">
        <f>Timeline!AU6</f>
        <v/>
      </c>
      <c r="AV6" s="42">
        <f>Timeline!AV6</f>
        <v/>
      </c>
      <c r="AW6" s="42">
        <f>Timeline!AW6</f>
        <v/>
      </c>
      <c r="AX6" s="42">
        <f>Timeline!AX6</f>
        <v/>
      </c>
      <c r="AY6" s="42">
        <f>Timeline!AY6</f>
        <v/>
      </c>
      <c r="AZ6" s="42">
        <f>Timeline!AZ6</f>
        <v/>
      </c>
      <c r="BA6" s="42">
        <f>Timeline!BA6</f>
        <v/>
      </c>
      <c r="BB6" s="42">
        <f>Timeline!BB6</f>
        <v/>
      </c>
      <c r="BC6" s="42">
        <f>Timeline!BC6</f>
        <v/>
      </c>
      <c r="BD6" s="42">
        <f>Timeline!BD6</f>
        <v/>
      </c>
      <c r="BE6" s="42">
        <f>Timeline!BE6</f>
        <v/>
      </c>
      <c r="BF6" s="42">
        <f>Timeline!BF6</f>
        <v/>
      </c>
      <c r="BG6" s="42">
        <f>Timeline!BG6</f>
        <v/>
      </c>
      <c r="BH6" s="42">
        <f>Timeline!BH6</f>
        <v/>
      </c>
      <c r="BI6" s="42">
        <f>Timeline!BI6</f>
        <v/>
      </c>
      <c r="BJ6" s="42">
        <f>Timeline!BJ6</f>
        <v/>
      </c>
      <c r="BK6" s="42">
        <f>Timeline!BK6</f>
        <v/>
      </c>
      <c r="BL6" s="42">
        <f>Timeline!BL6</f>
        <v/>
      </c>
    </row>
    <row r="7"/>
    <row r="8">
      <c r="A8" s="11" t="inlineStr">
        <is>
          <t>Instalments collected by cohort (LCY)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  <c r="BJ8" s="12" t="n"/>
      <c r="BK8" s="12" t="n"/>
      <c r="BL8" s="12" t="n"/>
    </row>
    <row r="9">
      <c r="A9" s="47" t="inlineStr">
        <is>
          <t>Total</t>
        </is>
      </c>
      <c r="B9" s="48" t="inlineStr"/>
      <c r="C9" s="50" t="n"/>
      <c r="D9" s="50" t="n"/>
      <c r="E9" s="51">
        <f>SUM(E10:E69)</f>
        <v/>
      </c>
      <c r="F9" s="51">
        <f>SUM(F10:F69)</f>
        <v/>
      </c>
      <c r="G9" s="51">
        <f>SUM(G10:G69)</f>
        <v/>
      </c>
      <c r="H9" s="51">
        <f>SUM(H10:H69)</f>
        <v/>
      </c>
      <c r="I9" s="51">
        <f>SUM(I10:I69)</f>
        <v/>
      </c>
      <c r="J9" s="51">
        <f>SUM(J10:J69)</f>
        <v/>
      </c>
      <c r="K9" s="51">
        <f>SUM(K10:K69)</f>
        <v/>
      </c>
      <c r="L9" s="51">
        <f>SUM(L10:L69)</f>
        <v/>
      </c>
      <c r="M9" s="51">
        <f>SUM(M10:M69)</f>
        <v/>
      </c>
      <c r="N9" s="51">
        <f>SUM(N10:N69)</f>
        <v/>
      </c>
      <c r="O9" s="51">
        <f>SUM(O10:O69)</f>
        <v/>
      </c>
      <c r="P9" s="51">
        <f>SUM(P10:P69)</f>
        <v/>
      </c>
      <c r="Q9" s="51">
        <f>SUM(Q10:Q69)</f>
        <v/>
      </c>
      <c r="R9" s="51">
        <f>SUM(R10:R69)</f>
        <v/>
      </c>
      <c r="S9" s="51">
        <f>SUM(S10:S69)</f>
        <v/>
      </c>
      <c r="T9" s="51">
        <f>SUM(T10:T69)</f>
        <v/>
      </c>
      <c r="U9" s="51">
        <f>SUM(U10:U69)</f>
        <v/>
      </c>
      <c r="V9" s="51">
        <f>SUM(V10:V69)</f>
        <v/>
      </c>
      <c r="W9" s="51">
        <f>SUM(W10:W69)</f>
        <v/>
      </c>
      <c r="X9" s="51">
        <f>SUM(X10:X69)</f>
        <v/>
      </c>
      <c r="Y9" s="51">
        <f>SUM(Y10:Y69)</f>
        <v/>
      </c>
      <c r="Z9" s="51">
        <f>SUM(Z10:Z69)</f>
        <v/>
      </c>
      <c r="AA9" s="51">
        <f>SUM(AA10:AA69)</f>
        <v/>
      </c>
      <c r="AB9" s="51">
        <f>SUM(AB10:AB69)</f>
        <v/>
      </c>
      <c r="AC9" s="51">
        <f>SUM(AC10:AC69)</f>
        <v/>
      </c>
      <c r="AD9" s="51">
        <f>SUM(AD10:AD69)</f>
        <v/>
      </c>
      <c r="AE9" s="51">
        <f>SUM(AE10:AE69)</f>
        <v/>
      </c>
      <c r="AF9" s="51">
        <f>SUM(AF10:AF69)</f>
        <v/>
      </c>
      <c r="AG9" s="51">
        <f>SUM(AG10:AG69)</f>
        <v/>
      </c>
      <c r="AH9" s="51">
        <f>SUM(AH10:AH69)</f>
        <v/>
      </c>
      <c r="AI9" s="51">
        <f>SUM(AI10:AI69)</f>
        <v/>
      </c>
      <c r="AJ9" s="51">
        <f>SUM(AJ10:AJ69)</f>
        <v/>
      </c>
      <c r="AK9" s="51">
        <f>SUM(AK10:AK69)</f>
        <v/>
      </c>
      <c r="AL9" s="51">
        <f>SUM(AL10:AL69)</f>
        <v/>
      </c>
      <c r="AM9" s="51">
        <f>SUM(AM10:AM69)</f>
        <v/>
      </c>
      <c r="AN9" s="51">
        <f>SUM(AN10:AN69)</f>
        <v/>
      </c>
      <c r="AO9" s="51">
        <f>SUM(AO10:AO69)</f>
        <v/>
      </c>
      <c r="AP9" s="51">
        <f>SUM(AP10:AP69)</f>
        <v/>
      </c>
      <c r="AQ9" s="51">
        <f>SUM(AQ10:AQ69)</f>
        <v/>
      </c>
      <c r="AR9" s="51">
        <f>SUM(AR10:AR69)</f>
        <v/>
      </c>
      <c r="AS9" s="51">
        <f>SUM(AS10:AS69)</f>
        <v/>
      </c>
      <c r="AT9" s="51">
        <f>SUM(AT10:AT69)</f>
        <v/>
      </c>
      <c r="AU9" s="51">
        <f>SUM(AU10:AU69)</f>
        <v/>
      </c>
      <c r="AV9" s="51">
        <f>SUM(AV10:AV69)</f>
        <v/>
      </c>
      <c r="AW9" s="51">
        <f>SUM(AW10:AW69)</f>
        <v/>
      </c>
      <c r="AX9" s="51">
        <f>SUM(AX10:AX69)</f>
        <v/>
      </c>
      <c r="AY9" s="51">
        <f>SUM(AY10:AY69)</f>
        <v/>
      </c>
      <c r="AZ9" s="51">
        <f>SUM(AZ10:AZ69)</f>
        <v/>
      </c>
      <c r="BA9" s="51">
        <f>SUM(BA10:BA69)</f>
        <v/>
      </c>
      <c r="BB9" s="51">
        <f>SUM(BB10:BB69)</f>
        <v/>
      </c>
      <c r="BC9" s="51">
        <f>SUM(BC10:BC69)</f>
        <v/>
      </c>
      <c r="BD9" s="51">
        <f>SUM(BD10:BD69)</f>
        <v/>
      </c>
      <c r="BE9" s="51">
        <f>SUM(BE10:BE69)</f>
        <v/>
      </c>
      <c r="BF9" s="51">
        <f>SUM(BF10:BF69)</f>
        <v/>
      </c>
      <c r="BG9" s="51">
        <f>SUM(BG10:BG69)</f>
        <v/>
      </c>
      <c r="BH9" s="51">
        <f>SUM(BH10:BH69)</f>
        <v/>
      </c>
      <c r="BI9" s="51">
        <f>SUM(BI10:BI69)</f>
        <v/>
      </c>
      <c r="BJ9" s="51">
        <f>SUM(BJ10:BJ69)</f>
        <v/>
      </c>
      <c r="BK9" s="51">
        <f>SUM(BK10:BK69)</f>
        <v/>
      </c>
      <c r="BL9" s="51">
        <f>SUM(BL10:BL69)</f>
        <v/>
      </c>
    </row>
    <row r="10">
      <c r="A10" s="55" t="inlineStr">
        <is>
          <t>Cohort month 1</t>
        </is>
      </c>
      <c r="B10" s="55" t="n">
        <v>1</v>
      </c>
      <c r="C10" s="46">
        <f>INDEX(Ops!$E$10:$BL$10,1,$B10)</f>
        <v/>
      </c>
      <c r="F10" s="56">
        <f>$C10*INDEX(Curves!$D$8:$D$68,F$4-$B10+1)</f>
        <v/>
      </c>
      <c r="G10" s="56">
        <f>$C10*INDEX(Curves!$D$8:$D$68,G$4-$B10+1)</f>
        <v/>
      </c>
      <c r="H10" s="56">
        <f>$C10*INDEX(Curves!$D$8:$D$68,H$4-$B10+1)</f>
        <v/>
      </c>
      <c r="I10" s="56">
        <f>$C10*INDEX(Curves!$D$8:$D$68,I$4-$B10+1)</f>
        <v/>
      </c>
      <c r="J10" s="56">
        <f>$C10*INDEX(Curves!$D$8:$D$68,J$4-$B10+1)</f>
        <v/>
      </c>
      <c r="K10" s="56">
        <f>$C10*INDEX(Curves!$D$8:$D$68,K$4-$B10+1)</f>
        <v/>
      </c>
      <c r="L10" s="56">
        <f>$C10*INDEX(Curves!$D$8:$D$68,L$4-$B10+1)</f>
        <v/>
      </c>
      <c r="M10" s="56">
        <f>$C10*INDEX(Curves!$D$8:$D$68,M$4-$B10+1)</f>
        <v/>
      </c>
      <c r="N10" s="56">
        <f>$C10*INDEX(Curves!$D$8:$D$68,N$4-$B10+1)</f>
        <v/>
      </c>
      <c r="O10" s="56">
        <f>$C10*INDEX(Curves!$D$8:$D$68,O$4-$B10+1)</f>
        <v/>
      </c>
      <c r="P10" s="56">
        <f>$C10*INDEX(Curves!$D$8:$D$68,P$4-$B10+1)</f>
        <v/>
      </c>
      <c r="Q10" s="56">
        <f>$C10*INDEX(Curves!$D$8:$D$68,Q$4-$B10+1)</f>
        <v/>
      </c>
      <c r="R10" s="56">
        <f>$C10*INDEX(Curves!$D$8:$D$68,R$4-$B10+1)</f>
        <v/>
      </c>
      <c r="S10" s="56">
        <f>$C10*INDEX(Curves!$D$8:$D$68,S$4-$B10+1)</f>
        <v/>
      </c>
      <c r="T10" s="56">
        <f>$C10*INDEX(Curves!$D$8:$D$68,T$4-$B10+1)</f>
        <v/>
      </c>
      <c r="U10" s="56">
        <f>$C10*INDEX(Curves!$D$8:$D$68,U$4-$B10+1)</f>
        <v/>
      </c>
      <c r="V10" s="56">
        <f>$C10*INDEX(Curves!$D$8:$D$68,V$4-$B10+1)</f>
        <v/>
      </c>
      <c r="W10" s="56">
        <f>$C10*INDEX(Curves!$D$8:$D$68,W$4-$B10+1)</f>
        <v/>
      </c>
      <c r="X10" s="56">
        <f>$C10*INDEX(Curves!$D$8:$D$68,X$4-$B10+1)</f>
        <v/>
      </c>
      <c r="Y10" s="56">
        <f>$C10*INDEX(Curves!$D$8:$D$68,Y$4-$B10+1)</f>
        <v/>
      </c>
      <c r="Z10" s="56">
        <f>$C10*INDEX(Curves!$D$8:$D$68,Z$4-$B10+1)</f>
        <v/>
      </c>
      <c r="AA10" s="56">
        <f>$C10*INDEX(Curves!$D$8:$D$68,AA$4-$B10+1)</f>
        <v/>
      </c>
      <c r="AB10" s="56">
        <f>$C10*INDEX(Curves!$D$8:$D$68,AB$4-$B10+1)</f>
        <v/>
      </c>
      <c r="AC10" s="56">
        <f>$C10*INDEX(Curves!$D$8:$D$68,AC$4-$B10+1)</f>
        <v/>
      </c>
      <c r="AD10" s="56">
        <f>$C10*INDEX(Curves!$D$8:$D$68,AD$4-$B10+1)</f>
        <v/>
      </c>
      <c r="AE10" s="56">
        <f>$C10*INDEX(Curves!$D$8:$D$68,AE$4-$B10+1)</f>
        <v/>
      </c>
      <c r="AF10" s="56">
        <f>$C10*INDEX(Curves!$D$8:$D$68,AF$4-$B10+1)</f>
        <v/>
      </c>
      <c r="AG10" s="56">
        <f>$C10*INDEX(Curves!$D$8:$D$68,AG$4-$B10+1)</f>
        <v/>
      </c>
      <c r="AH10" s="56">
        <f>$C10*INDEX(Curves!$D$8:$D$68,AH$4-$B10+1)</f>
        <v/>
      </c>
      <c r="AI10" s="56">
        <f>$C10*INDEX(Curves!$D$8:$D$68,AI$4-$B10+1)</f>
        <v/>
      </c>
      <c r="AJ10" s="56">
        <f>$C10*INDEX(Curves!$D$8:$D$68,AJ$4-$B10+1)</f>
        <v/>
      </c>
      <c r="AK10" s="56">
        <f>$C10*INDEX(Curves!$D$8:$D$68,AK$4-$B10+1)</f>
        <v/>
      </c>
      <c r="AL10" s="56">
        <f>$C10*INDEX(Curves!$D$8:$D$68,AL$4-$B10+1)</f>
        <v/>
      </c>
      <c r="AM10" s="56">
        <f>$C10*INDEX(Curves!$D$8:$D$68,AM$4-$B10+1)</f>
        <v/>
      </c>
      <c r="AN10" s="56">
        <f>$C10*INDEX(Curves!$D$8:$D$68,AN$4-$B10+1)</f>
        <v/>
      </c>
      <c r="AO10" s="56">
        <f>$C10*INDEX(Curves!$D$8:$D$68,AO$4-$B10+1)</f>
        <v/>
      </c>
      <c r="AP10" s="56">
        <f>$C10*INDEX(Curves!$D$8:$D$68,AP$4-$B10+1)</f>
        <v/>
      </c>
      <c r="AQ10" s="56">
        <f>$C10*INDEX(Curves!$D$8:$D$68,AQ$4-$B10+1)</f>
        <v/>
      </c>
      <c r="AR10" s="56">
        <f>$C10*INDEX(Curves!$D$8:$D$68,AR$4-$B10+1)</f>
        <v/>
      </c>
      <c r="AS10" s="56">
        <f>$C10*INDEX(Curves!$D$8:$D$68,AS$4-$B10+1)</f>
        <v/>
      </c>
      <c r="AT10" s="56">
        <f>$C10*INDEX(Curves!$D$8:$D$68,AT$4-$B10+1)</f>
        <v/>
      </c>
      <c r="AU10" s="56">
        <f>$C10*INDEX(Curves!$D$8:$D$68,AU$4-$B10+1)</f>
        <v/>
      </c>
      <c r="AV10" s="56">
        <f>$C10*INDEX(Curves!$D$8:$D$68,AV$4-$B10+1)</f>
        <v/>
      </c>
      <c r="AW10" s="56">
        <f>$C10*INDEX(Curves!$D$8:$D$68,AW$4-$B10+1)</f>
        <v/>
      </c>
      <c r="AX10" s="56">
        <f>$C10*INDEX(Curves!$D$8:$D$68,AX$4-$B10+1)</f>
        <v/>
      </c>
      <c r="AY10" s="56">
        <f>$C10*INDEX(Curves!$D$8:$D$68,AY$4-$B10+1)</f>
        <v/>
      </c>
      <c r="AZ10" s="56">
        <f>$C10*INDEX(Curves!$D$8:$D$68,AZ$4-$B10+1)</f>
        <v/>
      </c>
      <c r="BA10" s="56">
        <f>$C10*INDEX(Curves!$D$8:$D$68,BA$4-$B10+1)</f>
        <v/>
      </c>
      <c r="BB10" s="56">
        <f>$C10*INDEX(Curves!$D$8:$D$68,BB$4-$B10+1)</f>
        <v/>
      </c>
      <c r="BC10" s="56">
        <f>$C10*INDEX(Curves!$D$8:$D$68,BC$4-$B10+1)</f>
        <v/>
      </c>
      <c r="BD10" s="56">
        <f>$C10*INDEX(Curves!$D$8:$D$68,BD$4-$B10+1)</f>
        <v/>
      </c>
      <c r="BE10" s="56">
        <f>$C10*INDEX(Curves!$D$8:$D$68,BE$4-$B10+1)</f>
        <v/>
      </c>
      <c r="BF10" s="56">
        <f>$C10*INDEX(Curves!$D$8:$D$68,BF$4-$B10+1)</f>
        <v/>
      </c>
      <c r="BG10" s="56">
        <f>$C10*INDEX(Curves!$D$8:$D$68,BG$4-$B10+1)</f>
        <v/>
      </c>
      <c r="BH10" s="56">
        <f>$C10*INDEX(Curves!$D$8:$D$68,BH$4-$B10+1)</f>
        <v/>
      </c>
      <c r="BI10" s="56">
        <f>$C10*INDEX(Curves!$D$8:$D$68,BI$4-$B10+1)</f>
        <v/>
      </c>
      <c r="BJ10" s="56">
        <f>$C10*INDEX(Curves!$D$8:$D$68,BJ$4-$B10+1)</f>
        <v/>
      </c>
      <c r="BK10" s="56">
        <f>$C10*INDEX(Curves!$D$8:$D$68,BK$4-$B10+1)</f>
        <v/>
      </c>
      <c r="BL10" s="56">
        <f>$C10*INDEX(Curves!$D$8:$D$68,BL$4-$B10+1)</f>
        <v/>
      </c>
    </row>
    <row r="11">
      <c r="A11" s="55" t="inlineStr">
        <is>
          <t>Cohort month 2</t>
        </is>
      </c>
      <c r="B11" s="55" t="n">
        <v>2</v>
      </c>
      <c r="C11" s="46">
        <f>INDEX(Ops!$E$10:$BL$10,1,$B11)</f>
        <v/>
      </c>
      <c r="G11" s="56">
        <f>$C11*INDEX(Curves!$D$8:$D$68,G$4-$B11+1)</f>
        <v/>
      </c>
      <c r="H11" s="56">
        <f>$C11*INDEX(Curves!$D$8:$D$68,H$4-$B11+1)</f>
        <v/>
      </c>
      <c r="I11" s="56">
        <f>$C11*INDEX(Curves!$D$8:$D$68,I$4-$B11+1)</f>
        <v/>
      </c>
      <c r="J11" s="56">
        <f>$C11*INDEX(Curves!$D$8:$D$68,J$4-$B11+1)</f>
        <v/>
      </c>
      <c r="K11" s="56">
        <f>$C11*INDEX(Curves!$D$8:$D$68,K$4-$B11+1)</f>
        <v/>
      </c>
      <c r="L11" s="56">
        <f>$C11*INDEX(Curves!$D$8:$D$68,L$4-$B11+1)</f>
        <v/>
      </c>
      <c r="M11" s="56">
        <f>$C11*INDEX(Curves!$D$8:$D$68,M$4-$B11+1)</f>
        <v/>
      </c>
      <c r="N11" s="56">
        <f>$C11*INDEX(Curves!$D$8:$D$68,N$4-$B11+1)</f>
        <v/>
      </c>
      <c r="O11" s="56">
        <f>$C11*INDEX(Curves!$D$8:$D$68,O$4-$B11+1)</f>
        <v/>
      </c>
      <c r="P11" s="56">
        <f>$C11*INDEX(Curves!$D$8:$D$68,P$4-$B11+1)</f>
        <v/>
      </c>
      <c r="Q11" s="56">
        <f>$C11*INDEX(Curves!$D$8:$D$68,Q$4-$B11+1)</f>
        <v/>
      </c>
      <c r="R11" s="56">
        <f>$C11*INDEX(Curves!$D$8:$D$68,R$4-$B11+1)</f>
        <v/>
      </c>
      <c r="S11" s="56">
        <f>$C11*INDEX(Curves!$D$8:$D$68,S$4-$B11+1)</f>
        <v/>
      </c>
      <c r="T11" s="56">
        <f>$C11*INDEX(Curves!$D$8:$D$68,T$4-$B11+1)</f>
        <v/>
      </c>
      <c r="U11" s="56">
        <f>$C11*INDEX(Curves!$D$8:$D$68,U$4-$B11+1)</f>
        <v/>
      </c>
      <c r="V11" s="56">
        <f>$C11*INDEX(Curves!$D$8:$D$68,V$4-$B11+1)</f>
        <v/>
      </c>
      <c r="W11" s="56">
        <f>$C11*INDEX(Curves!$D$8:$D$68,W$4-$B11+1)</f>
        <v/>
      </c>
      <c r="X11" s="56">
        <f>$C11*INDEX(Curves!$D$8:$D$68,X$4-$B11+1)</f>
        <v/>
      </c>
      <c r="Y11" s="56">
        <f>$C11*INDEX(Curves!$D$8:$D$68,Y$4-$B11+1)</f>
        <v/>
      </c>
      <c r="Z11" s="56">
        <f>$C11*INDEX(Curves!$D$8:$D$68,Z$4-$B11+1)</f>
        <v/>
      </c>
      <c r="AA11" s="56">
        <f>$C11*INDEX(Curves!$D$8:$D$68,AA$4-$B11+1)</f>
        <v/>
      </c>
      <c r="AB11" s="56">
        <f>$C11*INDEX(Curves!$D$8:$D$68,AB$4-$B11+1)</f>
        <v/>
      </c>
      <c r="AC11" s="56">
        <f>$C11*INDEX(Curves!$D$8:$D$68,AC$4-$B11+1)</f>
        <v/>
      </c>
      <c r="AD11" s="56">
        <f>$C11*INDEX(Curves!$D$8:$D$68,AD$4-$B11+1)</f>
        <v/>
      </c>
      <c r="AE11" s="56">
        <f>$C11*INDEX(Curves!$D$8:$D$68,AE$4-$B11+1)</f>
        <v/>
      </c>
      <c r="AF11" s="56">
        <f>$C11*INDEX(Curves!$D$8:$D$68,AF$4-$B11+1)</f>
        <v/>
      </c>
      <c r="AG11" s="56">
        <f>$C11*INDEX(Curves!$D$8:$D$68,AG$4-$B11+1)</f>
        <v/>
      </c>
      <c r="AH11" s="56">
        <f>$C11*INDEX(Curves!$D$8:$D$68,AH$4-$B11+1)</f>
        <v/>
      </c>
      <c r="AI11" s="56">
        <f>$C11*INDEX(Curves!$D$8:$D$68,AI$4-$B11+1)</f>
        <v/>
      </c>
      <c r="AJ11" s="56">
        <f>$C11*INDEX(Curves!$D$8:$D$68,AJ$4-$B11+1)</f>
        <v/>
      </c>
      <c r="AK11" s="56">
        <f>$C11*INDEX(Curves!$D$8:$D$68,AK$4-$B11+1)</f>
        <v/>
      </c>
      <c r="AL11" s="56">
        <f>$C11*INDEX(Curves!$D$8:$D$68,AL$4-$B11+1)</f>
        <v/>
      </c>
      <c r="AM11" s="56">
        <f>$C11*INDEX(Curves!$D$8:$D$68,AM$4-$B11+1)</f>
        <v/>
      </c>
      <c r="AN11" s="56">
        <f>$C11*INDEX(Curves!$D$8:$D$68,AN$4-$B11+1)</f>
        <v/>
      </c>
      <c r="AO11" s="56">
        <f>$C11*INDEX(Curves!$D$8:$D$68,AO$4-$B11+1)</f>
        <v/>
      </c>
      <c r="AP11" s="56">
        <f>$C11*INDEX(Curves!$D$8:$D$68,AP$4-$B11+1)</f>
        <v/>
      </c>
      <c r="AQ11" s="56">
        <f>$C11*INDEX(Curves!$D$8:$D$68,AQ$4-$B11+1)</f>
        <v/>
      </c>
      <c r="AR11" s="56">
        <f>$C11*INDEX(Curves!$D$8:$D$68,AR$4-$B11+1)</f>
        <v/>
      </c>
      <c r="AS11" s="56">
        <f>$C11*INDEX(Curves!$D$8:$D$68,AS$4-$B11+1)</f>
        <v/>
      </c>
      <c r="AT11" s="56">
        <f>$C11*INDEX(Curves!$D$8:$D$68,AT$4-$B11+1)</f>
        <v/>
      </c>
      <c r="AU11" s="56">
        <f>$C11*INDEX(Curves!$D$8:$D$68,AU$4-$B11+1)</f>
        <v/>
      </c>
      <c r="AV11" s="56">
        <f>$C11*INDEX(Curves!$D$8:$D$68,AV$4-$B11+1)</f>
        <v/>
      </c>
      <c r="AW11" s="56">
        <f>$C11*INDEX(Curves!$D$8:$D$68,AW$4-$B11+1)</f>
        <v/>
      </c>
      <c r="AX11" s="56">
        <f>$C11*INDEX(Curves!$D$8:$D$68,AX$4-$B11+1)</f>
        <v/>
      </c>
      <c r="AY11" s="56">
        <f>$C11*INDEX(Curves!$D$8:$D$68,AY$4-$B11+1)</f>
        <v/>
      </c>
      <c r="AZ11" s="56">
        <f>$C11*INDEX(Curves!$D$8:$D$68,AZ$4-$B11+1)</f>
        <v/>
      </c>
      <c r="BA11" s="56">
        <f>$C11*INDEX(Curves!$D$8:$D$68,BA$4-$B11+1)</f>
        <v/>
      </c>
      <c r="BB11" s="56">
        <f>$C11*INDEX(Curves!$D$8:$D$68,BB$4-$B11+1)</f>
        <v/>
      </c>
      <c r="BC11" s="56">
        <f>$C11*INDEX(Curves!$D$8:$D$68,BC$4-$B11+1)</f>
        <v/>
      </c>
      <c r="BD11" s="56">
        <f>$C11*INDEX(Curves!$D$8:$D$68,BD$4-$B11+1)</f>
        <v/>
      </c>
      <c r="BE11" s="56">
        <f>$C11*INDEX(Curves!$D$8:$D$68,BE$4-$B11+1)</f>
        <v/>
      </c>
      <c r="BF11" s="56">
        <f>$C11*INDEX(Curves!$D$8:$D$68,BF$4-$B11+1)</f>
        <v/>
      </c>
      <c r="BG11" s="56">
        <f>$C11*INDEX(Curves!$D$8:$D$68,BG$4-$B11+1)</f>
        <v/>
      </c>
      <c r="BH11" s="56">
        <f>$C11*INDEX(Curves!$D$8:$D$68,BH$4-$B11+1)</f>
        <v/>
      </c>
      <c r="BI11" s="56">
        <f>$C11*INDEX(Curves!$D$8:$D$68,BI$4-$B11+1)</f>
        <v/>
      </c>
      <c r="BJ11" s="56">
        <f>$C11*INDEX(Curves!$D$8:$D$68,BJ$4-$B11+1)</f>
        <v/>
      </c>
      <c r="BK11" s="56">
        <f>$C11*INDEX(Curves!$D$8:$D$68,BK$4-$B11+1)</f>
        <v/>
      </c>
      <c r="BL11" s="56">
        <f>$C11*INDEX(Curves!$D$8:$D$68,BL$4-$B11+1)</f>
        <v/>
      </c>
    </row>
    <row r="12">
      <c r="A12" s="55" t="inlineStr">
        <is>
          <t>Cohort month 3</t>
        </is>
      </c>
      <c r="B12" s="55" t="n">
        <v>3</v>
      </c>
      <c r="C12" s="46">
        <f>INDEX(Ops!$E$10:$BL$10,1,$B12)</f>
        <v/>
      </c>
      <c r="H12" s="56">
        <f>$C12*INDEX(Curves!$D$8:$D$68,H$4-$B12+1)</f>
        <v/>
      </c>
      <c r="I12" s="56">
        <f>$C12*INDEX(Curves!$D$8:$D$68,I$4-$B12+1)</f>
        <v/>
      </c>
      <c r="J12" s="56">
        <f>$C12*INDEX(Curves!$D$8:$D$68,J$4-$B12+1)</f>
        <v/>
      </c>
      <c r="K12" s="56">
        <f>$C12*INDEX(Curves!$D$8:$D$68,K$4-$B12+1)</f>
        <v/>
      </c>
      <c r="L12" s="56">
        <f>$C12*INDEX(Curves!$D$8:$D$68,L$4-$B12+1)</f>
        <v/>
      </c>
      <c r="M12" s="56">
        <f>$C12*INDEX(Curves!$D$8:$D$68,M$4-$B12+1)</f>
        <v/>
      </c>
      <c r="N12" s="56">
        <f>$C12*INDEX(Curves!$D$8:$D$68,N$4-$B12+1)</f>
        <v/>
      </c>
      <c r="O12" s="56">
        <f>$C12*INDEX(Curves!$D$8:$D$68,O$4-$B12+1)</f>
        <v/>
      </c>
      <c r="P12" s="56">
        <f>$C12*INDEX(Curves!$D$8:$D$68,P$4-$B12+1)</f>
        <v/>
      </c>
      <c r="Q12" s="56">
        <f>$C12*INDEX(Curves!$D$8:$D$68,Q$4-$B12+1)</f>
        <v/>
      </c>
      <c r="R12" s="56">
        <f>$C12*INDEX(Curves!$D$8:$D$68,R$4-$B12+1)</f>
        <v/>
      </c>
      <c r="S12" s="56">
        <f>$C12*INDEX(Curves!$D$8:$D$68,S$4-$B12+1)</f>
        <v/>
      </c>
      <c r="T12" s="56">
        <f>$C12*INDEX(Curves!$D$8:$D$68,T$4-$B12+1)</f>
        <v/>
      </c>
      <c r="U12" s="56">
        <f>$C12*INDEX(Curves!$D$8:$D$68,U$4-$B12+1)</f>
        <v/>
      </c>
      <c r="V12" s="56">
        <f>$C12*INDEX(Curves!$D$8:$D$68,V$4-$B12+1)</f>
        <v/>
      </c>
      <c r="W12" s="56">
        <f>$C12*INDEX(Curves!$D$8:$D$68,W$4-$B12+1)</f>
        <v/>
      </c>
      <c r="X12" s="56">
        <f>$C12*INDEX(Curves!$D$8:$D$68,X$4-$B12+1)</f>
        <v/>
      </c>
      <c r="Y12" s="56">
        <f>$C12*INDEX(Curves!$D$8:$D$68,Y$4-$B12+1)</f>
        <v/>
      </c>
      <c r="Z12" s="56">
        <f>$C12*INDEX(Curves!$D$8:$D$68,Z$4-$B12+1)</f>
        <v/>
      </c>
      <c r="AA12" s="56">
        <f>$C12*INDEX(Curves!$D$8:$D$68,AA$4-$B12+1)</f>
        <v/>
      </c>
      <c r="AB12" s="56">
        <f>$C12*INDEX(Curves!$D$8:$D$68,AB$4-$B12+1)</f>
        <v/>
      </c>
      <c r="AC12" s="56">
        <f>$C12*INDEX(Curves!$D$8:$D$68,AC$4-$B12+1)</f>
        <v/>
      </c>
      <c r="AD12" s="56">
        <f>$C12*INDEX(Curves!$D$8:$D$68,AD$4-$B12+1)</f>
        <v/>
      </c>
      <c r="AE12" s="56">
        <f>$C12*INDEX(Curves!$D$8:$D$68,AE$4-$B12+1)</f>
        <v/>
      </c>
      <c r="AF12" s="56">
        <f>$C12*INDEX(Curves!$D$8:$D$68,AF$4-$B12+1)</f>
        <v/>
      </c>
      <c r="AG12" s="56">
        <f>$C12*INDEX(Curves!$D$8:$D$68,AG$4-$B12+1)</f>
        <v/>
      </c>
      <c r="AH12" s="56">
        <f>$C12*INDEX(Curves!$D$8:$D$68,AH$4-$B12+1)</f>
        <v/>
      </c>
      <c r="AI12" s="56">
        <f>$C12*INDEX(Curves!$D$8:$D$68,AI$4-$B12+1)</f>
        <v/>
      </c>
      <c r="AJ12" s="56">
        <f>$C12*INDEX(Curves!$D$8:$D$68,AJ$4-$B12+1)</f>
        <v/>
      </c>
      <c r="AK12" s="56">
        <f>$C12*INDEX(Curves!$D$8:$D$68,AK$4-$B12+1)</f>
        <v/>
      </c>
      <c r="AL12" s="56">
        <f>$C12*INDEX(Curves!$D$8:$D$68,AL$4-$B12+1)</f>
        <v/>
      </c>
      <c r="AM12" s="56">
        <f>$C12*INDEX(Curves!$D$8:$D$68,AM$4-$B12+1)</f>
        <v/>
      </c>
      <c r="AN12" s="56">
        <f>$C12*INDEX(Curves!$D$8:$D$68,AN$4-$B12+1)</f>
        <v/>
      </c>
      <c r="AO12" s="56">
        <f>$C12*INDEX(Curves!$D$8:$D$68,AO$4-$B12+1)</f>
        <v/>
      </c>
      <c r="AP12" s="56">
        <f>$C12*INDEX(Curves!$D$8:$D$68,AP$4-$B12+1)</f>
        <v/>
      </c>
      <c r="AQ12" s="56">
        <f>$C12*INDEX(Curves!$D$8:$D$68,AQ$4-$B12+1)</f>
        <v/>
      </c>
      <c r="AR12" s="56">
        <f>$C12*INDEX(Curves!$D$8:$D$68,AR$4-$B12+1)</f>
        <v/>
      </c>
      <c r="AS12" s="56">
        <f>$C12*INDEX(Curves!$D$8:$D$68,AS$4-$B12+1)</f>
        <v/>
      </c>
      <c r="AT12" s="56">
        <f>$C12*INDEX(Curves!$D$8:$D$68,AT$4-$B12+1)</f>
        <v/>
      </c>
      <c r="AU12" s="56">
        <f>$C12*INDEX(Curves!$D$8:$D$68,AU$4-$B12+1)</f>
        <v/>
      </c>
      <c r="AV12" s="56">
        <f>$C12*INDEX(Curves!$D$8:$D$68,AV$4-$B12+1)</f>
        <v/>
      </c>
      <c r="AW12" s="56">
        <f>$C12*INDEX(Curves!$D$8:$D$68,AW$4-$B12+1)</f>
        <v/>
      </c>
      <c r="AX12" s="56">
        <f>$C12*INDEX(Curves!$D$8:$D$68,AX$4-$B12+1)</f>
        <v/>
      </c>
      <c r="AY12" s="56">
        <f>$C12*INDEX(Curves!$D$8:$D$68,AY$4-$B12+1)</f>
        <v/>
      </c>
      <c r="AZ12" s="56">
        <f>$C12*INDEX(Curves!$D$8:$D$68,AZ$4-$B12+1)</f>
        <v/>
      </c>
      <c r="BA12" s="56">
        <f>$C12*INDEX(Curves!$D$8:$D$68,BA$4-$B12+1)</f>
        <v/>
      </c>
      <c r="BB12" s="56">
        <f>$C12*INDEX(Curves!$D$8:$D$68,BB$4-$B12+1)</f>
        <v/>
      </c>
      <c r="BC12" s="56">
        <f>$C12*INDEX(Curves!$D$8:$D$68,BC$4-$B12+1)</f>
        <v/>
      </c>
      <c r="BD12" s="56">
        <f>$C12*INDEX(Curves!$D$8:$D$68,BD$4-$B12+1)</f>
        <v/>
      </c>
      <c r="BE12" s="56">
        <f>$C12*INDEX(Curves!$D$8:$D$68,BE$4-$B12+1)</f>
        <v/>
      </c>
      <c r="BF12" s="56">
        <f>$C12*INDEX(Curves!$D$8:$D$68,BF$4-$B12+1)</f>
        <v/>
      </c>
      <c r="BG12" s="56">
        <f>$C12*INDEX(Curves!$D$8:$D$68,BG$4-$B12+1)</f>
        <v/>
      </c>
      <c r="BH12" s="56">
        <f>$C12*INDEX(Curves!$D$8:$D$68,BH$4-$B12+1)</f>
        <v/>
      </c>
      <c r="BI12" s="56">
        <f>$C12*INDEX(Curves!$D$8:$D$68,BI$4-$B12+1)</f>
        <v/>
      </c>
      <c r="BJ12" s="56">
        <f>$C12*INDEX(Curves!$D$8:$D$68,BJ$4-$B12+1)</f>
        <v/>
      </c>
      <c r="BK12" s="56">
        <f>$C12*INDEX(Curves!$D$8:$D$68,BK$4-$B12+1)</f>
        <v/>
      </c>
      <c r="BL12" s="56">
        <f>$C12*INDEX(Curves!$D$8:$D$68,BL$4-$B12+1)</f>
        <v/>
      </c>
    </row>
    <row r="13">
      <c r="A13" s="55" t="inlineStr">
        <is>
          <t>Cohort month 4</t>
        </is>
      </c>
      <c r="B13" s="55" t="n">
        <v>4</v>
      </c>
      <c r="C13" s="46">
        <f>INDEX(Ops!$E$10:$BL$10,1,$B13)</f>
        <v/>
      </c>
      <c r="I13" s="56">
        <f>$C13*INDEX(Curves!$D$8:$D$68,I$4-$B13+1)</f>
        <v/>
      </c>
      <c r="J13" s="56">
        <f>$C13*INDEX(Curves!$D$8:$D$68,J$4-$B13+1)</f>
        <v/>
      </c>
      <c r="K13" s="56">
        <f>$C13*INDEX(Curves!$D$8:$D$68,K$4-$B13+1)</f>
        <v/>
      </c>
      <c r="L13" s="56">
        <f>$C13*INDEX(Curves!$D$8:$D$68,L$4-$B13+1)</f>
        <v/>
      </c>
      <c r="M13" s="56">
        <f>$C13*INDEX(Curves!$D$8:$D$68,M$4-$B13+1)</f>
        <v/>
      </c>
      <c r="N13" s="56">
        <f>$C13*INDEX(Curves!$D$8:$D$68,N$4-$B13+1)</f>
        <v/>
      </c>
      <c r="O13" s="56">
        <f>$C13*INDEX(Curves!$D$8:$D$68,O$4-$B13+1)</f>
        <v/>
      </c>
      <c r="P13" s="56">
        <f>$C13*INDEX(Curves!$D$8:$D$68,P$4-$B13+1)</f>
        <v/>
      </c>
      <c r="Q13" s="56">
        <f>$C13*INDEX(Curves!$D$8:$D$68,Q$4-$B13+1)</f>
        <v/>
      </c>
      <c r="R13" s="56">
        <f>$C13*INDEX(Curves!$D$8:$D$68,R$4-$B13+1)</f>
        <v/>
      </c>
      <c r="S13" s="56">
        <f>$C13*INDEX(Curves!$D$8:$D$68,S$4-$B13+1)</f>
        <v/>
      </c>
      <c r="T13" s="56">
        <f>$C13*INDEX(Curves!$D$8:$D$68,T$4-$B13+1)</f>
        <v/>
      </c>
      <c r="U13" s="56">
        <f>$C13*INDEX(Curves!$D$8:$D$68,U$4-$B13+1)</f>
        <v/>
      </c>
      <c r="V13" s="56">
        <f>$C13*INDEX(Curves!$D$8:$D$68,V$4-$B13+1)</f>
        <v/>
      </c>
      <c r="W13" s="56">
        <f>$C13*INDEX(Curves!$D$8:$D$68,W$4-$B13+1)</f>
        <v/>
      </c>
      <c r="X13" s="56">
        <f>$C13*INDEX(Curves!$D$8:$D$68,X$4-$B13+1)</f>
        <v/>
      </c>
      <c r="Y13" s="56">
        <f>$C13*INDEX(Curves!$D$8:$D$68,Y$4-$B13+1)</f>
        <v/>
      </c>
      <c r="Z13" s="56">
        <f>$C13*INDEX(Curves!$D$8:$D$68,Z$4-$B13+1)</f>
        <v/>
      </c>
      <c r="AA13" s="56">
        <f>$C13*INDEX(Curves!$D$8:$D$68,AA$4-$B13+1)</f>
        <v/>
      </c>
      <c r="AB13" s="56">
        <f>$C13*INDEX(Curves!$D$8:$D$68,AB$4-$B13+1)</f>
        <v/>
      </c>
      <c r="AC13" s="56">
        <f>$C13*INDEX(Curves!$D$8:$D$68,AC$4-$B13+1)</f>
        <v/>
      </c>
      <c r="AD13" s="56">
        <f>$C13*INDEX(Curves!$D$8:$D$68,AD$4-$B13+1)</f>
        <v/>
      </c>
      <c r="AE13" s="56">
        <f>$C13*INDEX(Curves!$D$8:$D$68,AE$4-$B13+1)</f>
        <v/>
      </c>
      <c r="AF13" s="56">
        <f>$C13*INDEX(Curves!$D$8:$D$68,AF$4-$B13+1)</f>
        <v/>
      </c>
      <c r="AG13" s="56">
        <f>$C13*INDEX(Curves!$D$8:$D$68,AG$4-$B13+1)</f>
        <v/>
      </c>
      <c r="AH13" s="56">
        <f>$C13*INDEX(Curves!$D$8:$D$68,AH$4-$B13+1)</f>
        <v/>
      </c>
      <c r="AI13" s="56">
        <f>$C13*INDEX(Curves!$D$8:$D$68,AI$4-$B13+1)</f>
        <v/>
      </c>
      <c r="AJ13" s="56">
        <f>$C13*INDEX(Curves!$D$8:$D$68,AJ$4-$B13+1)</f>
        <v/>
      </c>
      <c r="AK13" s="56">
        <f>$C13*INDEX(Curves!$D$8:$D$68,AK$4-$B13+1)</f>
        <v/>
      </c>
      <c r="AL13" s="56">
        <f>$C13*INDEX(Curves!$D$8:$D$68,AL$4-$B13+1)</f>
        <v/>
      </c>
      <c r="AM13" s="56">
        <f>$C13*INDEX(Curves!$D$8:$D$68,AM$4-$B13+1)</f>
        <v/>
      </c>
      <c r="AN13" s="56">
        <f>$C13*INDEX(Curves!$D$8:$D$68,AN$4-$B13+1)</f>
        <v/>
      </c>
      <c r="AO13" s="56">
        <f>$C13*INDEX(Curves!$D$8:$D$68,AO$4-$B13+1)</f>
        <v/>
      </c>
      <c r="AP13" s="56">
        <f>$C13*INDEX(Curves!$D$8:$D$68,AP$4-$B13+1)</f>
        <v/>
      </c>
      <c r="AQ13" s="56">
        <f>$C13*INDEX(Curves!$D$8:$D$68,AQ$4-$B13+1)</f>
        <v/>
      </c>
      <c r="AR13" s="56">
        <f>$C13*INDEX(Curves!$D$8:$D$68,AR$4-$B13+1)</f>
        <v/>
      </c>
      <c r="AS13" s="56">
        <f>$C13*INDEX(Curves!$D$8:$D$68,AS$4-$B13+1)</f>
        <v/>
      </c>
      <c r="AT13" s="56">
        <f>$C13*INDEX(Curves!$D$8:$D$68,AT$4-$B13+1)</f>
        <v/>
      </c>
      <c r="AU13" s="56">
        <f>$C13*INDEX(Curves!$D$8:$D$68,AU$4-$B13+1)</f>
        <v/>
      </c>
      <c r="AV13" s="56">
        <f>$C13*INDEX(Curves!$D$8:$D$68,AV$4-$B13+1)</f>
        <v/>
      </c>
      <c r="AW13" s="56">
        <f>$C13*INDEX(Curves!$D$8:$D$68,AW$4-$B13+1)</f>
        <v/>
      </c>
      <c r="AX13" s="56">
        <f>$C13*INDEX(Curves!$D$8:$D$68,AX$4-$B13+1)</f>
        <v/>
      </c>
      <c r="AY13" s="56">
        <f>$C13*INDEX(Curves!$D$8:$D$68,AY$4-$B13+1)</f>
        <v/>
      </c>
      <c r="AZ13" s="56">
        <f>$C13*INDEX(Curves!$D$8:$D$68,AZ$4-$B13+1)</f>
        <v/>
      </c>
      <c r="BA13" s="56">
        <f>$C13*INDEX(Curves!$D$8:$D$68,BA$4-$B13+1)</f>
        <v/>
      </c>
      <c r="BB13" s="56">
        <f>$C13*INDEX(Curves!$D$8:$D$68,BB$4-$B13+1)</f>
        <v/>
      </c>
      <c r="BC13" s="56">
        <f>$C13*INDEX(Curves!$D$8:$D$68,BC$4-$B13+1)</f>
        <v/>
      </c>
      <c r="BD13" s="56">
        <f>$C13*INDEX(Curves!$D$8:$D$68,BD$4-$B13+1)</f>
        <v/>
      </c>
      <c r="BE13" s="56">
        <f>$C13*INDEX(Curves!$D$8:$D$68,BE$4-$B13+1)</f>
        <v/>
      </c>
      <c r="BF13" s="56">
        <f>$C13*INDEX(Curves!$D$8:$D$68,BF$4-$B13+1)</f>
        <v/>
      </c>
      <c r="BG13" s="56">
        <f>$C13*INDEX(Curves!$D$8:$D$68,BG$4-$B13+1)</f>
        <v/>
      </c>
      <c r="BH13" s="56">
        <f>$C13*INDEX(Curves!$D$8:$D$68,BH$4-$B13+1)</f>
        <v/>
      </c>
      <c r="BI13" s="56">
        <f>$C13*INDEX(Curves!$D$8:$D$68,BI$4-$B13+1)</f>
        <v/>
      </c>
      <c r="BJ13" s="56">
        <f>$C13*INDEX(Curves!$D$8:$D$68,BJ$4-$B13+1)</f>
        <v/>
      </c>
      <c r="BK13" s="56">
        <f>$C13*INDEX(Curves!$D$8:$D$68,BK$4-$B13+1)</f>
        <v/>
      </c>
      <c r="BL13" s="56">
        <f>$C13*INDEX(Curves!$D$8:$D$68,BL$4-$B13+1)</f>
        <v/>
      </c>
    </row>
    <row r="14">
      <c r="A14" s="55" t="inlineStr">
        <is>
          <t>Cohort month 5</t>
        </is>
      </c>
      <c r="B14" s="55" t="n">
        <v>5</v>
      </c>
      <c r="C14" s="46">
        <f>INDEX(Ops!$E$10:$BL$10,1,$B14)</f>
        <v/>
      </c>
      <c r="J14" s="56">
        <f>$C14*INDEX(Curves!$D$8:$D$68,J$4-$B14+1)</f>
        <v/>
      </c>
      <c r="K14" s="56">
        <f>$C14*INDEX(Curves!$D$8:$D$68,K$4-$B14+1)</f>
        <v/>
      </c>
      <c r="L14" s="56">
        <f>$C14*INDEX(Curves!$D$8:$D$68,L$4-$B14+1)</f>
        <v/>
      </c>
      <c r="M14" s="56">
        <f>$C14*INDEX(Curves!$D$8:$D$68,M$4-$B14+1)</f>
        <v/>
      </c>
      <c r="N14" s="56">
        <f>$C14*INDEX(Curves!$D$8:$D$68,N$4-$B14+1)</f>
        <v/>
      </c>
      <c r="O14" s="56">
        <f>$C14*INDEX(Curves!$D$8:$D$68,O$4-$B14+1)</f>
        <v/>
      </c>
      <c r="P14" s="56">
        <f>$C14*INDEX(Curves!$D$8:$D$68,P$4-$B14+1)</f>
        <v/>
      </c>
      <c r="Q14" s="56">
        <f>$C14*INDEX(Curves!$D$8:$D$68,Q$4-$B14+1)</f>
        <v/>
      </c>
      <c r="R14" s="56">
        <f>$C14*INDEX(Curves!$D$8:$D$68,R$4-$B14+1)</f>
        <v/>
      </c>
      <c r="S14" s="56">
        <f>$C14*INDEX(Curves!$D$8:$D$68,S$4-$B14+1)</f>
        <v/>
      </c>
      <c r="T14" s="56">
        <f>$C14*INDEX(Curves!$D$8:$D$68,T$4-$B14+1)</f>
        <v/>
      </c>
      <c r="U14" s="56">
        <f>$C14*INDEX(Curves!$D$8:$D$68,U$4-$B14+1)</f>
        <v/>
      </c>
      <c r="V14" s="56">
        <f>$C14*INDEX(Curves!$D$8:$D$68,V$4-$B14+1)</f>
        <v/>
      </c>
      <c r="W14" s="56">
        <f>$C14*INDEX(Curves!$D$8:$D$68,W$4-$B14+1)</f>
        <v/>
      </c>
      <c r="X14" s="56">
        <f>$C14*INDEX(Curves!$D$8:$D$68,X$4-$B14+1)</f>
        <v/>
      </c>
      <c r="Y14" s="56">
        <f>$C14*INDEX(Curves!$D$8:$D$68,Y$4-$B14+1)</f>
        <v/>
      </c>
      <c r="Z14" s="56">
        <f>$C14*INDEX(Curves!$D$8:$D$68,Z$4-$B14+1)</f>
        <v/>
      </c>
      <c r="AA14" s="56">
        <f>$C14*INDEX(Curves!$D$8:$D$68,AA$4-$B14+1)</f>
        <v/>
      </c>
      <c r="AB14" s="56">
        <f>$C14*INDEX(Curves!$D$8:$D$68,AB$4-$B14+1)</f>
        <v/>
      </c>
      <c r="AC14" s="56">
        <f>$C14*INDEX(Curves!$D$8:$D$68,AC$4-$B14+1)</f>
        <v/>
      </c>
      <c r="AD14" s="56">
        <f>$C14*INDEX(Curves!$D$8:$D$68,AD$4-$B14+1)</f>
        <v/>
      </c>
      <c r="AE14" s="56">
        <f>$C14*INDEX(Curves!$D$8:$D$68,AE$4-$B14+1)</f>
        <v/>
      </c>
      <c r="AF14" s="56">
        <f>$C14*INDEX(Curves!$D$8:$D$68,AF$4-$B14+1)</f>
        <v/>
      </c>
      <c r="AG14" s="56">
        <f>$C14*INDEX(Curves!$D$8:$D$68,AG$4-$B14+1)</f>
        <v/>
      </c>
      <c r="AH14" s="56">
        <f>$C14*INDEX(Curves!$D$8:$D$68,AH$4-$B14+1)</f>
        <v/>
      </c>
      <c r="AI14" s="56">
        <f>$C14*INDEX(Curves!$D$8:$D$68,AI$4-$B14+1)</f>
        <v/>
      </c>
      <c r="AJ14" s="56">
        <f>$C14*INDEX(Curves!$D$8:$D$68,AJ$4-$B14+1)</f>
        <v/>
      </c>
      <c r="AK14" s="56">
        <f>$C14*INDEX(Curves!$D$8:$D$68,AK$4-$B14+1)</f>
        <v/>
      </c>
      <c r="AL14" s="56">
        <f>$C14*INDEX(Curves!$D$8:$D$68,AL$4-$B14+1)</f>
        <v/>
      </c>
      <c r="AM14" s="56">
        <f>$C14*INDEX(Curves!$D$8:$D$68,AM$4-$B14+1)</f>
        <v/>
      </c>
      <c r="AN14" s="56">
        <f>$C14*INDEX(Curves!$D$8:$D$68,AN$4-$B14+1)</f>
        <v/>
      </c>
      <c r="AO14" s="56">
        <f>$C14*INDEX(Curves!$D$8:$D$68,AO$4-$B14+1)</f>
        <v/>
      </c>
      <c r="AP14" s="56">
        <f>$C14*INDEX(Curves!$D$8:$D$68,AP$4-$B14+1)</f>
        <v/>
      </c>
      <c r="AQ14" s="56">
        <f>$C14*INDEX(Curves!$D$8:$D$68,AQ$4-$B14+1)</f>
        <v/>
      </c>
      <c r="AR14" s="56">
        <f>$C14*INDEX(Curves!$D$8:$D$68,AR$4-$B14+1)</f>
        <v/>
      </c>
      <c r="AS14" s="56">
        <f>$C14*INDEX(Curves!$D$8:$D$68,AS$4-$B14+1)</f>
        <v/>
      </c>
      <c r="AT14" s="56">
        <f>$C14*INDEX(Curves!$D$8:$D$68,AT$4-$B14+1)</f>
        <v/>
      </c>
      <c r="AU14" s="56">
        <f>$C14*INDEX(Curves!$D$8:$D$68,AU$4-$B14+1)</f>
        <v/>
      </c>
      <c r="AV14" s="56">
        <f>$C14*INDEX(Curves!$D$8:$D$68,AV$4-$B14+1)</f>
        <v/>
      </c>
      <c r="AW14" s="56">
        <f>$C14*INDEX(Curves!$D$8:$D$68,AW$4-$B14+1)</f>
        <v/>
      </c>
      <c r="AX14" s="56">
        <f>$C14*INDEX(Curves!$D$8:$D$68,AX$4-$B14+1)</f>
        <v/>
      </c>
      <c r="AY14" s="56">
        <f>$C14*INDEX(Curves!$D$8:$D$68,AY$4-$B14+1)</f>
        <v/>
      </c>
      <c r="AZ14" s="56">
        <f>$C14*INDEX(Curves!$D$8:$D$68,AZ$4-$B14+1)</f>
        <v/>
      </c>
      <c r="BA14" s="56">
        <f>$C14*INDEX(Curves!$D$8:$D$68,BA$4-$B14+1)</f>
        <v/>
      </c>
      <c r="BB14" s="56">
        <f>$C14*INDEX(Curves!$D$8:$D$68,BB$4-$B14+1)</f>
        <v/>
      </c>
      <c r="BC14" s="56">
        <f>$C14*INDEX(Curves!$D$8:$D$68,BC$4-$B14+1)</f>
        <v/>
      </c>
      <c r="BD14" s="56">
        <f>$C14*INDEX(Curves!$D$8:$D$68,BD$4-$B14+1)</f>
        <v/>
      </c>
      <c r="BE14" s="56">
        <f>$C14*INDEX(Curves!$D$8:$D$68,BE$4-$B14+1)</f>
        <v/>
      </c>
      <c r="BF14" s="56">
        <f>$C14*INDEX(Curves!$D$8:$D$68,BF$4-$B14+1)</f>
        <v/>
      </c>
      <c r="BG14" s="56">
        <f>$C14*INDEX(Curves!$D$8:$D$68,BG$4-$B14+1)</f>
        <v/>
      </c>
      <c r="BH14" s="56">
        <f>$C14*INDEX(Curves!$D$8:$D$68,BH$4-$B14+1)</f>
        <v/>
      </c>
      <c r="BI14" s="56">
        <f>$C14*INDEX(Curves!$D$8:$D$68,BI$4-$B14+1)</f>
        <v/>
      </c>
      <c r="BJ14" s="56">
        <f>$C14*INDEX(Curves!$D$8:$D$68,BJ$4-$B14+1)</f>
        <v/>
      </c>
      <c r="BK14" s="56">
        <f>$C14*INDEX(Curves!$D$8:$D$68,BK$4-$B14+1)</f>
        <v/>
      </c>
      <c r="BL14" s="56">
        <f>$C14*INDEX(Curves!$D$8:$D$68,BL$4-$B14+1)</f>
        <v/>
      </c>
    </row>
    <row r="15">
      <c r="A15" s="55" t="inlineStr">
        <is>
          <t>Cohort month 6</t>
        </is>
      </c>
      <c r="B15" s="55" t="n">
        <v>6</v>
      </c>
      <c r="C15" s="46">
        <f>INDEX(Ops!$E$10:$BL$10,1,$B15)</f>
        <v/>
      </c>
      <c r="K15" s="56">
        <f>$C15*INDEX(Curves!$D$8:$D$68,K$4-$B15+1)</f>
        <v/>
      </c>
      <c r="L15" s="56">
        <f>$C15*INDEX(Curves!$D$8:$D$68,L$4-$B15+1)</f>
        <v/>
      </c>
      <c r="M15" s="56">
        <f>$C15*INDEX(Curves!$D$8:$D$68,M$4-$B15+1)</f>
        <v/>
      </c>
      <c r="N15" s="56">
        <f>$C15*INDEX(Curves!$D$8:$D$68,N$4-$B15+1)</f>
        <v/>
      </c>
      <c r="O15" s="56">
        <f>$C15*INDEX(Curves!$D$8:$D$68,O$4-$B15+1)</f>
        <v/>
      </c>
      <c r="P15" s="56">
        <f>$C15*INDEX(Curves!$D$8:$D$68,P$4-$B15+1)</f>
        <v/>
      </c>
      <c r="Q15" s="56">
        <f>$C15*INDEX(Curves!$D$8:$D$68,Q$4-$B15+1)</f>
        <v/>
      </c>
      <c r="R15" s="56">
        <f>$C15*INDEX(Curves!$D$8:$D$68,R$4-$B15+1)</f>
        <v/>
      </c>
      <c r="S15" s="56">
        <f>$C15*INDEX(Curves!$D$8:$D$68,S$4-$B15+1)</f>
        <v/>
      </c>
      <c r="T15" s="56">
        <f>$C15*INDEX(Curves!$D$8:$D$68,T$4-$B15+1)</f>
        <v/>
      </c>
      <c r="U15" s="56">
        <f>$C15*INDEX(Curves!$D$8:$D$68,U$4-$B15+1)</f>
        <v/>
      </c>
      <c r="V15" s="56">
        <f>$C15*INDEX(Curves!$D$8:$D$68,V$4-$B15+1)</f>
        <v/>
      </c>
      <c r="W15" s="56">
        <f>$C15*INDEX(Curves!$D$8:$D$68,W$4-$B15+1)</f>
        <v/>
      </c>
      <c r="X15" s="56">
        <f>$C15*INDEX(Curves!$D$8:$D$68,X$4-$B15+1)</f>
        <v/>
      </c>
      <c r="Y15" s="56">
        <f>$C15*INDEX(Curves!$D$8:$D$68,Y$4-$B15+1)</f>
        <v/>
      </c>
      <c r="Z15" s="56">
        <f>$C15*INDEX(Curves!$D$8:$D$68,Z$4-$B15+1)</f>
        <v/>
      </c>
      <c r="AA15" s="56">
        <f>$C15*INDEX(Curves!$D$8:$D$68,AA$4-$B15+1)</f>
        <v/>
      </c>
      <c r="AB15" s="56">
        <f>$C15*INDEX(Curves!$D$8:$D$68,AB$4-$B15+1)</f>
        <v/>
      </c>
      <c r="AC15" s="56">
        <f>$C15*INDEX(Curves!$D$8:$D$68,AC$4-$B15+1)</f>
        <v/>
      </c>
      <c r="AD15" s="56">
        <f>$C15*INDEX(Curves!$D$8:$D$68,AD$4-$B15+1)</f>
        <v/>
      </c>
      <c r="AE15" s="56">
        <f>$C15*INDEX(Curves!$D$8:$D$68,AE$4-$B15+1)</f>
        <v/>
      </c>
      <c r="AF15" s="56">
        <f>$C15*INDEX(Curves!$D$8:$D$68,AF$4-$B15+1)</f>
        <v/>
      </c>
      <c r="AG15" s="56">
        <f>$C15*INDEX(Curves!$D$8:$D$68,AG$4-$B15+1)</f>
        <v/>
      </c>
      <c r="AH15" s="56">
        <f>$C15*INDEX(Curves!$D$8:$D$68,AH$4-$B15+1)</f>
        <v/>
      </c>
      <c r="AI15" s="56">
        <f>$C15*INDEX(Curves!$D$8:$D$68,AI$4-$B15+1)</f>
        <v/>
      </c>
      <c r="AJ15" s="56">
        <f>$C15*INDEX(Curves!$D$8:$D$68,AJ$4-$B15+1)</f>
        <v/>
      </c>
      <c r="AK15" s="56">
        <f>$C15*INDEX(Curves!$D$8:$D$68,AK$4-$B15+1)</f>
        <v/>
      </c>
      <c r="AL15" s="56">
        <f>$C15*INDEX(Curves!$D$8:$D$68,AL$4-$B15+1)</f>
        <v/>
      </c>
      <c r="AM15" s="56">
        <f>$C15*INDEX(Curves!$D$8:$D$68,AM$4-$B15+1)</f>
        <v/>
      </c>
      <c r="AN15" s="56">
        <f>$C15*INDEX(Curves!$D$8:$D$68,AN$4-$B15+1)</f>
        <v/>
      </c>
      <c r="AO15" s="56">
        <f>$C15*INDEX(Curves!$D$8:$D$68,AO$4-$B15+1)</f>
        <v/>
      </c>
      <c r="AP15" s="56">
        <f>$C15*INDEX(Curves!$D$8:$D$68,AP$4-$B15+1)</f>
        <v/>
      </c>
      <c r="AQ15" s="56">
        <f>$C15*INDEX(Curves!$D$8:$D$68,AQ$4-$B15+1)</f>
        <v/>
      </c>
      <c r="AR15" s="56">
        <f>$C15*INDEX(Curves!$D$8:$D$68,AR$4-$B15+1)</f>
        <v/>
      </c>
      <c r="AS15" s="56">
        <f>$C15*INDEX(Curves!$D$8:$D$68,AS$4-$B15+1)</f>
        <v/>
      </c>
      <c r="AT15" s="56">
        <f>$C15*INDEX(Curves!$D$8:$D$68,AT$4-$B15+1)</f>
        <v/>
      </c>
      <c r="AU15" s="56">
        <f>$C15*INDEX(Curves!$D$8:$D$68,AU$4-$B15+1)</f>
        <v/>
      </c>
      <c r="AV15" s="56">
        <f>$C15*INDEX(Curves!$D$8:$D$68,AV$4-$B15+1)</f>
        <v/>
      </c>
      <c r="AW15" s="56">
        <f>$C15*INDEX(Curves!$D$8:$D$68,AW$4-$B15+1)</f>
        <v/>
      </c>
      <c r="AX15" s="56">
        <f>$C15*INDEX(Curves!$D$8:$D$68,AX$4-$B15+1)</f>
        <v/>
      </c>
      <c r="AY15" s="56">
        <f>$C15*INDEX(Curves!$D$8:$D$68,AY$4-$B15+1)</f>
        <v/>
      </c>
      <c r="AZ15" s="56">
        <f>$C15*INDEX(Curves!$D$8:$D$68,AZ$4-$B15+1)</f>
        <v/>
      </c>
      <c r="BA15" s="56">
        <f>$C15*INDEX(Curves!$D$8:$D$68,BA$4-$B15+1)</f>
        <v/>
      </c>
      <c r="BB15" s="56">
        <f>$C15*INDEX(Curves!$D$8:$D$68,BB$4-$B15+1)</f>
        <v/>
      </c>
      <c r="BC15" s="56">
        <f>$C15*INDEX(Curves!$D$8:$D$68,BC$4-$B15+1)</f>
        <v/>
      </c>
      <c r="BD15" s="56">
        <f>$C15*INDEX(Curves!$D$8:$D$68,BD$4-$B15+1)</f>
        <v/>
      </c>
      <c r="BE15" s="56">
        <f>$C15*INDEX(Curves!$D$8:$D$68,BE$4-$B15+1)</f>
        <v/>
      </c>
      <c r="BF15" s="56">
        <f>$C15*INDEX(Curves!$D$8:$D$68,BF$4-$B15+1)</f>
        <v/>
      </c>
      <c r="BG15" s="56">
        <f>$C15*INDEX(Curves!$D$8:$D$68,BG$4-$B15+1)</f>
        <v/>
      </c>
      <c r="BH15" s="56">
        <f>$C15*INDEX(Curves!$D$8:$D$68,BH$4-$B15+1)</f>
        <v/>
      </c>
      <c r="BI15" s="56">
        <f>$C15*INDEX(Curves!$D$8:$D$68,BI$4-$B15+1)</f>
        <v/>
      </c>
      <c r="BJ15" s="56">
        <f>$C15*INDEX(Curves!$D$8:$D$68,BJ$4-$B15+1)</f>
        <v/>
      </c>
      <c r="BK15" s="56">
        <f>$C15*INDEX(Curves!$D$8:$D$68,BK$4-$B15+1)</f>
        <v/>
      </c>
      <c r="BL15" s="56">
        <f>$C15*INDEX(Curves!$D$8:$D$68,BL$4-$B15+1)</f>
        <v/>
      </c>
    </row>
    <row r="16">
      <c r="A16" s="55" t="inlineStr">
        <is>
          <t>Cohort month 7</t>
        </is>
      </c>
      <c r="B16" s="55" t="n">
        <v>7</v>
      </c>
      <c r="C16" s="46">
        <f>INDEX(Ops!$E$10:$BL$10,1,$B16)</f>
        <v/>
      </c>
      <c r="L16" s="56">
        <f>$C16*INDEX(Curves!$D$8:$D$68,L$4-$B16+1)</f>
        <v/>
      </c>
      <c r="M16" s="56">
        <f>$C16*INDEX(Curves!$D$8:$D$68,M$4-$B16+1)</f>
        <v/>
      </c>
      <c r="N16" s="56">
        <f>$C16*INDEX(Curves!$D$8:$D$68,N$4-$B16+1)</f>
        <v/>
      </c>
      <c r="O16" s="56">
        <f>$C16*INDEX(Curves!$D$8:$D$68,O$4-$B16+1)</f>
        <v/>
      </c>
      <c r="P16" s="56">
        <f>$C16*INDEX(Curves!$D$8:$D$68,P$4-$B16+1)</f>
        <v/>
      </c>
      <c r="Q16" s="56">
        <f>$C16*INDEX(Curves!$D$8:$D$68,Q$4-$B16+1)</f>
        <v/>
      </c>
      <c r="R16" s="56">
        <f>$C16*INDEX(Curves!$D$8:$D$68,R$4-$B16+1)</f>
        <v/>
      </c>
      <c r="S16" s="56">
        <f>$C16*INDEX(Curves!$D$8:$D$68,S$4-$B16+1)</f>
        <v/>
      </c>
      <c r="T16" s="56">
        <f>$C16*INDEX(Curves!$D$8:$D$68,T$4-$B16+1)</f>
        <v/>
      </c>
      <c r="U16" s="56">
        <f>$C16*INDEX(Curves!$D$8:$D$68,U$4-$B16+1)</f>
        <v/>
      </c>
      <c r="V16" s="56">
        <f>$C16*INDEX(Curves!$D$8:$D$68,V$4-$B16+1)</f>
        <v/>
      </c>
      <c r="W16" s="56">
        <f>$C16*INDEX(Curves!$D$8:$D$68,W$4-$B16+1)</f>
        <v/>
      </c>
      <c r="X16" s="56">
        <f>$C16*INDEX(Curves!$D$8:$D$68,X$4-$B16+1)</f>
        <v/>
      </c>
      <c r="Y16" s="56">
        <f>$C16*INDEX(Curves!$D$8:$D$68,Y$4-$B16+1)</f>
        <v/>
      </c>
      <c r="Z16" s="56">
        <f>$C16*INDEX(Curves!$D$8:$D$68,Z$4-$B16+1)</f>
        <v/>
      </c>
      <c r="AA16" s="56">
        <f>$C16*INDEX(Curves!$D$8:$D$68,AA$4-$B16+1)</f>
        <v/>
      </c>
      <c r="AB16" s="56">
        <f>$C16*INDEX(Curves!$D$8:$D$68,AB$4-$B16+1)</f>
        <v/>
      </c>
      <c r="AC16" s="56">
        <f>$C16*INDEX(Curves!$D$8:$D$68,AC$4-$B16+1)</f>
        <v/>
      </c>
      <c r="AD16" s="56">
        <f>$C16*INDEX(Curves!$D$8:$D$68,AD$4-$B16+1)</f>
        <v/>
      </c>
      <c r="AE16" s="56">
        <f>$C16*INDEX(Curves!$D$8:$D$68,AE$4-$B16+1)</f>
        <v/>
      </c>
      <c r="AF16" s="56">
        <f>$C16*INDEX(Curves!$D$8:$D$68,AF$4-$B16+1)</f>
        <v/>
      </c>
      <c r="AG16" s="56">
        <f>$C16*INDEX(Curves!$D$8:$D$68,AG$4-$B16+1)</f>
        <v/>
      </c>
      <c r="AH16" s="56">
        <f>$C16*INDEX(Curves!$D$8:$D$68,AH$4-$B16+1)</f>
        <v/>
      </c>
      <c r="AI16" s="56">
        <f>$C16*INDEX(Curves!$D$8:$D$68,AI$4-$B16+1)</f>
        <v/>
      </c>
      <c r="AJ16" s="56">
        <f>$C16*INDEX(Curves!$D$8:$D$68,AJ$4-$B16+1)</f>
        <v/>
      </c>
      <c r="AK16" s="56">
        <f>$C16*INDEX(Curves!$D$8:$D$68,AK$4-$B16+1)</f>
        <v/>
      </c>
      <c r="AL16" s="56">
        <f>$C16*INDEX(Curves!$D$8:$D$68,AL$4-$B16+1)</f>
        <v/>
      </c>
      <c r="AM16" s="56">
        <f>$C16*INDEX(Curves!$D$8:$D$68,AM$4-$B16+1)</f>
        <v/>
      </c>
      <c r="AN16" s="56">
        <f>$C16*INDEX(Curves!$D$8:$D$68,AN$4-$B16+1)</f>
        <v/>
      </c>
      <c r="AO16" s="56">
        <f>$C16*INDEX(Curves!$D$8:$D$68,AO$4-$B16+1)</f>
        <v/>
      </c>
      <c r="AP16" s="56">
        <f>$C16*INDEX(Curves!$D$8:$D$68,AP$4-$B16+1)</f>
        <v/>
      </c>
      <c r="AQ16" s="56">
        <f>$C16*INDEX(Curves!$D$8:$D$68,AQ$4-$B16+1)</f>
        <v/>
      </c>
      <c r="AR16" s="56">
        <f>$C16*INDEX(Curves!$D$8:$D$68,AR$4-$B16+1)</f>
        <v/>
      </c>
      <c r="AS16" s="56">
        <f>$C16*INDEX(Curves!$D$8:$D$68,AS$4-$B16+1)</f>
        <v/>
      </c>
      <c r="AT16" s="56">
        <f>$C16*INDEX(Curves!$D$8:$D$68,AT$4-$B16+1)</f>
        <v/>
      </c>
      <c r="AU16" s="56">
        <f>$C16*INDEX(Curves!$D$8:$D$68,AU$4-$B16+1)</f>
        <v/>
      </c>
      <c r="AV16" s="56">
        <f>$C16*INDEX(Curves!$D$8:$D$68,AV$4-$B16+1)</f>
        <v/>
      </c>
      <c r="AW16" s="56">
        <f>$C16*INDEX(Curves!$D$8:$D$68,AW$4-$B16+1)</f>
        <v/>
      </c>
      <c r="AX16" s="56">
        <f>$C16*INDEX(Curves!$D$8:$D$68,AX$4-$B16+1)</f>
        <v/>
      </c>
      <c r="AY16" s="56">
        <f>$C16*INDEX(Curves!$D$8:$D$68,AY$4-$B16+1)</f>
        <v/>
      </c>
      <c r="AZ16" s="56">
        <f>$C16*INDEX(Curves!$D$8:$D$68,AZ$4-$B16+1)</f>
        <v/>
      </c>
      <c r="BA16" s="56">
        <f>$C16*INDEX(Curves!$D$8:$D$68,BA$4-$B16+1)</f>
        <v/>
      </c>
      <c r="BB16" s="56">
        <f>$C16*INDEX(Curves!$D$8:$D$68,BB$4-$B16+1)</f>
        <v/>
      </c>
      <c r="BC16" s="56">
        <f>$C16*INDEX(Curves!$D$8:$D$68,BC$4-$B16+1)</f>
        <v/>
      </c>
      <c r="BD16" s="56">
        <f>$C16*INDEX(Curves!$D$8:$D$68,BD$4-$B16+1)</f>
        <v/>
      </c>
      <c r="BE16" s="56">
        <f>$C16*INDEX(Curves!$D$8:$D$68,BE$4-$B16+1)</f>
        <v/>
      </c>
      <c r="BF16" s="56">
        <f>$C16*INDEX(Curves!$D$8:$D$68,BF$4-$B16+1)</f>
        <v/>
      </c>
      <c r="BG16" s="56">
        <f>$C16*INDEX(Curves!$D$8:$D$68,BG$4-$B16+1)</f>
        <v/>
      </c>
      <c r="BH16" s="56">
        <f>$C16*INDEX(Curves!$D$8:$D$68,BH$4-$B16+1)</f>
        <v/>
      </c>
      <c r="BI16" s="56">
        <f>$C16*INDEX(Curves!$D$8:$D$68,BI$4-$B16+1)</f>
        <v/>
      </c>
      <c r="BJ16" s="56">
        <f>$C16*INDEX(Curves!$D$8:$D$68,BJ$4-$B16+1)</f>
        <v/>
      </c>
      <c r="BK16" s="56">
        <f>$C16*INDEX(Curves!$D$8:$D$68,BK$4-$B16+1)</f>
        <v/>
      </c>
      <c r="BL16" s="56">
        <f>$C16*INDEX(Curves!$D$8:$D$68,BL$4-$B16+1)</f>
        <v/>
      </c>
    </row>
    <row r="17">
      <c r="A17" s="55" t="inlineStr">
        <is>
          <t>Cohort month 8</t>
        </is>
      </c>
      <c r="B17" s="55" t="n">
        <v>8</v>
      </c>
      <c r="C17" s="46">
        <f>INDEX(Ops!$E$10:$BL$10,1,$B17)</f>
        <v/>
      </c>
      <c r="M17" s="56">
        <f>$C17*INDEX(Curves!$D$8:$D$68,M$4-$B17+1)</f>
        <v/>
      </c>
      <c r="N17" s="56">
        <f>$C17*INDEX(Curves!$D$8:$D$68,N$4-$B17+1)</f>
        <v/>
      </c>
      <c r="O17" s="56">
        <f>$C17*INDEX(Curves!$D$8:$D$68,O$4-$B17+1)</f>
        <v/>
      </c>
      <c r="P17" s="56">
        <f>$C17*INDEX(Curves!$D$8:$D$68,P$4-$B17+1)</f>
        <v/>
      </c>
      <c r="Q17" s="56">
        <f>$C17*INDEX(Curves!$D$8:$D$68,Q$4-$B17+1)</f>
        <v/>
      </c>
      <c r="R17" s="56">
        <f>$C17*INDEX(Curves!$D$8:$D$68,R$4-$B17+1)</f>
        <v/>
      </c>
      <c r="S17" s="56">
        <f>$C17*INDEX(Curves!$D$8:$D$68,S$4-$B17+1)</f>
        <v/>
      </c>
      <c r="T17" s="56">
        <f>$C17*INDEX(Curves!$D$8:$D$68,T$4-$B17+1)</f>
        <v/>
      </c>
      <c r="U17" s="56">
        <f>$C17*INDEX(Curves!$D$8:$D$68,U$4-$B17+1)</f>
        <v/>
      </c>
      <c r="V17" s="56">
        <f>$C17*INDEX(Curves!$D$8:$D$68,V$4-$B17+1)</f>
        <v/>
      </c>
      <c r="W17" s="56">
        <f>$C17*INDEX(Curves!$D$8:$D$68,W$4-$B17+1)</f>
        <v/>
      </c>
      <c r="X17" s="56">
        <f>$C17*INDEX(Curves!$D$8:$D$68,X$4-$B17+1)</f>
        <v/>
      </c>
      <c r="Y17" s="56">
        <f>$C17*INDEX(Curves!$D$8:$D$68,Y$4-$B17+1)</f>
        <v/>
      </c>
      <c r="Z17" s="56">
        <f>$C17*INDEX(Curves!$D$8:$D$68,Z$4-$B17+1)</f>
        <v/>
      </c>
      <c r="AA17" s="56">
        <f>$C17*INDEX(Curves!$D$8:$D$68,AA$4-$B17+1)</f>
        <v/>
      </c>
      <c r="AB17" s="56">
        <f>$C17*INDEX(Curves!$D$8:$D$68,AB$4-$B17+1)</f>
        <v/>
      </c>
      <c r="AC17" s="56">
        <f>$C17*INDEX(Curves!$D$8:$D$68,AC$4-$B17+1)</f>
        <v/>
      </c>
      <c r="AD17" s="56">
        <f>$C17*INDEX(Curves!$D$8:$D$68,AD$4-$B17+1)</f>
        <v/>
      </c>
      <c r="AE17" s="56">
        <f>$C17*INDEX(Curves!$D$8:$D$68,AE$4-$B17+1)</f>
        <v/>
      </c>
      <c r="AF17" s="56">
        <f>$C17*INDEX(Curves!$D$8:$D$68,AF$4-$B17+1)</f>
        <v/>
      </c>
      <c r="AG17" s="56">
        <f>$C17*INDEX(Curves!$D$8:$D$68,AG$4-$B17+1)</f>
        <v/>
      </c>
      <c r="AH17" s="56">
        <f>$C17*INDEX(Curves!$D$8:$D$68,AH$4-$B17+1)</f>
        <v/>
      </c>
      <c r="AI17" s="56">
        <f>$C17*INDEX(Curves!$D$8:$D$68,AI$4-$B17+1)</f>
        <v/>
      </c>
      <c r="AJ17" s="56">
        <f>$C17*INDEX(Curves!$D$8:$D$68,AJ$4-$B17+1)</f>
        <v/>
      </c>
      <c r="AK17" s="56">
        <f>$C17*INDEX(Curves!$D$8:$D$68,AK$4-$B17+1)</f>
        <v/>
      </c>
      <c r="AL17" s="56">
        <f>$C17*INDEX(Curves!$D$8:$D$68,AL$4-$B17+1)</f>
        <v/>
      </c>
      <c r="AM17" s="56">
        <f>$C17*INDEX(Curves!$D$8:$D$68,AM$4-$B17+1)</f>
        <v/>
      </c>
      <c r="AN17" s="56">
        <f>$C17*INDEX(Curves!$D$8:$D$68,AN$4-$B17+1)</f>
        <v/>
      </c>
      <c r="AO17" s="56">
        <f>$C17*INDEX(Curves!$D$8:$D$68,AO$4-$B17+1)</f>
        <v/>
      </c>
      <c r="AP17" s="56">
        <f>$C17*INDEX(Curves!$D$8:$D$68,AP$4-$B17+1)</f>
        <v/>
      </c>
      <c r="AQ17" s="56">
        <f>$C17*INDEX(Curves!$D$8:$D$68,AQ$4-$B17+1)</f>
        <v/>
      </c>
      <c r="AR17" s="56">
        <f>$C17*INDEX(Curves!$D$8:$D$68,AR$4-$B17+1)</f>
        <v/>
      </c>
      <c r="AS17" s="56">
        <f>$C17*INDEX(Curves!$D$8:$D$68,AS$4-$B17+1)</f>
        <v/>
      </c>
      <c r="AT17" s="56">
        <f>$C17*INDEX(Curves!$D$8:$D$68,AT$4-$B17+1)</f>
        <v/>
      </c>
      <c r="AU17" s="56">
        <f>$C17*INDEX(Curves!$D$8:$D$68,AU$4-$B17+1)</f>
        <v/>
      </c>
      <c r="AV17" s="56">
        <f>$C17*INDEX(Curves!$D$8:$D$68,AV$4-$B17+1)</f>
        <v/>
      </c>
      <c r="AW17" s="56">
        <f>$C17*INDEX(Curves!$D$8:$D$68,AW$4-$B17+1)</f>
        <v/>
      </c>
      <c r="AX17" s="56">
        <f>$C17*INDEX(Curves!$D$8:$D$68,AX$4-$B17+1)</f>
        <v/>
      </c>
      <c r="AY17" s="56">
        <f>$C17*INDEX(Curves!$D$8:$D$68,AY$4-$B17+1)</f>
        <v/>
      </c>
      <c r="AZ17" s="56">
        <f>$C17*INDEX(Curves!$D$8:$D$68,AZ$4-$B17+1)</f>
        <v/>
      </c>
      <c r="BA17" s="56">
        <f>$C17*INDEX(Curves!$D$8:$D$68,BA$4-$B17+1)</f>
        <v/>
      </c>
      <c r="BB17" s="56">
        <f>$C17*INDEX(Curves!$D$8:$D$68,BB$4-$B17+1)</f>
        <v/>
      </c>
      <c r="BC17" s="56">
        <f>$C17*INDEX(Curves!$D$8:$D$68,BC$4-$B17+1)</f>
        <v/>
      </c>
      <c r="BD17" s="56">
        <f>$C17*INDEX(Curves!$D$8:$D$68,BD$4-$B17+1)</f>
        <v/>
      </c>
      <c r="BE17" s="56">
        <f>$C17*INDEX(Curves!$D$8:$D$68,BE$4-$B17+1)</f>
        <v/>
      </c>
      <c r="BF17" s="56">
        <f>$C17*INDEX(Curves!$D$8:$D$68,BF$4-$B17+1)</f>
        <v/>
      </c>
      <c r="BG17" s="56">
        <f>$C17*INDEX(Curves!$D$8:$D$68,BG$4-$B17+1)</f>
        <v/>
      </c>
      <c r="BH17" s="56">
        <f>$C17*INDEX(Curves!$D$8:$D$68,BH$4-$B17+1)</f>
        <v/>
      </c>
      <c r="BI17" s="56">
        <f>$C17*INDEX(Curves!$D$8:$D$68,BI$4-$B17+1)</f>
        <v/>
      </c>
      <c r="BJ17" s="56">
        <f>$C17*INDEX(Curves!$D$8:$D$68,BJ$4-$B17+1)</f>
        <v/>
      </c>
      <c r="BK17" s="56">
        <f>$C17*INDEX(Curves!$D$8:$D$68,BK$4-$B17+1)</f>
        <v/>
      </c>
      <c r="BL17" s="56">
        <f>$C17*INDEX(Curves!$D$8:$D$68,BL$4-$B17+1)</f>
        <v/>
      </c>
    </row>
    <row r="18">
      <c r="A18" s="55" t="inlineStr">
        <is>
          <t>Cohort month 9</t>
        </is>
      </c>
      <c r="B18" s="55" t="n">
        <v>9</v>
      </c>
      <c r="C18" s="46">
        <f>INDEX(Ops!$E$10:$BL$10,1,$B18)</f>
        <v/>
      </c>
      <c r="N18" s="56">
        <f>$C18*INDEX(Curves!$D$8:$D$68,N$4-$B18+1)</f>
        <v/>
      </c>
      <c r="O18" s="56">
        <f>$C18*INDEX(Curves!$D$8:$D$68,O$4-$B18+1)</f>
        <v/>
      </c>
      <c r="P18" s="56">
        <f>$C18*INDEX(Curves!$D$8:$D$68,P$4-$B18+1)</f>
        <v/>
      </c>
      <c r="Q18" s="56">
        <f>$C18*INDEX(Curves!$D$8:$D$68,Q$4-$B18+1)</f>
        <v/>
      </c>
      <c r="R18" s="56">
        <f>$C18*INDEX(Curves!$D$8:$D$68,R$4-$B18+1)</f>
        <v/>
      </c>
      <c r="S18" s="56">
        <f>$C18*INDEX(Curves!$D$8:$D$68,S$4-$B18+1)</f>
        <v/>
      </c>
      <c r="T18" s="56">
        <f>$C18*INDEX(Curves!$D$8:$D$68,T$4-$B18+1)</f>
        <v/>
      </c>
      <c r="U18" s="56">
        <f>$C18*INDEX(Curves!$D$8:$D$68,U$4-$B18+1)</f>
        <v/>
      </c>
      <c r="V18" s="56">
        <f>$C18*INDEX(Curves!$D$8:$D$68,V$4-$B18+1)</f>
        <v/>
      </c>
      <c r="W18" s="56">
        <f>$C18*INDEX(Curves!$D$8:$D$68,W$4-$B18+1)</f>
        <v/>
      </c>
      <c r="X18" s="56">
        <f>$C18*INDEX(Curves!$D$8:$D$68,X$4-$B18+1)</f>
        <v/>
      </c>
      <c r="Y18" s="56">
        <f>$C18*INDEX(Curves!$D$8:$D$68,Y$4-$B18+1)</f>
        <v/>
      </c>
      <c r="Z18" s="56">
        <f>$C18*INDEX(Curves!$D$8:$D$68,Z$4-$B18+1)</f>
        <v/>
      </c>
      <c r="AA18" s="56">
        <f>$C18*INDEX(Curves!$D$8:$D$68,AA$4-$B18+1)</f>
        <v/>
      </c>
      <c r="AB18" s="56">
        <f>$C18*INDEX(Curves!$D$8:$D$68,AB$4-$B18+1)</f>
        <v/>
      </c>
      <c r="AC18" s="56">
        <f>$C18*INDEX(Curves!$D$8:$D$68,AC$4-$B18+1)</f>
        <v/>
      </c>
      <c r="AD18" s="56">
        <f>$C18*INDEX(Curves!$D$8:$D$68,AD$4-$B18+1)</f>
        <v/>
      </c>
      <c r="AE18" s="56">
        <f>$C18*INDEX(Curves!$D$8:$D$68,AE$4-$B18+1)</f>
        <v/>
      </c>
      <c r="AF18" s="56">
        <f>$C18*INDEX(Curves!$D$8:$D$68,AF$4-$B18+1)</f>
        <v/>
      </c>
      <c r="AG18" s="56">
        <f>$C18*INDEX(Curves!$D$8:$D$68,AG$4-$B18+1)</f>
        <v/>
      </c>
      <c r="AH18" s="56">
        <f>$C18*INDEX(Curves!$D$8:$D$68,AH$4-$B18+1)</f>
        <v/>
      </c>
      <c r="AI18" s="56">
        <f>$C18*INDEX(Curves!$D$8:$D$68,AI$4-$B18+1)</f>
        <v/>
      </c>
      <c r="AJ18" s="56">
        <f>$C18*INDEX(Curves!$D$8:$D$68,AJ$4-$B18+1)</f>
        <v/>
      </c>
      <c r="AK18" s="56">
        <f>$C18*INDEX(Curves!$D$8:$D$68,AK$4-$B18+1)</f>
        <v/>
      </c>
      <c r="AL18" s="56">
        <f>$C18*INDEX(Curves!$D$8:$D$68,AL$4-$B18+1)</f>
        <v/>
      </c>
      <c r="AM18" s="56">
        <f>$C18*INDEX(Curves!$D$8:$D$68,AM$4-$B18+1)</f>
        <v/>
      </c>
      <c r="AN18" s="56">
        <f>$C18*INDEX(Curves!$D$8:$D$68,AN$4-$B18+1)</f>
        <v/>
      </c>
      <c r="AO18" s="56">
        <f>$C18*INDEX(Curves!$D$8:$D$68,AO$4-$B18+1)</f>
        <v/>
      </c>
      <c r="AP18" s="56">
        <f>$C18*INDEX(Curves!$D$8:$D$68,AP$4-$B18+1)</f>
        <v/>
      </c>
      <c r="AQ18" s="56">
        <f>$C18*INDEX(Curves!$D$8:$D$68,AQ$4-$B18+1)</f>
        <v/>
      </c>
      <c r="AR18" s="56">
        <f>$C18*INDEX(Curves!$D$8:$D$68,AR$4-$B18+1)</f>
        <v/>
      </c>
      <c r="AS18" s="56">
        <f>$C18*INDEX(Curves!$D$8:$D$68,AS$4-$B18+1)</f>
        <v/>
      </c>
      <c r="AT18" s="56">
        <f>$C18*INDEX(Curves!$D$8:$D$68,AT$4-$B18+1)</f>
        <v/>
      </c>
      <c r="AU18" s="56">
        <f>$C18*INDEX(Curves!$D$8:$D$68,AU$4-$B18+1)</f>
        <v/>
      </c>
      <c r="AV18" s="56">
        <f>$C18*INDEX(Curves!$D$8:$D$68,AV$4-$B18+1)</f>
        <v/>
      </c>
      <c r="AW18" s="56">
        <f>$C18*INDEX(Curves!$D$8:$D$68,AW$4-$B18+1)</f>
        <v/>
      </c>
      <c r="AX18" s="56">
        <f>$C18*INDEX(Curves!$D$8:$D$68,AX$4-$B18+1)</f>
        <v/>
      </c>
      <c r="AY18" s="56">
        <f>$C18*INDEX(Curves!$D$8:$D$68,AY$4-$B18+1)</f>
        <v/>
      </c>
      <c r="AZ18" s="56">
        <f>$C18*INDEX(Curves!$D$8:$D$68,AZ$4-$B18+1)</f>
        <v/>
      </c>
      <c r="BA18" s="56">
        <f>$C18*INDEX(Curves!$D$8:$D$68,BA$4-$B18+1)</f>
        <v/>
      </c>
      <c r="BB18" s="56">
        <f>$C18*INDEX(Curves!$D$8:$D$68,BB$4-$B18+1)</f>
        <v/>
      </c>
      <c r="BC18" s="56">
        <f>$C18*INDEX(Curves!$D$8:$D$68,BC$4-$B18+1)</f>
        <v/>
      </c>
      <c r="BD18" s="56">
        <f>$C18*INDEX(Curves!$D$8:$D$68,BD$4-$B18+1)</f>
        <v/>
      </c>
      <c r="BE18" s="56">
        <f>$C18*INDEX(Curves!$D$8:$D$68,BE$4-$B18+1)</f>
        <v/>
      </c>
      <c r="BF18" s="56">
        <f>$C18*INDEX(Curves!$D$8:$D$68,BF$4-$B18+1)</f>
        <v/>
      </c>
      <c r="BG18" s="56">
        <f>$C18*INDEX(Curves!$D$8:$D$68,BG$4-$B18+1)</f>
        <v/>
      </c>
      <c r="BH18" s="56">
        <f>$C18*INDEX(Curves!$D$8:$D$68,BH$4-$B18+1)</f>
        <v/>
      </c>
      <c r="BI18" s="56">
        <f>$C18*INDEX(Curves!$D$8:$D$68,BI$4-$B18+1)</f>
        <v/>
      </c>
      <c r="BJ18" s="56">
        <f>$C18*INDEX(Curves!$D$8:$D$68,BJ$4-$B18+1)</f>
        <v/>
      </c>
      <c r="BK18" s="56">
        <f>$C18*INDEX(Curves!$D$8:$D$68,BK$4-$B18+1)</f>
        <v/>
      </c>
      <c r="BL18" s="56">
        <f>$C18*INDEX(Curves!$D$8:$D$68,BL$4-$B18+1)</f>
        <v/>
      </c>
    </row>
    <row r="19">
      <c r="A19" s="55" t="inlineStr">
        <is>
          <t>Cohort month 10</t>
        </is>
      </c>
      <c r="B19" s="55" t="n">
        <v>10</v>
      </c>
      <c r="C19" s="46">
        <f>INDEX(Ops!$E$10:$BL$10,1,$B19)</f>
        <v/>
      </c>
      <c r="O19" s="56">
        <f>$C19*INDEX(Curves!$D$8:$D$68,O$4-$B19+1)</f>
        <v/>
      </c>
      <c r="P19" s="56">
        <f>$C19*INDEX(Curves!$D$8:$D$68,P$4-$B19+1)</f>
        <v/>
      </c>
      <c r="Q19" s="56">
        <f>$C19*INDEX(Curves!$D$8:$D$68,Q$4-$B19+1)</f>
        <v/>
      </c>
      <c r="R19" s="56">
        <f>$C19*INDEX(Curves!$D$8:$D$68,R$4-$B19+1)</f>
        <v/>
      </c>
      <c r="S19" s="56">
        <f>$C19*INDEX(Curves!$D$8:$D$68,S$4-$B19+1)</f>
        <v/>
      </c>
      <c r="T19" s="56">
        <f>$C19*INDEX(Curves!$D$8:$D$68,T$4-$B19+1)</f>
        <v/>
      </c>
      <c r="U19" s="56">
        <f>$C19*INDEX(Curves!$D$8:$D$68,U$4-$B19+1)</f>
        <v/>
      </c>
      <c r="V19" s="56">
        <f>$C19*INDEX(Curves!$D$8:$D$68,V$4-$B19+1)</f>
        <v/>
      </c>
      <c r="W19" s="56">
        <f>$C19*INDEX(Curves!$D$8:$D$68,W$4-$B19+1)</f>
        <v/>
      </c>
      <c r="X19" s="56">
        <f>$C19*INDEX(Curves!$D$8:$D$68,X$4-$B19+1)</f>
        <v/>
      </c>
      <c r="Y19" s="56">
        <f>$C19*INDEX(Curves!$D$8:$D$68,Y$4-$B19+1)</f>
        <v/>
      </c>
      <c r="Z19" s="56">
        <f>$C19*INDEX(Curves!$D$8:$D$68,Z$4-$B19+1)</f>
        <v/>
      </c>
      <c r="AA19" s="56">
        <f>$C19*INDEX(Curves!$D$8:$D$68,AA$4-$B19+1)</f>
        <v/>
      </c>
      <c r="AB19" s="56">
        <f>$C19*INDEX(Curves!$D$8:$D$68,AB$4-$B19+1)</f>
        <v/>
      </c>
      <c r="AC19" s="56">
        <f>$C19*INDEX(Curves!$D$8:$D$68,AC$4-$B19+1)</f>
        <v/>
      </c>
      <c r="AD19" s="56">
        <f>$C19*INDEX(Curves!$D$8:$D$68,AD$4-$B19+1)</f>
        <v/>
      </c>
      <c r="AE19" s="56">
        <f>$C19*INDEX(Curves!$D$8:$D$68,AE$4-$B19+1)</f>
        <v/>
      </c>
      <c r="AF19" s="56">
        <f>$C19*INDEX(Curves!$D$8:$D$68,AF$4-$B19+1)</f>
        <v/>
      </c>
      <c r="AG19" s="56">
        <f>$C19*INDEX(Curves!$D$8:$D$68,AG$4-$B19+1)</f>
        <v/>
      </c>
      <c r="AH19" s="56">
        <f>$C19*INDEX(Curves!$D$8:$D$68,AH$4-$B19+1)</f>
        <v/>
      </c>
      <c r="AI19" s="56">
        <f>$C19*INDEX(Curves!$D$8:$D$68,AI$4-$B19+1)</f>
        <v/>
      </c>
      <c r="AJ19" s="56">
        <f>$C19*INDEX(Curves!$D$8:$D$68,AJ$4-$B19+1)</f>
        <v/>
      </c>
      <c r="AK19" s="56">
        <f>$C19*INDEX(Curves!$D$8:$D$68,AK$4-$B19+1)</f>
        <v/>
      </c>
      <c r="AL19" s="56">
        <f>$C19*INDEX(Curves!$D$8:$D$68,AL$4-$B19+1)</f>
        <v/>
      </c>
      <c r="AM19" s="56">
        <f>$C19*INDEX(Curves!$D$8:$D$68,AM$4-$B19+1)</f>
        <v/>
      </c>
      <c r="AN19" s="56">
        <f>$C19*INDEX(Curves!$D$8:$D$68,AN$4-$B19+1)</f>
        <v/>
      </c>
      <c r="AO19" s="56">
        <f>$C19*INDEX(Curves!$D$8:$D$68,AO$4-$B19+1)</f>
        <v/>
      </c>
      <c r="AP19" s="56">
        <f>$C19*INDEX(Curves!$D$8:$D$68,AP$4-$B19+1)</f>
        <v/>
      </c>
      <c r="AQ19" s="56">
        <f>$C19*INDEX(Curves!$D$8:$D$68,AQ$4-$B19+1)</f>
        <v/>
      </c>
      <c r="AR19" s="56">
        <f>$C19*INDEX(Curves!$D$8:$D$68,AR$4-$B19+1)</f>
        <v/>
      </c>
      <c r="AS19" s="56">
        <f>$C19*INDEX(Curves!$D$8:$D$68,AS$4-$B19+1)</f>
        <v/>
      </c>
      <c r="AT19" s="56">
        <f>$C19*INDEX(Curves!$D$8:$D$68,AT$4-$B19+1)</f>
        <v/>
      </c>
      <c r="AU19" s="56">
        <f>$C19*INDEX(Curves!$D$8:$D$68,AU$4-$B19+1)</f>
        <v/>
      </c>
      <c r="AV19" s="56">
        <f>$C19*INDEX(Curves!$D$8:$D$68,AV$4-$B19+1)</f>
        <v/>
      </c>
      <c r="AW19" s="56">
        <f>$C19*INDEX(Curves!$D$8:$D$68,AW$4-$B19+1)</f>
        <v/>
      </c>
      <c r="AX19" s="56">
        <f>$C19*INDEX(Curves!$D$8:$D$68,AX$4-$B19+1)</f>
        <v/>
      </c>
      <c r="AY19" s="56">
        <f>$C19*INDEX(Curves!$D$8:$D$68,AY$4-$B19+1)</f>
        <v/>
      </c>
      <c r="AZ19" s="56">
        <f>$C19*INDEX(Curves!$D$8:$D$68,AZ$4-$B19+1)</f>
        <v/>
      </c>
      <c r="BA19" s="56">
        <f>$C19*INDEX(Curves!$D$8:$D$68,BA$4-$B19+1)</f>
        <v/>
      </c>
      <c r="BB19" s="56">
        <f>$C19*INDEX(Curves!$D$8:$D$68,BB$4-$B19+1)</f>
        <v/>
      </c>
      <c r="BC19" s="56">
        <f>$C19*INDEX(Curves!$D$8:$D$68,BC$4-$B19+1)</f>
        <v/>
      </c>
      <c r="BD19" s="56">
        <f>$C19*INDEX(Curves!$D$8:$D$68,BD$4-$B19+1)</f>
        <v/>
      </c>
      <c r="BE19" s="56">
        <f>$C19*INDEX(Curves!$D$8:$D$68,BE$4-$B19+1)</f>
        <v/>
      </c>
      <c r="BF19" s="56">
        <f>$C19*INDEX(Curves!$D$8:$D$68,BF$4-$B19+1)</f>
        <v/>
      </c>
      <c r="BG19" s="56">
        <f>$C19*INDEX(Curves!$D$8:$D$68,BG$4-$B19+1)</f>
        <v/>
      </c>
      <c r="BH19" s="56">
        <f>$C19*INDEX(Curves!$D$8:$D$68,BH$4-$B19+1)</f>
        <v/>
      </c>
      <c r="BI19" s="56">
        <f>$C19*INDEX(Curves!$D$8:$D$68,BI$4-$B19+1)</f>
        <v/>
      </c>
      <c r="BJ19" s="56">
        <f>$C19*INDEX(Curves!$D$8:$D$68,BJ$4-$B19+1)</f>
        <v/>
      </c>
      <c r="BK19" s="56">
        <f>$C19*INDEX(Curves!$D$8:$D$68,BK$4-$B19+1)</f>
        <v/>
      </c>
      <c r="BL19" s="56">
        <f>$C19*INDEX(Curves!$D$8:$D$68,BL$4-$B19+1)</f>
        <v/>
      </c>
    </row>
    <row r="20">
      <c r="A20" s="55" t="inlineStr">
        <is>
          <t>Cohort month 11</t>
        </is>
      </c>
      <c r="B20" s="55" t="n">
        <v>11</v>
      </c>
      <c r="C20" s="46">
        <f>INDEX(Ops!$E$10:$BL$10,1,$B20)</f>
        <v/>
      </c>
      <c r="P20" s="56">
        <f>$C20*INDEX(Curves!$D$8:$D$68,P$4-$B20+1)</f>
        <v/>
      </c>
      <c r="Q20" s="56">
        <f>$C20*INDEX(Curves!$D$8:$D$68,Q$4-$B20+1)</f>
        <v/>
      </c>
      <c r="R20" s="56">
        <f>$C20*INDEX(Curves!$D$8:$D$68,R$4-$B20+1)</f>
        <v/>
      </c>
      <c r="S20" s="56">
        <f>$C20*INDEX(Curves!$D$8:$D$68,S$4-$B20+1)</f>
        <v/>
      </c>
      <c r="T20" s="56">
        <f>$C20*INDEX(Curves!$D$8:$D$68,T$4-$B20+1)</f>
        <v/>
      </c>
      <c r="U20" s="56">
        <f>$C20*INDEX(Curves!$D$8:$D$68,U$4-$B20+1)</f>
        <v/>
      </c>
      <c r="V20" s="56">
        <f>$C20*INDEX(Curves!$D$8:$D$68,V$4-$B20+1)</f>
        <v/>
      </c>
      <c r="W20" s="56">
        <f>$C20*INDEX(Curves!$D$8:$D$68,W$4-$B20+1)</f>
        <v/>
      </c>
      <c r="X20" s="56">
        <f>$C20*INDEX(Curves!$D$8:$D$68,X$4-$B20+1)</f>
        <v/>
      </c>
      <c r="Y20" s="56">
        <f>$C20*INDEX(Curves!$D$8:$D$68,Y$4-$B20+1)</f>
        <v/>
      </c>
      <c r="Z20" s="56">
        <f>$C20*INDEX(Curves!$D$8:$D$68,Z$4-$B20+1)</f>
        <v/>
      </c>
      <c r="AA20" s="56">
        <f>$C20*INDEX(Curves!$D$8:$D$68,AA$4-$B20+1)</f>
        <v/>
      </c>
      <c r="AB20" s="56">
        <f>$C20*INDEX(Curves!$D$8:$D$68,AB$4-$B20+1)</f>
        <v/>
      </c>
      <c r="AC20" s="56">
        <f>$C20*INDEX(Curves!$D$8:$D$68,AC$4-$B20+1)</f>
        <v/>
      </c>
      <c r="AD20" s="56">
        <f>$C20*INDEX(Curves!$D$8:$D$68,AD$4-$B20+1)</f>
        <v/>
      </c>
      <c r="AE20" s="56">
        <f>$C20*INDEX(Curves!$D$8:$D$68,AE$4-$B20+1)</f>
        <v/>
      </c>
      <c r="AF20" s="56">
        <f>$C20*INDEX(Curves!$D$8:$D$68,AF$4-$B20+1)</f>
        <v/>
      </c>
      <c r="AG20" s="56">
        <f>$C20*INDEX(Curves!$D$8:$D$68,AG$4-$B20+1)</f>
        <v/>
      </c>
      <c r="AH20" s="56">
        <f>$C20*INDEX(Curves!$D$8:$D$68,AH$4-$B20+1)</f>
        <v/>
      </c>
      <c r="AI20" s="56">
        <f>$C20*INDEX(Curves!$D$8:$D$68,AI$4-$B20+1)</f>
        <v/>
      </c>
      <c r="AJ20" s="56">
        <f>$C20*INDEX(Curves!$D$8:$D$68,AJ$4-$B20+1)</f>
        <v/>
      </c>
      <c r="AK20" s="56">
        <f>$C20*INDEX(Curves!$D$8:$D$68,AK$4-$B20+1)</f>
        <v/>
      </c>
      <c r="AL20" s="56">
        <f>$C20*INDEX(Curves!$D$8:$D$68,AL$4-$B20+1)</f>
        <v/>
      </c>
      <c r="AM20" s="56">
        <f>$C20*INDEX(Curves!$D$8:$D$68,AM$4-$B20+1)</f>
        <v/>
      </c>
      <c r="AN20" s="56">
        <f>$C20*INDEX(Curves!$D$8:$D$68,AN$4-$B20+1)</f>
        <v/>
      </c>
      <c r="AO20" s="56">
        <f>$C20*INDEX(Curves!$D$8:$D$68,AO$4-$B20+1)</f>
        <v/>
      </c>
      <c r="AP20" s="56">
        <f>$C20*INDEX(Curves!$D$8:$D$68,AP$4-$B20+1)</f>
        <v/>
      </c>
      <c r="AQ20" s="56">
        <f>$C20*INDEX(Curves!$D$8:$D$68,AQ$4-$B20+1)</f>
        <v/>
      </c>
      <c r="AR20" s="56">
        <f>$C20*INDEX(Curves!$D$8:$D$68,AR$4-$B20+1)</f>
        <v/>
      </c>
      <c r="AS20" s="56">
        <f>$C20*INDEX(Curves!$D$8:$D$68,AS$4-$B20+1)</f>
        <v/>
      </c>
      <c r="AT20" s="56">
        <f>$C20*INDEX(Curves!$D$8:$D$68,AT$4-$B20+1)</f>
        <v/>
      </c>
      <c r="AU20" s="56">
        <f>$C20*INDEX(Curves!$D$8:$D$68,AU$4-$B20+1)</f>
        <v/>
      </c>
      <c r="AV20" s="56">
        <f>$C20*INDEX(Curves!$D$8:$D$68,AV$4-$B20+1)</f>
        <v/>
      </c>
      <c r="AW20" s="56">
        <f>$C20*INDEX(Curves!$D$8:$D$68,AW$4-$B20+1)</f>
        <v/>
      </c>
      <c r="AX20" s="56">
        <f>$C20*INDEX(Curves!$D$8:$D$68,AX$4-$B20+1)</f>
        <v/>
      </c>
      <c r="AY20" s="56">
        <f>$C20*INDEX(Curves!$D$8:$D$68,AY$4-$B20+1)</f>
        <v/>
      </c>
      <c r="AZ20" s="56">
        <f>$C20*INDEX(Curves!$D$8:$D$68,AZ$4-$B20+1)</f>
        <v/>
      </c>
      <c r="BA20" s="56">
        <f>$C20*INDEX(Curves!$D$8:$D$68,BA$4-$B20+1)</f>
        <v/>
      </c>
      <c r="BB20" s="56">
        <f>$C20*INDEX(Curves!$D$8:$D$68,BB$4-$B20+1)</f>
        <v/>
      </c>
      <c r="BC20" s="56">
        <f>$C20*INDEX(Curves!$D$8:$D$68,BC$4-$B20+1)</f>
        <v/>
      </c>
      <c r="BD20" s="56">
        <f>$C20*INDEX(Curves!$D$8:$D$68,BD$4-$B20+1)</f>
        <v/>
      </c>
      <c r="BE20" s="56">
        <f>$C20*INDEX(Curves!$D$8:$D$68,BE$4-$B20+1)</f>
        <v/>
      </c>
      <c r="BF20" s="56">
        <f>$C20*INDEX(Curves!$D$8:$D$68,BF$4-$B20+1)</f>
        <v/>
      </c>
      <c r="BG20" s="56">
        <f>$C20*INDEX(Curves!$D$8:$D$68,BG$4-$B20+1)</f>
        <v/>
      </c>
      <c r="BH20" s="56">
        <f>$C20*INDEX(Curves!$D$8:$D$68,BH$4-$B20+1)</f>
        <v/>
      </c>
      <c r="BI20" s="56">
        <f>$C20*INDEX(Curves!$D$8:$D$68,BI$4-$B20+1)</f>
        <v/>
      </c>
      <c r="BJ20" s="56">
        <f>$C20*INDEX(Curves!$D$8:$D$68,BJ$4-$B20+1)</f>
        <v/>
      </c>
      <c r="BK20" s="56">
        <f>$C20*INDEX(Curves!$D$8:$D$68,BK$4-$B20+1)</f>
        <v/>
      </c>
      <c r="BL20" s="56">
        <f>$C20*INDEX(Curves!$D$8:$D$68,BL$4-$B20+1)</f>
        <v/>
      </c>
    </row>
    <row r="21">
      <c r="A21" s="55" t="inlineStr">
        <is>
          <t>Cohort month 12</t>
        </is>
      </c>
      <c r="B21" s="55" t="n">
        <v>12</v>
      </c>
      <c r="C21" s="46">
        <f>INDEX(Ops!$E$10:$BL$10,1,$B21)</f>
        <v/>
      </c>
      <c r="Q21" s="56">
        <f>$C21*INDEX(Curves!$D$8:$D$68,Q$4-$B21+1)</f>
        <v/>
      </c>
      <c r="R21" s="56">
        <f>$C21*INDEX(Curves!$D$8:$D$68,R$4-$B21+1)</f>
        <v/>
      </c>
      <c r="S21" s="56">
        <f>$C21*INDEX(Curves!$D$8:$D$68,S$4-$B21+1)</f>
        <v/>
      </c>
      <c r="T21" s="56">
        <f>$C21*INDEX(Curves!$D$8:$D$68,T$4-$B21+1)</f>
        <v/>
      </c>
      <c r="U21" s="56">
        <f>$C21*INDEX(Curves!$D$8:$D$68,U$4-$B21+1)</f>
        <v/>
      </c>
      <c r="V21" s="56">
        <f>$C21*INDEX(Curves!$D$8:$D$68,V$4-$B21+1)</f>
        <v/>
      </c>
      <c r="W21" s="56">
        <f>$C21*INDEX(Curves!$D$8:$D$68,W$4-$B21+1)</f>
        <v/>
      </c>
      <c r="X21" s="56">
        <f>$C21*INDEX(Curves!$D$8:$D$68,X$4-$B21+1)</f>
        <v/>
      </c>
      <c r="Y21" s="56">
        <f>$C21*INDEX(Curves!$D$8:$D$68,Y$4-$B21+1)</f>
        <v/>
      </c>
      <c r="Z21" s="56">
        <f>$C21*INDEX(Curves!$D$8:$D$68,Z$4-$B21+1)</f>
        <v/>
      </c>
      <c r="AA21" s="56">
        <f>$C21*INDEX(Curves!$D$8:$D$68,AA$4-$B21+1)</f>
        <v/>
      </c>
      <c r="AB21" s="56">
        <f>$C21*INDEX(Curves!$D$8:$D$68,AB$4-$B21+1)</f>
        <v/>
      </c>
      <c r="AC21" s="56">
        <f>$C21*INDEX(Curves!$D$8:$D$68,AC$4-$B21+1)</f>
        <v/>
      </c>
      <c r="AD21" s="56">
        <f>$C21*INDEX(Curves!$D$8:$D$68,AD$4-$B21+1)</f>
        <v/>
      </c>
      <c r="AE21" s="56">
        <f>$C21*INDEX(Curves!$D$8:$D$68,AE$4-$B21+1)</f>
        <v/>
      </c>
      <c r="AF21" s="56">
        <f>$C21*INDEX(Curves!$D$8:$D$68,AF$4-$B21+1)</f>
        <v/>
      </c>
      <c r="AG21" s="56">
        <f>$C21*INDEX(Curves!$D$8:$D$68,AG$4-$B21+1)</f>
        <v/>
      </c>
      <c r="AH21" s="56">
        <f>$C21*INDEX(Curves!$D$8:$D$68,AH$4-$B21+1)</f>
        <v/>
      </c>
      <c r="AI21" s="56">
        <f>$C21*INDEX(Curves!$D$8:$D$68,AI$4-$B21+1)</f>
        <v/>
      </c>
      <c r="AJ21" s="56">
        <f>$C21*INDEX(Curves!$D$8:$D$68,AJ$4-$B21+1)</f>
        <v/>
      </c>
      <c r="AK21" s="56">
        <f>$C21*INDEX(Curves!$D$8:$D$68,AK$4-$B21+1)</f>
        <v/>
      </c>
      <c r="AL21" s="56">
        <f>$C21*INDEX(Curves!$D$8:$D$68,AL$4-$B21+1)</f>
        <v/>
      </c>
      <c r="AM21" s="56">
        <f>$C21*INDEX(Curves!$D$8:$D$68,AM$4-$B21+1)</f>
        <v/>
      </c>
      <c r="AN21" s="56">
        <f>$C21*INDEX(Curves!$D$8:$D$68,AN$4-$B21+1)</f>
        <v/>
      </c>
      <c r="AO21" s="56">
        <f>$C21*INDEX(Curves!$D$8:$D$68,AO$4-$B21+1)</f>
        <v/>
      </c>
      <c r="AP21" s="56">
        <f>$C21*INDEX(Curves!$D$8:$D$68,AP$4-$B21+1)</f>
        <v/>
      </c>
      <c r="AQ21" s="56">
        <f>$C21*INDEX(Curves!$D$8:$D$68,AQ$4-$B21+1)</f>
        <v/>
      </c>
      <c r="AR21" s="56">
        <f>$C21*INDEX(Curves!$D$8:$D$68,AR$4-$B21+1)</f>
        <v/>
      </c>
      <c r="AS21" s="56">
        <f>$C21*INDEX(Curves!$D$8:$D$68,AS$4-$B21+1)</f>
        <v/>
      </c>
      <c r="AT21" s="56">
        <f>$C21*INDEX(Curves!$D$8:$D$68,AT$4-$B21+1)</f>
        <v/>
      </c>
      <c r="AU21" s="56">
        <f>$C21*INDEX(Curves!$D$8:$D$68,AU$4-$B21+1)</f>
        <v/>
      </c>
      <c r="AV21" s="56">
        <f>$C21*INDEX(Curves!$D$8:$D$68,AV$4-$B21+1)</f>
        <v/>
      </c>
      <c r="AW21" s="56">
        <f>$C21*INDEX(Curves!$D$8:$D$68,AW$4-$B21+1)</f>
        <v/>
      </c>
      <c r="AX21" s="56">
        <f>$C21*INDEX(Curves!$D$8:$D$68,AX$4-$B21+1)</f>
        <v/>
      </c>
      <c r="AY21" s="56">
        <f>$C21*INDEX(Curves!$D$8:$D$68,AY$4-$B21+1)</f>
        <v/>
      </c>
      <c r="AZ21" s="56">
        <f>$C21*INDEX(Curves!$D$8:$D$68,AZ$4-$B21+1)</f>
        <v/>
      </c>
      <c r="BA21" s="56">
        <f>$C21*INDEX(Curves!$D$8:$D$68,BA$4-$B21+1)</f>
        <v/>
      </c>
      <c r="BB21" s="56">
        <f>$C21*INDEX(Curves!$D$8:$D$68,BB$4-$B21+1)</f>
        <v/>
      </c>
      <c r="BC21" s="56">
        <f>$C21*INDEX(Curves!$D$8:$D$68,BC$4-$B21+1)</f>
        <v/>
      </c>
      <c r="BD21" s="56">
        <f>$C21*INDEX(Curves!$D$8:$D$68,BD$4-$B21+1)</f>
        <v/>
      </c>
      <c r="BE21" s="56">
        <f>$C21*INDEX(Curves!$D$8:$D$68,BE$4-$B21+1)</f>
        <v/>
      </c>
      <c r="BF21" s="56">
        <f>$C21*INDEX(Curves!$D$8:$D$68,BF$4-$B21+1)</f>
        <v/>
      </c>
      <c r="BG21" s="56">
        <f>$C21*INDEX(Curves!$D$8:$D$68,BG$4-$B21+1)</f>
        <v/>
      </c>
      <c r="BH21" s="56">
        <f>$C21*INDEX(Curves!$D$8:$D$68,BH$4-$B21+1)</f>
        <v/>
      </c>
      <c r="BI21" s="56">
        <f>$C21*INDEX(Curves!$D$8:$D$68,BI$4-$B21+1)</f>
        <v/>
      </c>
      <c r="BJ21" s="56">
        <f>$C21*INDEX(Curves!$D$8:$D$68,BJ$4-$B21+1)</f>
        <v/>
      </c>
      <c r="BK21" s="56">
        <f>$C21*INDEX(Curves!$D$8:$D$68,BK$4-$B21+1)</f>
        <v/>
      </c>
      <c r="BL21" s="56">
        <f>$C21*INDEX(Curves!$D$8:$D$68,BL$4-$B21+1)</f>
        <v/>
      </c>
    </row>
    <row r="22">
      <c r="A22" s="55" t="inlineStr">
        <is>
          <t>Cohort month 13</t>
        </is>
      </c>
      <c r="B22" s="55" t="n">
        <v>13</v>
      </c>
      <c r="C22" s="46">
        <f>INDEX(Ops!$E$10:$BL$10,1,$B22)</f>
        <v/>
      </c>
      <c r="R22" s="56">
        <f>$C22*INDEX(Curves!$D$8:$D$68,R$4-$B22+1)</f>
        <v/>
      </c>
      <c r="S22" s="56">
        <f>$C22*INDEX(Curves!$D$8:$D$68,S$4-$B22+1)</f>
        <v/>
      </c>
      <c r="T22" s="56">
        <f>$C22*INDEX(Curves!$D$8:$D$68,T$4-$B22+1)</f>
        <v/>
      </c>
      <c r="U22" s="56">
        <f>$C22*INDEX(Curves!$D$8:$D$68,U$4-$B22+1)</f>
        <v/>
      </c>
      <c r="V22" s="56">
        <f>$C22*INDEX(Curves!$D$8:$D$68,V$4-$B22+1)</f>
        <v/>
      </c>
      <c r="W22" s="56">
        <f>$C22*INDEX(Curves!$D$8:$D$68,W$4-$B22+1)</f>
        <v/>
      </c>
      <c r="X22" s="56">
        <f>$C22*INDEX(Curves!$D$8:$D$68,X$4-$B22+1)</f>
        <v/>
      </c>
      <c r="Y22" s="56">
        <f>$C22*INDEX(Curves!$D$8:$D$68,Y$4-$B22+1)</f>
        <v/>
      </c>
      <c r="Z22" s="56">
        <f>$C22*INDEX(Curves!$D$8:$D$68,Z$4-$B22+1)</f>
        <v/>
      </c>
      <c r="AA22" s="56">
        <f>$C22*INDEX(Curves!$D$8:$D$68,AA$4-$B22+1)</f>
        <v/>
      </c>
      <c r="AB22" s="56">
        <f>$C22*INDEX(Curves!$D$8:$D$68,AB$4-$B22+1)</f>
        <v/>
      </c>
      <c r="AC22" s="56">
        <f>$C22*INDEX(Curves!$D$8:$D$68,AC$4-$B22+1)</f>
        <v/>
      </c>
      <c r="AD22" s="56">
        <f>$C22*INDEX(Curves!$D$8:$D$68,AD$4-$B22+1)</f>
        <v/>
      </c>
      <c r="AE22" s="56">
        <f>$C22*INDEX(Curves!$D$8:$D$68,AE$4-$B22+1)</f>
        <v/>
      </c>
      <c r="AF22" s="56">
        <f>$C22*INDEX(Curves!$D$8:$D$68,AF$4-$B22+1)</f>
        <v/>
      </c>
      <c r="AG22" s="56">
        <f>$C22*INDEX(Curves!$D$8:$D$68,AG$4-$B22+1)</f>
        <v/>
      </c>
      <c r="AH22" s="56">
        <f>$C22*INDEX(Curves!$D$8:$D$68,AH$4-$B22+1)</f>
        <v/>
      </c>
      <c r="AI22" s="56">
        <f>$C22*INDEX(Curves!$D$8:$D$68,AI$4-$B22+1)</f>
        <v/>
      </c>
      <c r="AJ22" s="56">
        <f>$C22*INDEX(Curves!$D$8:$D$68,AJ$4-$B22+1)</f>
        <v/>
      </c>
      <c r="AK22" s="56">
        <f>$C22*INDEX(Curves!$D$8:$D$68,AK$4-$B22+1)</f>
        <v/>
      </c>
      <c r="AL22" s="56">
        <f>$C22*INDEX(Curves!$D$8:$D$68,AL$4-$B22+1)</f>
        <v/>
      </c>
      <c r="AM22" s="56">
        <f>$C22*INDEX(Curves!$D$8:$D$68,AM$4-$B22+1)</f>
        <v/>
      </c>
      <c r="AN22" s="56">
        <f>$C22*INDEX(Curves!$D$8:$D$68,AN$4-$B22+1)</f>
        <v/>
      </c>
      <c r="AO22" s="56">
        <f>$C22*INDEX(Curves!$D$8:$D$68,AO$4-$B22+1)</f>
        <v/>
      </c>
      <c r="AP22" s="56">
        <f>$C22*INDEX(Curves!$D$8:$D$68,AP$4-$B22+1)</f>
        <v/>
      </c>
      <c r="AQ22" s="56">
        <f>$C22*INDEX(Curves!$D$8:$D$68,AQ$4-$B22+1)</f>
        <v/>
      </c>
      <c r="AR22" s="56">
        <f>$C22*INDEX(Curves!$D$8:$D$68,AR$4-$B22+1)</f>
        <v/>
      </c>
      <c r="AS22" s="56">
        <f>$C22*INDEX(Curves!$D$8:$D$68,AS$4-$B22+1)</f>
        <v/>
      </c>
      <c r="AT22" s="56">
        <f>$C22*INDEX(Curves!$D$8:$D$68,AT$4-$B22+1)</f>
        <v/>
      </c>
      <c r="AU22" s="56">
        <f>$C22*INDEX(Curves!$D$8:$D$68,AU$4-$B22+1)</f>
        <v/>
      </c>
      <c r="AV22" s="56">
        <f>$C22*INDEX(Curves!$D$8:$D$68,AV$4-$B22+1)</f>
        <v/>
      </c>
      <c r="AW22" s="56">
        <f>$C22*INDEX(Curves!$D$8:$D$68,AW$4-$B22+1)</f>
        <v/>
      </c>
      <c r="AX22" s="56">
        <f>$C22*INDEX(Curves!$D$8:$D$68,AX$4-$B22+1)</f>
        <v/>
      </c>
      <c r="AY22" s="56">
        <f>$C22*INDEX(Curves!$D$8:$D$68,AY$4-$B22+1)</f>
        <v/>
      </c>
      <c r="AZ22" s="56">
        <f>$C22*INDEX(Curves!$D$8:$D$68,AZ$4-$B22+1)</f>
        <v/>
      </c>
      <c r="BA22" s="56">
        <f>$C22*INDEX(Curves!$D$8:$D$68,BA$4-$B22+1)</f>
        <v/>
      </c>
      <c r="BB22" s="56">
        <f>$C22*INDEX(Curves!$D$8:$D$68,BB$4-$B22+1)</f>
        <v/>
      </c>
      <c r="BC22" s="56">
        <f>$C22*INDEX(Curves!$D$8:$D$68,BC$4-$B22+1)</f>
        <v/>
      </c>
      <c r="BD22" s="56">
        <f>$C22*INDEX(Curves!$D$8:$D$68,BD$4-$B22+1)</f>
        <v/>
      </c>
      <c r="BE22" s="56">
        <f>$C22*INDEX(Curves!$D$8:$D$68,BE$4-$B22+1)</f>
        <v/>
      </c>
      <c r="BF22" s="56">
        <f>$C22*INDEX(Curves!$D$8:$D$68,BF$4-$B22+1)</f>
        <v/>
      </c>
      <c r="BG22" s="56">
        <f>$C22*INDEX(Curves!$D$8:$D$68,BG$4-$B22+1)</f>
        <v/>
      </c>
      <c r="BH22" s="56">
        <f>$C22*INDEX(Curves!$D$8:$D$68,BH$4-$B22+1)</f>
        <v/>
      </c>
      <c r="BI22" s="56">
        <f>$C22*INDEX(Curves!$D$8:$D$68,BI$4-$B22+1)</f>
        <v/>
      </c>
      <c r="BJ22" s="56">
        <f>$C22*INDEX(Curves!$D$8:$D$68,BJ$4-$B22+1)</f>
        <v/>
      </c>
      <c r="BK22" s="56">
        <f>$C22*INDEX(Curves!$D$8:$D$68,BK$4-$B22+1)</f>
        <v/>
      </c>
      <c r="BL22" s="56">
        <f>$C22*INDEX(Curves!$D$8:$D$68,BL$4-$B22+1)</f>
        <v/>
      </c>
    </row>
    <row r="23">
      <c r="A23" s="55" t="inlineStr">
        <is>
          <t>Cohort month 14</t>
        </is>
      </c>
      <c r="B23" s="55" t="n">
        <v>14</v>
      </c>
      <c r="C23" s="46">
        <f>INDEX(Ops!$E$10:$BL$10,1,$B23)</f>
        <v/>
      </c>
      <c r="S23" s="56">
        <f>$C23*INDEX(Curves!$D$8:$D$68,S$4-$B23+1)</f>
        <v/>
      </c>
      <c r="T23" s="56">
        <f>$C23*INDEX(Curves!$D$8:$D$68,T$4-$B23+1)</f>
        <v/>
      </c>
      <c r="U23" s="56">
        <f>$C23*INDEX(Curves!$D$8:$D$68,U$4-$B23+1)</f>
        <v/>
      </c>
      <c r="V23" s="56">
        <f>$C23*INDEX(Curves!$D$8:$D$68,V$4-$B23+1)</f>
        <v/>
      </c>
      <c r="W23" s="56">
        <f>$C23*INDEX(Curves!$D$8:$D$68,W$4-$B23+1)</f>
        <v/>
      </c>
      <c r="X23" s="56">
        <f>$C23*INDEX(Curves!$D$8:$D$68,X$4-$B23+1)</f>
        <v/>
      </c>
      <c r="Y23" s="56">
        <f>$C23*INDEX(Curves!$D$8:$D$68,Y$4-$B23+1)</f>
        <v/>
      </c>
      <c r="Z23" s="56">
        <f>$C23*INDEX(Curves!$D$8:$D$68,Z$4-$B23+1)</f>
        <v/>
      </c>
      <c r="AA23" s="56">
        <f>$C23*INDEX(Curves!$D$8:$D$68,AA$4-$B23+1)</f>
        <v/>
      </c>
      <c r="AB23" s="56">
        <f>$C23*INDEX(Curves!$D$8:$D$68,AB$4-$B23+1)</f>
        <v/>
      </c>
      <c r="AC23" s="56">
        <f>$C23*INDEX(Curves!$D$8:$D$68,AC$4-$B23+1)</f>
        <v/>
      </c>
      <c r="AD23" s="56">
        <f>$C23*INDEX(Curves!$D$8:$D$68,AD$4-$B23+1)</f>
        <v/>
      </c>
      <c r="AE23" s="56">
        <f>$C23*INDEX(Curves!$D$8:$D$68,AE$4-$B23+1)</f>
        <v/>
      </c>
      <c r="AF23" s="56">
        <f>$C23*INDEX(Curves!$D$8:$D$68,AF$4-$B23+1)</f>
        <v/>
      </c>
      <c r="AG23" s="56">
        <f>$C23*INDEX(Curves!$D$8:$D$68,AG$4-$B23+1)</f>
        <v/>
      </c>
      <c r="AH23" s="56">
        <f>$C23*INDEX(Curves!$D$8:$D$68,AH$4-$B23+1)</f>
        <v/>
      </c>
      <c r="AI23" s="56">
        <f>$C23*INDEX(Curves!$D$8:$D$68,AI$4-$B23+1)</f>
        <v/>
      </c>
      <c r="AJ23" s="56">
        <f>$C23*INDEX(Curves!$D$8:$D$68,AJ$4-$B23+1)</f>
        <v/>
      </c>
      <c r="AK23" s="56">
        <f>$C23*INDEX(Curves!$D$8:$D$68,AK$4-$B23+1)</f>
        <v/>
      </c>
      <c r="AL23" s="56">
        <f>$C23*INDEX(Curves!$D$8:$D$68,AL$4-$B23+1)</f>
        <v/>
      </c>
      <c r="AM23" s="56">
        <f>$C23*INDEX(Curves!$D$8:$D$68,AM$4-$B23+1)</f>
        <v/>
      </c>
      <c r="AN23" s="56">
        <f>$C23*INDEX(Curves!$D$8:$D$68,AN$4-$B23+1)</f>
        <v/>
      </c>
      <c r="AO23" s="56">
        <f>$C23*INDEX(Curves!$D$8:$D$68,AO$4-$B23+1)</f>
        <v/>
      </c>
      <c r="AP23" s="56">
        <f>$C23*INDEX(Curves!$D$8:$D$68,AP$4-$B23+1)</f>
        <v/>
      </c>
      <c r="AQ23" s="56">
        <f>$C23*INDEX(Curves!$D$8:$D$68,AQ$4-$B23+1)</f>
        <v/>
      </c>
      <c r="AR23" s="56">
        <f>$C23*INDEX(Curves!$D$8:$D$68,AR$4-$B23+1)</f>
        <v/>
      </c>
      <c r="AS23" s="56">
        <f>$C23*INDEX(Curves!$D$8:$D$68,AS$4-$B23+1)</f>
        <v/>
      </c>
      <c r="AT23" s="56">
        <f>$C23*INDEX(Curves!$D$8:$D$68,AT$4-$B23+1)</f>
        <v/>
      </c>
      <c r="AU23" s="56">
        <f>$C23*INDEX(Curves!$D$8:$D$68,AU$4-$B23+1)</f>
        <v/>
      </c>
      <c r="AV23" s="56">
        <f>$C23*INDEX(Curves!$D$8:$D$68,AV$4-$B23+1)</f>
        <v/>
      </c>
      <c r="AW23" s="56">
        <f>$C23*INDEX(Curves!$D$8:$D$68,AW$4-$B23+1)</f>
        <v/>
      </c>
      <c r="AX23" s="56">
        <f>$C23*INDEX(Curves!$D$8:$D$68,AX$4-$B23+1)</f>
        <v/>
      </c>
      <c r="AY23" s="56">
        <f>$C23*INDEX(Curves!$D$8:$D$68,AY$4-$B23+1)</f>
        <v/>
      </c>
      <c r="AZ23" s="56">
        <f>$C23*INDEX(Curves!$D$8:$D$68,AZ$4-$B23+1)</f>
        <v/>
      </c>
      <c r="BA23" s="56">
        <f>$C23*INDEX(Curves!$D$8:$D$68,BA$4-$B23+1)</f>
        <v/>
      </c>
      <c r="BB23" s="56">
        <f>$C23*INDEX(Curves!$D$8:$D$68,BB$4-$B23+1)</f>
        <v/>
      </c>
      <c r="BC23" s="56">
        <f>$C23*INDEX(Curves!$D$8:$D$68,BC$4-$B23+1)</f>
        <v/>
      </c>
      <c r="BD23" s="56">
        <f>$C23*INDEX(Curves!$D$8:$D$68,BD$4-$B23+1)</f>
        <v/>
      </c>
      <c r="BE23" s="56">
        <f>$C23*INDEX(Curves!$D$8:$D$68,BE$4-$B23+1)</f>
        <v/>
      </c>
      <c r="BF23" s="56">
        <f>$C23*INDEX(Curves!$D$8:$D$68,BF$4-$B23+1)</f>
        <v/>
      </c>
      <c r="BG23" s="56">
        <f>$C23*INDEX(Curves!$D$8:$D$68,BG$4-$B23+1)</f>
        <v/>
      </c>
      <c r="BH23" s="56">
        <f>$C23*INDEX(Curves!$D$8:$D$68,BH$4-$B23+1)</f>
        <v/>
      </c>
      <c r="BI23" s="56">
        <f>$C23*INDEX(Curves!$D$8:$D$68,BI$4-$B23+1)</f>
        <v/>
      </c>
      <c r="BJ23" s="56">
        <f>$C23*INDEX(Curves!$D$8:$D$68,BJ$4-$B23+1)</f>
        <v/>
      </c>
      <c r="BK23" s="56">
        <f>$C23*INDEX(Curves!$D$8:$D$68,BK$4-$B23+1)</f>
        <v/>
      </c>
      <c r="BL23" s="56">
        <f>$C23*INDEX(Curves!$D$8:$D$68,BL$4-$B23+1)</f>
        <v/>
      </c>
    </row>
    <row r="24">
      <c r="A24" s="55" t="inlineStr">
        <is>
          <t>Cohort month 15</t>
        </is>
      </c>
      <c r="B24" s="55" t="n">
        <v>15</v>
      </c>
      <c r="C24" s="46">
        <f>INDEX(Ops!$E$10:$BL$10,1,$B24)</f>
        <v/>
      </c>
      <c r="T24" s="56">
        <f>$C24*INDEX(Curves!$D$8:$D$68,T$4-$B24+1)</f>
        <v/>
      </c>
      <c r="U24" s="56">
        <f>$C24*INDEX(Curves!$D$8:$D$68,U$4-$B24+1)</f>
        <v/>
      </c>
      <c r="V24" s="56">
        <f>$C24*INDEX(Curves!$D$8:$D$68,V$4-$B24+1)</f>
        <v/>
      </c>
      <c r="W24" s="56">
        <f>$C24*INDEX(Curves!$D$8:$D$68,W$4-$B24+1)</f>
        <v/>
      </c>
      <c r="X24" s="56">
        <f>$C24*INDEX(Curves!$D$8:$D$68,X$4-$B24+1)</f>
        <v/>
      </c>
      <c r="Y24" s="56">
        <f>$C24*INDEX(Curves!$D$8:$D$68,Y$4-$B24+1)</f>
        <v/>
      </c>
      <c r="Z24" s="56">
        <f>$C24*INDEX(Curves!$D$8:$D$68,Z$4-$B24+1)</f>
        <v/>
      </c>
      <c r="AA24" s="56">
        <f>$C24*INDEX(Curves!$D$8:$D$68,AA$4-$B24+1)</f>
        <v/>
      </c>
      <c r="AB24" s="56">
        <f>$C24*INDEX(Curves!$D$8:$D$68,AB$4-$B24+1)</f>
        <v/>
      </c>
      <c r="AC24" s="56">
        <f>$C24*INDEX(Curves!$D$8:$D$68,AC$4-$B24+1)</f>
        <v/>
      </c>
      <c r="AD24" s="56">
        <f>$C24*INDEX(Curves!$D$8:$D$68,AD$4-$B24+1)</f>
        <v/>
      </c>
      <c r="AE24" s="56">
        <f>$C24*INDEX(Curves!$D$8:$D$68,AE$4-$B24+1)</f>
        <v/>
      </c>
      <c r="AF24" s="56">
        <f>$C24*INDEX(Curves!$D$8:$D$68,AF$4-$B24+1)</f>
        <v/>
      </c>
      <c r="AG24" s="56">
        <f>$C24*INDEX(Curves!$D$8:$D$68,AG$4-$B24+1)</f>
        <v/>
      </c>
      <c r="AH24" s="56">
        <f>$C24*INDEX(Curves!$D$8:$D$68,AH$4-$B24+1)</f>
        <v/>
      </c>
      <c r="AI24" s="56">
        <f>$C24*INDEX(Curves!$D$8:$D$68,AI$4-$B24+1)</f>
        <v/>
      </c>
      <c r="AJ24" s="56">
        <f>$C24*INDEX(Curves!$D$8:$D$68,AJ$4-$B24+1)</f>
        <v/>
      </c>
      <c r="AK24" s="56">
        <f>$C24*INDEX(Curves!$D$8:$D$68,AK$4-$B24+1)</f>
        <v/>
      </c>
      <c r="AL24" s="56">
        <f>$C24*INDEX(Curves!$D$8:$D$68,AL$4-$B24+1)</f>
        <v/>
      </c>
      <c r="AM24" s="56">
        <f>$C24*INDEX(Curves!$D$8:$D$68,AM$4-$B24+1)</f>
        <v/>
      </c>
      <c r="AN24" s="56">
        <f>$C24*INDEX(Curves!$D$8:$D$68,AN$4-$B24+1)</f>
        <v/>
      </c>
      <c r="AO24" s="56">
        <f>$C24*INDEX(Curves!$D$8:$D$68,AO$4-$B24+1)</f>
        <v/>
      </c>
      <c r="AP24" s="56">
        <f>$C24*INDEX(Curves!$D$8:$D$68,AP$4-$B24+1)</f>
        <v/>
      </c>
      <c r="AQ24" s="56">
        <f>$C24*INDEX(Curves!$D$8:$D$68,AQ$4-$B24+1)</f>
        <v/>
      </c>
      <c r="AR24" s="56">
        <f>$C24*INDEX(Curves!$D$8:$D$68,AR$4-$B24+1)</f>
        <v/>
      </c>
      <c r="AS24" s="56">
        <f>$C24*INDEX(Curves!$D$8:$D$68,AS$4-$B24+1)</f>
        <v/>
      </c>
      <c r="AT24" s="56">
        <f>$C24*INDEX(Curves!$D$8:$D$68,AT$4-$B24+1)</f>
        <v/>
      </c>
      <c r="AU24" s="56">
        <f>$C24*INDEX(Curves!$D$8:$D$68,AU$4-$B24+1)</f>
        <v/>
      </c>
      <c r="AV24" s="56">
        <f>$C24*INDEX(Curves!$D$8:$D$68,AV$4-$B24+1)</f>
        <v/>
      </c>
      <c r="AW24" s="56">
        <f>$C24*INDEX(Curves!$D$8:$D$68,AW$4-$B24+1)</f>
        <v/>
      </c>
      <c r="AX24" s="56">
        <f>$C24*INDEX(Curves!$D$8:$D$68,AX$4-$B24+1)</f>
        <v/>
      </c>
      <c r="AY24" s="56">
        <f>$C24*INDEX(Curves!$D$8:$D$68,AY$4-$B24+1)</f>
        <v/>
      </c>
      <c r="AZ24" s="56">
        <f>$C24*INDEX(Curves!$D$8:$D$68,AZ$4-$B24+1)</f>
        <v/>
      </c>
      <c r="BA24" s="56">
        <f>$C24*INDEX(Curves!$D$8:$D$68,BA$4-$B24+1)</f>
        <v/>
      </c>
      <c r="BB24" s="56">
        <f>$C24*INDEX(Curves!$D$8:$D$68,BB$4-$B24+1)</f>
        <v/>
      </c>
      <c r="BC24" s="56">
        <f>$C24*INDEX(Curves!$D$8:$D$68,BC$4-$B24+1)</f>
        <v/>
      </c>
      <c r="BD24" s="56">
        <f>$C24*INDEX(Curves!$D$8:$D$68,BD$4-$B24+1)</f>
        <v/>
      </c>
      <c r="BE24" s="56">
        <f>$C24*INDEX(Curves!$D$8:$D$68,BE$4-$B24+1)</f>
        <v/>
      </c>
      <c r="BF24" s="56">
        <f>$C24*INDEX(Curves!$D$8:$D$68,BF$4-$B24+1)</f>
        <v/>
      </c>
      <c r="BG24" s="56">
        <f>$C24*INDEX(Curves!$D$8:$D$68,BG$4-$B24+1)</f>
        <v/>
      </c>
      <c r="BH24" s="56">
        <f>$C24*INDEX(Curves!$D$8:$D$68,BH$4-$B24+1)</f>
        <v/>
      </c>
      <c r="BI24" s="56">
        <f>$C24*INDEX(Curves!$D$8:$D$68,BI$4-$B24+1)</f>
        <v/>
      </c>
      <c r="BJ24" s="56">
        <f>$C24*INDEX(Curves!$D$8:$D$68,BJ$4-$B24+1)</f>
        <v/>
      </c>
      <c r="BK24" s="56">
        <f>$C24*INDEX(Curves!$D$8:$D$68,BK$4-$B24+1)</f>
        <v/>
      </c>
      <c r="BL24" s="56">
        <f>$C24*INDEX(Curves!$D$8:$D$68,BL$4-$B24+1)</f>
        <v/>
      </c>
    </row>
    <row r="25">
      <c r="A25" s="55" t="inlineStr">
        <is>
          <t>Cohort month 16</t>
        </is>
      </c>
      <c r="B25" s="55" t="n">
        <v>16</v>
      </c>
      <c r="C25" s="46">
        <f>INDEX(Ops!$E$10:$BL$10,1,$B25)</f>
        <v/>
      </c>
      <c r="U25" s="56">
        <f>$C25*INDEX(Curves!$D$8:$D$68,U$4-$B25+1)</f>
        <v/>
      </c>
      <c r="V25" s="56">
        <f>$C25*INDEX(Curves!$D$8:$D$68,V$4-$B25+1)</f>
        <v/>
      </c>
      <c r="W25" s="56">
        <f>$C25*INDEX(Curves!$D$8:$D$68,W$4-$B25+1)</f>
        <v/>
      </c>
      <c r="X25" s="56">
        <f>$C25*INDEX(Curves!$D$8:$D$68,X$4-$B25+1)</f>
        <v/>
      </c>
      <c r="Y25" s="56">
        <f>$C25*INDEX(Curves!$D$8:$D$68,Y$4-$B25+1)</f>
        <v/>
      </c>
      <c r="Z25" s="56">
        <f>$C25*INDEX(Curves!$D$8:$D$68,Z$4-$B25+1)</f>
        <v/>
      </c>
      <c r="AA25" s="56">
        <f>$C25*INDEX(Curves!$D$8:$D$68,AA$4-$B25+1)</f>
        <v/>
      </c>
      <c r="AB25" s="56">
        <f>$C25*INDEX(Curves!$D$8:$D$68,AB$4-$B25+1)</f>
        <v/>
      </c>
      <c r="AC25" s="56">
        <f>$C25*INDEX(Curves!$D$8:$D$68,AC$4-$B25+1)</f>
        <v/>
      </c>
      <c r="AD25" s="56">
        <f>$C25*INDEX(Curves!$D$8:$D$68,AD$4-$B25+1)</f>
        <v/>
      </c>
      <c r="AE25" s="56">
        <f>$C25*INDEX(Curves!$D$8:$D$68,AE$4-$B25+1)</f>
        <v/>
      </c>
      <c r="AF25" s="56">
        <f>$C25*INDEX(Curves!$D$8:$D$68,AF$4-$B25+1)</f>
        <v/>
      </c>
      <c r="AG25" s="56">
        <f>$C25*INDEX(Curves!$D$8:$D$68,AG$4-$B25+1)</f>
        <v/>
      </c>
      <c r="AH25" s="56">
        <f>$C25*INDEX(Curves!$D$8:$D$68,AH$4-$B25+1)</f>
        <v/>
      </c>
      <c r="AI25" s="56">
        <f>$C25*INDEX(Curves!$D$8:$D$68,AI$4-$B25+1)</f>
        <v/>
      </c>
      <c r="AJ25" s="56">
        <f>$C25*INDEX(Curves!$D$8:$D$68,AJ$4-$B25+1)</f>
        <v/>
      </c>
      <c r="AK25" s="56">
        <f>$C25*INDEX(Curves!$D$8:$D$68,AK$4-$B25+1)</f>
        <v/>
      </c>
      <c r="AL25" s="56">
        <f>$C25*INDEX(Curves!$D$8:$D$68,AL$4-$B25+1)</f>
        <v/>
      </c>
      <c r="AM25" s="56">
        <f>$C25*INDEX(Curves!$D$8:$D$68,AM$4-$B25+1)</f>
        <v/>
      </c>
      <c r="AN25" s="56">
        <f>$C25*INDEX(Curves!$D$8:$D$68,AN$4-$B25+1)</f>
        <v/>
      </c>
      <c r="AO25" s="56">
        <f>$C25*INDEX(Curves!$D$8:$D$68,AO$4-$B25+1)</f>
        <v/>
      </c>
      <c r="AP25" s="56">
        <f>$C25*INDEX(Curves!$D$8:$D$68,AP$4-$B25+1)</f>
        <v/>
      </c>
      <c r="AQ25" s="56">
        <f>$C25*INDEX(Curves!$D$8:$D$68,AQ$4-$B25+1)</f>
        <v/>
      </c>
      <c r="AR25" s="56">
        <f>$C25*INDEX(Curves!$D$8:$D$68,AR$4-$B25+1)</f>
        <v/>
      </c>
      <c r="AS25" s="56">
        <f>$C25*INDEX(Curves!$D$8:$D$68,AS$4-$B25+1)</f>
        <v/>
      </c>
      <c r="AT25" s="56">
        <f>$C25*INDEX(Curves!$D$8:$D$68,AT$4-$B25+1)</f>
        <v/>
      </c>
      <c r="AU25" s="56">
        <f>$C25*INDEX(Curves!$D$8:$D$68,AU$4-$B25+1)</f>
        <v/>
      </c>
      <c r="AV25" s="56">
        <f>$C25*INDEX(Curves!$D$8:$D$68,AV$4-$B25+1)</f>
        <v/>
      </c>
      <c r="AW25" s="56">
        <f>$C25*INDEX(Curves!$D$8:$D$68,AW$4-$B25+1)</f>
        <v/>
      </c>
      <c r="AX25" s="56">
        <f>$C25*INDEX(Curves!$D$8:$D$68,AX$4-$B25+1)</f>
        <v/>
      </c>
      <c r="AY25" s="56">
        <f>$C25*INDEX(Curves!$D$8:$D$68,AY$4-$B25+1)</f>
        <v/>
      </c>
      <c r="AZ25" s="56">
        <f>$C25*INDEX(Curves!$D$8:$D$68,AZ$4-$B25+1)</f>
        <v/>
      </c>
      <c r="BA25" s="56">
        <f>$C25*INDEX(Curves!$D$8:$D$68,BA$4-$B25+1)</f>
        <v/>
      </c>
      <c r="BB25" s="56">
        <f>$C25*INDEX(Curves!$D$8:$D$68,BB$4-$B25+1)</f>
        <v/>
      </c>
      <c r="BC25" s="56">
        <f>$C25*INDEX(Curves!$D$8:$D$68,BC$4-$B25+1)</f>
        <v/>
      </c>
      <c r="BD25" s="56">
        <f>$C25*INDEX(Curves!$D$8:$D$68,BD$4-$B25+1)</f>
        <v/>
      </c>
      <c r="BE25" s="56">
        <f>$C25*INDEX(Curves!$D$8:$D$68,BE$4-$B25+1)</f>
        <v/>
      </c>
      <c r="BF25" s="56">
        <f>$C25*INDEX(Curves!$D$8:$D$68,BF$4-$B25+1)</f>
        <v/>
      </c>
      <c r="BG25" s="56">
        <f>$C25*INDEX(Curves!$D$8:$D$68,BG$4-$B25+1)</f>
        <v/>
      </c>
      <c r="BH25" s="56">
        <f>$C25*INDEX(Curves!$D$8:$D$68,BH$4-$B25+1)</f>
        <v/>
      </c>
      <c r="BI25" s="56">
        <f>$C25*INDEX(Curves!$D$8:$D$68,BI$4-$B25+1)</f>
        <v/>
      </c>
      <c r="BJ25" s="56">
        <f>$C25*INDEX(Curves!$D$8:$D$68,BJ$4-$B25+1)</f>
        <v/>
      </c>
      <c r="BK25" s="56">
        <f>$C25*INDEX(Curves!$D$8:$D$68,BK$4-$B25+1)</f>
        <v/>
      </c>
      <c r="BL25" s="56">
        <f>$C25*INDEX(Curves!$D$8:$D$68,BL$4-$B25+1)</f>
        <v/>
      </c>
    </row>
    <row r="26">
      <c r="A26" s="55" t="inlineStr">
        <is>
          <t>Cohort month 17</t>
        </is>
      </c>
      <c r="B26" s="55" t="n">
        <v>17</v>
      </c>
      <c r="C26" s="46">
        <f>INDEX(Ops!$E$10:$BL$10,1,$B26)</f>
        <v/>
      </c>
      <c r="V26" s="56">
        <f>$C26*INDEX(Curves!$D$8:$D$68,V$4-$B26+1)</f>
        <v/>
      </c>
      <c r="W26" s="56">
        <f>$C26*INDEX(Curves!$D$8:$D$68,W$4-$B26+1)</f>
        <v/>
      </c>
      <c r="X26" s="56">
        <f>$C26*INDEX(Curves!$D$8:$D$68,X$4-$B26+1)</f>
        <v/>
      </c>
      <c r="Y26" s="56">
        <f>$C26*INDEX(Curves!$D$8:$D$68,Y$4-$B26+1)</f>
        <v/>
      </c>
      <c r="Z26" s="56">
        <f>$C26*INDEX(Curves!$D$8:$D$68,Z$4-$B26+1)</f>
        <v/>
      </c>
      <c r="AA26" s="56">
        <f>$C26*INDEX(Curves!$D$8:$D$68,AA$4-$B26+1)</f>
        <v/>
      </c>
      <c r="AB26" s="56">
        <f>$C26*INDEX(Curves!$D$8:$D$68,AB$4-$B26+1)</f>
        <v/>
      </c>
      <c r="AC26" s="56">
        <f>$C26*INDEX(Curves!$D$8:$D$68,AC$4-$B26+1)</f>
        <v/>
      </c>
      <c r="AD26" s="56">
        <f>$C26*INDEX(Curves!$D$8:$D$68,AD$4-$B26+1)</f>
        <v/>
      </c>
      <c r="AE26" s="56">
        <f>$C26*INDEX(Curves!$D$8:$D$68,AE$4-$B26+1)</f>
        <v/>
      </c>
      <c r="AF26" s="56">
        <f>$C26*INDEX(Curves!$D$8:$D$68,AF$4-$B26+1)</f>
        <v/>
      </c>
      <c r="AG26" s="56">
        <f>$C26*INDEX(Curves!$D$8:$D$68,AG$4-$B26+1)</f>
        <v/>
      </c>
      <c r="AH26" s="56">
        <f>$C26*INDEX(Curves!$D$8:$D$68,AH$4-$B26+1)</f>
        <v/>
      </c>
      <c r="AI26" s="56">
        <f>$C26*INDEX(Curves!$D$8:$D$68,AI$4-$B26+1)</f>
        <v/>
      </c>
      <c r="AJ26" s="56">
        <f>$C26*INDEX(Curves!$D$8:$D$68,AJ$4-$B26+1)</f>
        <v/>
      </c>
      <c r="AK26" s="56">
        <f>$C26*INDEX(Curves!$D$8:$D$68,AK$4-$B26+1)</f>
        <v/>
      </c>
      <c r="AL26" s="56">
        <f>$C26*INDEX(Curves!$D$8:$D$68,AL$4-$B26+1)</f>
        <v/>
      </c>
      <c r="AM26" s="56">
        <f>$C26*INDEX(Curves!$D$8:$D$68,AM$4-$B26+1)</f>
        <v/>
      </c>
      <c r="AN26" s="56">
        <f>$C26*INDEX(Curves!$D$8:$D$68,AN$4-$B26+1)</f>
        <v/>
      </c>
      <c r="AO26" s="56">
        <f>$C26*INDEX(Curves!$D$8:$D$68,AO$4-$B26+1)</f>
        <v/>
      </c>
      <c r="AP26" s="56">
        <f>$C26*INDEX(Curves!$D$8:$D$68,AP$4-$B26+1)</f>
        <v/>
      </c>
      <c r="AQ26" s="56">
        <f>$C26*INDEX(Curves!$D$8:$D$68,AQ$4-$B26+1)</f>
        <v/>
      </c>
      <c r="AR26" s="56">
        <f>$C26*INDEX(Curves!$D$8:$D$68,AR$4-$B26+1)</f>
        <v/>
      </c>
      <c r="AS26" s="56">
        <f>$C26*INDEX(Curves!$D$8:$D$68,AS$4-$B26+1)</f>
        <v/>
      </c>
      <c r="AT26" s="56">
        <f>$C26*INDEX(Curves!$D$8:$D$68,AT$4-$B26+1)</f>
        <v/>
      </c>
      <c r="AU26" s="56">
        <f>$C26*INDEX(Curves!$D$8:$D$68,AU$4-$B26+1)</f>
        <v/>
      </c>
      <c r="AV26" s="56">
        <f>$C26*INDEX(Curves!$D$8:$D$68,AV$4-$B26+1)</f>
        <v/>
      </c>
      <c r="AW26" s="56">
        <f>$C26*INDEX(Curves!$D$8:$D$68,AW$4-$B26+1)</f>
        <v/>
      </c>
      <c r="AX26" s="56">
        <f>$C26*INDEX(Curves!$D$8:$D$68,AX$4-$B26+1)</f>
        <v/>
      </c>
      <c r="AY26" s="56">
        <f>$C26*INDEX(Curves!$D$8:$D$68,AY$4-$B26+1)</f>
        <v/>
      </c>
      <c r="AZ26" s="56">
        <f>$C26*INDEX(Curves!$D$8:$D$68,AZ$4-$B26+1)</f>
        <v/>
      </c>
      <c r="BA26" s="56">
        <f>$C26*INDEX(Curves!$D$8:$D$68,BA$4-$B26+1)</f>
        <v/>
      </c>
      <c r="BB26" s="56">
        <f>$C26*INDEX(Curves!$D$8:$D$68,BB$4-$B26+1)</f>
        <v/>
      </c>
      <c r="BC26" s="56">
        <f>$C26*INDEX(Curves!$D$8:$D$68,BC$4-$B26+1)</f>
        <v/>
      </c>
      <c r="BD26" s="56">
        <f>$C26*INDEX(Curves!$D$8:$D$68,BD$4-$B26+1)</f>
        <v/>
      </c>
      <c r="BE26" s="56">
        <f>$C26*INDEX(Curves!$D$8:$D$68,BE$4-$B26+1)</f>
        <v/>
      </c>
      <c r="BF26" s="56">
        <f>$C26*INDEX(Curves!$D$8:$D$68,BF$4-$B26+1)</f>
        <v/>
      </c>
      <c r="BG26" s="56">
        <f>$C26*INDEX(Curves!$D$8:$D$68,BG$4-$B26+1)</f>
        <v/>
      </c>
      <c r="BH26" s="56">
        <f>$C26*INDEX(Curves!$D$8:$D$68,BH$4-$B26+1)</f>
        <v/>
      </c>
      <c r="BI26" s="56">
        <f>$C26*INDEX(Curves!$D$8:$D$68,BI$4-$B26+1)</f>
        <v/>
      </c>
      <c r="BJ26" s="56">
        <f>$C26*INDEX(Curves!$D$8:$D$68,BJ$4-$B26+1)</f>
        <v/>
      </c>
      <c r="BK26" s="56">
        <f>$C26*INDEX(Curves!$D$8:$D$68,BK$4-$B26+1)</f>
        <v/>
      </c>
      <c r="BL26" s="56">
        <f>$C26*INDEX(Curves!$D$8:$D$68,BL$4-$B26+1)</f>
        <v/>
      </c>
    </row>
    <row r="27">
      <c r="A27" s="55" t="inlineStr">
        <is>
          <t>Cohort month 18</t>
        </is>
      </c>
      <c r="B27" s="55" t="n">
        <v>18</v>
      </c>
      <c r="C27" s="46">
        <f>INDEX(Ops!$E$10:$BL$10,1,$B27)</f>
        <v/>
      </c>
      <c r="W27" s="56">
        <f>$C27*INDEX(Curves!$D$8:$D$68,W$4-$B27+1)</f>
        <v/>
      </c>
      <c r="X27" s="56">
        <f>$C27*INDEX(Curves!$D$8:$D$68,X$4-$B27+1)</f>
        <v/>
      </c>
      <c r="Y27" s="56">
        <f>$C27*INDEX(Curves!$D$8:$D$68,Y$4-$B27+1)</f>
        <v/>
      </c>
      <c r="Z27" s="56">
        <f>$C27*INDEX(Curves!$D$8:$D$68,Z$4-$B27+1)</f>
        <v/>
      </c>
      <c r="AA27" s="56">
        <f>$C27*INDEX(Curves!$D$8:$D$68,AA$4-$B27+1)</f>
        <v/>
      </c>
      <c r="AB27" s="56">
        <f>$C27*INDEX(Curves!$D$8:$D$68,AB$4-$B27+1)</f>
        <v/>
      </c>
      <c r="AC27" s="56">
        <f>$C27*INDEX(Curves!$D$8:$D$68,AC$4-$B27+1)</f>
        <v/>
      </c>
      <c r="AD27" s="56">
        <f>$C27*INDEX(Curves!$D$8:$D$68,AD$4-$B27+1)</f>
        <v/>
      </c>
      <c r="AE27" s="56">
        <f>$C27*INDEX(Curves!$D$8:$D$68,AE$4-$B27+1)</f>
        <v/>
      </c>
      <c r="AF27" s="56">
        <f>$C27*INDEX(Curves!$D$8:$D$68,AF$4-$B27+1)</f>
        <v/>
      </c>
      <c r="AG27" s="56">
        <f>$C27*INDEX(Curves!$D$8:$D$68,AG$4-$B27+1)</f>
        <v/>
      </c>
      <c r="AH27" s="56">
        <f>$C27*INDEX(Curves!$D$8:$D$68,AH$4-$B27+1)</f>
        <v/>
      </c>
      <c r="AI27" s="56">
        <f>$C27*INDEX(Curves!$D$8:$D$68,AI$4-$B27+1)</f>
        <v/>
      </c>
      <c r="AJ27" s="56">
        <f>$C27*INDEX(Curves!$D$8:$D$68,AJ$4-$B27+1)</f>
        <v/>
      </c>
      <c r="AK27" s="56">
        <f>$C27*INDEX(Curves!$D$8:$D$68,AK$4-$B27+1)</f>
        <v/>
      </c>
      <c r="AL27" s="56">
        <f>$C27*INDEX(Curves!$D$8:$D$68,AL$4-$B27+1)</f>
        <v/>
      </c>
      <c r="AM27" s="56">
        <f>$C27*INDEX(Curves!$D$8:$D$68,AM$4-$B27+1)</f>
        <v/>
      </c>
      <c r="AN27" s="56">
        <f>$C27*INDEX(Curves!$D$8:$D$68,AN$4-$B27+1)</f>
        <v/>
      </c>
      <c r="AO27" s="56">
        <f>$C27*INDEX(Curves!$D$8:$D$68,AO$4-$B27+1)</f>
        <v/>
      </c>
      <c r="AP27" s="56">
        <f>$C27*INDEX(Curves!$D$8:$D$68,AP$4-$B27+1)</f>
        <v/>
      </c>
      <c r="AQ27" s="56">
        <f>$C27*INDEX(Curves!$D$8:$D$68,AQ$4-$B27+1)</f>
        <v/>
      </c>
      <c r="AR27" s="56">
        <f>$C27*INDEX(Curves!$D$8:$D$68,AR$4-$B27+1)</f>
        <v/>
      </c>
      <c r="AS27" s="56">
        <f>$C27*INDEX(Curves!$D$8:$D$68,AS$4-$B27+1)</f>
        <v/>
      </c>
      <c r="AT27" s="56">
        <f>$C27*INDEX(Curves!$D$8:$D$68,AT$4-$B27+1)</f>
        <v/>
      </c>
      <c r="AU27" s="56">
        <f>$C27*INDEX(Curves!$D$8:$D$68,AU$4-$B27+1)</f>
        <v/>
      </c>
      <c r="AV27" s="56">
        <f>$C27*INDEX(Curves!$D$8:$D$68,AV$4-$B27+1)</f>
        <v/>
      </c>
      <c r="AW27" s="56">
        <f>$C27*INDEX(Curves!$D$8:$D$68,AW$4-$B27+1)</f>
        <v/>
      </c>
      <c r="AX27" s="56">
        <f>$C27*INDEX(Curves!$D$8:$D$68,AX$4-$B27+1)</f>
        <v/>
      </c>
      <c r="AY27" s="56">
        <f>$C27*INDEX(Curves!$D$8:$D$68,AY$4-$B27+1)</f>
        <v/>
      </c>
      <c r="AZ27" s="56">
        <f>$C27*INDEX(Curves!$D$8:$D$68,AZ$4-$B27+1)</f>
        <v/>
      </c>
      <c r="BA27" s="56">
        <f>$C27*INDEX(Curves!$D$8:$D$68,BA$4-$B27+1)</f>
        <v/>
      </c>
      <c r="BB27" s="56">
        <f>$C27*INDEX(Curves!$D$8:$D$68,BB$4-$B27+1)</f>
        <v/>
      </c>
      <c r="BC27" s="56">
        <f>$C27*INDEX(Curves!$D$8:$D$68,BC$4-$B27+1)</f>
        <v/>
      </c>
      <c r="BD27" s="56">
        <f>$C27*INDEX(Curves!$D$8:$D$68,BD$4-$B27+1)</f>
        <v/>
      </c>
      <c r="BE27" s="56">
        <f>$C27*INDEX(Curves!$D$8:$D$68,BE$4-$B27+1)</f>
        <v/>
      </c>
      <c r="BF27" s="56">
        <f>$C27*INDEX(Curves!$D$8:$D$68,BF$4-$B27+1)</f>
        <v/>
      </c>
      <c r="BG27" s="56">
        <f>$C27*INDEX(Curves!$D$8:$D$68,BG$4-$B27+1)</f>
        <v/>
      </c>
      <c r="BH27" s="56">
        <f>$C27*INDEX(Curves!$D$8:$D$68,BH$4-$B27+1)</f>
        <v/>
      </c>
      <c r="BI27" s="56">
        <f>$C27*INDEX(Curves!$D$8:$D$68,BI$4-$B27+1)</f>
        <v/>
      </c>
      <c r="BJ27" s="56">
        <f>$C27*INDEX(Curves!$D$8:$D$68,BJ$4-$B27+1)</f>
        <v/>
      </c>
      <c r="BK27" s="56">
        <f>$C27*INDEX(Curves!$D$8:$D$68,BK$4-$B27+1)</f>
        <v/>
      </c>
      <c r="BL27" s="56">
        <f>$C27*INDEX(Curves!$D$8:$D$68,BL$4-$B27+1)</f>
        <v/>
      </c>
    </row>
    <row r="28">
      <c r="A28" s="55" t="inlineStr">
        <is>
          <t>Cohort month 19</t>
        </is>
      </c>
      <c r="B28" s="55" t="n">
        <v>19</v>
      </c>
      <c r="C28" s="46">
        <f>INDEX(Ops!$E$10:$BL$10,1,$B28)</f>
        <v/>
      </c>
      <c r="X28" s="56">
        <f>$C28*INDEX(Curves!$D$8:$D$68,X$4-$B28+1)</f>
        <v/>
      </c>
      <c r="Y28" s="56">
        <f>$C28*INDEX(Curves!$D$8:$D$68,Y$4-$B28+1)</f>
        <v/>
      </c>
      <c r="Z28" s="56">
        <f>$C28*INDEX(Curves!$D$8:$D$68,Z$4-$B28+1)</f>
        <v/>
      </c>
      <c r="AA28" s="56">
        <f>$C28*INDEX(Curves!$D$8:$D$68,AA$4-$B28+1)</f>
        <v/>
      </c>
      <c r="AB28" s="56">
        <f>$C28*INDEX(Curves!$D$8:$D$68,AB$4-$B28+1)</f>
        <v/>
      </c>
      <c r="AC28" s="56">
        <f>$C28*INDEX(Curves!$D$8:$D$68,AC$4-$B28+1)</f>
        <v/>
      </c>
      <c r="AD28" s="56">
        <f>$C28*INDEX(Curves!$D$8:$D$68,AD$4-$B28+1)</f>
        <v/>
      </c>
      <c r="AE28" s="56">
        <f>$C28*INDEX(Curves!$D$8:$D$68,AE$4-$B28+1)</f>
        <v/>
      </c>
      <c r="AF28" s="56">
        <f>$C28*INDEX(Curves!$D$8:$D$68,AF$4-$B28+1)</f>
        <v/>
      </c>
      <c r="AG28" s="56">
        <f>$C28*INDEX(Curves!$D$8:$D$68,AG$4-$B28+1)</f>
        <v/>
      </c>
      <c r="AH28" s="56">
        <f>$C28*INDEX(Curves!$D$8:$D$68,AH$4-$B28+1)</f>
        <v/>
      </c>
      <c r="AI28" s="56">
        <f>$C28*INDEX(Curves!$D$8:$D$68,AI$4-$B28+1)</f>
        <v/>
      </c>
      <c r="AJ28" s="56">
        <f>$C28*INDEX(Curves!$D$8:$D$68,AJ$4-$B28+1)</f>
        <v/>
      </c>
      <c r="AK28" s="56">
        <f>$C28*INDEX(Curves!$D$8:$D$68,AK$4-$B28+1)</f>
        <v/>
      </c>
      <c r="AL28" s="56">
        <f>$C28*INDEX(Curves!$D$8:$D$68,AL$4-$B28+1)</f>
        <v/>
      </c>
      <c r="AM28" s="56">
        <f>$C28*INDEX(Curves!$D$8:$D$68,AM$4-$B28+1)</f>
        <v/>
      </c>
      <c r="AN28" s="56">
        <f>$C28*INDEX(Curves!$D$8:$D$68,AN$4-$B28+1)</f>
        <v/>
      </c>
      <c r="AO28" s="56">
        <f>$C28*INDEX(Curves!$D$8:$D$68,AO$4-$B28+1)</f>
        <v/>
      </c>
      <c r="AP28" s="56">
        <f>$C28*INDEX(Curves!$D$8:$D$68,AP$4-$B28+1)</f>
        <v/>
      </c>
      <c r="AQ28" s="56">
        <f>$C28*INDEX(Curves!$D$8:$D$68,AQ$4-$B28+1)</f>
        <v/>
      </c>
      <c r="AR28" s="56">
        <f>$C28*INDEX(Curves!$D$8:$D$68,AR$4-$B28+1)</f>
        <v/>
      </c>
      <c r="AS28" s="56">
        <f>$C28*INDEX(Curves!$D$8:$D$68,AS$4-$B28+1)</f>
        <v/>
      </c>
      <c r="AT28" s="56">
        <f>$C28*INDEX(Curves!$D$8:$D$68,AT$4-$B28+1)</f>
        <v/>
      </c>
      <c r="AU28" s="56">
        <f>$C28*INDEX(Curves!$D$8:$D$68,AU$4-$B28+1)</f>
        <v/>
      </c>
      <c r="AV28" s="56">
        <f>$C28*INDEX(Curves!$D$8:$D$68,AV$4-$B28+1)</f>
        <v/>
      </c>
      <c r="AW28" s="56">
        <f>$C28*INDEX(Curves!$D$8:$D$68,AW$4-$B28+1)</f>
        <v/>
      </c>
      <c r="AX28" s="56">
        <f>$C28*INDEX(Curves!$D$8:$D$68,AX$4-$B28+1)</f>
        <v/>
      </c>
      <c r="AY28" s="56">
        <f>$C28*INDEX(Curves!$D$8:$D$68,AY$4-$B28+1)</f>
        <v/>
      </c>
      <c r="AZ28" s="56">
        <f>$C28*INDEX(Curves!$D$8:$D$68,AZ$4-$B28+1)</f>
        <v/>
      </c>
      <c r="BA28" s="56">
        <f>$C28*INDEX(Curves!$D$8:$D$68,BA$4-$B28+1)</f>
        <v/>
      </c>
      <c r="BB28" s="56">
        <f>$C28*INDEX(Curves!$D$8:$D$68,BB$4-$B28+1)</f>
        <v/>
      </c>
      <c r="BC28" s="56">
        <f>$C28*INDEX(Curves!$D$8:$D$68,BC$4-$B28+1)</f>
        <v/>
      </c>
      <c r="BD28" s="56">
        <f>$C28*INDEX(Curves!$D$8:$D$68,BD$4-$B28+1)</f>
        <v/>
      </c>
      <c r="BE28" s="56">
        <f>$C28*INDEX(Curves!$D$8:$D$68,BE$4-$B28+1)</f>
        <v/>
      </c>
      <c r="BF28" s="56">
        <f>$C28*INDEX(Curves!$D$8:$D$68,BF$4-$B28+1)</f>
        <v/>
      </c>
      <c r="BG28" s="56">
        <f>$C28*INDEX(Curves!$D$8:$D$68,BG$4-$B28+1)</f>
        <v/>
      </c>
      <c r="BH28" s="56">
        <f>$C28*INDEX(Curves!$D$8:$D$68,BH$4-$B28+1)</f>
        <v/>
      </c>
      <c r="BI28" s="56">
        <f>$C28*INDEX(Curves!$D$8:$D$68,BI$4-$B28+1)</f>
        <v/>
      </c>
      <c r="BJ28" s="56">
        <f>$C28*INDEX(Curves!$D$8:$D$68,BJ$4-$B28+1)</f>
        <v/>
      </c>
      <c r="BK28" s="56">
        <f>$C28*INDEX(Curves!$D$8:$D$68,BK$4-$B28+1)</f>
        <v/>
      </c>
      <c r="BL28" s="56">
        <f>$C28*INDEX(Curves!$D$8:$D$68,BL$4-$B28+1)</f>
        <v/>
      </c>
    </row>
    <row r="29">
      <c r="A29" s="55" t="inlineStr">
        <is>
          <t>Cohort month 20</t>
        </is>
      </c>
      <c r="B29" s="55" t="n">
        <v>20</v>
      </c>
      <c r="C29" s="46">
        <f>INDEX(Ops!$E$10:$BL$10,1,$B29)</f>
        <v/>
      </c>
      <c r="Y29" s="56">
        <f>$C29*INDEX(Curves!$D$8:$D$68,Y$4-$B29+1)</f>
        <v/>
      </c>
      <c r="Z29" s="56">
        <f>$C29*INDEX(Curves!$D$8:$D$68,Z$4-$B29+1)</f>
        <v/>
      </c>
      <c r="AA29" s="56">
        <f>$C29*INDEX(Curves!$D$8:$D$68,AA$4-$B29+1)</f>
        <v/>
      </c>
      <c r="AB29" s="56">
        <f>$C29*INDEX(Curves!$D$8:$D$68,AB$4-$B29+1)</f>
        <v/>
      </c>
      <c r="AC29" s="56">
        <f>$C29*INDEX(Curves!$D$8:$D$68,AC$4-$B29+1)</f>
        <v/>
      </c>
      <c r="AD29" s="56">
        <f>$C29*INDEX(Curves!$D$8:$D$68,AD$4-$B29+1)</f>
        <v/>
      </c>
      <c r="AE29" s="56">
        <f>$C29*INDEX(Curves!$D$8:$D$68,AE$4-$B29+1)</f>
        <v/>
      </c>
      <c r="AF29" s="56">
        <f>$C29*INDEX(Curves!$D$8:$D$68,AF$4-$B29+1)</f>
        <v/>
      </c>
      <c r="AG29" s="56">
        <f>$C29*INDEX(Curves!$D$8:$D$68,AG$4-$B29+1)</f>
        <v/>
      </c>
      <c r="AH29" s="56">
        <f>$C29*INDEX(Curves!$D$8:$D$68,AH$4-$B29+1)</f>
        <v/>
      </c>
      <c r="AI29" s="56">
        <f>$C29*INDEX(Curves!$D$8:$D$68,AI$4-$B29+1)</f>
        <v/>
      </c>
      <c r="AJ29" s="56">
        <f>$C29*INDEX(Curves!$D$8:$D$68,AJ$4-$B29+1)</f>
        <v/>
      </c>
      <c r="AK29" s="56">
        <f>$C29*INDEX(Curves!$D$8:$D$68,AK$4-$B29+1)</f>
        <v/>
      </c>
      <c r="AL29" s="56">
        <f>$C29*INDEX(Curves!$D$8:$D$68,AL$4-$B29+1)</f>
        <v/>
      </c>
      <c r="AM29" s="56">
        <f>$C29*INDEX(Curves!$D$8:$D$68,AM$4-$B29+1)</f>
        <v/>
      </c>
      <c r="AN29" s="56">
        <f>$C29*INDEX(Curves!$D$8:$D$68,AN$4-$B29+1)</f>
        <v/>
      </c>
      <c r="AO29" s="56">
        <f>$C29*INDEX(Curves!$D$8:$D$68,AO$4-$B29+1)</f>
        <v/>
      </c>
      <c r="AP29" s="56">
        <f>$C29*INDEX(Curves!$D$8:$D$68,AP$4-$B29+1)</f>
        <v/>
      </c>
      <c r="AQ29" s="56">
        <f>$C29*INDEX(Curves!$D$8:$D$68,AQ$4-$B29+1)</f>
        <v/>
      </c>
      <c r="AR29" s="56">
        <f>$C29*INDEX(Curves!$D$8:$D$68,AR$4-$B29+1)</f>
        <v/>
      </c>
      <c r="AS29" s="56">
        <f>$C29*INDEX(Curves!$D$8:$D$68,AS$4-$B29+1)</f>
        <v/>
      </c>
      <c r="AT29" s="56">
        <f>$C29*INDEX(Curves!$D$8:$D$68,AT$4-$B29+1)</f>
        <v/>
      </c>
      <c r="AU29" s="56">
        <f>$C29*INDEX(Curves!$D$8:$D$68,AU$4-$B29+1)</f>
        <v/>
      </c>
      <c r="AV29" s="56">
        <f>$C29*INDEX(Curves!$D$8:$D$68,AV$4-$B29+1)</f>
        <v/>
      </c>
      <c r="AW29" s="56">
        <f>$C29*INDEX(Curves!$D$8:$D$68,AW$4-$B29+1)</f>
        <v/>
      </c>
      <c r="AX29" s="56">
        <f>$C29*INDEX(Curves!$D$8:$D$68,AX$4-$B29+1)</f>
        <v/>
      </c>
      <c r="AY29" s="56">
        <f>$C29*INDEX(Curves!$D$8:$D$68,AY$4-$B29+1)</f>
        <v/>
      </c>
      <c r="AZ29" s="56">
        <f>$C29*INDEX(Curves!$D$8:$D$68,AZ$4-$B29+1)</f>
        <v/>
      </c>
      <c r="BA29" s="56">
        <f>$C29*INDEX(Curves!$D$8:$D$68,BA$4-$B29+1)</f>
        <v/>
      </c>
      <c r="BB29" s="56">
        <f>$C29*INDEX(Curves!$D$8:$D$68,BB$4-$B29+1)</f>
        <v/>
      </c>
      <c r="BC29" s="56">
        <f>$C29*INDEX(Curves!$D$8:$D$68,BC$4-$B29+1)</f>
        <v/>
      </c>
      <c r="BD29" s="56">
        <f>$C29*INDEX(Curves!$D$8:$D$68,BD$4-$B29+1)</f>
        <v/>
      </c>
      <c r="BE29" s="56">
        <f>$C29*INDEX(Curves!$D$8:$D$68,BE$4-$B29+1)</f>
        <v/>
      </c>
      <c r="BF29" s="56">
        <f>$C29*INDEX(Curves!$D$8:$D$68,BF$4-$B29+1)</f>
        <v/>
      </c>
      <c r="BG29" s="56">
        <f>$C29*INDEX(Curves!$D$8:$D$68,BG$4-$B29+1)</f>
        <v/>
      </c>
      <c r="BH29" s="56">
        <f>$C29*INDEX(Curves!$D$8:$D$68,BH$4-$B29+1)</f>
        <v/>
      </c>
      <c r="BI29" s="56">
        <f>$C29*INDEX(Curves!$D$8:$D$68,BI$4-$B29+1)</f>
        <v/>
      </c>
      <c r="BJ29" s="56">
        <f>$C29*INDEX(Curves!$D$8:$D$68,BJ$4-$B29+1)</f>
        <v/>
      </c>
      <c r="BK29" s="56">
        <f>$C29*INDEX(Curves!$D$8:$D$68,BK$4-$B29+1)</f>
        <v/>
      </c>
      <c r="BL29" s="56">
        <f>$C29*INDEX(Curves!$D$8:$D$68,BL$4-$B29+1)</f>
        <v/>
      </c>
    </row>
    <row r="30">
      <c r="A30" s="55" t="inlineStr">
        <is>
          <t>Cohort month 21</t>
        </is>
      </c>
      <c r="B30" s="55" t="n">
        <v>21</v>
      </c>
      <c r="C30" s="46">
        <f>INDEX(Ops!$E$10:$BL$10,1,$B30)</f>
        <v/>
      </c>
      <c r="Z30" s="56">
        <f>$C30*INDEX(Curves!$D$8:$D$68,Z$4-$B30+1)</f>
        <v/>
      </c>
      <c r="AA30" s="56">
        <f>$C30*INDEX(Curves!$D$8:$D$68,AA$4-$B30+1)</f>
        <v/>
      </c>
      <c r="AB30" s="56">
        <f>$C30*INDEX(Curves!$D$8:$D$68,AB$4-$B30+1)</f>
        <v/>
      </c>
      <c r="AC30" s="56">
        <f>$C30*INDEX(Curves!$D$8:$D$68,AC$4-$B30+1)</f>
        <v/>
      </c>
      <c r="AD30" s="56">
        <f>$C30*INDEX(Curves!$D$8:$D$68,AD$4-$B30+1)</f>
        <v/>
      </c>
      <c r="AE30" s="56">
        <f>$C30*INDEX(Curves!$D$8:$D$68,AE$4-$B30+1)</f>
        <v/>
      </c>
      <c r="AF30" s="56">
        <f>$C30*INDEX(Curves!$D$8:$D$68,AF$4-$B30+1)</f>
        <v/>
      </c>
      <c r="AG30" s="56">
        <f>$C30*INDEX(Curves!$D$8:$D$68,AG$4-$B30+1)</f>
        <v/>
      </c>
      <c r="AH30" s="56">
        <f>$C30*INDEX(Curves!$D$8:$D$68,AH$4-$B30+1)</f>
        <v/>
      </c>
      <c r="AI30" s="56">
        <f>$C30*INDEX(Curves!$D$8:$D$68,AI$4-$B30+1)</f>
        <v/>
      </c>
      <c r="AJ30" s="56">
        <f>$C30*INDEX(Curves!$D$8:$D$68,AJ$4-$B30+1)</f>
        <v/>
      </c>
      <c r="AK30" s="56">
        <f>$C30*INDEX(Curves!$D$8:$D$68,AK$4-$B30+1)</f>
        <v/>
      </c>
      <c r="AL30" s="56">
        <f>$C30*INDEX(Curves!$D$8:$D$68,AL$4-$B30+1)</f>
        <v/>
      </c>
      <c r="AM30" s="56">
        <f>$C30*INDEX(Curves!$D$8:$D$68,AM$4-$B30+1)</f>
        <v/>
      </c>
      <c r="AN30" s="56">
        <f>$C30*INDEX(Curves!$D$8:$D$68,AN$4-$B30+1)</f>
        <v/>
      </c>
      <c r="AO30" s="56">
        <f>$C30*INDEX(Curves!$D$8:$D$68,AO$4-$B30+1)</f>
        <v/>
      </c>
      <c r="AP30" s="56">
        <f>$C30*INDEX(Curves!$D$8:$D$68,AP$4-$B30+1)</f>
        <v/>
      </c>
      <c r="AQ30" s="56">
        <f>$C30*INDEX(Curves!$D$8:$D$68,AQ$4-$B30+1)</f>
        <v/>
      </c>
      <c r="AR30" s="56">
        <f>$C30*INDEX(Curves!$D$8:$D$68,AR$4-$B30+1)</f>
        <v/>
      </c>
      <c r="AS30" s="56">
        <f>$C30*INDEX(Curves!$D$8:$D$68,AS$4-$B30+1)</f>
        <v/>
      </c>
      <c r="AT30" s="56">
        <f>$C30*INDEX(Curves!$D$8:$D$68,AT$4-$B30+1)</f>
        <v/>
      </c>
      <c r="AU30" s="56">
        <f>$C30*INDEX(Curves!$D$8:$D$68,AU$4-$B30+1)</f>
        <v/>
      </c>
      <c r="AV30" s="56">
        <f>$C30*INDEX(Curves!$D$8:$D$68,AV$4-$B30+1)</f>
        <v/>
      </c>
      <c r="AW30" s="56">
        <f>$C30*INDEX(Curves!$D$8:$D$68,AW$4-$B30+1)</f>
        <v/>
      </c>
      <c r="AX30" s="56">
        <f>$C30*INDEX(Curves!$D$8:$D$68,AX$4-$B30+1)</f>
        <v/>
      </c>
      <c r="AY30" s="56">
        <f>$C30*INDEX(Curves!$D$8:$D$68,AY$4-$B30+1)</f>
        <v/>
      </c>
      <c r="AZ30" s="56">
        <f>$C30*INDEX(Curves!$D$8:$D$68,AZ$4-$B30+1)</f>
        <v/>
      </c>
      <c r="BA30" s="56">
        <f>$C30*INDEX(Curves!$D$8:$D$68,BA$4-$B30+1)</f>
        <v/>
      </c>
      <c r="BB30" s="56">
        <f>$C30*INDEX(Curves!$D$8:$D$68,BB$4-$B30+1)</f>
        <v/>
      </c>
      <c r="BC30" s="56">
        <f>$C30*INDEX(Curves!$D$8:$D$68,BC$4-$B30+1)</f>
        <v/>
      </c>
      <c r="BD30" s="56">
        <f>$C30*INDEX(Curves!$D$8:$D$68,BD$4-$B30+1)</f>
        <v/>
      </c>
      <c r="BE30" s="56">
        <f>$C30*INDEX(Curves!$D$8:$D$68,BE$4-$B30+1)</f>
        <v/>
      </c>
      <c r="BF30" s="56">
        <f>$C30*INDEX(Curves!$D$8:$D$68,BF$4-$B30+1)</f>
        <v/>
      </c>
      <c r="BG30" s="56">
        <f>$C30*INDEX(Curves!$D$8:$D$68,BG$4-$B30+1)</f>
        <v/>
      </c>
      <c r="BH30" s="56">
        <f>$C30*INDEX(Curves!$D$8:$D$68,BH$4-$B30+1)</f>
        <v/>
      </c>
      <c r="BI30" s="56">
        <f>$C30*INDEX(Curves!$D$8:$D$68,BI$4-$B30+1)</f>
        <v/>
      </c>
      <c r="BJ30" s="56">
        <f>$C30*INDEX(Curves!$D$8:$D$68,BJ$4-$B30+1)</f>
        <v/>
      </c>
      <c r="BK30" s="56">
        <f>$C30*INDEX(Curves!$D$8:$D$68,BK$4-$B30+1)</f>
        <v/>
      </c>
      <c r="BL30" s="56">
        <f>$C30*INDEX(Curves!$D$8:$D$68,BL$4-$B30+1)</f>
        <v/>
      </c>
    </row>
    <row r="31">
      <c r="A31" s="55" t="inlineStr">
        <is>
          <t>Cohort month 22</t>
        </is>
      </c>
      <c r="B31" s="55" t="n">
        <v>22</v>
      </c>
      <c r="C31" s="46">
        <f>INDEX(Ops!$E$10:$BL$10,1,$B31)</f>
        <v/>
      </c>
      <c r="AA31" s="56">
        <f>$C31*INDEX(Curves!$D$8:$D$68,AA$4-$B31+1)</f>
        <v/>
      </c>
      <c r="AB31" s="56">
        <f>$C31*INDEX(Curves!$D$8:$D$68,AB$4-$B31+1)</f>
        <v/>
      </c>
      <c r="AC31" s="56">
        <f>$C31*INDEX(Curves!$D$8:$D$68,AC$4-$B31+1)</f>
        <v/>
      </c>
      <c r="AD31" s="56">
        <f>$C31*INDEX(Curves!$D$8:$D$68,AD$4-$B31+1)</f>
        <v/>
      </c>
      <c r="AE31" s="56">
        <f>$C31*INDEX(Curves!$D$8:$D$68,AE$4-$B31+1)</f>
        <v/>
      </c>
      <c r="AF31" s="56">
        <f>$C31*INDEX(Curves!$D$8:$D$68,AF$4-$B31+1)</f>
        <v/>
      </c>
      <c r="AG31" s="56">
        <f>$C31*INDEX(Curves!$D$8:$D$68,AG$4-$B31+1)</f>
        <v/>
      </c>
      <c r="AH31" s="56">
        <f>$C31*INDEX(Curves!$D$8:$D$68,AH$4-$B31+1)</f>
        <v/>
      </c>
      <c r="AI31" s="56">
        <f>$C31*INDEX(Curves!$D$8:$D$68,AI$4-$B31+1)</f>
        <v/>
      </c>
      <c r="AJ31" s="56">
        <f>$C31*INDEX(Curves!$D$8:$D$68,AJ$4-$B31+1)</f>
        <v/>
      </c>
      <c r="AK31" s="56">
        <f>$C31*INDEX(Curves!$D$8:$D$68,AK$4-$B31+1)</f>
        <v/>
      </c>
      <c r="AL31" s="56">
        <f>$C31*INDEX(Curves!$D$8:$D$68,AL$4-$B31+1)</f>
        <v/>
      </c>
      <c r="AM31" s="56">
        <f>$C31*INDEX(Curves!$D$8:$D$68,AM$4-$B31+1)</f>
        <v/>
      </c>
      <c r="AN31" s="56">
        <f>$C31*INDEX(Curves!$D$8:$D$68,AN$4-$B31+1)</f>
        <v/>
      </c>
      <c r="AO31" s="56">
        <f>$C31*INDEX(Curves!$D$8:$D$68,AO$4-$B31+1)</f>
        <v/>
      </c>
      <c r="AP31" s="56">
        <f>$C31*INDEX(Curves!$D$8:$D$68,AP$4-$B31+1)</f>
        <v/>
      </c>
      <c r="AQ31" s="56">
        <f>$C31*INDEX(Curves!$D$8:$D$68,AQ$4-$B31+1)</f>
        <v/>
      </c>
      <c r="AR31" s="56">
        <f>$C31*INDEX(Curves!$D$8:$D$68,AR$4-$B31+1)</f>
        <v/>
      </c>
      <c r="AS31" s="56">
        <f>$C31*INDEX(Curves!$D$8:$D$68,AS$4-$B31+1)</f>
        <v/>
      </c>
      <c r="AT31" s="56">
        <f>$C31*INDEX(Curves!$D$8:$D$68,AT$4-$B31+1)</f>
        <v/>
      </c>
      <c r="AU31" s="56">
        <f>$C31*INDEX(Curves!$D$8:$D$68,AU$4-$B31+1)</f>
        <v/>
      </c>
      <c r="AV31" s="56">
        <f>$C31*INDEX(Curves!$D$8:$D$68,AV$4-$B31+1)</f>
        <v/>
      </c>
      <c r="AW31" s="56">
        <f>$C31*INDEX(Curves!$D$8:$D$68,AW$4-$B31+1)</f>
        <v/>
      </c>
      <c r="AX31" s="56">
        <f>$C31*INDEX(Curves!$D$8:$D$68,AX$4-$B31+1)</f>
        <v/>
      </c>
      <c r="AY31" s="56">
        <f>$C31*INDEX(Curves!$D$8:$D$68,AY$4-$B31+1)</f>
        <v/>
      </c>
      <c r="AZ31" s="56">
        <f>$C31*INDEX(Curves!$D$8:$D$68,AZ$4-$B31+1)</f>
        <v/>
      </c>
      <c r="BA31" s="56">
        <f>$C31*INDEX(Curves!$D$8:$D$68,BA$4-$B31+1)</f>
        <v/>
      </c>
      <c r="BB31" s="56">
        <f>$C31*INDEX(Curves!$D$8:$D$68,BB$4-$B31+1)</f>
        <v/>
      </c>
      <c r="BC31" s="56">
        <f>$C31*INDEX(Curves!$D$8:$D$68,BC$4-$B31+1)</f>
        <v/>
      </c>
      <c r="BD31" s="56">
        <f>$C31*INDEX(Curves!$D$8:$D$68,BD$4-$B31+1)</f>
        <v/>
      </c>
      <c r="BE31" s="56">
        <f>$C31*INDEX(Curves!$D$8:$D$68,BE$4-$B31+1)</f>
        <v/>
      </c>
      <c r="BF31" s="56">
        <f>$C31*INDEX(Curves!$D$8:$D$68,BF$4-$B31+1)</f>
        <v/>
      </c>
      <c r="BG31" s="56">
        <f>$C31*INDEX(Curves!$D$8:$D$68,BG$4-$B31+1)</f>
        <v/>
      </c>
      <c r="BH31" s="56">
        <f>$C31*INDEX(Curves!$D$8:$D$68,BH$4-$B31+1)</f>
        <v/>
      </c>
      <c r="BI31" s="56">
        <f>$C31*INDEX(Curves!$D$8:$D$68,BI$4-$B31+1)</f>
        <v/>
      </c>
      <c r="BJ31" s="56">
        <f>$C31*INDEX(Curves!$D$8:$D$68,BJ$4-$B31+1)</f>
        <v/>
      </c>
      <c r="BK31" s="56">
        <f>$C31*INDEX(Curves!$D$8:$D$68,BK$4-$B31+1)</f>
        <v/>
      </c>
      <c r="BL31" s="56">
        <f>$C31*INDEX(Curves!$D$8:$D$68,BL$4-$B31+1)</f>
        <v/>
      </c>
    </row>
    <row r="32">
      <c r="A32" s="55" t="inlineStr">
        <is>
          <t>Cohort month 23</t>
        </is>
      </c>
      <c r="B32" s="55" t="n">
        <v>23</v>
      </c>
      <c r="C32" s="46">
        <f>INDEX(Ops!$E$10:$BL$10,1,$B32)</f>
        <v/>
      </c>
      <c r="AB32" s="56">
        <f>$C32*INDEX(Curves!$D$8:$D$68,AB$4-$B32+1)</f>
        <v/>
      </c>
      <c r="AC32" s="56">
        <f>$C32*INDEX(Curves!$D$8:$D$68,AC$4-$B32+1)</f>
        <v/>
      </c>
      <c r="AD32" s="56">
        <f>$C32*INDEX(Curves!$D$8:$D$68,AD$4-$B32+1)</f>
        <v/>
      </c>
      <c r="AE32" s="56">
        <f>$C32*INDEX(Curves!$D$8:$D$68,AE$4-$B32+1)</f>
        <v/>
      </c>
      <c r="AF32" s="56">
        <f>$C32*INDEX(Curves!$D$8:$D$68,AF$4-$B32+1)</f>
        <v/>
      </c>
      <c r="AG32" s="56">
        <f>$C32*INDEX(Curves!$D$8:$D$68,AG$4-$B32+1)</f>
        <v/>
      </c>
      <c r="AH32" s="56">
        <f>$C32*INDEX(Curves!$D$8:$D$68,AH$4-$B32+1)</f>
        <v/>
      </c>
      <c r="AI32" s="56">
        <f>$C32*INDEX(Curves!$D$8:$D$68,AI$4-$B32+1)</f>
        <v/>
      </c>
      <c r="AJ32" s="56">
        <f>$C32*INDEX(Curves!$D$8:$D$68,AJ$4-$B32+1)</f>
        <v/>
      </c>
      <c r="AK32" s="56">
        <f>$C32*INDEX(Curves!$D$8:$D$68,AK$4-$B32+1)</f>
        <v/>
      </c>
      <c r="AL32" s="56">
        <f>$C32*INDEX(Curves!$D$8:$D$68,AL$4-$B32+1)</f>
        <v/>
      </c>
      <c r="AM32" s="56">
        <f>$C32*INDEX(Curves!$D$8:$D$68,AM$4-$B32+1)</f>
        <v/>
      </c>
      <c r="AN32" s="56">
        <f>$C32*INDEX(Curves!$D$8:$D$68,AN$4-$B32+1)</f>
        <v/>
      </c>
      <c r="AO32" s="56">
        <f>$C32*INDEX(Curves!$D$8:$D$68,AO$4-$B32+1)</f>
        <v/>
      </c>
      <c r="AP32" s="56">
        <f>$C32*INDEX(Curves!$D$8:$D$68,AP$4-$B32+1)</f>
        <v/>
      </c>
      <c r="AQ32" s="56">
        <f>$C32*INDEX(Curves!$D$8:$D$68,AQ$4-$B32+1)</f>
        <v/>
      </c>
      <c r="AR32" s="56">
        <f>$C32*INDEX(Curves!$D$8:$D$68,AR$4-$B32+1)</f>
        <v/>
      </c>
      <c r="AS32" s="56">
        <f>$C32*INDEX(Curves!$D$8:$D$68,AS$4-$B32+1)</f>
        <v/>
      </c>
      <c r="AT32" s="56">
        <f>$C32*INDEX(Curves!$D$8:$D$68,AT$4-$B32+1)</f>
        <v/>
      </c>
      <c r="AU32" s="56">
        <f>$C32*INDEX(Curves!$D$8:$D$68,AU$4-$B32+1)</f>
        <v/>
      </c>
      <c r="AV32" s="56">
        <f>$C32*INDEX(Curves!$D$8:$D$68,AV$4-$B32+1)</f>
        <v/>
      </c>
      <c r="AW32" s="56">
        <f>$C32*INDEX(Curves!$D$8:$D$68,AW$4-$B32+1)</f>
        <v/>
      </c>
      <c r="AX32" s="56">
        <f>$C32*INDEX(Curves!$D$8:$D$68,AX$4-$B32+1)</f>
        <v/>
      </c>
      <c r="AY32" s="56">
        <f>$C32*INDEX(Curves!$D$8:$D$68,AY$4-$B32+1)</f>
        <v/>
      </c>
      <c r="AZ32" s="56">
        <f>$C32*INDEX(Curves!$D$8:$D$68,AZ$4-$B32+1)</f>
        <v/>
      </c>
      <c r="BA32" s="56">
        <f>$C32*INDEX(Curves!$D$8:$D$68,BA$4-$B32+1)</f>
        <v/>
      </c>
      <c r="BB32" s="56">
        <f>$C32*INDEX(Curves!$D$8:$D$68,BB$4-$B32+1)</f>
        <v/>
      </c>
      <c r="BC32" s="56">
        <f>$C32*INDEX(Curves!$D$8:$D$68,BC$4-$B32+1)</f>
        <v/>
      </c>
      <c r="BD32" s="56">
        <f>$C32*INDEX(Curves!$D$8:$D$68,BD$4-$B32+1)</f>
        <v/>
      </c>
      <c r="BE32" s="56">
        <f>$C32*INDEX(Curves!$D$8:$D$68,BE$4-$B32+1)</f>
        <v/>
      </c>
      <c r="BF32" s="56">
        <f>$C32*INDEX(Curves!$D$8:$D$68,BF$4-$B32+1)</f>
        <v/>
      </c>
      <c r="BG32" s="56">
        <f>$C32*INDEX(Curves!$D$8:$D$68,BG$4-$B32+1)</f>
        <v/>
      </c>
      <c r="BH32" s="56">
        <f>$C32*INDEX(Curves!$D$8:$D$68,BH$4-$B32+1)</f>
        <v/>
      </c>
      <c r="BI32" s="56">
        <f>$C32*INDEX(Curves!$D$8:$D$68,BI$4-$B32+1)</f>
        <v/>
      </c>
      <c r="BJ32" s="56">
        <f>$C32*INDEX(Curves!$D$8:$D$68,BJ$4-$B32+1)</f>
        <v/>
      </c>
      <c r="BK32" s="56">
        <f>$C32*INDEX(Curves!$D$8:$D$68,BK$4-$B32+1)</f>
        <v/>
      </c>
      <c r="BL32" s="56">
        <f>$C32*INDEX(Curves!$D$8:$D$68,BL$4-$B32+1)</f>
        <v/>
      </c>
    </row>
    <row r="33">
      <c r="A33" s="55" t="inlineStr">
        <is>
          <t>Cohort month 24</t>
        </is>
      </c>
      <c r="B33" s="55" t="n">
        <v>24</v>
      </c>
      <c r="C33" s="46">
        <f>INDEX(Ops!$E$10:$BL$10,1,$B33)</f>
        <v/>
      </c>
      <c r="AC33" s="56">
        <f>$C33*INDEX(Curves!$D$8:$D$68,AC$4-$B33+1)</f>
        <v/>
      </c>
      <c r="AD33" s="56">
        <f>$C33*INDEX(Curves!$D$8:$D$68,AD$4-$B33+1)</f>
        <v/>
      </c>
      <c r="AE33" s="56">
        <f>$C33*INDEX(Curves!$D$8:$D$68,AE$4-$B33+1)</f>
        <v/>
      </c>
      <c r="AF33" s="56">
        <f>$C33*INDEX(Curves!$D$8:$D$68,AF$4-$B33+1)</f>
        <v/>
      </c>
      <c r="AG33" s="56">
        <f>$C33*INDEX(Curves!$D$8:$D$68,AG$4-$B33+1)</f>
        <v/>
      </c>
      <c r="AH33" s="56">
        <f>$C33*INDEX(Curves!$D$8:$D$68,AH$4-$B33+1)</f>
        <v/>
      </c>
      <c r="AI33" s="56">
        <f>$C33*INDEX(Curves!$D$8:$D$68,AI$4-$B33+1)</f>
        <v/>
      </c>
      <c r="AJ33" s="56">
        <f>$C33*INDEX(Curves!$D$8:$D$68,AJ$4-$B33+1)</f>
        <v/>
      </c>
      <c r="AK33" s="56">
        <f>$C33*INDEX(Curves!$D$8:$D$68,AK$4-$B33+1)</f>
        <v/>
      </c>
      <c r="AL33" s="56">
        <f>$C33*INDEX(Curves!$D$8:$D$68,AL$4-$B33+1)</f>
        <v/>
      </c>
      <c r="AM33" s="56">
        <f>$C33*INDEX(Curves!$D$8:$D$68,AM$4-$B33+1)</f>
        <v/>
      </c>
      <c r="AN33" s="56">
        <f>$C33*INDEX(Curves!$D$8:$D$68,AN$4-$B33+1)</f>
        <v/>
      </c>
      <c r="AO33" s="56">
        <f>$C33*INDEX(Curves!$D$8:$D$68,AO$4-$B33+1)</f>
        <v/>
      </c>
      <c r="AP33" s="56">
        <f>$C33*INDEX(Curves!$D$8:$D$68,AP$4-$B33+1)</f>
        <v/>
      </c>
      <c r="AQ33" s="56">
        <f>$C33*INDEX(Curves!$D$8:$D$68,AQ$4-$B33+1)</f>
        <v/>
      </c>
      <c r="AR33" s="56">
        <f>$C33*INDEX(Curves!$D$8:$D$68,AR$4-$B33+1)</f>
        <v/>
      </c>
      <c r="AS33" s="56">
        <f>$C33*INDEX(Curves!$D$8:$D$68,AS$4-$B33+1)</f>
        <v/>
      </c>
      <c r="AT33" s="56">
        <f>$C33*INDEX(Curves!$D$8:$D$68,AT$4-$B33+1)</f>
        <v/>
      </c>
      <c r="AU33" s="56">
        <f>$C33*INDEX(Curves!$D$8:$D$68,AU$4-$B33+1)</f>
        <v/>
      </c>
      <c r="AV33" s="56">
        <f>$C33*INDEX(Curves!$D$8:$D$68,AV$4-$B33+1)</f>
        <v/>
      </c>
      <c r="AW33" s="56">
        <f>$C33*INDEX(Curves!$D$8:$D$68,AW$4-$B33+1)</f>
        <v/>
      </c>
      <c r="AX33" s="56">
        <f>$C33*INDEX(Curves!$D$8:$D$68,AX$4-$B33+1)</f>
        <v/>
      </c>
      <c r="AY33" s="56">
        <f>$C33*INDEX(Curves!$D$8:$D$68,AY$4-$B33+1)</f>
        <v/>
      </c>
      <c r="AZ33" s="56">
        <f>$C33*INDEX(Curves!$D$8:$D$68,AZ$4-$B33+1)</f>
        <v/>
      </c>
      <c r="BA33" s="56">
        <f>$C33*INDEX(Curves!$D$8:$D$68,BA$4-$B33+1)</f>
        <v/>
      </c>
      <c r="BB33" s="56">
        <f>$C33*INDEX(Curves!$D$8:$D$68,BB$4-$B33+1)</f>
        <v/>
      </c>
      <c r="BC33" s="56">
        <f>$C33*INDEX(Curves!$D$8:$D$68,BC$4-$B33+1)</f>
        <v/>
      </c>
      <c r="BD33" s="56">
        <f>$C33*INDEX(Curves!$D$8:$D$68,BD$4-$B33+1)</f>
        <v/>
      </c>
      <c r="BE33" s="56">
        <f>$C33*INDEX(Curves!$D$8:$D$68,BE$4-$B33+1)</f>
        <v/>
      </c>
      <c r="BF33" s="56">
        <f>$C33*INDEX(Curves!$D$8:$D$68,BF$4-$B33+1)</f>
        <v/>
      </c>
      <c r="BG33" s="56">
        <f>$C33*INDEX(Curves!$D$8:$D$68,BG$4-$B33+1)</f>
        <v/>
      </c>
      <c r="BH33" s="56">
        <f>$C33*INDEX(Curves!$D$8:$D$68,BH$4-$B33+1)</f>
        <v/>
      </c>
      <c r="BI33" s="56">
        <f>$C33*INDEX(Curves!$D$8:$D$68,BI$4-$B33+1)</f>
        <v/>
      </c>
      <c r="BJ33" s="56">
        <f>$C33*INDEX(Curves!$D$8:$D$68,BJ$4-$B33+1)</f>
        <v/>
      </c>
      <c r="BK33" s="56">
        <f>$C33*INDEX(Curves!$D$8:$D$68,BK$4-$B33+1)</f>
        <v/>
      </c>
      <c r="BL33" s="56">
        <f>$C33*INDEX(Curves!$D$8:$D$68,BL$4-$B33+1)</f>
        <v/>
      </c>
    </row>
    <row r="34">
      <c r="A34" s="55" t="inlineStr">
        <is>
          <t>Cohort month 25</t>
        </is>
      </c>
      <c r="B34" s="55" t="n">
        <v>25</v>
      </c>
      <c r="C34" s="46">
        <f>INDEX(Ops!$E$10:$BL$10,1,$B34)</f>
        <v/>
      </c>
      <c r="AD34" s="56">
        <f>$C34*INDEX(Curves!$D$8:$D$68,AD$4-$B34+1)</f>
        <v/>
      </c>
      <c r="AE34" s="56">
        <f>$C34*INDEX(Curves!$D$8:$D$68,AE$4-$B34+1)</f>
        <v/>
      </c>
      <c r="AF34" s="56">
        <f>$C34*INDEX(Curves!$D$8:$D$68,AF$4-$B34+1)</f>
        <v/>
      </c>
      <c r="AG34" s="56">
        <f>$C34*INDEX(Curves!$D$8:$D$68,AG$4-$B34+1)</f>
        <v/>
      </c>
      <c r="AH34" s="56">
        <f>$C34*INDEX(Curves!$D$8:$D$68,AH$4-$B34+1)</f>
        <v/>
      </c>
      <c r="AI34" s="56">
        <f>$C34*INDEX(Curves!$D$8:$D$68,AI$4-$B34+1)</f>
        <v/>
      </c>
      <c r="AJ34" s="56">
        <f>$C34*INDEX(Curves!$D$8:$D$68,AJ$4-$B34+1)</f>
        <v/>
      </c>
      <c r="AK34" s="56">
        <f>$C34*INDEX(Curves!$D$8:$D$68,AK$4-$B34+1)</f>
        <v/>
      </c>
      <c r="AL34" s="56">
        <f>$C34*INDEX(Curves!$D$8:$D$68,AL$4-$B34+1)</f>
        <v/>
      </c>
      <c r="AM34" s="56">
        <f>$C34*INDEX(Curves!$D$8:$D$68,AM$4-$B34+1)</f>
        <v/>
      </c>
      <c r="AN34" s="56">
        <f>$C34*INDEX(Curves!$D$8:$D$68,AN$4-$B34+1)</f>
        <v/>
      </c>
      <c r="AO34" s="56">
        <f>$C34*INDEX(Curves!$D$8:$D$68,AO$4-$B34+1)</f>
        <v/>
      </c>
      <c r="AP34" s="56">
        <f>$C34*INDEX(Curves!$D$8:$D$68,AP$4-$B34+1)</f>
        <v/>
      </c>
      <c r="AQ34" s="56">
        <f>$C34*INDEX(Curves!$D$8:$D$68,AQ$4-$B34+1)</f>
        <v/>
      </c>
      <c r="AR34" s="56">
        <f>$C34*INDEX(Curves!$D$8:$D$68,AR$4-$B34+1)</f>
        <v/>
      </c>
      <c r="AS34" s="56">
        <f>$C34*INDEX(Curves!$D$8:$D$68,AS$4-$B34+1)</f>
        <v/>
      </c>
      <c r="AT34" s="56">
        <f>$C34*INDEX(Curves!$D$8:$D$68,AT$4-$B34+1)</f>
        <v/>
      </c>
      <c r="AU34" s="56">
        <f>$C34*INDEX(Curves!$D$8:$D$68,AU$4-$B34+1)</f>
        <v/>
      </c>
      <c r="AV34" s="56">
        <f>$C34*INDEX(Curves!$D$8:$D$68,AV$4-$B34+1)</f>
        <v/>
      </c>
      <c r="AW34" s="56">
        <f>$C34*INDEX(Curves!$D$8:$D$68,AW$4-$B34+1)</f>
        <v/>
      </c>
      <c r="AX34" s="56">
        <f>$C34*INDEX(Curves!$D$8:$D$68,AX$4-$B34+1)</f>
        <v/>
      </c>
      <c r="AY34" s="56">
        <f>$C34*INDEX(Curves!$D$8:$D$68,AY$4-$B34+1)</f>
        <v/>
      </c>
      <c r="AZ34" s="56">
        <f>$C34*INDEX(Curves!$D$8:$D$68,AZ$4-$B34+1)</f>
        <v/>
      </c>
      <c r="BA34" s="56">
        <f>$C34*INDEX(Curves!$D$8:$D$68,BA$4-$B34+1)</f>
        <v/>
      </c>
      <c r="BB34" s="56">
        <f>$C34*INDEX(Curves!$D$8:$D$68,BB$4-$B34+1)</f>
        <v/>
      </c>
      <c r="BC34" s="56">
        <f>$C34*INDEX(Curves!$D$8:$D$68,BC$4-$B34+1)</f>
        <v/>
      </c>
      <c r="BD34" s="56">
        <f>$C34*INDEX(Curves!$D$8:$D$68,BD$4-$B34+1)</f>
        <v/>
      </c>
      <c r="BE34" s="56">
        <f>$C34*INDEX(Curves!$D$8:$D$68,BE$4-$B34+1)</f>
        <v/>
      </c>
      <c r="BF34" s="56">
        <f>$C34*INDEX(Curves!$D$8:$D$68,BF$4-$B34+1)</f>
        <v/>
      </c>
      <c r="BG34" s="56">
        <f>$C34*INDEX(Curves!$D$8:$D$68,BG$4-$B34+1)</f>
        <v/>
      </c>
      <c r="BH34" s="56">
        <f>$C34*INDEX(Curves!$D$8:$D$68,BH$4-$B34+1)</f>
        <v/>
      </c>
      <c r="BI34" s="56">
        <f>$C34*INDEX(Curves!$D$8:$D$68,BI$4-$B34+1)</f>
        <v/>
      </c>
      <c r="BJ34" s="56">
        <f>$C34*INDEX(Curves!$D$8:$D$68,BJ$4-$B34+1)</f>
        <v/>
      </c>
      <c r="BK34" s="56">
        <f>$C34*INDEX(Curves!$D$8:$D$68,BK$4-$B34+1)</f>
        <v/>
      </c>
      <c r="BL34" s="56">
        <f>$C34*INDEX(Curves!$D$8:$D$68,BL$4-$B34+1)</f>
        <v/>
      </c>
    </row>
    <row r="35">
      <c r="A35" s="55" t="inlineStr">
        <is>
          <t>Cohort month 26</t>
        </is>
      </c>
      <c r="B35" s="55" t="n">
        <v>26</v>
      </c>
      <c r="C35" s="46">
        <f>INDEX(Ops!$E$10:$BL$10,1,$B35)</f>
        <v/>
      </c>
      <c r="AE35" s="56">
        <f>$C35*INDEX(Curves!$D$8:$D$68,AE$4-$B35+1)</f>
        <v/>
      </c>
      <c r="AF35" s="56">
        <f>$C35*INDEX(Curves!$D$8:$D$68,AF$4-$B35+1)</f>
        <v/>
      </c>
      <c r="AG35" s="56">
        <f>$C35*INDEX(Curves!$D$8:$D$68,AG$4-$B35+1)</f>
        <v/>
      </c>
      <c r="AH35" s="56">
        <f>$C35*INDEX(Curves!$D$8:$D$68,AH$4-$B35+1)</f>
        <v/>
      </c>
      <c r="AI35" s="56">
        <f>$C35*INDEX(Curves!$D$8:$D$68,AI$4-$B35+1)</f>
        <v/>
      </c>
      <c r="AJ35" s="56">
        <f>$C35*INDEX(Curves!$D$8:$D$68,AJ$4-$B35+1)</f>
        <v/>
      </c>
      <c r="AK35" s="56">
        <f>$C35*INDEX(Curves!$D$8:$D$68,AK$4-$B35+1)</f>
        <v/>
      </c>
      <c r="AL35" s="56">
        <f>$C35*INDEX(Curves!$D$8:$D$68,AL$4-$B35+1)</f>
        <v/>
      </c>
      <c r="AM35" s="56">
        <f>$C35*INDEX(Curves!$D$8:$D$68,AM$4-$B35+1)</f>
        <v/>
      </c>
      <c r="AN35" s="56">
        <f>$C35*INDEX(Curves!$D$8:$D$68,AN$4-$B35+1)</f>
        <v/>
      </c>
      <c r="AO35" s="56">
        <f>$C35*INDEX(Curves!$D$8:$D$68,AO$4-$B35+1)</f>
        <v/>
      </c>
      <c r="AP35" s="56">
        <f>$C35*INDEX(Curves!$D$8:$D$68,AP$4-$B35+1)</f>
        <v/>
      </c>
      <c r="AQ35" s="56">
        <f>$C35*INDEX(Curves!$D$8:$D$68,AQ$4-$B35+1)</f>
        <v/>
      </c>
      <c r="AR35" s="56">
        <f>$C35*INDEX(Curves!$D$8:$D$68,AR$4-$B35+1)</f>
        <v/>
      </c>
      <c r="AS35" s="56">
        <f>$C35*INDEX(Curves!$D$8:$D$68,AS$4-$B35+1)</f>
        <v/>
      </c>
      <c r="AT35" s="56">
        <f>$C35*INDEX(Curves!$D$8:$D$68,AT$4-$B35+1)</f>
        <v/>
      </c>
      <c r="AU35" s="56">
        <f>$C35*INDEX(Curves!$D$8:$D$68,AU$4-$B35+1)</f>
        <v/>
      </c>
      <c r="AV35" s="56">
        <f>$C35*INDEX(Curves!$D$8:$D$68,AV$4-$B35+1)</f>
        <v/>
      </c>
      <c r="AW35" s="56">
        <f>$C35*INDEX(Curves!$D$8:$D$68,AW$4-$B35+1)</f>
        <v/>
      </c>
      <c r="AX35" s="56">
        <f>$C35*INDEX(Curves!$D$8:$D$68,AX$4-$B35+1)</f>
        <v/>
      </c>
      <c r="AY35" s="56">
        <f>$C35*INDEX(Curves!$D$8:$D$68,AY$4-$B35+1)</f>
        <v/>
      </c>
      <c r="AZ35" s="56">
        <f>$C35*INDEX(Curves!$D$8:$D$68,AZ$4-$B35+1)</f>
        <v/>
      </c>
      <c r="BA35" s="56">
        <f>$C35*INDEX(Curves!$D$8:$D$68,BA$4-$B35+1)</f>
        <v/>
      </c>
      <c r="BB35" s="56">
        <f>$C35*INDEX(Curves!$D$8:$D$68,BB$4-$B35+1)</f>
        <v/>
      </c>
      <c r="BC35" s="56">
        <f>$C35*INDEX(Curves!$D$8:$D$68,BC$4-$B35+1)</f>
        <v/>
      </c>
      <c r="BD35" s="56">
        <f>$C35*INDEX(Curves!$D$8:$D$68,BD$4-$B35+1)</f>
        <v/>
      </c>
      <c r="BE35" s="56">
        <f>$C35*INDEX(Curves!$D$8:$D$68,BE$4-$B35+1)</f>
        <v/>
      </c>
      <c r="BF35" s="56">
        <f>$C35*INDEX(Curves!$D$8:$D$68,BF$4-$B35+1)</f>
        <v/>
      </c>
      <c r="BG35" s="56">
        <f>$C35*INDEX(Curves!$D$8:$D$68,BG$4-$B35+1)</f>
        <v/>
      </c>
      <c r="BH35" s="56">
        <f>$C35*INDEX(Curves!$D$8:$D$68,BH$4-$B35+1)</f>
        <v/>
      </c>
      <c r="BI35" s="56">
        <f>$C35*INDEX(Curves!$D$8:$D$68,BI$4-$B35+1)</f>
        <v/>
      </c>
      <c r="BJ35" s="56">
        <f>$C35*INDEX(Curves!$D$8:$D$68,BJ$4-$B35+1)</f>
        <v/>
      </c>
      <c r="BK35" s="56">
        <f>$C35*INDEX(Curves!$D$8:$D$68,BK$4-$B35+1)</f>
        <v/>
      </c>
      <c r="BL35" s="56">
        <f>$C35*INDEX(Curves!$D$8:$D$68,BL$4-$B35+1)</f>
        <v/>
      </c>
    </row>
    <row r="36">
      <c r="A36" s="55" t="inlineStr">
        <is>
          <t>Cohort month 27</t>
        </is>
      </c>
      <c r="B36" s="55" t="n">
        <v>27</v>
      </c>
      <c r="C36" s="46">
        <f>INDEX(Ops!$E$10:$BL$10,1,$B36)</f>
        <v/>
      </c>
      <c r="AF36" s="56">
        <f>$C36*INDEX(Curves!$D$8:$D$68,AF$4-$B36+1)</f>
        <v/>
      </c>
      <c r="AG36" s="56">
        <f>$C36*INDEX(Curves!$D$8:$D$68,AG$4-$B36+1)</f>
        <v/>
      </c>
      <c r="AH36" s="56">
        <f>$C36*INDEX(Curves!$D$8:$D$68,AH$4-$B36+1)</f>
        <v/>
      </c>
      <c r="AI36" s="56">
        <f>$C36*INDEX(Curves!$D$8:$D$68,AI$4-$B36+1)</f>
        <v/>
      </c>
      <c r="AJ36" s="56">
        <f>$C36*INDEX(Curves!$D$8:$D$68,AJ$4-$B36+1)</f>
        <v/>
      </c>
      <c r="AK36" s="56">
        <f>$C36*INDEX(Curves!$D$8:$D$68,AK$4-$B36+1)</f>
        <v/>
      </c>
      <c r="AL36" s="56">
        <f>$C36*INDEX(Curves!$D$8:$D$68,AL$4-$B36+1)</f>
        <v/>
      </c>
      <c r="AM36" s="56">
        <f>$C36*INDEX(Curves!$D$8:$D$68,AM$4-$B36+1)</f>
        <v/>
      </c>
      <c r="AN36" s="56">
        <f>$C36*INDEX(Curves!$D$8:$D$68,AN$4-$B36+1)</f>
        <v/>
      </c>
      <c r="AO36" s="56">
        <f>$C36*INDEX(Curves!$D$8:$D$68,AO$4-$B36+1)</f>
        <v/>
      </c>
      <c r="AP36" s="56">
        <f>$C36*INDEX(Curves!$D$8:$D$68,AP$4-$B36+1)</f>
        <v/>
      </c>
      <c r="AQ36" s="56">
        <f>$C36*INDEX(Curves!$D$8:$D$68,AQ$4-$B36+1)</f>
        <v/>
      </c>
      <c r="AR36" s="56">
        <f>$C36*INDEX(Curves!$D$8:$D$68,AR$4-$B36+1)</f>
        <v/>
      </c>
      <c r="AS36" s="56">
        <f>$C36*INDEX(Curves!$D$8:$D$68,AS$4-$B36+1)</f>
        <v/>
      </c>
      <c r="AT36" s="56">
        <f>$C36*INDEX(Curves!$D$8:$D$68,AT$4-$B36+1)</f>
        <v/>
      </c>
      <c r="AU36" s="56">
        <f>$C36*INDEX(Curves!$D$8:$D$68,AU$4-$B36+1)</f>
        <v/>
      </c>
      <c r="AV36" s="56">
        <f>$C36*INDEX(Curves!$D$8:$D$68,AV$4-$B36+1)</f>
        <v/>
      </c>
      <c r="AW36" s="56">
        <f>$C36*INDEX(Curves!$D$8:$D$68,AW$4-$B36+1)</f>
        <v/>
      </c>
      <c r="AX36" s="56">
        <f>$C36*INDEX(Curves!$D$8:$D$68,AX$4-$B36+1)</f>
        <v/>
      </c>
      <c r="AY36" s="56">
        <f>$C36*INDEX(Curves!$D$8:$D$68,AY$4-$B36+1)</f>
        <v/>
      </c>
      <c r="AZ36" s="56">
        <f>$C36*INDEX(Curves!$D$8:$D$68,AZ$4-$B36+1)</f>
        <v/>
      </c>
      <c r="BA36" s="56">
        <f>$C36*INDEX(Curves!$D$8:$D$68,BA$4-$B36+1)</f>
        <v/>
      </c>
      <c r="BB36" s="56">
        <f>$C36*INDEX(Curves!$D$8:$D$68,BB$4-$B36+1)</f>
        <v/>
      </c>
      <c r="BC36" s="56">
        <f>$C36*INDEX(Curves!$D$8:$D$68,BC$4-$B36+1)</f>
        <v/>
      </c>
      <c r="BD36" s="56">
        <f>$C36*INDEX(Curves!$D$8:$D$68,BD$4-$B36+1)</f>
        <v/>
      </c>
      <c r="BE36" s="56">
        <f>$C36*INDEX(Curves!$D$8:$D$68,BE$4-$B36+1)</f>
        <v/>
      </c>
      <c r="BF36" s="56">
        <f>$C36*INDEX(Curves!$D$8:$D$68,BF$4-$B36+1)</f>
        <v/>
      </c>
      <c r="BG36" s="56">
        <f>$C36*INDEX(Curves!$D$8:$D$68,BG$4-$B36+1)</f>
        <v/>
      </c>
      <c r="BH36" s="56">
        <f>$C36*INDEX(Curves!$D$8:$D$68,BH$4-$B36+1)</f>
        <v/>
      </c>
      <c r="BI36" s="56">
        <f>$C36*INDEX(Curves!$D$8:$D$68,BI$4-$B36+1)</f>
        <v/>
      </c>
      <c r="BJ36" s="56">
        <f>$C36*INDEX(Curves!$D$8:$D$68,BJ$4-$B36+1)</f>
        <v/>
      </c>
      <c r="BK36" s="56">
        <f>$C36*INDEX(Curves!$D$8:$D$68,BK$4-$B36+1)</f>
        <v/>
      </c>
      <c r="BL36" s="56">
        <f>$C36*INDEX(Curves!$D$8:$D$68,BL$4-$B36+1)</f>
        <v/>
      </c>
    </row>
    <row r="37">
      <c r="A37" s="55" t="inlineStr">
        <is>
          <t>Cohort month 28</t>
        </is>
      </c>
      <c r="B37" s="55" t="n">
        <v>28</v>
      </c>
      <c r="C37" s="46">
        <f>INDEX(Ops!$E$10:$BL$10,1,$B37)</f>
        <v/>
      </c>
      <c r="AG37" s="56">
        <f>$C37*INDEX(Curves!$D$8:$D$68,AG$4-$B37+1)</f>
        <v/>
      </c>
      <c r="AH37" s="56">
        <f>$C37*INDEX(Curves!$D$8:$D$68,AH$4-$B37+1)</f>
        <v/>
      </c>
      <c r="AI37" s="56">
        <f>$C37*INDEX(Curves!$D$8:$D$68,AI$4-$B37+1)</f>
        <v/>
      </c>
      <c r="AJ37" s="56">
        <f>$C37*INDEX(Curves!$D$8:$D$68,AJ$4-$B37+1)</f>
        <v/>
      </c>
      <c r="AK37" s="56">
        <f>$C37*INDEX(Curves!$D$8:$D$68,AK$4-$B37+1)</f>
        <v/>
      </c>
      <c r="AL37" s="56">
        <f>$C37*INDEX(Curves!$D$8:$D$68,AL$4-$B37+1)</f>
        <v/>
      </c>
      <c r="AM37" s="56">
        <f>$C37*INDEX(Curves!$D$8:$D$68,AM$4-$B37+1)</f>
        <v/>
      </c>
      <c r="AN37" s="56">
        <f>$C37*INDEX(Curves!$D$8:$D$68,AN$4-$B37+1)</f>
        <v/>
      </c>
      <c r="AO37" s="56">
        <f>$C37*INDEX(Curves!$D$8:$D$68,AO$4-$B37+1)</f>
        <v/>
      </c>
      <c r="AP37" s="56">
        <f>$C37*INDEX(Curves!$D$8:$D$68,AP$4-$B37+1)</f>
        <v/>
      </c>
      <c r="AQ37" s="56">
        <f>$C37*INDEX(Curves!$D$8:$D$68,AQ$4-$B37+1)</f>
        <v/>
      </c>
      <c r="AR37" s="56">
        <f>$C37*INDEX(Curves!$D$8:$D$68,AR$4-$B37+1)</f>
        <v/>
      </c>
      <c r="AS37" s="56">
        <f>$C37*INDEX(Curves!$D$8:$D$68,AS$4-$B37+1)</f>
        <v/>
      </c>
      <c r="AT37" s="56">
        <f>$C37*INDEX(Curves!$D$8:$D$68,AT$4-$B37+1)</f>
        <v/>
      </c>
      <c r="AU37" s="56">
        <f>$C37*INDEX(Curves!$D$8:$D$68,AU$4-$B37+1)</f>
        <v/>
      </c>
      <c r="AV37" s="56">
        <f>$C37*INDEX(Curves!$D$8:$D$68,AV$4-$B37+1)</f>
        <v/>
      </c>
      <c r="AW37" s="56">
        <f>$C37*INDEX(Curves!$D$8:$D$68,AW$4-$B37+1)</f>
        <v/>
      </c>
      <c r="AX37" s="56">
        <f>$C37*INDEX(Curves!$D$8:$D$68,AX$4-$B37+1)</f>
        <v/>
      </c>
      <c r="AY37" s="56">
        <f>$C37*INDEX(Curves!$D$8:$D$68,AY$4-$B37+1)</f>
        <v/>
      </c>
      <c r="AZ37" s="56">
        <f>$C37*INDEX(Curves!$D$8:$D$68,AZ$4-$B37+1)</f>
        <v/>
      </c>
      <c r="BA37" s="56">
        <f>$C37*INDEX(Curves!$D$8:$D$68,BA$4-$B37+1)</f>
        <v/>
      </c>
      <c r="BB37" s="56">
        <f>$C37*INDEX(Curves!$D$8:$D$68,BB$4-$B37+1)</f>
        <v/>
      </c>
      <c r="BC37" s="56">
        <f>$C37*INDEX(Curves!$D$8:$D$68,BC$4-$B37+1)</f>
        <v/>
      </c>
      <c r="BD37" s="56">
        <f>$C37*INDEX(Curves!$D$8:$D$68,BD$4-$B37+1)</f>
        <v/>
      </c>
      <c r="BE37" s="56">
        <f>$C37*INDEX(Curves!$D$8:$D$68,BE$4-$B37+1)</f>
        <v/>
      </c>
      <c r="BF37" s="56">
        <f>$C37*INDEX(Curves!$D$8:$D$68,BF$4-$B37+1)</f>
        <v/>
      </c>
      <c r="BG37" s="56">
        <f>$C37*INDEX(Curves!$D$8:$D$68,BG$4-$B37+1)</f>
        <v/>
      </c>
      <c r="BH37" s="56">
        <f>$C37*INDEX(Curves!$D$8:$D$68,BH$4-$B37+1)</f>
        <v/>
      </c>
      <c r="BI37" s="56">
        <f>$C37*INDEX(Curves!$D$8:$D$68,BI$4-$B37+1)</f>
        <v/>
      </c>
      <c r="BJ37" s="56">
        <f>$C37*INDEX(Curves!$D$8:$D$68,BJ$4-$B37+1)</f>
        <v/>
      </c>
      <c r="BK37" s="56">
        <f>$C37*INDEX(Curves!$D$8:$D$68,BK$4-$B37+1)</f>
        <v/>
      </c>
      <c r="BL37" s="56">
        <f>$C37*INDEX(Curves!$D$8:$D$68,BL$4-$B37+1)</f>
        <v/>
      </c>
    </row>
    <row r="38">
      <c r="A38" s="55" t="inlineStr">
        <is>
          <t>Cohort month 29</t>
        </is>
      </c>
      <c r="B38" s="55" t="n">
        <v>29</v>
      </c>
      <c r="C38" s="46">
        <f>INDEX(Ops!$E$10:$BL$10,1,$B38)</f>
        <v/>
      </c>
      <c r="AH38" s="56">
        <f>$C38*INDEX(Curves!$D$8:$D$68,AH$4-$B38+1)</f>
        <v/>
      </c>
      <c r="AI38" s="56">
        <f>$C38*INDEX(Curves!$D$8:$D$68,AI$4-$B38+1)</f>
        <v/>
      </c>
      <c r="AJ38" s="56">
        <f>$C38*INDEX(Curves!$D$8:$D$68,AJ$4-$B38+1)</f>
        <v/>
      </c>
      <c r="AK38" s="56">
        <f>$C38*INDEX(Curves!$D$8:$D$68,AK$4-$B38+1)</f>
        <v/>
      </c>
      <c r="AL38" s="56">
        <f>$C38*INDEX(Curves!$D$8:$D$68,AL$4-$B38+1)</f>
        <v/>
      </c>
      <c r="AM38" s="56">
        <f>$C38*INDEX(Curves!$D$8:$D$68,AM$4-$B38+1)</f>
        <v/>
      </c>
      <c r="AN38" s="56">
        <f>$C38*INDEX(Curves!$D$8:$D$68,AN$4-$B38+1)</f>
        <v/>
      </c>
      <c r="AO38" s="56">
        <f>$C38*INDEX(Curves!$D$8:$D$68,AO$4-$B38+1)</f>
        <v/>
      </c>
      <c r="AP38" s="56">
        <f>$C38*INDEX(Curves!$D$8:$D$68,AP$4-$B38+1)</f>
        <v/>
      </c>
      <c r="AQ38" s="56">
        <f>$C38*INDEX(Curves!$D$8:$D$68,AQ$4-$B38+1)</f>
        <v/>
      </c>
      <c r="AR38" s="56">
        <f>$C38*INDEX(Curves!$D$8:$D$68,AR$4-$B38+1)</f>
        <v/>
      </c>
      <c r="AS38" s="56">
        <f>$C38*INDEX(Curves!$D$8:$D$68,AS$4-$B38+1)</f>
        <v/>
      </c>
      <c r="AT38" s="56">
        <f>$C38*INDEX(Curves!$D$8:$D$68,AT$4-$B38+1)</f>
        <v/>
      </c>
      <c r="AU38" s="56">
        <f>$C38*INDEX(Curves!$D$8:$D$68,AU$4-$B38+1)</f>
        <v/>
      </c>
      <c r="AV38" s="56">
        <f>$C38*INDEX(Curves!$D$8:$D$68,AV$4-$B38+1)</f>
        <v/>
      </c>
      <c r="AW38" s="56">
        <f>$C38*INDEX(Curves!$D$8:$D$68,AW$4-$B38+1)</f>
        <v/>
      </c>
      <c r="AX38" s="56">
        <f>$C38*INDEX(Curves!$D$8:$D$68,AX$4-$B38+1)</f>
        <v/>
      </c>
      <c r="AY38" s="56">
        <f>$C38*INDEX(Curves!$D$8:$D$68,AY$4-$B38+1)</f>
        <v/>
      </c>
      <c r="AZ38" s="56">
        <f>$C38*INDEX(Curves!$D$8:$D$68,AZ$4-$B38+1)</f>
        <v/>
      </c>
      <c r="BA38" s="56">
        <f>$C38*INDEX(Curves!$D$8:$D$68,BA$4-$B38+1)</f>
        <v/>
      </c>
      <c r="BB38" s="56">
        <f>$C38*INDEX(Curves!$D$8:$D$68,BB$4-$B38+1)</f>
        <v/>
      </c>
      <c r="BC38" s="56">
        <f>$C38*INDEX(Curves!$D$8:$D$68,BC$4-$B38+1)</f>
        <v/>
      </c>
      <c r="BD38" s="56">
        <f>$C38*INDEX(Curves!$D$8:$D$68,BD$4-$B38+1)</f>
        <v/>
      </c>
      <c r="BE38" s="56">
        <f>$C38*INDEX(Curves!$D$8:$D$68,BE$4-$B38+1)</f>
        <v/>
      </c>
      <c r="BF38" s="56">
        <f>$C38*INDEX(Curves!$D$8:$D$68,BF$4-$B38+1)</f>
        <v/>
      </c>
      <c r="BG38" s="56">
        <f>$C38*INDEX(Curves!$D$8:$D$68,BG$4-$B38+1)</f>
        <v/>
      </c>
      <c r="BH38" s="56">
        <f>$C38*INDEX(Curves!$D$8:$D$68,BH$4-$B38+1)</f>
        <v/>
      </c>
      <c r="BI38" s="56">
        <f>$C38*INDEX(Curves!$D$8:$D$68,BI$4-$B38+1)</f>
        <v/>
      </c>
      <c r="BJ38" s="56">
        <f>$C38*INDEX(Curves!$D$8:$D$68,BJ$4-$B38+1)</f>
        <v/>
      </c>
      <c r="BK38" s="56">
        <f>$C38*INDEX(Curves!$D$8:$D$68,BK$4-$B38+1)</f>
        <v/>
      </c>
      <c r="BL38" s="56">
        <f>$C38*INDEX(Curves!$D$8:$D$68,BL$4-$B38+1)</f>
        <v/>
      </c>
    </row>
    <row r="39">
      <c r="A39" s="55" t="inlineStr">
        <is>
          <t>Cohort month 30</t>
        </is>
      </c>
      <c r="B39" s="55" t="n">
        <v>30</v>
      </c>
      <c r="C39" s="46">
        <f>INDEX(Ops!$E$10:$BL$10,1,$B39)</f>
        <v/>
      </c>
      <c r="AI39" s="56">
        <f>$C39*INDEX(Curves!$D$8:$D$68,AI$4-$B39+1)</f>
        <v/>
      </c>
      <c r="AJ39" s="56">
        <f>$C39*INDEX(Curves!$D$8:$D$68,AJ$4-$B39+1)</f>
        <v/>
      </c>
      <c r="AK39" s="56">
        <f>$C39*INDEX(Curves!$D$8:$D$68,AK$4-$B39+1)</f>
        <v/>
      </c>
      <c r="AL39" s="56">
        <f>$C39*INDEX(Curves!$D$8:$D$68,AL$4-$B39+1)</f>
        <v/>
      </c>
      <c r="AM39" s="56">
        <f>$C39*INDEX(Curves!$D$8:$D$68,AM$4-$B39+1)</f>
        <v/>
      </c>
      <c r="AN39" s="56">
        <f>$C39*INDEX(Curves!$D$8:$D$68,AN$4-$B39+1)</f>
        <v/>
      </c>
      <c r="AO39" s="56">
        <f>$C39*INDEX(Curves!$D$8:$D$68,AO$4-$B39+1)</f>
        <v/>
      </c>
      <c r="AP39" s="56">
        <f>$C39*INDEX(Curves!$D$8:$D$68,AP$4-$B39+1)</f>
        <v/>
      </c>
      <c r="AQ39" s="56">
        <f>$C39*INDEX(Curves!$D$8:$D$68,AQ$4-$B39+1)</f>
        <v/>
      </c>
      <c r="AR39" s="56">
        <f>$C39*INDEX(Curves!$D$8:$D$68,AR$4-$B39+1)</f>
        <v/>
      </c>
      <c r="AS39" s="56">
        <f>$C39*INDEX(Curves!$D$8:$D$68,AS$4-$B39+1)</f>
        <v/>
      </c>
      <c r="AT39" s="56">
        <f>$C39*INDEX(Curves!$D$8:$D$68,AT$4-$B39+1)</f>
        <v/>
      </c>
      <c r="AU39" s="56">
        <f>$C39*INDEX(Curves!$D$8:$D$68,AU$4-$B39+1)</f>
        <v/>
      </c>
      <c r="AV39" s="56">
        <f>$C39*INDEX(Curves!$D$8:$D$68,AV$4-$B39+1)</f>
        <v/>
      </c>
      <c r="AW39" s="56">
        <f>$C39*INDEX(Curves!$D$8:$D$68,AW$4-$B39+1)</f>
        <v/>
      </c>
      <c r="AX39" s="56">
        <f>$C39*INDEX(Curves!$D$8:$D$68,AX$4-$B39+1)</f>
        <v/>
      </c>
      <c r="AY39" s="56">
        <f>$C39*INDEX(Curves!$D$8:$D$68,AY$4-$B39+1)</f>
        <v/>
      </c>
      <c r="AZ39" s="56">
        <f>$C39*INDEX(Curves!$D$8:$D$68,AZ$4-$B39+1)</f>
        <v/>
      </c>
      <c r="BA39" s="56">
        <f>$C39*INDEX(Curves!$D$8:$D$68,BA$4-$B39+1)</f>
        <v/>
      </c>
      <c r="BB39" s="56">
        <f>$C39*INDEX(Curves!$D$8:$D$68,BB$4-$B39+1)</f>
        <v/>
      </c>
      <c r="BC39" s="56">
        <f>$C39*INDEX(Curves!$D$8:$D$68,BC$4-$B39+1)</f>
        <v/>
      </c>
      <c r="BD39" s="56">
        <f>$C39*INDEX(Curves!$D$8:$D$68,BD$4-$B39+1)</f>
        <v/>
      </c>
      <c r="BE39" s="56">
        <f>$C39*INDEX(Curves!$D$8:$D$68,BE$4-$B39+1)</f>
        <v/>
      </c>
      <c r="BF39" s="56">
        <f>$C39*INDEX(Curves!$D$8:$D$68,BF$4-$B39+1)</f>
        <v/>
      </c>
      <c r="BG39" s="56">
        <f>$C39*INDEX(Curves!$D$8:$D$68,BG$4-$B39+1)</f>
        <v/>
      </c>
      <c r="BH39" s="56">
        <f>$C39*INDEX(Curves!$D$8:$D$68,BH$4-$B39+1)</f>
        <v/>
      </c>
      <c r="BI39" s="56">
        <f>$C39*INDEX(Curves!$D$8:$D$68,BI$4-$B39+1)</f>
        <v/>
      </c>
      <c r="BJ39" s="56">
        <f>$C39*INDEX(Curves!$D$8:$D$68,BJ$4-$B39+1)</f>
        <v/>
      </c>
      <c r="BK39" s="56">
        <f>$C39*INDEX(Curves!$D$8:$D$68,BK$4-$B39+1)</f>
        <v/>
      </c>
      <c r="BL39" s="56">
        <f>$C39*INDEX(Curves!$D$8:$D$68,BL$4-$B39+1)</f>
        <v/>
      </c>
    </row>
    <row r="40">
      <c r="A40" s="55" t="inlineStr">
        <is>
          <t>Cohort month 31</t>
        </is>
      </c>
      <c r="B40" s="55" t="n">
        <v>31</v>
      </c>
      <c r="C40" s="46">
        <f>INDEX(Ops!$E$10:$BL$10,1,$B40)</f>
        <v/>
      </c>
      <c r="AJ40" s="56">
        <f>$C40*INDEX(Curves!$D$8:$D$68,AJ$4-$B40+1)</f>
        <v/>
      </c>
      <c r="AK40" s="56">
        <f>$C40*INDEX(Curves!$D$8:$D$68,AK$4-$B40+1)</f>
        <v/>
      </c>
      <c r="AL40" s="56">
        <f>$C40*INDEX(Curves!$D$8:$D$68,AL$4-$B40+1)</f>
        <v/>
      </c>
      <c r="AM40" s="56">
        <f>$C40*INDEX(Curves!$D$8:$D$68,AM$4-$B40+1)</f>
        <v/>
      </c>
      <c r="AN40" s="56">
        <f>$C40*INDEX(Curves!$D$8:$D$68,AN$4-$B40+1)</f>
        <v/>
      </c>
      <c r="AO40" s="56">
        <f>$C40*INDEX(Curves!$D$8:$D$68,AO$4-$B40+1)</f>
        <v/>
      </c>
      <c r="AP40" s="56">
        <f>$C40*INDEX(Curves!$D$8:$D$68,AP$4-$B40+1)</f>
        <v/>
      </c>
      <c r="AQ40" s="56">
        <f>$C40*INDEX(Curves!$D$8:$D$68,AQ$4-$B40+1)</f>
        <v/>
      </c>
      <c r="AR40" s="56">
        <f>$C40*INDEX(Curves!$D$8:$D$68,AR$4-$B40+1)</f>
        <v/>
      </c>
      <c r="AS40" s="56">
        <f>$C40*INDEX(Curves!$D$8:$D$68,AS$4-$B40+1)</f>
        <v/>
      </c>
      <c r="AT40" s="56">
        <f>$C40*INDEX(Curves!$D$8:$D$68,AT$4-$B40+1)</f>
        <v/>
      </c>
      <c r="AU40" s="56">
        <f>$C40*INDEX(Curves!$D$8:$D$68,AU$4-$B40+1)</f>
        <v/>
      </c>
      <c r="AV40" s="56">
        <f>$C40*INDEX(Curves!$D$8:$D$68,AV$4-$B40+1)</f>
        <v/>
      </c>
      <c r="AW40" s="56">
        <f>$C40*INDEX(Curves!$D$8:$D$68,AW$4-$B40+1)</f>
        <v/>
      </c>
      <c r="AX40" s="56">
        <f>$C40*INDEX(Curves!$D$8:$D$68,AX$4-$B40+1)</f>
        <v/>
      </c>
      <c r="AY40" s="56">
        <f>$C40*INDEX(Curves!$D$8:$D$68,AY$4-$B40+1)</f>
        <v/>
      </c>
      <c r="AZ40" s="56">
        <f>$C40*INDEX(Curves!$D$8:$D$68,AZ$4-$B40+1)</f>
        <v/>
      </c>
      <c r="BA40" s="56">
        <f>$C40*INDEX(Curves!$D$8:$D$68,BA$4-$B40+1)</f>
        <v/>
      </c>
      <c r="BB40" s="56">
        <f>$C40*INDEX(Curves!$D$8:$D$68,BB$4-$B40+1)</f>
        <v/>
      </c>
      <c r="BC40" s="56">
        <f>$C40*INDEX(Curves!$D$8:$D$68,BC$4-$B40+1)</f>
        <v/>
      </c>
      <c r="BD40" s="56">
        <f>$C40*INDEX(Curves!$D$8:$D$68,BD$4-$B40+1)</f>
        <v/>
      </c>
      <c r="BE40" s="56">
        <f>$C40*INDEX(Curves!$D$8:$D$68,BE$4-$B40+1)</f>
        <v/>
      </c>
      <c r="BF40" s="56">
        <f>$C40*INDEX(Curves!$D$8:$D$68,BF$4-$B40+1)</f>
        <v/>
      </c>
      <c r="BG40" s="56">
        <f>$C40*INDEX(Curves!$D$8:$D$68,BG$4-$B40+1)</f>
        <v/>
      </c>
      <c r="BH40" s="56">
        <f>$C40*INDEX(Curves!$D$8:$D$68,BH$4-$B40+1)</f>
        <v/>
      </c>
      <c r="BI40" s="56">
        <f>$C40*INDEX(Curves!$D$8:$D$68,BI$4-$B40+1)</f>
        <v/>
      </c>
      <c r="BJ40" s="56">
        <f>$C40*INDEX(Curves!$D$8:$D$68,BJ$4-$B40+1)</f>
        <v/>
      </c>
      <c r="BK40" s="56">
        <f>$C40*INDEX(Curves!$D$8:$D$68,BK$4-$B40+1)</f>
        <v/>
      </c>
      <c r="BL40" s="56">
        <f>$C40*INDEX(Curves!$D$8:$D$68,BL$4-$B40+1)</f>
        <v/>
      </c>
    </row>
    <row r="41">
      <c r="A41" s="55" t="inlineStr">
        <is>
          <t>Cohort month 32</t>
        </is>
      </c>
      <c r="B41" s="55" t="n">
        <v>32</v>
      </c>
      <c r="C41" s="46">
        <f>INDEX(Ops!$E$10:$BL$10,1,$B41)</f>
        <v/>
      </c>
      <c r="AK41" s="56">
        <f>$C41*INDEX(Curves!$D$8:$D$68,AK$4-$B41+1)</f>
        <v/>
      </c>
      <c r="AL41" s="56">
        <f>$C41*INDEX(Curves!$D$8:$D$68,AL$4-$B41+1)</f>
        <v/>
      </c>
      <c r="AM41" s="56">
        <f>$C41*INDEX(Curves!$D$8:$D$68,AM$4-$B41+1)</f>
        <v/>
      </c>
      <c r="AN41" s="56">
        <f>$C41*INDEX(Curves!$D$8:$D$68,AN$4-$B41+1)</f>
        <v/>
      </c>
      <c r="AO41" s="56">
        <f>$C41*INDEX(Curves!$D$8:$D$68,AO$4-$B41+1)</f>
        <v/>
      </c>
      <c r="AP41" s="56">
        <f>$C41*INDEX(Curves!$D$8:$D$68,AP$4-$B41+1)</f>
        <v/>
      </c>
      <c r="AQ41" s="56">
        <f>$C41*INDEX(Curves!$D$8:$D$68,AQ$4-$B41+1)</f>
        <v/>
      </c>
      <c r="AR41" s="56">
        <f>$C41*INDEX(Curves!$D$8:$D$68,AR$4-$B41+1)</f>
        <v/>
      </c>
      <c r="AS41" s="56">
        <f>$C41*INDEX(Curves!$D$8:$D$68,AS$4-$B41+1)</f>
        <v/>
      </c>
      <c r="AT41" s="56">
        <f>$C41*INDEX(Curves!$D$8:$D$68,AT$4-$B41+1)</f>
        <v/>
      </c>
      <c r="AU41" s="56">
        <f>$C41*INDEX(Curves!$D$8:$D$68,AU$4-$B41+1)</f>
        <v/>
      </c>
      <c r="AV41" s="56">
        <f>$C41*INDEX(Curves!$D$8:$D$68,AV$4-$B41+1)</f>
        <v/>
      </c>
      <c r="AW41" s="56">
        <f>$C41*INDEX(Curves!$D$8:$D$68,AW$4-$B41+1)</f>
        <v/>
      </c>
      <c r="AX41" s="56">
        <f>$C41*INDEX(Curves!$D$8:$D$68,AX$4-$B41+1)</f>
        <v/>
      </c>
      <c r="AY41" s="56">
        <f>$C41*INDEX(Curves!$D$8:$D$68,AY$4-$B41+1)</f>
        <v/>
      </c>
      <c r="AZ41" s="56">
        <f>$C41*INDEX(Curves!$D$8:$D$68,AZ$4-$B41+1)</f>
        <v/>
      </c>
      <c r="BA41" s="56">
        <f>$C41*INDEX(Curves!$D$8:$D$68,BA$4-$B41+1)</f>
        <v/>
      </c>
      <c r="BB41" s="56">
        <f>$C41*INDEX(Curves!$D$8:$D$68,BB$4-$B41+1)</f>
        <v/>
      </c>
      <c r="BC41" s="56">
        <f>$C41*INDEX(Curves!$D$8:$D$68,BC$4-$B41+1)</f>
        <v/>
      </c>
      <c r="BD41" s="56">
        <f>$C41*INDEX(Curves!$D$8:$D$68,BD$4-$B41+1)</f>
        <v/>
      </c>
      <c r="BE41" s="56">
        <f>$C41*INDEX(Curves!$D$8:$D$68,BE$4-$B41+1)</f>
        <v/>
      </c>
      <c r="BF41" s="56">
        <f>$C41*INDEX(Curves!$D$8:$D$68,BF$4-$B41+1)</f>
        <v/>
      </c>
      <c r="BG41" s="56">
        <f>$C41*INDEX(Curves!$D$8:$D$68,BG$4-$B41+1)</f>
        <v/>
      </c>
      <c r="BH41" s="56">
        <f>$C41*INDEX(Curves!$D$8:$D$68,BH$4-$B41+1)</f>
        <v/>
      </c>
      <c r="BI41" s="56">
        <f>$C41*INDEX(Curves!$D$8:$D$68,BI$4-$B41+1)</f>
        <v/>
      </c>
      <c r="BJ41" s="56">
        <f>$C41*INDEX(Curves!$D$8:$D$68,BJ$4-$B41+1)</f>
        <v/>
      </c>
      <c r="BK41" s="56">
        <f>$C41*INDEX(Curves!$D$8:$D$68,BK$4-$B41+1)</f>
        <v/>
      </c>
      <c r="BL41" s="56">
        <f>$C41*INDEX(Curves!$D$8:$D$68,BL$4-$B41+1)</f>
        <v/>
      </c>
    </row>
    <row r="42">
      <c r="A42" s="55" t="inlineStr">
        <is>
          <t>Cohort month 33</t>
        </is>
      </c>
      <c r="B42" s="55" t="n">
        <v>33</v>
      </c>
      <c r="C42" s="46">
        <f>INDEX(Ops!$E$10:$BL$10,1,$B42)</f>
        <v/>
      </c>
      <c r="AL42" s="56">
        <f>$C42*INDEX(Curves!$D$8:$D$68,AL$4-$B42+1)</f>
        <v/>
      </c>
      <c r="AM42" s="56">
        <f>$C42*INDEX(Curves!$D$8:$D$68,AM$4-$B42+1)</f>
        <v/>
      </c>
      <c r="AN42" s="56">
        <f>$C42*INDEX(Curves!$D$8:$D$68,AN$4-$B42+1)</f>
        <v/>
      </c>
      <c r="AO42" s="56">
        <f>$C42*INDEX(Curves!$D$8:$D$68,AO$4-$B42+1)</f>
        <v/>
      </c>
      <c r="AP42" s="56">
        <f>$C42*INDEX(Curves!$D$8:$D$68,AP$4-$B42+1)</f>
        <v/>
      </c>
      <c r="AQ42" s="56">
        <f>$C42*INDEX(Curves!$D$8:$D$68,AQ$4-$B42+1)</f>
        <v/>
      </c>
      <c r="AR42" s="56">
        <f>$C42*INDEX(Curves!$D$8:$D$68,AR$4-$B42+1)</f>
        <v/>
      </c>
      <c r="AS42" s="56">
        <f>$C42*INDEX(Curves!$D$8:$D$68,AS$4-$B42+1)</f>
        <v/>
      </c>
      <c r="AT42" s="56">
        <f>$C42*INDEX(Curves!$D$8:$D$68,AT$4-$B42+1)</f>
        <v/>
      </c>
      <c r="AU42" s="56">
        <f>$C42*INDEX(Curves!$D$8:$D$68,AU$4-$B42+1)</f>
        <v/>
      </c>
      <c r="AV42" s="56">
        <f>$C42*INDEX(Curves!$D$8:$D$68,AV$4-$B42+1)</f>
        <v/>
      </c>
      <c r="AW42" s="56">
        <f>$C42*INDEX(Curves!$D$8:$D$68,AW$4-$B42+1)</f>
        <v/>
      </c>
      <c r="AX42" s="56">
        <f>$C42*INDEX(Curves!$D$8:$D$68,AX$4-$B42+1)</f>
        <v/>
      </c>
      <c r="AY42" s="56">
        <f>$C42*INDEX(Curves!$D$8:$D$68,AY$4-$B42+1)</f>
        <v/>
      </c>
      <c r="AZ42" s="56">
        <f>$C42*INDEX(Curves!$D$8:$D$68,AZ$4-$B42+1)</f>
        <v/>
      </c>
      <c r="BA42" s="56">
        <f>$C42*INDEX(Curves!$D$8:$D$68,BA$4-$B42+1)</f>
        <v/>
      </c>
      <c r="BB42" s="56">
        <f>$C42*INDEX(Curves!$D$8:$D$68,BB$4-$B42+1)</f>
        <v/>
      </c>
      <c r="BC42" s="56">
        <f>$C42*INDEX(Curves!$D$8:$D$68,BC$4-$B42+1)</f>
        <v/>
      </c>
      <c r="BD42" s="56">
        <f>$C42*INDEX(Curves!$D$8:$D$68,BD$4-$B42+1)</f>
        <v/>
      </c>
      <c r="BE42" s="56">
        <f>$C42*INDEX(Curves!$D$8:$D$68,BE$4-$B42+1)</f>
        <v/>
      </c>
      <c r="BF42" s="56">
        <f>$C42*INDEX(Curves!$D$8:$D$68,BF$4-$B42+1)</f>
        <v/>
      </c>
      <c r="BG42" s="56">
        <f>$C42*INDEX(Curves!$D$8:$D$68,BG$4-$B42+1)</f>
        <v/>
      </c>
      <c r="BH42" s="56">
        <f>$C42*INDEX(Curves!$D$8:$D$68,BH$4-$B42+1)</f>
        <v/>
      </c>
      <c r="BI42" s="56">
        <f>$C42*INDEX(Curves!$D$8:$D$68,BI$4-$B42+1)</f>
        <v/>
      </c>
      <c r="BJ42" s="56">
        <f>$C42*INDEX(Curves!$D$8:$D$68,BJ$4-$B42+1)</f>
        <v/>
      </c>
      <c r="BK42" s="56">
        <f>$C42*INDEX(Curves!$D$8:$D$68,BK$4-$B42+1)</f>
        <v/>
      </c>
      <c r="BL42" s="56">
        <f>$C42*INDEX(Curves!$D$8:$D$68,BL$4-$B42+1)</f>
        <v/>
      </c>
    </row>
    <row r="43">
      <c r="A43" s="55" t="inlineStr">
        <is>
          <t>Cohort month 34</t>
        </is>
      </c>
      <c r="B43" s="55" t="n">
        <v>34</v>
      </c>
      <c r="C43" s="46">
        <f>INDEX(Ops!$E$10:$BL$10,1,$B43)</f>
        <v/>
      </c>
      <c r="AM43" s="56">
        <f>$C43*INDEX(Curves!$D$8:$D$68,AM$4-$B43+1)</f>
        <v/>
      </c>
      <c r="AN43" s="56">
        <f>$C43*INDEX(Curves!$D$8:$D$68,AN$4-$B43+1)</f>
        <v/>
      </c>
      <c r="AO43" s="56">
        <f>$C43*INDEX(Curves!$D$8:$D$68,AO$4-$B43+1)</f>
        <v/>
      </c>
      <c r="AP43" s="56">
        <f>$C43*INDEX(Curves!$D$8:$D$68,AP$4-$B43+1)</f>
        <v/>
      </c>
      <c r="AQ43" s="56">
        <f>$C43*INDEX(Curves!$D$8:$D$68,AQ$4-$B43+1)</f>
        <v/>
      </c>
      <c r="AR43" s="56">
        <f>$C43*INDEX(Curves!$D$8:$D$68,AR$4-$B43+1)</f>
        <v/>
      </c>
      <c r="AS43" s="56">
        <f>$C43*INDEX(Curves!$D$8:$D$68,AS$4-$B43+1)</f>
        <v/>
      </c>
      <c r="AT43" s="56">
        <f>$C43*INDEX(Curves!$D$8:$D$68,AT$4-$B43+1)</f>
        <v/>
      </c>
      <c r="AU43" s="56">
        <f>$C43*INDEX(Curves!$D$8:$D$68,AU$4-$B43+1)</f>
        <v/>
      </c>
      <c r="AV43" s="56">
        <f>$C43*INDEX(Curves!$D$8:$D$68,AV$4-$B43+1)</f>
        <v/>
      </c>
      <c r="AW43" s="56">
        <f>$C43*INDEX(Curves!$D$8:$D$68,AW$4-$B43+1)</f>
        <v/>
      </c>
      <c r="AX43" s="56">
        <f>$C43*INDEX(Curves!$D$8:$D$68,AX$4-$B43+1)</f>
        <v/>
      </c>
      <c r="AY43" s="56">
        <f>$C43*INDEX(Curves!$D$8:$D$68,AY$4-$B43+1)</f>
        <v/>
      </c>
      <c r="AZ43" s="56">
        <f>$C43*INDEX(Curves!$D$8:$D$68,AZ$4-$B43+1)</f>
        <v/>
      </c>
      <c r="BA43" s="56">
        <f>$C43*INDEX(Curves!$D$8:$D$68,BA$4-$B43+1)</f>
        <v/>
      </c>
      <c r="BB43" s="56">
        <f>$C43*INDEX(Curves!$D$8:$D$68,BB$4-$B43+1)</f>
        <v/>
      </c>
      <c r="BC43" s="56">
        <f>$C43*INDEX(Curves!$D$8:$D$68,BC$4-$B43+1)</f>
        <v/>
      </c>
      <c r="BD43" s="56">
        <f>$C43*INDEX(Curves!$D$8:$D$68,BD$4-$B43+1)</f>
        <v/>
      </c>
      <c r="BE43" s="56">
        <f>$C43*INDEX(Curves!$D$8:$D$68,BE$4-$B43+1)</f>
        <v/>
      </c>
      <c r="BF43" s="56">
        <f>$C43*INDEX(Curves!$D$8:$D$68,BF$4-$B43+1)</f>
        <v/>
      </c>
      <c r="BG43" s="56">
        <f>$C43*INDEX(Curves!$D$8:$D$68,BG$4-$B43+1)</f>
        <v/>
      </c>
      <c r="BH43" s="56">
        <f>$C43*INDEX(Curves!$D$8:$D$68,BH$4-$B43+1)</f>
        <v/>
      </c>
      <c r="BI43" s="56">
        <f>$C43*INDEX(Curves!$D$8:$D$68,BI$4-$B43+1)</f>
        <v/>
      </c>
      <c r="BJ43" s="56">
        <f>$C43*INDEX(Curves!$D$8:$D$68,BJ$4-$B43+1)</f>
        <v/>
      </c>
      <c r="BK43" s="56">
        <f>$C43*INDEX(Curves!$D$8:$D$68,BK$4-$B43+1)</f>
        <v/>
      </c>
      <c r="BL43" s="56">
        <f>$C43*INDEX(Curves!$D$8:$D$68,BL$4-$B43+1)</f>
        <v/>
      </c>
    </row>
    <row r="44">
      <c r="A44" s="55" t="inlineStr">
        <is>
          <t>Cohort month 35</t>
        </is>
      </c>
      <c r="B44" s="55" t="n">
        <v>35</v>
      </c>
      <c r="C44" s="46">
        <f>INDEX(Ops!$E$10:$BL$10,1,$B44)</f>
        <v/>
      </c>
      <c r="AN44" s="56">
        <f>$C44*INDEX(Curves!$D$8:$D$68,AN$4-$B44+1)</f>
        <v/>
      </c>
      <c r="AO44" s="56">
        <f>$C44*INDEX(Curves!$D$8:$D$68,AO$4-$B44+1)</f>
        <v/>
      </c>
      <c r="AP44" s="56">
        <f>$C44*INDEX(Curves!$D$8:$D$68,AP$4-$B44+1)</f>
        <v/>
      </c>
      <c r="AQ44" s="56">
        <f>$C44*INDEX(Curves!$D$8:$D$68,AQ$4-$B44+1)</f>
        <v/>
      </c>
      <c r="AR44" s="56">
        <f>$C44*INDEX(Curves!$D$8:$D$68,AR$4-$B44+1)</f>
        <v/>
      </c>
      <c r="AS44" s="56">
        <f>$C44*INDEX(Curves!$D$8:$D$68,AS$4-$B44+1)</f>
        <v/>
      </c>
      <c r="AT44" s="56">
        <f>$C44*INDEX(Curves!$D$8:$D$68,AT$4-$B44+1)</f>
        <v/>
      </c>
      <c r="AU44" s="56">
        <f>$C44*INDEX(Curves!$D$8:$D$68,AU$4-$B44+1)</f>
        <v/>
      </c>
      <c r="AV44" s="56">
        <f>$C44*INDEX(Curves!$D$8:$D$68,AV$4-$B44+1)</f>
        <v/>
      </c>
      <c r="AW44" s="56">
        <f>$C44*INDEX(Curves!$D$8:$D$68,AW$4-$B44+1)</f>
        <v/>
      </c>
      <c r="AX44" s="56">
        <f>$C44*INDEX(Curves!$D$8:$D$68,AX$4-$B44+1)</f>
        <v/>
      </c>
      <c r="AY44" s="56">
        <f>$C44*INDEX(Curves!$D$8:$D$68,AY$4-$B44+1)</f>
        <v/>
      </c>
      <c r="AZ44" s="56">
        <f>$C44*INDEX(Curves!$D$8:$D$68,AZ$4-$B44+1)</f>
        <v/>
      </c>
      <c r="BA44" s="56">
        <f>$C44*INDEX(Curves!$D$8:$D$68,BA$4-$B44+1)</f>
        <v/>
      </c>
      <c r="BB44" s="56">
        <f>$C44*INDEX(Curves!$D$8:$D$68,BB$4-$B44+1)</f>
        <v/>
      </c>
      <c r="BC44" s="56">
        <f>$C44*INDEX(Curves!$D$8:$D$68,BC$4-$B44+1)</f>
        <v/>
      </c>
      <c r="BD44" s="56">
        <f>$C44*INDEX(Curves!$D$8:$D$68,BD$4-$B44+1)</f>
        <v/>
      </c>
      <c r="BE44" s="56">
        <f>$C44*INDEX(Curves!$D$8:$D$68,BE$4-$B44+1)</f>
        <v/>
      </c>
      <c r="BF44" s="56">
        <f>$C44*INDEX(Curves!$D$8:$D$68,BF$4-$B44+1)</f>
        <v/>
      </c>
      <c r="BG44" s="56">
        <f>$C44*INDEX(Curves!$D$8:$D$68,BG$4-$B44+1)</f>
        <v/>
      </c>
      <c r="BH44" s="56">
        <f>$C44*INDEX(Curves!$D$8:$D$68,BH$4-$B44+1)</f>
        <v/>
      </c>
      <c r="BI44" s="56">
        <f>$C44*INDEX(Curves!$D$8:$D$68,BI$4-$B44+1)</f>
        <v/>
      </c>
      <c r="BJ44" s="56">
        <f>$C44*INDEX(Curves!$D$8:$D$68,BJ$4-$B44+1)</f>
        <v/>
      </c>
      <c r="BK44" s="56">
        <f>$C44*INDEX(Curves!$D$8:$D$68,BK$4-$B44+1)</f>
        <v/>
      </c>
      <c r="BL44" s="56">
        <f>$C44*INDEX(Curves!$D$8:$D$68,BL$4-$B44+1)</f>
        <v/>
      </c>
    </row>
    <row r="45">
      <c r="A45" s="55" t="inlineStr">
        <is>
          <t>Cohort month 36</t>
        </is>
      </c>
      <c r="B45" s="55" t="n">
        <v>36</v>
      </c>
      <c r="C45" s="46">
        <f>INDEX(Ops!$E$10:$BL$10,1,$B45)</f>
        <v/>
      </c>
      <c r="AO45" s="56">
        <f>$C45*INDEX(Curves!$D$8:$D$68,AO$4-$B45+1)</f>
        <v/>
      </c>
      <c r="AP45" s="56">
        <f>$C45*INDEX(Curves!$D$8:$D$68,AP$4-$B45+1)</f>
        <v/>
      </c>
      <c r="AQ45" s="56">
        <f>$C45*INDEX(Curves!$D$8:$D$68,AQ$4-$B45+1)</f>
        <v/>
      </c>
      <c r="AR45" s="56">
        <f>$C45*INDEX(Curves!$D$8:$D$68,AR$4-$B45+1)</f>
        <v/>
      </c>
      <c r="AS45" s="56">
        <f>$C45*INDEX(Curves!$D$8:$D$68,AS$4-$B45+1)</f>
        <v/>
      </c>
      <c r="AT45" s="56">
        <f>$C45*INDEX(Curves!$D$8:$D$68,AT$4-$B45+1)</f>
        <v/>
      </c>
      <c r="AU45" s="56">
        <f>$C45*INDEX(Curves!$D$8:$D$68,AU$4-$B45+1)</f>
        <v/>
      </c>
      <c r="AV45" s="56">
        <f>$C45*INDEX(Curves!$D$8:$D$68,AV$4-$B45+1)</f>
        <v/>
      </c>
      <c r="AW45" s="56">
        <f>$C45*INDEX(Curves!$D$8:$D$68,AW$4-$B45+1)</f>
        <v/>
      </c>
      <c r="AX45" s="56">
        <f>$C45*INDEX(Curves!$D$8:$D$68,AX$4-$B45+1)</f>
        <v/>
      </c>
      <c r="AY45" s="56">
        <f>$C45*INDEX(Curves!$D$8:$D$68,AY$4-$B45+1)</f>
        <v/>
      </c>
      <c r="AZ45" s="56">
        <f>$C45*INDEX(Curves!$D$8:$D$68,AZ$4-$B45+1)</f>
        <v/>
      </c>
      <c r="BA45" s="56">
        <f>$C45*INDEX(Curves!$D$8:$D$68,BA$4-$B45+1)</f>
        <v/>
      </c>
      <c r="BB45" s="56">
        <f>$C45*INDEX(Curves!$D$8:$D$68,BB$4-$B45+1)</f>
        <v/>
      </c>
      <c r="BC45" s="56">
        <f>$C45*INDEX(Curves!$D$8:$D$68,BC$4-$B45+1)</f>
        <v/>
      </c>
      <c r="BD45" s="56">
        <f>$C45*INDEX(Curves!$D$8:$D$68,BD$4-$B45+1)</f>
        <v/>
      </c>
      <c r="BE45" s="56">
        <f>$C45*INDEX(Curves!$D$8:$D$68,BE$4-$B45+1)</f>
        <v/>
      </c>
      <c r="BF45" s="56">
        <f>$C45*INDEX(Curves!$D$8:$D$68,BF$4-$B45+1)</f>
        <v/>
      </c>
      <c r="BG45" s="56">
        <f>$C45*INDEX(Curves!$D$8:$D$68,BG$4-$B45+1)</f>
        <v/>
      </c>
      <c r="BH45" s="56">
        <f>$C45*INDEX(Curves!$D$8:$D$68,BH$4-$B45+1)</f>
        <v/>
      </c>
      <c r="BI45" s="56">
        <f>$C45*INDEX(Curves!$D$8:$D$68,BI$4-$B45+1)</f>
        <v/>
      </c>
      <c r="BJ45" s="56">
        <f>$C45*INDEX(Curves!$D$8:$D$68,BJ$4-$B45+1)</f>
        <v/>
      </c>
      <c r="BK45" s="56">
        <f>$C45*INDEX(Curves!$D$8:$D$68,BK$4-$B45+1)</f>
        <v/>
      </c>
      <c r="BL45" s="56">
        <f>$C45*INDEX(Curves!$D$8:$D$68,BL$4-$B45+1)</f>
        <v/>
      </c>
    </row>
    <row r="46">
      <c r="A46" s="55" t="inlineStr">
        <is>
          <t>Cohort month 37</t>
        </is>
      </c>
      <c r="B46" s="55" t="n">
        <v>37</v>
      </c>
      <c r="C46" s="46">
        <f>INDEX(Ops!$E$10:$BL$10,1,$B46)</f>
        <v/>
      </c>
      <c r="AP46" s="56">
        <f>$C46*INDEX(Curves!$D$8:$D$68,AP$4-$B46+1)</f>
        <v/>
      </c>
      <c r="AQ46" s="56">
        <f>$C46*INDEX(Curves!$D$8:$D$68,AQ$4-$B46+1)</f>
        <v/>
      </c>
      <c r="AR46" s="56">
        <f>$C46*INDEX(Curves!$D$8:$D$68,AR$4-$B46+1)</f>
        <v/>
      </c>
      <c r="AS46" s="56">
        <f>$C46*INDEX(Curves!$D$8:$D$68,AS$4-$B46+1)</f>
        <v/>
      </c>
      <c r="AT46" s="56">
        <f>$C46*INDEX(Curves!$D$8:$D$68,AT$4-$B46+1)</f>
        <v/>
      </c>
      <c r="AU46" s="56">
        <f>$C46*INDEX(Curves!$D$8:$D$68,AU$4-$B46+1)</f>
        <v/>
      </c>
      <c r="AV46" s="56">
        <f>$C46*INDEX(Curves!$D$8:$D$68,AV$4-$B46+1)</f>
        <v/>
      </c>
      <c r="AW46" s="56">
        <f>$C46*INDEX(Curves!$D$8:$D$68,AW$4-$B46+1)</f>
        <v/>
      </c>
      <c r="AX46" s="56">
        <f>$C46*INDEX(Curves!$D$8:$D$68,AX$4-$B46+1)</f>
        <v/>
      </c>
      <c r="AY46" s="56">
        <f>$C46*INDEX(Curves!$D$8:$D$68,AY$4-$B46+1)</f>
        <v/>
      </c>
      <c r="AZ46" s="56">
        <f>$C46*INDEX(Curves!$D$8:$D$68,AZ$4-$B46+1)</f>
        <v/>
      </c>
      <c r="BA46" s="56">
        <f>$C46*INDEX(Curves!$D$8:$D$68,BA$4-$B46+1)</f>
        <v/>
      </c>
      <c r="BB46" s="56">
        <f>$C46*INDEX(Curves!$D$8:$D$68,BB$4-$B46+1)</f>
        <v/>
      </c>
      <c r="BC46" s="56">
        <f>$C46*INDEX(Curves!$D$8:$D$68,BC$4-$B46+1)</f>
        <v/>
      </c>
      <c r="BD46" s="56">
        <f>$C46*INDEX(Curves!$D$8:$D$68,BD$4-$B46+1)</f>
        <v/>
      </c>
      <c r="BE46" s="56">
        <f>$C46*INDEX(Curves!$D$8:$D$68,BE$4-$B46+1)</f>
        <v/>
      </c>
      <c r="BF46" s="56">
        <f>$C46*INDEX(Curves!$D$8:$D$68,BF$4-$B46+1)</f>
        <v/>
      </c>
      <c r="BG46" s="56">
        <f>$C46*INDEX(Curves!$D$8:$D$68,BG$4-$B46+1)</f>
        <v/>
      </c>
      <c r="BH46" s="56">
        <f>$C46*INDEX(Curves!$D$8:$D$68,BH$4-$B46+1)</f>
        <v/>
      </c>
      <c r="BI46" s="56">
        <f>$C46*INDEX(Curves!$D$8:$D$68,BI$4-$B46+1)</f>
        <v/>
      </c>
      <c r="BJ46" s="56">
        <f>$C46*INDEX(Curves!$D$8:$D$68,BJ$4-$B46+1)</f>
        <v/>
      </c>
      <c r="BK46" s="56">
        <f>$C46*INDEX(Curves!$D$8:$D$68,BK$4-$B46+1)</f>
        <v/>
      </c>
      <c r="BL46" s="56">
        <f>$C46*INDEX(Curves!$D$8:$D$68,BL$4-$B46+1)</f>
        <v/>
      </c>
    </row>
    <row r="47">
      <c r="A47" s="55" t="inlineStr">
        <is>
          <t>Cohort month 38</t>
        </is>
      </c>
      <c r="B47" s="55" t="n">
        <v>38</v>
      </c>
      <c r="C47" s="46">
        <f>INDEX(Ops!$E$10:$BL$10,1,$B47)</f>
        <v/>
      </c>
      <c r="AQ47" s="56">
        <f>$C47*INDEX(Curves!$D$8:$D$68,AQ$4-$B47+1)</f>
        <v/>
      </c>
      <c r="AR47" s="56">
        <f>$C47*INDEX(Curves!$D$8:$D$68,AR$4-$B47+1)</f>
        <v/>
      </c>
      <c r="AS47" s="56">
        <f>$C47*INDEX(Curves!$D$8:$D$68,AS$4-$B47+1)</f>
        <v/>
      </c>
      <c r="AT47" s="56">
        <f>$C47*INDEX(Curves!$D$8:$D$68,AT$4-$B47+1)</f>
        <v/>
      </c>
      <c r="AU47" s="56">
        <f>$C47*INDEX(Curves!$D$8:$D$68,AU$4-$B47+1)</f>
        <v/>
      </c>
      <c r="AV47" s="56">
        <f>$C47*INDEX(Curves!$D$8:$D$68,AV$4-$B47+1)</f>
        <v/>
      </c>
      <c r="AW47" s="56">
        <f>$C47*INDEX(Curves!$D$8:$D$68,AW$4-$B47+1)</f>
        <v/>
      </c>
      <c r="AX47" s="56">
        <f>$C47*INDEX(Curves!$D$8:$D$68,AX$4-$B47+1)</f>
        <v/>
      </c>
      <c r="AY47" s="56">
        <f>$C47*INDEX(Curves!$D$8:$D$68,AY$4-$B47+1)</f>
        <v/>
      </c>
      <c r="AZ47" s="56">
        <f>$C47*INDEX(Curves!$D$8:$D$68,AZ$4-$B47+1)</f>
        <v/>
      </c>
      <c r="BA47" s="56">
        <f>$C47*INDEX(Curves!$D$8:$D$68,BA$4-$B47+1)</f>
        <v/>
      </c>
      <c r="BB47" s="56">
        <f>$C47*INDEX(Curves!$D$8:$D$68,BB$4-$B47+1)</f>
        <v/>
      </c>
      <c r="BC47" s="56">
        <f>$C47*INDEX(Curves!$D$8:$D$68,BC$4-$B47+1)</f>
        <v/>
      </c>
      <c r="BD47" s="56">
        <f>$C47*INDEX(Curves!$D$8:$D$68,BD$4-$B47+1)</f>
        <v/>
      </c>
      <c r="BE47" s="56">
        <f>$C47*INDEX(Curves!$D$8:$D$68,BE$4-$B47+1)</f>
        <v/>
      </c>
      <c r="BF47" s="56">
        <f>$C47*INDEX(Curves!$D$8:$D$68,BF$4-$B47+1)</f>
        <v/>
      </c>
      <c r="BG47" s="56">
        <f>$C47*INDEX(Curves!$D$8:$D$68,BG$4-$B47+1)</f>
        <v/>
      </c>
      <c r="BH47" s="56">
        <f>$C47*INDEX(Curves!$D$8:$D$68,BH$4-$B47+1)</f>
        <v/>
      </c>
      <c r="BI47" s="56">
        <f>$C47*INDEX(Curves!$D$8:$D$68,BI$4-$B47+1)</f>
        <v/>
      </c>
      <c r="BJ47" s="56">
        <f>$C47*INDEX(Curves!$D$8:$D$68,BJ$4-$B47+1)</f>
        <v/>
      </c>
      <c r="BK47" s="56">
        <f>$C47*INDEX(Curves!$D$8:$D$68,BK$4-$B47+1)</f>
        <v/>
      </c>
      <c r="BL47" s="56">
        <f>$C47*INDEX(Curves!$D$8:$D$68,BL$4-$B47+1)</f>
        <v/>
      </c>
    </row>
    <row r="48">
      <c r="A48" s="55" t="inlineStr">
        <is>
          <t>Cohort month 39</t>
        </is>
      </c>
      <c r="B48" s="55" t="n">
        <v>39</v>
      </c>
      <c r="C48" s="46">
        <f>INDEX(Ops!$E$10:$BL$10,1,$B48)</f>
        <v/>
      </c>
      <c r="AR48" s="56">
        <f>$C48*INDEX(Curves!$D$8:$D$68,AR$4-$B48+1)</f>
        <v/>
      </c>
      <c r="AS48" s="56">
        <f>$C48*INDEX(Curves!$D$8:$D$68,AS$4-$B48+1)</f>
        <v/>
      </c>
      <c r="AT48" s="56">
        <f>$C48*INDEX(Curves!$D$8:$D$68,AT$4-$B48+1)</f>
        <v/>
      </c>
      <c r="AU48" s="56">
        <f>$C48*INDEX(Curves!$D$8:$D$68,AU$4-$B48+1)</f>
        <v/>
      </c>
      <c r="AV48" s="56">
        <f>$C48*INDEX(Curves!$D$8:$D$68,AV$4-$B48+1)</f>
        <v/>
      </c>
      <c r="AW48" s="56">
        <f>$C48*INDEX(Curves!$D$8:$D$68,AW$4-$B48+1)</f>
        <v/>
      </c>
      <c r="AX48" s="56">
        <f>$C48*INDEX(Curves!$D$8:$D$68,AX$4-$B48+1)</f>
        <v/>
      </c>
      <c r="AY48" s="56">
        <f>$C48*INDEX(Curves!$D$8:$D$68,AY$4-$B48+1)</f>
        <v/>
      </c>
      <c r="AZ48" s="56">
        <f>$C48*INDEX(Curves!$D$8:$D$68,AZ$4-$B48+1)</f>
        <v/>
      </c>
      <c r="BA48" s="56">
        <f>$C48*INDEX(Curves!$D$8:$D$68,BA$4-$B48+1)</f>
        <v/>
      </c>
      <c r="BB48" s="56">
        <f>$C48*INDEX(Curves!$D$8:$D$68,BB$4-$B48+1)</f>
        <v/>
      </c>
      <c r="BC48" s="56">
        <f>$C48*INDEX(Curves!$D$8:$D$68,BC$4-$B48+1)</f>
        <v/>
      </c>
      <c r="BD48" s="56">
        <f>$C48*INDEX(Curves!$D$8:$D$68,BD$4-$B48+1)</f>
        <v/>
      </c>
      <c r="BE48" s="56">
        <f>$C48*INDEX(Curves!$D$8:$D$68,BE$4-$B48+1)</f>
        <v/>
      </c>
      <c r="BF48" s="56">
        <f>$C48*INDEX(Curves!$D$8:$D$68,BF$4-$B48+1)</f>
        <v/>
      </c>
      <c r="BG48" s="56">
        <f>$C48*INDEX(Curves!$D$8:$D$68,BG$4-$B48+1)</f>
        <v/>
      </c>
      <c r="BH48" s="56">
        <f>$C48*INDEX(Curves!$D$8:$D$68,BH$4-$B48+1)</f>
        <v/>
      </c>
      <c r="BI48" s="56">
        <f>$C48*INDEX(Curves!$D$8:$D$68,BI$4-$B48+1)</f>
        <v/>
      </c>
      <c r="BJ48" s="56">
        <f>$C48*INDEX(Curves!$D$8:$D$68,BJ$4-$B48+1)</f>
        <v/>
      </c>
      <c r="BK48" s="56">
        <f>$C48*INDEX(Curves!$D$8:$D$68,BK$4-$B48+1)</f>
        <v/>
      </c>
      <c r="BL48" s="56">
        <f>$C48*INDEX(Curves!$D$8:$D$68,BL$4-$B48+1)</f>
        <v/>
      </c>
    </row>
    <row r="49">
      <c r="A49" s="55" t="inlineStr">
        <is>
          <t>Cohort month 40</t>
        </is>
      </c>
      <c r="B49" s="55" t="n">
        <v>40</v>
      </c>
      <c r="C49" s="46">
        <f>INDEX(Ops!$E$10:$BL$10,1,$B49)</f>
        <v/>
      </c>
      <c r="AS49" s="56">
        <f>$C49*INDEX(Curves!$D$8:$D$68,AS$4-$B49+1)</f>
        <v/>
      </c>
      <c r="AT49" s="56">
        <f>$C49*INDEX(Curves!$D$8:$D$68,AT$4-$B49+1)</f>
        <v/>
      </c>
      <c r="AU49" s="56">
        <f>$C49*INDEX(Curves!$D$8:$D$68,AU$4-$B49+1)</f>
        <v/>
      </c>
      <c r="AV49" s="56">
        <f>$C49*INDEX(Curves!$D$8:$D$68,AV$4-$B49+1)</f>
        <v/>
      </c>
      <c r="AW49" s="56">
        <f>$C49*INDEX(Curves!$D$8:$D$68,AW$4-$B49+1)</f>
        <v/>
      </c>
      <c r="AX49" s="56">
        <f>$C49*INDEX(Curves!$D$8:$D$68,AX$4-$B49+1)</f>
        <v/>
      </c>
      <c r="AY49" s="56">
        <f>$C49*INDEX(Curves!$D$8:$D$68,AY$4-$B49+1)</f>
        <v/>
      </c>
      <c r="AZ49" s="56">
        <f>$C49*INDEX(Curves!$D$8:$D$68,AZ$4-$B49+1)</f>
        <v/>
      </c>
      <c r="BA49" s="56">
        <f>$C49*INDEX(Curves!$D$8:$D$68,BA$4-$B49+1)</f>
        <v/>
      </c>
      <c r="BB49" s="56">
        <f>$C49*INDEX(Curves!$D$8:$D$68,BB$4-$B49+1)</f>
        <v/>
      </c>
      <c r="BC49" s="56">
        <f>$C49*INDEX(Curves!$D$8:$D$68,BC$4-$B49+1)</f>
        <v/>
      </c>
      <c r="BD49" s="56">
        <f>$C49*INDEX(Curves!$D$8:$D$68,BD$4-$B49+1)</f>
        <v/>
      </c>
      <c r="BE49" s="56">
        <f>$C49*INDEX(Curves!$D$8:$D$68,BE$4-$B49+1)</f>
        <v/>
      </c>
      <c r="BF49" s="56">
        <f>$C49*INDEX(Curves!$D$8:$D$68,BF$4-$B49+1)</f>
        <v/>
      </c>
      <c r="BG49" s="56">
        <f>$C49*INDEX(Curves!$D$8:$D$68,BG$4-$B49+1)</f>
        <v/>
      </c>
      <c r="BH49" s="56">
        <f>$C49*INDEX(Curves!$D$8:$D$68,BH$4-$B49+1)</f>
        <v/>
      </c>
      <c r="BI49" s="56">
        <f>$C49*INDEX(Curves!$D$8:$D$68,BI$4-$B49+1)</f>
        <v/>
      </c>
      <c r="BJ49" s="56">
        <f>$C49*INDEX(Curves!$D$8:$D$68,BJ$4-$B49+1)</f>
        <v/>
      </c>
      <c r="BK49" s="56">
        <f>$C49*INDEX(Curves!$D$8:$D$68,BK$4-$B49+1)</f>
        <v/>
      </c>
      <c r="BL49" s="56">
        <f>$C49*INDEX(Curves!$D$8:$D$68,BL$4-$B49+1)</f>
        <v/>
      </c>
    </row>
    <row r="50">
      <c r="A50" s="55" t="inlineStr">
        <is>
          <t>Cohort month 41</t>
        </is>
      </c>
      <c r="B50" s="55" t="n">
        <v>41</v>
      </c>
      <c r="C50" s="46">
        <f>INDEX(Ops!$E$10:$BL$10,1,$B50)</f>
        <v/>
      </c>
      <c r="AT50" s="56">
        <f>$C50*INDEX(Curves!$D$8:$D$68,AT$4-$B50+1)</f>
        <v/>
      </c>
      <c r="AU50" s="56">
        <f>$C50*INDEX(Curves!$D$8:$D$68,AU$4-$B50+1)</f>
        <v/>
      </c>
      <c r="AV50" s="56">
        <f>$C50*INDEX(Curves!$D$8:$D$68,AV$4-$B50+1)</f>
        <v/>
      </c>
      <c r="AW50" s="56">
        <f>$C50*INDEX(Curves!$D$8:$D$68,AW$4-$B50+1)</f>
        <v/>
      </c>
      <c r="AX50" s="56">
        <f>$C50*INDEX(Curves!$D$8:$D$68,AX$4-$B50+1)</f>
        <v/>
      </c>
      <c r="AY50" s="56">
        <f>$C50*INDEX(Curves!$D$8:$D$68,AY$4-$B50+1)</f>
        <v/>
      </c>
      <c r="AZ50" s="56">
        <f>$C50*INDEX(Curves!$D$8:$D$68,AZ$4-$B50+1)</f>
        <v/>
      </c>
      <c r="BA50" s="56">
        <f>$C50*INDEX(Curves!$D$8:$D$68,BA$4-$B50+1)</f>
        <v/>
      </c>
      <c r="BB50" s="56">
        <f>$C50*INDEX(Curves!$D$8:$D$68,BB$4-$B50+1)</f>
        <v/>
      </c>
      <c r="BC50" s="56">
        <f>$C50*INDEX(Curves!$D$8:$D$68,BC$4-$B50+1)</f>
        <v/>
      </c>
      <c r="BD50" s="56">
        <f>$C50*INDEX(Curves!$D$8:$D$68,BD$4-$B50+1)</f>
        <v/>
      </c>
      <c r="BE50" s="56">
        <f>$C50*INDEX(Curves!$D$8:$D$68,BE$4-$B50+1)</f>
        <v/>
      </c>
      <c r="BF50" s="56">
        <f>$C50*INDEX(Curves!$D$8:$D$68,BF$4-$B50+1)</f>
        <v/>
      </c>
      <c r="BG50" s="56">
        <f>$C50*INDEX(Curves!$D$8:$D$68,BG$4-$B50+1)</f>
        <v/>
      </c>
      <c r="BH50" s="56">
        <f>$C50*INDEX(Curves!$D$8:$D$68,BH$4-$B50+1)</f>
        <v/>
      </c>
      <c r="BI50" s="56">
        <f>$C50*INDEX(Curves!$D$8:$D$68,BI$4-$B50+1)</f>
        <v/>
      </c>
      <c r="BJ50" s="56">
        <f>$C50*INDEX(Curves!$D$8:$D$68,BJ$4-$B50+1)</f>
        <v/>
      </c>
      <c r="BK50" s="56">
        <f>$C50*INDEX(Curves!$D$8:$D$68,BK$4-$B50+1)</f>
        <v/>
      </c>
      <c r="BL50" s="56">
        <f>$C50*INDEX(Curves!$D$8:$D$68,BL$4-$B50+1)</f>
        <v/>
      </c>
    </row>
    <row r="51">
      <c r="A51" s="55" t="inlineStr">
        <is>
          <t>Cohort month 42</t>
        </is>
      </c>
      <c r="B51" s="55" t="n">
        <v>42</v>
      </c>
      <c r="C51" s="46">
        <f>INDEX(Ops!$E$10:$BL$10,1,$B51)</f>
        <v/>
      </c>
      <c r="AU51" s="56">
        <f>$C51*INDEX(Curves!$D$8:$D$68,AU$4-$B51+1)</f>
        <v/>
      </c>
      <c r="AV51" s="56">
        <f>$C51*INDEX(Curves!$D$8:$D$68,AV$4-$B51+1)</f>
        <v/>
      </c>
      <c r="AW51" s="56">
        <f>$C51*INDEX(Curves!$D$8:$D$68,AW$4-$B51+1)</f>
        <v/>
      </c>
      <c r="AX51" s="56">
        <f>$C51*INDEX(Curves!$D$8:$D$68,AX$4-$B51+1)</f>
        <v/>
      </c>
      <c r="AY51" s="56">
        <f>$C51*INDEX(Curves!$D$8:$D$68,AY$4-$B51+1)</f>
        <v/>
      </c>
      <c r="AZ51" s="56">
        <f>$C51*INDEX(Curves!$D$8:$D$68,AZ$4-$B51+1)</f>
        <v/>
      </c>
      <c r="BA51" s="56">
        <f>$C51*INDEX(Curves!$D$8:$D$68,BA$4-$B51+1)</f>
        <v/>
      </c>
      <c r="BB51" s="56">
        <f>$C51*INDEX(Curves!$D$8:$D$68,BB$4-$B51+1)</f>
        <v/>
      </c>
      <c r="BC51" s="56">
        <f>$C51*INDEX(Curves!$D$8:$D$68,BC$4-$B51+1)</f>
        <v/>
      </c>
      <c r="BD51" s="56">
        <f>$C51*INDEX(Curves!$D$8:$D$68,BD$4-$B51+1)</f>
        <v/>
      </c>
      <c r="BE51" s="56">
        <f>$C51*INDEX(Curves!$D$8:$D$68,BE$4-$B51+1)</f>
        <v/>
      </c>
      <c r="BF51" s="56">
        <f>$C51*INDEX(Curves!$D$8:$D$68,BF$4-$B51+1)</f>
        <v/>
      </c>
      <c r="BG51" s="56">
        <f>$C51*INDEX(Curves!$D$8:$D$68,BG$4-$B51+1)</f>
        <v/>
      </c>
      <c r="BH51" s="56">
        <f>$C51*INDEX(Curves!$D$8:$D$68,BH$4-$B51+1)</f>
        <v/>
      </c>
      <c r="BI51" s="56">
        <f>$C51*INDEX(Curves!$D$8:$D$68,BI$4-$B51+1)</f>
        <v/>
      </c>
      <c r="BJ51" s="56">
        <f>$C51*INDEX(Curves!$D$8:$D$68,BJ$4-$B51+1)</f>
        <v/>
      </c>
      <c r="BK51" s="56">
        <f>$C51*INDEX(Curves!$D$8:$D$68,BK$4-$B51+1)</f>
        <v/>
      </c>
      <c r="BL51" s="56">
        <f>$C51*INDEX(Curves!$D$8:$D$68,BL$4-$B51+1)</f>
        <v/>
      </c>
    </row>
    <row r="52">
      <c r="A52" s="55" t="inlineStr">
        <is>
          <t>Cohort month 43</t>
        </is>
      </c>
      <c r="B52" s="55" t="n">
        <v>43</v>
      </c>
      <c r="C52" s="46">
        <f>INDEX(Ops!$E$10:$BL$10,1,$B52)</f>
        <v/>
      </c>
      <c r="AV52" s="56">
        <f>$C52*INDEX(Curves!$D$8:$D$68,AV$4-$B52+1)</f>
        <v/>
      </c>
      <c r="AW52" s="56">
        <f>$C52*INDEX(Curves!$D$8:$D$68,AW$4-$B52+1)</f>
        <v/>
      </c>
      <c r="AX52" s="56">
        <f>$C52*INDEX(Curves!$D$8:$D$68,AX$4-$B52+1)</f>
        <v/>
      </c>
      <c r="AY52" s="56">
        <f>$C52*INDEX(Curves!$D$8:$D$68,AY$4-$B52+1)</f>
        <v/>
      </c>
      <c r="AZ52" s="56">
        <f>$C52*INDEX(Curves!$D$8:$D$68,AZ$4-$B52+1)</f>
        <v/>
      </c>
      <c r="BA52" s="56">
        <f>$C52*INDEX(Curves!$D$8:$D$68,BA$4-$B52+1)</f>
        <v/>
      </c>
      <c r="BB52" s="56">
        <f>$C52*INDEX(Curves!$D$8:$D$68,BB$4-$B52+1)</f>
        <v/>
      </c>
      <c r="BC52" s="56">
        <f>$C52*INDEX(Curves!$D$8:$D$68,BC$4-$B52+1)</f>
        <v/>
      </c>
      <c r="BD52" s="56">
        <f>$C52*INDEX(Curves!$D$8:$D$68,BD$4-$B52+1)</f>
        <v/>
      </c>
      <c r="BE52" s="56">
        <f>$C52*INDEX(Curves!$D$8:$D$68,BE$4-$B52+1)</f>
        <v/>
      </c>
      <c r="BF52" s="56">
        <f>$C52*INDEX(Curves!$D$8:$D$68,BF$4-$B52+1)</f>
        <v/>
      </c>
      <c r="BG52" s="56">
        <f>$C52*INDEX(Curves!$D$8:$D$68,BG$4-$B52+1)</f>
        <v/>
      </c>
      <c r="BH52" s="56">
        <f>$C52*INDEX(Curves!$D$8:$D$68,BH$4-$B52+1)</f>
        <v/>
      </c>
      <c r="BI52" s="56">
        <f>$C52*INDEX(Curves!$D$8:$D$68,BI$4-$B52+1)</f>
        <v/>
      </c>
      <c r="BJ52" s="56">
        <f>$C52*INDEX(Curves!$D$8:$D$68,BJ$4-$B52+1)</f>
        <v/>
      </c>
      <c r="BK52" s="56">
        <f>$C52*INDEX(Curves!$D$8:$D$68,BK$4-$B52+1)</f>
        <v/>
      </c>
      <c r="BL52" s="56">
        <f>$C52*INDEX(Curves!$D$8:$D$68,BL$4-$B52+1)</f>
        <v/>
      </c>
    </row>
    <row r="53">
      <c r="A53" s="55" t="inlineStr">
        <is>
          <t>Cohort month 44</t>
        </is>
      </c>
      <c r="B53" s="55" t="n">
        <v>44</v>
      </c>
      <c r="C53" s="46">
        <f>INDEX(Ops!$E$10:$BL$10,1,$B53)</f>
        <v/>
      </c>
      <c r="AW53" s="56">
        <f>$C53*INDEX(Curves!$D$8:$D$68,AW$4-$B53+1)</f>
        <v/>
      </c>
      <c r="AX53" s="56">
        <f>$C53*INDEX(Curves!$D$8:$D$68,AX$4-$B53+1)</f>
        <v/>
      </c>
      <c r="AY53" s="56">
        <f>$C53*INDEX(Curves!$D$8:$D$68,AY$4-$B53+1)</f>
        <v/>
      </c>
      <c r="AZ53" s="56">
        <f>$C53*INDEX(Curves!$D$8:$D$68,AZ$4-$B53+1)</f>
        <v/>
      </c>
      <c r="BA53" s="56">
        <f>$C53*INDEX(Curves!$D$8:$D$68,BA$4-$B53+1)</f>
        <v/>
      </c>
      <c r="BB53" s="56">
        <f>$C53*INDEX(Curves!$D$8:$D$68,BB$4-$B53+1)</f>
        <v/>
      </c>
      <c r="BC53" s="56">
        <f>$C53*INDEX(Curves!$D$8:$D$68,BC$4-$B53+1)</f>
        <v/>
      </c>
      <c r="BD53" s="56">
        <f>$C53*INDEX(Curves!$D$8:$D$68,BD$4-$B53+1)</f>
        <v/>
      </c>
      <c r="BE53" s="56">
        <f>$C53*INDEX(Curves!$D$8:$D$68,BE$4-$B53+1)</f>
        <v/>
      </c>
      <c r="BF53" s="56">
        <f>$C53*INDEX(Curves!$D$8:$D$68,BF$4-$B53+1)</f>
        <v/>
      </c>
      <c r="BG53" s="56">
        <f>$C53*INDEX(Curves!$D$8:$D$68,BG$4-$B53+1)</f>
        <v/>
      </c>
      <c r="BH53" s="56">
        <f>$C53*INDEX(Curves!$D$8:$D$68,BH$4-$B53+1)</f>
        <v/>
      </c>
      <c r="BI53" s="56">
        <f>$C53*INDEX(Curves!$D$8:$D$68,BI$4-$B53+1)</f>
        <v/>
      </c>
      <c r="BJ53" s="56">
        <f>$C53*INDEX(Curves!$D$8:$D$68,BJ$4-$B53+1)</f>
        <v/>
      </c>
      <c r="BK53" s="56">
        <f>$C53*INDEX(Curves!$D$8:$D$68,BK$4-$B53+1)</f>
        <v/>
      </c>
      <c r="BL53" s="56">
        <f>$C53*INDEX(Curves!$D$8:$D$68,BL$4-$B53+1)</f>
        <v/>
      </c>
    </row>
    <row r="54">
      <c r="A54" s="55" t="inlineStr">
        <is>
          <t>Cohort month 45</t>
        </is>
      </c>
      <c r="B54" s="55" t="n">
        <v>45</v>
      </c>
      <c r="C54" s="46">
        <f>INDEX(Ops!$E$10:$BL$10,1,$B54)</f>
        <v/>
      </c>
      <c r="AX54" s="56">
        <f>$C54*INDEX(Curves!$D$8:$D$68,AX$4-$B54+1)</f>
        <v/>
      </c>
      <c r="AY54" s="56">
        <f>$C54*INDEX(Curves!$D$8:$D$68,AY$4-$B54+1)</f>
        <v/>
      </c>
      <c r="AZ54" s="56">
        <f>$C54*INDEX(Curves!$D$8:$D$68,AZ$4-$B54+1)</f>
        <v/>
      </c>
      <c r="BA54" s="56">
        <f>$C54*INDEX(Curves!$D$8:$D$68,BA$4-$B54+1)</f>
        <v/>
      </c>
      <c r="BB54" s="56">
        <f>$C54*INDEX(Curves!$D$8:$D$68,BB$4-$B54+1)</f>
        <v/>
      </c>
      <c r="BC54" s="56">
        <f>$C54*INDEX(Curves!$D$8:$D$68,BC$4-$B54+1)</f>
        <v/>
      </c>
      <c r="BD54" s="56">
        <f>$C54*INDEX(Curves!$D$8:$D$68,BD$4-$B54+1)</f>
        <v/>
      </c>
      <c r="BE54" s="56">
        <f>$C54*INDEX(Curves!$D$8:$D$68,BE$4-$B54+1)</f>
        <v/>
      </c>
      <c r="BF54" s="56">
        <f>$C54*INDEX(Curves!$D$8:$D$68,BF$4-$B54+1)</f>
        <v/>
      </c>
      <c r="BG54" s="56">
        <f>$C54*INDEX(Curves!$D$8:$D$68,BG$4-$B54+1)</f>
        <v/>
      </c>
      <c r="BH54" s="56">
        <f>$C54*INDEX(Curves!$D$8:$D$68,BH$4-$B54+1)</f>
        <v/>
      </c>
      <c r="BI54" s="56">
        <f>$C54*INDEX(Curves!$D$8:$D$68,BI$4-$B54+1)</f>
        <v/>
      </c>
      <c r="BJ54" s="56">
        <f>$C54*INDEX(Curves!$D$8:$D$68,BJ$4-$B54+1)</f>
        <v/>
      </c>
      <c r="BK54" s="56">
        <f>$C54*INDEX(Curves!$D$8:$D$68,BK$4-$B54+1)</f>
        <v/>
      </c>
      <c r="BL54" s="56">
        <f>$C54*INDEX(Curves!$D$8:$D$68,BL$4-$B54+1)</f>
        <v/>
      </c>
    </row>
    <row r="55">
      <c r="A55" s="55" t="inlineStr">
        <is>
          <t>Cohort month 46</t>
        </is>
      </c>
      <c r="B55" s="55" t="n">
        <v>46</v>
      </c>
      <c r="C55" s="46">
        <f>INDEX(Ops!$E$10:$BL$10,1,$B55)</f>
        <v/>
      </c>
      <c r="AY55" s="56">
        <f>$C55*INDEX(Curves!$D$8:$D$68,AY$4-$B55+1)</f>
        <v/>
      </c>
      <c r="AZ55" s="56">
        <f>$C55*INDEX(Curves!$D$8:$D$68,AZ$4-$B55+1)</f>
        <v/>
      </c>
      <c r="BA55" s="56">
        <f>$C55*INDEX(Curves!$D$8:$D$68,BA$4-$B55+1)</f>
        <v/>
      </c>
      <c r="BB55" s="56">
        <f>$C55*INDEX(Curves!$D$8:$D$68,BB$4-$B55+1)</f>
        <v/>
      </c>
      <c r="BC55" s="56">
        <f>$C55*INDEX(Curves!$D$8:$D$68,BC$4-$B55+1)</f>
        <v/>
      </c>
      <c r="BD55" s="56">
        <f>$C55*INDEX(Curves!$D$8:$D$68,BD$4-$B55+1)</f>
        <v/>
      </c>
      <c r="BE55" s="56">
        <f>$C55*INDEX(Curves!$D$8:$D$68,BE$4-$B55+1)</f>
        <v/>
      </c>
      <c r="BF55" s="56">
        <f>$C55*INDEX(Curves!$D$8:$D$68,BF$4-$B55+1)</f>
        <v/>
      </c>
      <c r="BG55" s="56">
        <f>$C55*INDEX(Curves!$D$8:$D$68,BG$4-$B55+1)</f>
        <v/>
      </c>
      <c r="BH55" s="56">
        <f>$C55*INDEX(Curves!$D$8:$D$68,BH$4-$B55+1)</f>
        <v/>
      </c>
      <c r="BI55" s="56">
        <f>$C55*INDEX(Curves!$D$8:$D$68,BI$4-$B55+1)</f>
        <v/>
      </c>
      <c r="BJ55" s="56">
        <f>$C55*INDEX(Curves!$D$8:$D$68,BJ$4-$B55+1)</f>
        <v/>
      </c>
      <c r="BK55" s="56">
        <f>$C55*INDEX(Curves!$D$8:$D$68,BK$4-$B55+1)</f>
        <v/>
      </c>
      <c r="BL55" s="56">
        <f>$C55*INDEX(Curves!$D$8:$D$68,BL$4-$B55+1)</f>
        <v/>
      </c>
    </row>
    <row r="56">
      <c r="A56" s="55" t="inlineStr">
        <is>
          <t>Cohort month 47</t>
        </is>
      </c>
      <c r="B56" s="55" t="n">
        <v>47</v>
      </c>
      <c r="C56" s="46">
        <f>INDEX(Ops!$E$10:$BL$10,1,$B56)</f>
        <v/>
      </c>
      <c r="AZ56" s="56">
        <f>$C56*INDEX(Curves!$D$8:$D$68,AZ$4-$B56+1)</f>
        <v/>
      </c>
      <c r="BA56" s="56">
        <f>$C56*INDEX(Curves!$D$8:$D$68,BA$4-$B56+1)</f>
        <v/>
      </c>
      <c r="BB56" s="56">
        <f>$C56*INDEX(Curves!$D$8:$D$68,BB$4-$B56+1)</f>
        <v/>
      </c>
      <c r="BC56" s="56">
        <f>$C56*INDEX(Curves!$D$8:$D$68,BC$4-$B56+1)</f>
        <v/>
      </c>
      <c r="BD56" s="56">
        <f>$C56*INDEX(Curves!$D$8:$D$68,BD$4-$B56+1)</f>
        <v/>
      </c>
      <c r="BE56" s="56">
        <f>$C56*INDEX(Curves!$D$8:$D$68,BE$4-$B56+1)</f>
        <v/>
      </c>
      <c r="BF56" s="56">
        <f>$C56*INDEX(Curves!$D$8:$D$68,BF$4-$B56+1)</f>
        <v/>
      </c>
      <c r="BG56" s="56">
        <f>$C56*INDEX(Curves!$D$8:$D$68,BG$4-$B56+1)</f>
        <v/>
      </c>
      <c r="BH56" s="56">
        <f>$C56*INDEX(Curves!$D$8:$D$68,BH$4-$B56+1)</f>
        <v/>
      </c>
      <c r="BI56" s="56">
        <f>$C56*INDEX(Curves!$D$8:$D$68,BI$4-$B56+1)</f>
        <v/>
      </c>
      <c r="BJ56" s="56">
        <f>$C56*INDEX(Curves!$D$8:$D$68,BJ$4-$B56+1)</f>
        <v/>
      </c>
      <c r="BK56" s="56">
        <f>$C56*INDEX(Curves!$D$8:$D$68,BK$4-$B56+1)</f>
        <v/>
      </c>
      <c r="BL56" s="56">
        <f>$C56*INDEX(Curves!$D$8:$D$68,BL$4-$B56+1)</f>
        <v/>
      </c>
    </row>
    <row r="57">
      <c r="A57" s="55" t="inlineStr">
        <is>
          <t>Cohort month 48</t>
        </is>
      </c>
      <c r="B57" s="55" t="n">
        <v>48</v>
      </c>
      <c r="C57" s="46">
        <f>INDEX(Ops!$E$10:$BL$10,1,$B57)</f>
        <v/>
      </c>
      <c r="BA57" s="56">
        <f>$C57*INDEX(Curves!$D$8:$D$68,BA$4-$B57+1)</f>
        <v/>
      </c>
      <c r="BB57" s="56">
        <f>$C57*INDEX(Curves!$D$8:$D$68,BB$4-$B57+1)</f>
        <v/>
      </c>
      <c r="BC57" s="56">
        <f>$C57*INDEX(Curves!$D$8:$D$68,BC$4-$B57+1)</f>
        <v/>
      </c>
      <c r="BD57" s="56">
        <f>$C57*INDEX(Curves!$D$8:$D$68,BD$4-$B57+1)</f>
        <v/>
      </c>
      <c r="BE57" s="56">
        <f>$C57*INDEX(Curves!$D$8:$D$68,BE$4-$B57+1)</f>
        <v/>
      </c>
      <c r="BF57" s="56">
        <f>$C57*INDEX(Curves!$D$8:$D$68,BF$4-$B57+1)</f>
        <v/>
      </c>
      <c r="BG57" s="56">
        <f>$C57*INDEX(Curves!$D$8:$D$68,BG$4-$B57+1)</f>
        <v/>
      </c>
      <c r="BH57" s="56">
        <f>$C57*INDEX(Curves!$D$8:$D$68,BH$4-$B57+1)</f>
        <v/>
      </c>
      <c r="BI57" s="56">
        <f>$C57*INDEX(Curves!$D$8:$D$68,BI$4-$B57+1)</f>
        <v/>
      </c>
      <c r="BJ57" s="56">
        <f>$C57*INDEX(Curves!$D$8:$D$68,BJ$4-$B57+1)</f>
        <v/>
      </c>
      <c r="BK57" s="56">
        <f>$C57*INDEX(Curves!$D$8:$D$68,BK$4-$B57+1)</f>
        <v/>
      </c>
      <c r="BL57" s="56">
        <f>$C57*INDEX(Curves!$D$8:$D$68,BL$4-$B57+1)</f>
        <v/>
      </c>
    </row>
    <row r="58">
      <c r="A58" s="55" t="inlineStr">
        <is>
          <t>Cohort month 49</t>
        </is>
      </c>
      <c r="B58" s="55" t="n">
        <v>49</v>
      </c>
      <c r="C58" s="46">
        <f>INDEX(Ops!$E$10:$BL$10,1,$B58)</f>
        <v/>
      </c>
      <c r="BB58" s="56">
        <f>$C58*INDEX(Curves!$D$8:$D$68,BB$4-$B58+1)</f>
        <v/>
      </c>
      <c r="BC58" s="56">
        <f>$C58*INDEX(Curves!$D$8:$D$68,BC$4-$B58+1)</f>
        <v/>
      </c>
      <c r="BD58" s="56">
        <f>$C58*INDEX(Curves!$D$8:$D$68,BD$4-$B58+1)</f>
        <v/>
      </c>
      <c r="BE58" s="56">
        <f>$C58*INDEX(Curves!$D$8:$D$68,BE$4-$B58+1)</f>
        <v/>
      </c>
      <c r="BF58" s="56">
        <f>$C58*INDEX(Curves!$D$8:$D$68,BF$4-$B58+1)</f>
        <v/>
      </c>
      <c r="BG58" s="56">
        <f>$C58*INDEX(Curves!$D$8:$D$68,BG$4-$B58+1)</f>
        <v/>
      </c>
      <c r="BH58" s="56">
        <f>$C58*INDEX(Curves!$D$8:$D$68,BH$4-$B58+1)</f>
        <v/>
      </c>
      <c r="BI58" s="56">
        <f>$C58*INDEX(Curves!$D$8:$D$68,BI$4-$B58+1)</f>
        <v/>
      </c>
      <c r="BJ58" s="56">
        <f>$C58*INDEX(Curves!$D$8:$D$68,BJ$4-$B58+1)</f>
        <v/>
      </c>
      <c r="BK58" s="56">
        <f>$C58*INDEX(Curves!$D$8:$D$68,BK$4-$B58+1)</f>
        <v/>
      </c>
      <c r="BL58" s="56">
        <f>$C58*INDEX(Curves!$D$8:$D$68,BL$4-$B58+1)</f>
        <v/>
      </c>
    </row>
    <row r="59">
      <c r="A59" s="55" t="inlineStr">
        <is>
          <t>Cohort month 50</t>
        </is>
      </c>
      <c r="B59" s="55" t="n">
        <v>50</v>
      </c>
      <c r="C59" s="46">
        <f>INDEX(Ops!$E$10:$BL$10,1,$B59)</f>
        <v/>
      </c>
      <c r="BC59" s="56">
        <f>$C59*INDEX(Curves!$D$8:$D$68,BC$4-$B59+1)</f>
        <v/>
      </c>
      <c r="BD59" s="56">
        <f>$C59*INDEX(Curves!$D$8:$D$68,BD$4-$B59+1)</f>
        <v/>
      </c>
      <c r="BE59" s="56">
        <f>$C59*INDEX(Curves!$D$8:$D$68,BE$4-$B59+1)</f>
        <v/>
      </c>
      <c r="BF59" s="56">
        <f>$C59*INDEX(Curves!$D$8:$D$68,BF$4-$B59+1)</f>
        <v/>
      </c>
      <c r="BG59" s="56">
        <f>$C59*INDEX(Curves!$D$8:$D$68,BG$4-$B59+1)</f>
        <v/>
      </c>
      <c r="BH59" s="56">
        <f>$C59*INDEX(Curves!$D$8:$D$68,BH$4-$B59+1)</f>
        <v/>
      </c>
      <c r="BI59" s="56">
        <f>$C59*INDEX(Curves!$D$8:$D$68,BI$4-$B59+1)</f>
        <v/>
      </c>
      <c r="BJ59" s="56">
        <f>$C59*INDEX(Curves!$D$8:$D$68,BJ$4-$B59+1)</f>
        <v/>
      </c>
      <c r="BK59" s="56">
        <f>$C59*INDEX(Curves!$D$8:$D$68,BK$4-$B59+1)</f>
        <v/>
      </c>
      <c r="BL59" s="56">
        <f>$C59*INDEX(Curves!$D$8:$D$68,BL$4-$B59+1)</f>
        <v/>
      </c>
    </row>
    <row r="60">
      <c r="A60" s="55" t="inlineStr">
        <is>
          <t>Cohort month 51</t>
        </is>
      </c>
      <c r="B60" s="55" t="n">
        <v>51</v>
      </c>
      <c r="C60" s="46">
        <f>INDEX(Ops!$E$10:$BL$10,1,$B60)</f>
        <v/>
      </c>
      <c r="BD60" s="56">
        <f>$C60*INDEX(Curves!$D$8:$D$68,BD$4-$B60+1)</f>
        <v/>
      </c>
      <c r="BE60" s="56">
        <f>$C60*INDEX(Curves!$D$8:$D$68,BE$4-$B60+1)</f>
        <v/>
      </c>
      <c r="BF60" s="56">
        <f>$C60*INDEX(Curves!$D$8:$D$68,BF$4-$B60+1)</f>
        <v/>
      </c>
      <c r="BG60" s="56">
        <f>$C60*INDEX(Curves!$D$8:$D$68,BG$4-$B60+1)</f>
        <v/>
      </c>
      <c r="BH60" s="56">
        <f>$C60*INDEX(Curves!$D$8:$D$68,BH$4-$B60+1)</f>
        <v/>
      </c>
      <c r="BI60" s="56">
        <f>$C60*INDEX(Curves!$D$8:$D$68,BI$4-$B60+1)</f>
        <v/>
      </c>
      <c r="BJ60" s="56">
        <f>$C60*INDEX(Curves!$D$8:$D$68,BJ$4-$B60+1)</f>
        <v/>
      </c>
      <c r="BK60" s="56">
        <f>$C60*INDEX(Curves!$D$8:$D$68,BK$4-$B60+1)</f>
        <v/>
      </c>
      <c r="BL60" s="56">
        <f>$C60*INDEX(Curves!$D$8:$D$68,BL$4-$B60+1)</f>
        <v/>
      </c>
    </row>
    <row r="61">
      <c r="A61" s="55" t="inlineStr">
        <is>
          <t>Cohort month 52</t>
        </is>
      </c>
      <c r="B61" s="55" t="n">
        <v>52</v>
      </c>
      <c r="C61" s="46">
        <f>INDEX(Ops!$E$10:$BL$10,1,$B61)</f>
        <v/>
      </c>
      <c r="BE61" s="56">
        <f>$C61*INDEX(Curves!$D$8:$D$68,BE$4-$B61+1)</f>
        <v/>
      </c>
      <c r="BF61" s="56">
        <f>$C61*INDEX(Curves!$D$8:$D$68,BF$4-$B61+1)</f>
        <v/>
      </c>
      <c r="BG61" s="56">
        <f>$C61*INDEX(Curves!$D$8:$D$68,BG$4-$B61+1)</f>
        <v/>
      </c>
      <c r="BH61" s="56">
        <f>$C61*INDEX(Curves!$D$8:$D$68,BH$4-$B61+1)</f>
        <v/>
      </c>
      <c r="BI61" s="56">
        <f>$C61*INDEX(Curves!$D$8:$D$68,BI$4-$B61+1)</f>
        <v/>
      </c>
      <c r="BJ61" s="56">
        <f>$C61*INDEX(Curves!$D$8:$D$68,BJ$4-$B61+1)</f>
        <v/>
      </c>
      <c r="BK61" s="56">
        <f>$C61*INDEX(Curves!$D$8:$D$68,BK$4-$B61+1)</f>
        <v/>
      </c>
      <c r="BL61" s="56">
        <f>$C61*INDEX(Curves!$D$8:$D$68,BL$4-$B61+1)</f>
        <v/>
      </c>
    </row>
    <row r="62">
      <c r="A62" s="55" t="inlineStr">
        <is>
          <t>Cohort month 53</t>
        </is>
      </c>
      <c r="B62" s="55" t="n">
        <v>53</v>
      </c>
      <c r="C62" s="46">
        <f>INDEX(Ops!$E$10:$BL$10,1,$B62)</f>
        <v/>
      </c>
      <c r="BF62" s="56">
        <f>$C62*INDEX(Curves!$D$8:$D$68,BF$4-$B62+1)</f>
        <v/>
      </c>
      <c r="BG62" s="56">
        <f>$C62*INDEX(Curves!$D$8:$D$68,BG$4-$B62+1)</f>
        <v/>
      </c>
      <c r="BH62" s="56">
        <f>$C62*INDEX(Curves!$D$8:$D$68,BH$4-$B62+1)</f>
        <v/>
      </c>
      <c r="BI62" s="56">
        <f>$C62*INDEX(Curves!$D$8:$D$68,BI$4-$B62+1)</f>
        <v/>
      </c>
      <c r="BJ62" s="56">
        <f>$C62*INDEX(Curves!$D$8:$D$68,BJ$4-$B62+1)</f>
        <v/>
      </c>
      <c r="BK62" s="56">
        <f>$C62*INDEX(Curves!$D$8:$D$68,BK$4-$B62+1)</f>
        <v/>
      </c>
      <c r="BL62" s="56">
        <f>$C62*INDEX(Curves!$D$8:$D$68,BL$4-$B62+1)</f>
        <v/>
      </c>
    </row>
    <row r="63">
      <c r="A63" s="55" t="inlineStr">
        <is>
          <t>Cohort month 54</t>
        </is>
      </c>
      <c r="B63" s="55" t="n">
        <v>54</v>
      </c>
      <c r="C63" s="46">
        <f>INDEX(Ops!$E$10:$BL$10,1,$B63)</f>
        <v/>
      </c>
      <c r="BG63" s="56">
        <f>$C63*INDEX(Curves!$D$8:$D$68,BG$4-$B63+1)</f>
        <v/>
      </c>
      <c r="BH63" s="56">
        <f>$C63*INDEX(Curves!$D$8:$D$68,BH$4-$B63+1)</f>
        <v/>
      </c>
      <c r="BI63" s="56">
        <f>$C63*INDEX(Curves!$D$8:$D$68,BI$4-$B63+1)</f>
        <v/>
      </c>
      <c r="BJ63" s="56">
        <f>$C63*INDEX(Curves!$D$8:$D$68,BJ$4-$B63+1)</f>
        <v/>
      </c>
      <c r="BK63" s="56">
        <f>$C63*INDEX(Curves!$D$8:$D$68,BK$4-$B63+1)</f>
        <v/>
      </c>
      <c r="BL63" s="56">
        <f>$C63*INDEX(Curves!$D$8:$D$68,BL$4-$B63+1)</f>
        <v/>
      </c>
    </row>
    <row r="64">
      <c r="A64" s="55" t="inlineStr">
        <is>
          <t>Cohort month 55</t>
        </is>
      </c>
      <c r="B64" s="55" t="n">
        <v>55</v>
      </c>
      <c r="C64" s="46">
        <f>INDEX(Ops!$E$10:$BL$10,1,$B64)</f>
        <v/>
      </c>
      <c r="BH64" s="56">
        <f>$C64*INDEX(Curves!$D$8:$D$68,BH$4-$B64+1)</f>
        <v/>
      </c>
      <c r="BI64" s="56">
        <f>$C64*INDEX(Curves!$D$8:$D$68,BI$4-$B64+1)</f>
        <v/>
      </c>
      <c r="BJ64" s="56">
        <f>$C64*INDEX(Curves!$D$8:$D$68,BJ$4-$B64+1)</f>
        <v/>
      </c>
      <c r="BK64" s="56">
        <f>$C64*INDEX(Curves!$D$8:$D$68,BK$4-$B64+1)</f>
        <v/>
      </c>
      <c r="BL64" s="56">
        <f>$C64*INDEX(Curves!$D$8:$D$68,BL$4-$B64+1)</f>
        <v/>
      </c>
    </row>
    <row r="65">
      <c r="A65" s="55" t="inlineStr">
        <is>
          <t>Cohort month 56</t>
        </is>
      </c>
      <c r="B65" s="55" t="n">
        <v>56</v>
      </c>
      <c r="C65" s="46">
        <f>INDEX(Ops!$E$10:$BL$10,1,$B65)</f>
        <v/>
      </c>
      <c r="BI65" s="56">
        <f>$C65*INDEX(Curves!$D$8:$D$68,BI$4-$B65+1)</f>
        <v/>
      </c>
      <c r="BJ65" s="56">
        <f>$C65*INDEX(Curves!$D$8:$D$68,BJ$4-$B65+1)</f>
        <v/>
      </c>
      <c r="BK65" s="56">
        <f>$C65*INDEX(Curves!$D$8:$D$68,BK$4-$B65+1)</f>
        <v/>
      </c>
      <c r="BL65" s="56">
        <f>$C65*INDEX(Curves!$D$8:$D$68,BL$4-$B65+1)</f>
        <v/>
      </c>
    </row>
    <row r="66">
      <c r="A66" s="55" t="inlineStr">
        <is>
          <t>Cohort month 57</t>
        </is>
      </c>
      <c r="B66" s="55" t="n">
        <v>57</v>
      </c>
      <c r="C66" s="46">
        <f>INDEX(Ops!$E$10:$BL$10,1,$B66)</f>
        <v/>
      </c>
      <c r="BJ66" s="56">
        <f>$C66*INDEX(Curves!$D$8:$D$68,BJ$4-$B66+1)</f>
        <v/>
      </c>
      <c r="BK66" s="56">
        <f>$C66*INDEX(Curves!$D$8:$D$68,BK$4-$B66+1)</f>
        <v/>
      </c>
      <c r="BL66" s="56">
        <f>$C66*INDEX(Curves!$D$8:$D$68,BL$4-$B66+1)</f>
        <v/>
      </c>
    </row>
    <row r="67">
      <c r="A67" s="55" t="inlineStr">
        <is>
          <t>Cohort month 58</t>
        </is>
      </c>
      <c r="B67" s="55" t="n">
        <v>58</v>
      </c>
      <c r="C67" s="46">
        <f>INDEX(Ops!$E$10:$BL$10,1,$B67)</f>
        <v/>
      </c>
      <c r="BK67" s="56">
        <f>$C67*INDEX(Curves!$D$8:$D$68,BK$4-$B67+1)</f>
        <v/>
      </c>
      <c r="BL67" s="56">
        <f>$C67*INDEX(Curves!$D$8:$D$68,BL$4-$B67+1)</f>
        <v/>
      </c>
    </row>
    <row r="68">
      <c r="A68" s="55" t="inlineStr">
        <is>
          <t>Cohort month 59</t>
        </is>
      </c>
      <c r="B68" s="55" t="n">
        <v>59</v>
      </c>
      <c r="C68" s="46">
        <f>INDEX(Ops!$E$10:$BL$10,1,$B68)</f>
        <v/>
      </c>
      <c r="BL68" s="56">
        <f>$C68*INDEX(Curves!$D$8:$D$68,BL$4-$B68+1)</f>
        <v/>
      </c>
    </row>
    <row r="69">
      <c r="A69" s="55" t="inlineStr">
        <is>
          <t>Cohort month 60</t>
        </is>
      </c>
      <c r="B69" s="55" t="n">
        <v>60</v>
      </c>
      <c r="C69" s="46">
        <f>INDEX(Ops!$E$10:$BL$10,1,$B69)</f>
        <v/>
      </c>
    </row>
    <row r="70"/>
    <row r="71">
      <c r="A71" s="11" t="inlineStr">
        <is>
          <t>Active accounts by cohort</t>
        </is>
      </c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12" t="n"/>
      <c r="AY71" s="12" t="n"/>
      <c r="AZ71" s="12" t="n"/>
      <c r="BA71" s="12" t="n"/>
      <c r="BB71" s="12" t="n"/>
      <c r="BC71" s="12" t="n"/>
      <c r="BD71" s="12" t="n"/>
      <c r="BE71" s="12" t="n"/>
      <c r="BF71" s="12" t="n"/>
      <c r="BG71" s="12" t="n"/>
      <c r="BH71" s="12" t="n"/>
      <c r="BI71" s="12" t="n"/>
      <c r="BJ71" s="12" t="n"/>
      <c r="BK71" s="12" t="n"/>
      <c r="BL71" s="12" t="n"/>
    </row>
    <row r="72">
      <c r="A72" s="47" t="inlineStr">
        <is>
          <t>Total</t>
        </is>
      </c>
      <c r="B72" s="48" t="inlineStr"/>
      <c r="C72" s="50" t="n"/>
      <c r="D72" s="50" t="n"/>
      <c r="E72" s="51">
        <f>SUM(E73:E132)</f>
        <v/>
      </c>
      <c r="F72" s="51">
        <f>SUM(F73:F132)</f>
        <v/>
      </c>
      <c r="G72" s="51">
        <f>SUM(G73:G132)</f>
        <v/>
      </c>
      <c r="H72" s="51">
        <f>SUM(H73:H132)</f>
        <v/>
      </c>
      <c r="I72" s="51">
        <f>SUM(I73:I132)</f>
        <v/>
      </c>
      <c r="J72" s="51">
        <f>SUM(J73:J132)</f>
        <v/>
      </c>
      <c r="K72" s="51">
        <f>SUM(K73:K132)</f>
        <v/>
      </c>
      <c r="L72" s="51">
        <f>SUM(L73:L132)</f>
        <v/>
      </c>
      <c r="M72" s="51">
        <f>SUM(M73:M132)</f>
        <v/>
      </c>
      <c r="N72" s="51">
        <f>SUM(N73:N132)</f>
        <v/>
      </c>
      <c r="O72" s="51">
        <f>SUM(O73:O132)</f>
        <v/>
      </c>
      <c r="P72" s="51">
        <f>SUM(P73:P132)</f>
        <v/>
      </c>
      <c r="Q72" s="51">
        <f>SUM(Q73:Q132)</f>
        <v/>
      </c>
      <c r="R72" s="51">
        <f>SUM(R73:R132)</f>
        <v/>
      </c>
      <c r="S72" s="51">
        <f>SUM(S73:S132)</f>
        <v/>
      </c>
      <c r="T72" s="51">
        <f>SUM(T73:T132)</f>
        <v/>
      </c>
      <c r="U72" s="51">
        <f>SUM(U73:U132)</f>
        <v/>
      </c>
      <c r="V72" s="51">
        <f>SUM(V73:V132)</f>
        <v/>
      </c>
      <c r="W72" s="51">
        <f>SUM(W73:W132)</f>
        <v/>
      </c>
      <c r="X72" s="51">
        <f>SUM(X73:X132)</f>
        <v/>
      </c>
      <c r="Y72" s="51">
        <f>SUM(Y73:Y132)</f>
        <v/>
      </c>
      <c r="Z72" s="51">
        <f>SUM(Z73:Z132)</f>
        <v/>
      </c>
      <c r="AA72" s="51">
        <f>SUM(AA73:AA132)</f>
        <v/>
      </c>
      <c r="AB72" s="51">
        <f>SUM(AB73:AB132)</f>
        <v/>
      </c>
      <c r="AC72" s="51">
        <f>SUM(AC73:AC132)</f>
        <v/>
      </c>
      <c r="AD72" s="51">
        <f>SUM(AD73:AD132)</f>
        <v/>
      </c>
      <c r="AE72" s="51">
        <f>SUM(AE73:AE132)</f>
        <v/>
      </c>
      <c r="AF72" s="51">
        <f>SUM(AF73:AF132)</f>
        <v/>
      </c>
      <c r="AG72" s="51">
        <f>SUM(AG73:AG132)</f>
        <v/>
      </c>
      <c r="AH72" s="51">
        <f>SUM(AH73:AH132)</f>
        <v/>
      </c>
      <c r="AI72" s="51">
        <f>SUM(AI73:AI132)</f>
        <v/>
      </c>
      <c r="AJ72" s="51">
        <f>SUM(AJ73:AJ132)</f>
        <v/>
      </c>
      <c r="AK72" s="51">
        <f>SUM(AK73:AK132)</f>
        <v/>
      </c>
      <c r="AL72" s="51">
        <f>SUM(AL73:AL132)</f>
        <v/>
      </c>
      <c r="AM72" s="51">
        <f>SUM(AM73:AM132)</f>
        <v/>
      </c>
      <c r="AN72" s="51">
        <f>SUM(AN73:AN132)</f>
        <v/>
      </c>
      <c r="AO72" s="51">
        <f>SUM(AO73:AO132)</f>
        <v/>
      </c>
      <c r="AP72" s="51">
        <f>SUM(AP73:AP132)</f>
        <v/>
      </c>
      <c r="AQ72" s="51">
        <f>SUM(AQ73:AQ132)</f>
        <v/>
      </c>
      <c r="AR72" s="51">
        <f>SUM(AR73:AR132)</f>
        <v/>
      </c>
      <c r="AS72" s="51">
        <f>SUM(AS73:AS132)</f>
        <v/>
      </c>
      <c r="AT72" s="51">
        <f>SUM(AT73:AT132)</f>
        <v/>
      </c>
      <c r="AU72" s="51">
        <f>SUM(AU73:AU132)</f>
        <v/>
      </c>
      <c r="AV72" s="51">
        <f>SUM(AV73:AV132)</f>
        <v/>
      </c>
      <c r="AW72" s="51">
        <f>SUM(AW73:AW132)</f>
        <v/>
      </c>
      <c r="AX72" s="51">
        <f>SUM(AX73:AX132)</f>
        <v/>
      </c>
      <c r="AY72" s="51">
        <f>SUM(AY73:AY132)</f>
        <v/>
      </c>
      <c r="AZ72" s="51">
        <f>SUM(AZ73:AZ132)</f>
        <v/>
      </c>
      <c r="BA72" s="51">
        <f>SUM(BA73:BA132)</f>
        <v/>
      </c>
      <c r="BB72" s="51">
        <f>SUM(BB73:BB132)</f>
        <v/>
      </c>
      <c r="BC72" s="51">
        <f>SUM(BC73:BC132)</f>
        <v/>
      </c>
      <c r="BD72" s="51">
        <f>SUM(BD73:BD132)</f>
        <v/>
      </c>
      <c r="BE72" s="51">
        <f>SUM(BE73:BE132)</f>
        <v/>
      </c>
      <c r="BF72" s="51">
        <f>SUM(BF73:BF132)</f>
        <v/>
      </c>
      <c r="BG72" s="51">
        <f>SUM(BG73:BG132)</f>
        <v/>
      </c>
      <c r="BH72" s="51">
        <f>SUM(BH73:BH132)</f>
        <v/>
      </c>
      <c r="BI72" s="51">
        <f>SUM(BI73:BI132)</f>
        <v/>
      </c>
      <c r="BJ72" s="51">
        <f>SUM(BJ73:BJ132)</f>
        <v/>
      </c>
      <c r="BK72" s="51">
        <f>SUM(BK73:BK132)</f>
        <v/>
      </c>
      <c r="BL72" s="51">
        <f>SUM(BL73:BL132)</f>
        <v/>
      </c>
    </row>
    <row r="73">
      <c r="A73" s="55" t="inlineStr">
        <is>
          <t>Cohort month 1</t>
        </is>
      </c>
      <c r="B73" s="55" t="n">
        <v>1</v>
      </c>
      <c r="C73" s="46">
        <f>INDEX(Ops!$E$9:$BL$9,1,$B73)</f>
        <v/>
      </c>
      <c r="F73" s="56">
        <f>$C73*INDEX(Curves!$G$8:$G$68,F$4-$B73+1)</f>
        <v/>
      </c>
      <c r="G73" s="56">
        <f>$C73*INDEX(Curves!$G$8:$G$68,G$4-$B73+1)</f>
        <v/>
      </c>
      <c r="H73" s="56">
        <f>$C73*INDEX(Curves!$G$8:$G$68,H$4-$B73+1)</f>
        <v/>
      </c>
      <c r="I73" s="56">
        <f>$C73*INDEX(Curves!$G$8:$G$68,I$4-$B73+1)</f>
        <v/>
      </c>
      <c r="J73" s="56">
        <f>$C73*INDEX(Curves!$G$8:$G$68,J$4-$B73+1)</f>
        <v/>
      </c>
      <c r="K73" s="56">
        <f>$C73*INDEX(Curves!$G$8:$G$68,K$4-$B73+1)</f>
        <v/>
      </c>
      <c r="L73" s="56">
        <f>$C73*INDEX(Curves!$G$8:$G$68,L$4-$B73+1)</f>
        <v/>
      </c>
      <c r="M73" s="56">
        <f>$C73*INDEX(Curves!$G$8:$G$68,M$4-$B73+1)</f>
        <v/>
      </c>
      <c r="N73" s="56">
        <f>$C73*INDEX(Curves!$G$8:$G$68,N$4-$B73+1)</f>
        <v/>
      </c>
      <c r="O73" s="56">
        <f>$C73*INDEX(Curves!$G$8:$G$68,O$4-$B73+1)</f>
        <v/>
      </c>
      <c r="P73" s="56">
        <f>$C73*INDEX(Curves!$G$8:$G$68,P$4-$B73+1)</f>
        <v/>
      </c>
      <c r="Q73" s="56">
        <f>$C73*INDEX(Curves!$G$8:$G$68,Q$4-$B73+1)</f>
        <v/>
      </c>
      <c r="R73" s="56">
        <f>$C73*INDEX(Curves!$G$8:$G$68,R$4-$B73+1)</f>
        <v/>
      </c>
      <c r="S73" s="56">
        <f>$C73*INDEX(Curves!$G$8:$G$68,S$4-$B73+1)</f>
        <v/>
      </c>
      <c r="T73" s="56">
        <f>$C73*INDEX(Curves!$G$8:$G$68,T$4-$B73+1)</f>
        <v/>
      </c>
      <c r="U73" s="56">
        <f>$C73*INDEX(Curves!$G$8:$G$68,U$4-$B73+1)</f>
        <v/>
      </c>
      <c r="V73" s="56">
        <f>$C73*INDEX(Curves!$G$8:$G$68,V$4-$B73+1)</f>
        <v/>
      </c>
      <c r="W73" s="56">
        <f>$C73*INDEX(Curves!$G$8:$G$68,W$4-$B73+1)</f>
        <v/>
      </c>
      <c r="X73" s="56">
        <f>$C73*INDEX(Curves!$G$8:$G$68,X$4-$B73+1)</f>
        <v/>
      </c>
      <c r="Y73" s="56">
        <f>$C73*INDEX(Curves!$G$8:$G$68,Y$4-$B73+1)</f>
        <v/>
      </c>
      <c r="Z73" s="56">
        <f>$C73*INDEX(Curves!$G$8:$G$68,Z$4-$B73+1)</f>
        <v/>
      </c>
      <c r="AA73" s="56">
        <f>$C73*INDEX(Curves!$G$8:$G$68,AA$4-$B73+1)</f>
        <v/>
      </c>
      <c r="AB73" s="56">
        <f>$C73*INDEX(Curves!$G$8:$G$68,AB$4-$B73+1)</f>
        <v/>
      </c>
      <c r="AC73" s="56">
        <f>$C73*INDEX(Curves!$G$8:$G$68,AC$4-$B73+1)</f>
        <v/>
      </c>
      <c r="AD73" s="56">
        <f>$C73*INDEX(Curves!$G$8:$G$68,AD$4-$B73+1)</f>
        <v/>
      </c>
      <c r="AE73" s="56">
        <f>$C73*INDEX(Curves!$G$8:$G$68,AE$4-$B73+1)</f>
        <v/>
      </c>
      <c r="AF73" s="56">
        <f>$C73*INDEX(Curves!$G$8:$G$68,AF$4-$B73+1)</f>
        <v/>
      </c>
      <c r="AG73" s="56">
        <f>$C73*INDEX(Curves!$G$8:$G$68,AG$4-$B73+1)</f>
        <v/>
      </c>
      <c r="AH73" s="56">
        <f>$C73*INDEX(Curves!$G$8:$G$68,AH$4-$B73+1)</f>
        <v/>
      </c>
      <c r="AI73" s="56">
        <f>$C73*INDEX(Curves!$G$8:$G$68,AI$4-$B73+1)</f>
        <v/>
      </c>
      <c r="AJ73" s="56">
        <f>$C73*INDEX(Curves!$G$8:$G$68,AJ$4-$B73+1)</f>
        <v/>
      </c>
      <c r="AK73" s="56">
        <f>$C73*INDEX(Curves!$G$8:$G$68,AK$4-$B73+1)</f>
        <v/>
      </c>
      <c r="AL73" s="56">
        <f>$C73*INDEX(Curves!$G$8:$G$68,AL$4-$B73+1)</f>
        <v/>
      </c>
      <c r="AM73" s="56">
        <f>$C73*INDEX(Curves!$G$8:$G$68,AM$4-$B73+1)</f>
        <v/>
      </c>
      <c r="AN73" s="56">
        <f>$C73*INDEX(Curves!$G$8:$G$68,AN$4-$B73+1)</f>
        <v/>
      </c>
      <c r="AO73" s="56">
        <f>$C73*INDEX(Curves!$G$8:$G$68,AO$4-$B73+1)</f>
        <v/>
      </c>
      <c r="AP73" s="56">
        <f>$C73*INDEX(Curves!$G$8:$G$68,AP$4-$B73+1)</f>
        <v/>
      </c>
      <c r="AQ73" s="56">
        <f>$C73*INDEX(Curves!$G$8:$G$68,AQ$4-$B73+1)</f>
        <v/>
      </c>
      <c r="AR73" s="56">
        <f>$C73*INDEX(Curves!$G$8:$G$68,AR$4-$B73+1)</f>
        <v/>
      </c>
      <c r="AS73" s="56">
        <f>$C73*INDEX(Curves!$G$8:$G$68,AS$4-$B73+1)</f>
        <v/>
      </c>
      <c r="AT73" s="56">
        <f>$C73*INDEX(Curves!$G$8:$G$68,AT$4-$B73+1)</f>
        <v/>
      </c>
      <c r="AU73" s="56">
        <f>$C73*INDEX(Curves!$G$8:$G$68,AU$4-$B73+1)</f>
        <v/>
      </c>
      <c r="AV73" s="56">
        <f>$C73*INDEX(Curves!$G$8:$G$68,AV$4-$B73+1)</f>
        <v/>
      </c>
      <c r="AW73" s="56">
        <f>$C73*INDEX(Curves!$G$8:$G$68,AW$4-$B73+1)</f>
        <v/>
      </c>
      <c r="AX73" s="56">
        <f>$C73*INDEX(Curves!$G$8:$G$68,AX$4-$B73+1)</f>
        <v/>
      </c>
      <c r="AY73" s="56">
        <f>$C73*INDEX(Curves!$G$8:$G$68,AY$4-$B73+1)</f>
        <v/>
      </c>
      <c r="AZ73" s="56">
        <f>$C73*INDEX(Curves!$G$8:$G$68,AZ$4-$B73+1)</f>
        <v/>
      </c>
      <c r="BA73" s="56">
        <f>$C73*INDEX(Curves!$G$8:$G$68,BA$4-$B73+1)</f>
        <v/>
      </c>
      <c r="BB73" s="56">
        <f>$C73*INDEX(Curves!$G$8:$G$68,BB$4-$B73+1)</f>
        <v/>
      </c>
      <c r="BC73" s="56">
        <f>$C73*INDEX(Curves!$G$8:$G$68,BC$4-$B73+1)</f>
        <v/>
      </c>
      <c r="BD73" s="56">
        <f>$C73*INDEX(Curves!$G$8:$G$68,BD$4-$B73+1)</f>
        <v/>
      </c>
      <c r="BE73" s="56">
        <f>$C73*INDEX(Curves!$G$8:$G$68,BE$4-$B73+1)</f>
        <v/>
      </c>
      <c r="BF73" s="56">
        <f>$C73*INDEX(Curves!$G$8:$G$68,BF$4-$B73+1)</f>
        <v/>
      </c>
      <c r="BG73" s="56">
        <f>$C73*INDEX(Curves!$G$8:$G$68,BG$4-$B73+1)</f>
        <v/>
      </c>
      <c r="BH73" s="56">
        <f>$C73*INDEX(Curves!$G$8:$G$68,BH$4-$B73+1)</f>
        <v/>
      </c>
      <c r="BI73" s="56">
        <f>$C73*INDEX(Curves!$G$8:$G$68,BI$4-$B73+1)</f>
        <v/>
      </c>
      <c r="BJ73" s="56">
        <f>$C73*INDEX(Curves!$G$8:$G$68,BJ$4-$B73+1)</f>
        <v/>
      </c>
      <c r="BK73" s="56">
        <f>$C73*INDEX(Curves!$G$8:$G$68,BK$4-$B73+1)</f>
        <v/>
      </c>
      <c r="BL73" s="56">
        <f>$C73*INDEX(Curves!$G$8:$G$68,BL$4-$B73+1)</f>
        <v/>
      </c>
    </row>
    <row r="74">
      <c r="A74" s="55" t="inlineStr">
        <is>
          <t>Cohort month 2</t>
        </is>
      </c>
      <c r="B74" s="55" t="n">
        <v>2</v>
      </c>
      <c r="C74" s="46">
        <f>INDEX(Ops!$E$9:$BL$9,1,$B74)</f>
        <v/>
      </c>
      <c r="G74" s="56">
        <f>$C74*INDEX(Curves!$G$8:$G$68,G$4-$B74+1)</f>
        <v/>
      </c>
      <c r="H74" s="56">
        <f>$C74*INDEX(Curves!$G$8:$G$68,H$4-$B74+1)</f>
        <v/>
      </c>
      <c r="I74" s="56">
        <f>$C74*INDEX(Curves!$G$8:$G$68,I$4-$B74+1)</f>
        <v/>
      </c>
      <c r="J74" s="56">
        <f>$C74*INDEX(Curves!$G$8:$G$68,J$4-$B74+1)</f>
        <v/>
      </c>
      <c r="K74" s="56">
        <f>$C74*INDEX(Curves!$G$8:$G$68,K$4-$B74+1)</f>
        <v/>
      </c>
      <c r="L74" s="56">
        <f>$C74*INDEX(Curves!$G$8:$G$68,L$4-$B74+1)</f>
        <v/>
      </c>
      <c r="M74" s="56">
        <f>$C74*INDEX(Curves!$G$8:$G$68,M$4-$B74+1)</f>
        <v/>
      </c>
      <c r="N74" s="56">
        <f>$C74*INDEX(Curves!$G$8:$G$68,N$4-$B74+1)</f>
        <v/>
      </c>
      <c r="O74" s="56">
        <f>$C74*INDEX(Curves!$G$8:$G$68,O$4-$B74+1)</f>
        <v/>
      </c>
      <c r="P74" s="56">
        <f>$C74*INDEX(Curves!$G$8:$G$68,P$4-$B74+1)</f>
        <v/>
      </c>
      <c r="Q74" s="56">
        <f>$C74*INDEX(Curves!$G$8:$G$68,Q$4-$B74+1)</f>
        <v/>
      </c>
      <c r="R74" s="56">
        <f>$C74*INDEX(Curves!$G$8:$G$68,R$4-$B74+1)</f>
        <v/>
      </c>
      <c r="S74" s="56">
        <f>$C74*INDEX(Curves!$G$8:$G$68,S$4-$B74+1)</f>
        <v/>
      </c>
      <c r="T74" s="56">
        <f>$C74*INDEX(Curves!$G$8:$G$68,T$4-$B74+1)</f>
        <v/>
      </c>
      <c r="U74" s="56">
        <f>$C74*INDEX(Curves!$G$8:$G$68,U$4-$B74+1)</f>
        <v/>
      </c>
      <c r="V74" s="56">
        <f>$C74*INDEX(Curves!$G$8:$G$68,V$4-$B74+1)</f>
        <v/>
      </c>
      <c r="W74" s="56">
        <f>$C74*INDEX(Curves!$G$8:$G$68,W$4-$B74+1)</f>
        <v/>
      </c>
      <c r="X74" s="56">
        <f>$C74*INDEX(Curves!$G$8:$G$68,X$4-$B74+1)</f>
        <v/>
      </c>
      <c r="Y74" s="56">
        <f>$C74*INDEX(Curves!$G$8:$G$68,Y$4-$B74+1)</f>
        <v/>
      </c>
      <c r="Z74" s="56">
        <f>$C74*INDEX(Curves!$G$8:$G$68,Z$4-$B74+1)</f>
        <v/>
      </c>
      <c r="AA74" s="56">
        <f>$C74*INDEX(Curves!$G$8:$G$68,AA$4-$B74+1)</f>
        <v/>
      </c>
      <c r="AB74" s="56">
        <f>$C74*INDEX(Curves!$G$8:$G$68,AB$4-$B74+1)</f>
        <v/>
      </c>
      <c r="AC74" s="56">
        <f>$C74*INDEX(Curves!$G$8:$G$68,AC$4-$B74+1)</f>
        <v/>
      </c>
      <c r="AD74" s="56">
        <f>$C74*INDEX(Curves!$G$8:$G$68,AD$4-$B74+1)</f>
        <v/>
      </c>
      <c r="AE74" s="56">
        <f>$C74*INDEX(Curves!$G$8:$G$68,AE$4-$B74+1)</f>
        <v/>
      </c>
      <c r="AF74" s="56">
        <f>$C74*INDEX(Curves!$G$8:$G$68,AF$4-$B74+1)</f>
        <v/>
      </c>
      <c r="AG74" s="56">
        <f>$C74*INDEX(Curves!$G$8:$G$68,AG$4-$B74+1)</f>
        <v/>
      </c>
      <c r="AH74" s="56">
        <f>$C74*INDEX(Curves!$G$8:$G$68,AH$4-$B74+1)</f>
        <v/>
      </c>
      <c r="AI74" s="56">
        <f>$C74*INDEX(Curves!$G$8:$G$68,AI$4-$B74+1)</f>
        <v/>
      </c>
      <c r="AJ74" s="56">
        <f>$C74*INDEX(Curves!$G$8:$G$68,AJ$4-$B74+1)</f>
        <v/>
      </c>
      <c r="AK74" s="56">
        <f>$C74*INDEX(Curves!$G$8:$G$68,AK$4-$B74+1)</f>
        <v/>
      </c>
      <c r="AL74" s="56">
        <f>$C74*INDEX(Curves!$G$8:$G$68,AL$4-$B74+1)</f>
        <v/>
      </c>
      <c r="AM74" s="56">
        <f>$C74*INDEX(Curves!$G$8:$G$68,AM$4-$B74+1)</f>
        <v/>
      </c>
      <c r="AN74" s="56">
        <f>$C74*INDEX(Curves!$G$8:$G$68,AN$4-$B74+1)</f>
        <v/>
      </c>
      <c r="AO74" s="56">
        <f>$C74*INDEX(Curves!$G$8:$G$68,AO$4-$B74+1)</f>
        <v/>
      </c>
      <c r="AP74" s="56">
        <f>$C74*INDEX(Curves!$G$8:$G$68,AP$4-$B74+1)</f>
        <v/>
      </c>
      <c r="AQ74" s="56">
        <f>$C74*INDEX(Curves!$G$8:$G$68,AQ$4-$B74+1)</f>
        <v/>
      </c>
      <c r="AR74" s="56">
        <f>$C74*INDEX(Curves!$G$8:$G$68,AR$4-$B74+1)</f>
        <v/>
      </c>
      <c r="AS74" s="56">
        <f>$C74*INDEX(Curves!$G$8:$G$68,AS$4-$B74+1)</f>
        <v/>
      </c>
      <c r="AT74" s="56">
        <f>$C74*INDEX(Curves!$G$8:$G$68,AT$4-$B74+1)</f>
        <v/>
      </c>
      <c r="AU74" s="56">
        <f>$C74*INDEX(Curves!$G$8:$G$68,AU$4-$B74+1)</f>
        <v/>
      </c>
      <c r="AV74" s="56">
        <f>$C74*INDEX(Curves!$G$8:$G$68,AV$4-$B74+1)</f>
        <v/>
      </c>
      <c r="AW74" s="56">
        <f>$C74*INDEX(Curves!$G$8:$G$68,AW$4-$B74+1)</f>
        <v/>
      </c>
      <c r="AX74" s="56">
        <f>$C74*INDEX(Curves!$G$8:$G$68,AX$4-$B74+1)</f>
        <v/>
      </c>
      <c r="AY74" s="56">
        <f>$C74*INDEX(Curves!$G$8:$G$68,AY$4-$B74+1)</f>
        <v/>
      </c>
      <c r="AZ74" s="56">
        <f>$C74*INDEX(Curves!$G$8:$G$68,AZ$4-$B74+1)</f>
        <v/>
      </c>
      <c r="BA74" s="56">
        <f>$C74*INDEX(Curves!$G$8:$G$68,BA$4-$B74+1)</f>
        <v/>
      </c>
      <c r="BB74" s="56">
        <f>$C74*INDEX(Curves!$G$8:$G$68,BB$4-$B74+1)</f>
        <v/>
      </c>
      <c r="BC74" s="56">
        <f>$C74*INDEX(Curves!$G$8:$G$68,BC$4-$B74+1)</f>
        <v/>
      </c>
      <c r="BD74" s="56">
        <f>$C74*INDEX(Curves!$G$8:$G$68,BD$4-$B74+1)</f>
        <v/>
      </c>
      <c r="BE74" s="56">
        <f>$C74*INDEX(Curves!$G$8:$G$68,BE$4-$B74+1)</f>
        <v/>
      </c>
      <c r="BF74" s="56">
        <f>$C74*INDEX(Curves!$G$8:$G$68,BF$4-$B74+1)</f>
        <v/>
      </c>
      <c r="BG74" s="56">
        <f>$C74*INDEX(Curves!$G$8:$G$68,BG$4-$B74+1)</f>
        <v/>
      </c>
      <c r="BH74" s="56">
        <f>$C74*INDEX(Curves!$G$8:$G$68,BH$4-$B74+1)</f>
        <v/>
      </c>
      <c r="BI74" s="56">
        <f>$C74*INDEX(Curves!$G$8:$G$68,BI$4-$B74+1)</f>
        <v/>
      </c>
      <c r="BJ74" s="56">
        <f>$C74*INDEX(Curves!$G$8:$G$68,BJ$4-$B74+1)</f>
        <v/>
      </c>
      <c r="BK74" s="56">
        <f>$C74*INDEX(Curves!$G$8:$G$68,BK$4-$B74+1)</f>
        <v/>
      </c>
      <c r="BL74" s="56">
        <f>$C74*INDEX(Curves!$G$8:$G$68,BL$4-$B74+1)</f>
        <v/>
      </c>
    </row>
    <row r="75">
      <c r="A75" s="55" t="inlineStr">
        <is>
          <t>Cohort month 3</t>
        </is>
      </c>
      <c r="B75" s="55" t="n">
        <v>3</v>
      </c>
      <c r="C75" s="46">
        <f>INDEX(Ops!$E$9:$BL$9,1,$B75)</f>
        <v/>
      </c>
      <c r="H75" s="56">
        <f>$C75*INDEX(Curves!$G$8:$G$68,H$4-$B75+1)</f>
        <v/>
      </c>
      <c r="I75" s="56">
        <f>$C75*INDEX(Curves!$G$8:$G$68,I$4-$B75+1)</f>
        <v/>
      </c>
      <c r="J75" s="56">
        <f>$C75*INDEX(Curves!$G$8:$G$68,J$4-$B75+1)</f>
        <v/>
      </c>
      <c r="K75" s="56">
        <f>$C75*INDEX(Curves!$G$8:$G$68,K$4-$B75+1)</f>
        <v/>
      </c>
      <c r="L75" s="56">
        <f>$C75*INDEX(Curves!$G$8:$G$68,L$4-$B75+1)</f>
        <v/>
      </c>
      <c r="M75" s="56">
        <f>$C75*INDEX(Curves!$G$8:$G$68,M$4-$B75+1)</f>
        <v/>
      </c>
      <c r="N75" s="56">
        <f>$C75*INDEX(Curves!$G$8:$G$68,N$4-$B75+1)</f>
        <v/>
      </c>
      <c r="O75" s="56">
        <f>$C75*INDEX(Curves!$G$8:$G$68,O$4-$B75+1)</f>
        <v/>
      </c>
      <c r="P75" s="56">
        <f>$C75*INDEX(Curves!$G$8:$G$68,P$4-$B75+1)</f>
        <v/>
      </c>
      <c r="Q75" s="56">
        <f>$C75*INDEX(Curves!$G$8:$G$68,Q$4-$B75+1)</f>
        <v/>
      </c>
      <c r="R75" s="56">
        <f>$C75*INDEX(Curves!$G$8:$G$68,R$4-$B75+1)</f>
        <v/>
      </c>
      <c r="S75" s="56">
        <f>$C75*INDEX(Curves!$G$8:$G$68,S$4-$B75+1)</f>
        <v/>
      </c>
      <c r="T75" s="56">
        <f>$C75*INDEX(Curves!$G$8:$G$68,T$4-$B75+1)</f>
        <v/>
      </c>
      <c r="U75" s="56">
        <f>$C75*INDEX(Curves!$G$8:$G$68,U$4-$B75+1)</f>
        <v/>
      </c>
      <c r="V75" s="56">
        <f>$C75*INDEX(Curves!$G$8:$G$68,V$4-$B75+1)</f>
        <v/>
      </c>
      <c r="W75" s="56">
        <f>$C75*INDEX(Curves!$G$8:$G$68,W$4-$B75+1)</f>
        <v/>
      </c>
      <c r="X75" s="56">
        <f>$C75*INDEX(Curves!$G$8:$G$68,X$4-$B75+1)</f>
        <v/>
      </c>
      <c r="Y75" s="56">
        <f>$C75*INDEX(Curves!$G$8:$G$68,Y$4-$B75+1)</f>
        <v/>
      </c>
      <c r="Z75" s="56">
        <f>$C75*INDEX(Curves!$G$8:$G$68,Z$4-$B75+1)</f>
        <v/>
      </c>
      <c r="AA75" s="56">
        <f>$C75*INDEX(Curves!$G$8:$G$68,AA$4-$B75+1)</f>
        <v/>
      </c>
      <c r="AB75" s="56">
        <f>$C75*INDEX(Curves!$G$8:$G$68,AB$4-$B75+1)</f>
        <v/>
      </c>
      <c r="AC75" s="56">
        <f>$C75*INDEX(Curves!$G$8:$G$68,AC$4-$B75+1)</f>
        <v/>
      </c>
      <c r="AD75" s="56">
        <f>$C75*INDEX(Curves!$G$8:$G$68,AD$4-$B75+1)</f>
        <v/>
      </c>
      <c r="AE75" s="56">
        <f>$C75*INDEX(Curves!$G$8:$G$68,AE$4-$B75+1)</f>
        <v/>
      </c>
      <c r="AF75" s="56">
        <f>$C75*INDEX(Curves!$G$8:$G$68,AF$4-$B75+1)</f>
        <v/>
      </c>
      <c r="AG75" s="56">
        <f>$C75*INDEX(Curves!$G$8:$G$68,AG$4-$B75+1)</f>
        <v/>
      </c>
      <c r="AH75" s="56">
        <f>$C75*INDEX(Curves!$G$8:$G$68,AH$4-$B75+1)</f>
        <v/>
      </c>
      <c r="AI75" s="56">
        <f>$C75*INDEX(Curves!$G$8:$G$68,AI$4-$B75+1)</f>
        <v/>
      </c>
      <c r="AJ75" s="56">
        <f>$C75*INDEX(Curves!$G$8:$G$68,AJ$4-$B75+1)</f>
        <v/>
      </c>
      <c r="AK75" s="56">
        <f>$C75*INDEX(Curves!$G$8:$G$68,AK$4-$B75+1)</f>
        <v/>
      </c>
      <c r="AL75" s="56">
        <f>$C75*INDEX(Curves!$G$8:$G$68,AL$4-$B75+1)</f>
        <v/>
      </c>
      <c r="AM75" s="56">
        <f>$C75*INDEX(Curves!$G$8:$G$68,AM$4-$B75+1)</f>
        <v/>
      </c>
      <c r="AN75" s="56">
        <f>$C75*INDEX(Curves!$G$8:$G$68,AN$4-$B75+1)</f>
        <v/>
      </c>
      <c r="AO75" s="56">
        <f>$C75*INDEX(Curves!$G$8:$G$68,AO$4-$B75+1)</f>
        <v/>
      </c>
      <c r="AP75" s="56">
        <f>$C75*INDEX(Curves!$G$8:$G$68,AP$4-$B75+1)</f>
        <v/>
      </c>
      <c r="AQ75" s="56">
        <f>$C75*INDEX(Curves!$G$8:$G$68,AQ$4-$B75+1)</f>
        <v/>
      </c>
      <c r="AR75" s="56">
        <f>$C75*INDEX(Curves!$G$8:$G$68,AR$4-$B75+1)</f>
        <v/>
      </c>
      <c r="AS75" s="56">
        <f>$C75*INDEX(Curves!$G$8:$G$68,AS$4-$B75+1)</f>
        <v/>
      </c>
      <c r="AT75" s="56">
        <f>$C75*INDEX(Curves!$G$8:$G$68,AT$4-$B75+1)</f>
        <v/>
      </c>
      <c r="AU75" s="56">
        <f>$C75*INDEX(Curves!$G$8:$G$68,AU$4-$B75+1)</f>
        <v/>
      </c>
      <c r="AV75" s="56">
        <f>$C75*INDEX(Curves!$G$8:$G$68,AV$4-$B75+1)</f>
        <v/>
      </c>
      <c r="AW75" s="56">
        <f>$C75*INDEX(Curves!$G$8:$G$68,AW$4-$B75+1)</f>
        <v/>
      </c>
      <c r="AX75" s="56">
        <f>$C75*INDEX(Curves!$G$8:$G$68,AX$4-$B75+1)</f>
        <v/>
      </c>
      <c r="AY75" s="56">
        <f>$C75*INDEX(Curves!$G$8:$G$68,AY$4-$B75+1)</f>
        <v/>
      </c>
      <c r="AZ75" s="56">
        <f>$C75*INDEX(Curves!$G$8:$G$68,AZ$4-$B75+1)</f>
        <v/>
      </c>
      <c r="BA75" s="56">
        <f>$C75*INDEX(Curves!$G$8:$G$68,BA$4-$B75+1)</f>
        <v/>
      </c>
      <c r="BB75" s="56">
        <f>$C75*INDEX(Curves!$G$8:$G$68,BB$4-$B75+1)</f>
        <v/>
      </c>
      <c r="BC75" s="56">
        <f>$C75*INDEX(Curves!$G$8:$G$68,BC$4-$B75+1)</f>
        <v/>
      </c>
      <c r="BD75" s="56">
        <f>$C75*INDEX(Curves!$G$8:$G$68,BD$4-$B75+1)</f>
        <v/>
      </c>
      <c r="BE75" s="56">
        <f>$C75*INDEX(Curves!$G$8:$G$68,BE$4-$B75+1)</f>
        <v/>
      </c>
      <c r="BF75" s="56">
        <f>$C75*INDEX(Curves!$G$8:$G$68,BF$4-$B75+1)</f>
        <v/>
      </c>
      <c r="BG75" s="56">
        <f>$C75*INDEX(Curves!$G$8:$G$68,BG$4-$B75+1)</f>
        <v/>
      </c>
      <c r="BH75" s="56">
        <f>$C75*INDEX(Curves!$G$8:$G$68,BH$4-$B75+1)</f>
        <v/>
      </c>
      <c r="BI75" s="56">
        <f>$C75*INDEX(Curves!$G$8:$G$68,BI$4-$B75+1)</f>
        <v/>
      </c>
      <c r="BJ75" s="56">
        <f>$C75*INDEX(Curves!$G$8:$G$68,BJ$4-$B75+1)</f>
        <v/>
      </c>
      <c r="BK75" s="56">
        <f>$C75*INDEX(Curves!$G$8:$G$68,BK$4-$B75+1)</f>
        <v/>
      </c>
      <c r="BL75" s="56">
        <f>$C75*INDEX(Curves!$G$8:$G$68,BL$4-$B75+1)</f>
        <v/>
      </c>
    </row>
    <row r="76">
      <c r="A76" s="55" t="inlineStr">
        <is>
          <t>Cohort month 4</t>
        </is>
      </c>
      <c r="B76" s="55" t="n">
        <v>4</v>
      </c>
      <c r="C76" s="46">
        <f>INDEX(Ops!$E$9:$BL$9,1,$B76)</f>
        <v/>
      </c>
      <c r="I76" s="56">
        <f>$C76*INDEX(Curves!$G$8:$G$68,I$4-$B76+1)</f>
        <v/>
      </c>
      <c r="J76" s="56">
        <f>$C76*INDEX(Curves!$G$8:$G$68,J$4-$B76+1)</f>
        <v/>
      </c>
      <c r="K76" s="56">
        <f>$C76*INDEX(Curves!$G$8:$G$68,K$4-$B76+1)</f>
        <v/>
      </c>
      <c r="L76" s="56">
        <f>$C76*INDEX(Curves!$G$8:$G$68,L$4-$B76+1)</f>
        <v/>
      </c>
      <c r="M76" s="56">
        <f>$C76*INDEX(Curves!$G$8:$G$68,M$4-$B76+1)</f>
        <v/>
      </c>
      <c r="N76" s="56">
        <f>$C76*INDEX(Curves!$G$8:$G$68,N$4-$B76+1)</f>
        <v/>
      </c>
      <c r="O76" s="56">
        <f>$C76*INDEX(Curves!$G$8:$G$68,O$4-$B76+1)</f>
        <v/>
      </c>
      <c r="P76" s="56">
        <f>$C76*INDEX(Curves!$G$8:$G$68,P$4-$B76+1)</f>
        <v/>
      </c>
      <c r="Q76" s="56">
        <f>$C76*INDEX(Curves!$G$8:$G$68,Q$4-$B76+1)</f>
        <v/>
      </c>
      <c r="R76" s="56">
        <f>$C76*INDEX(Curves!$G$8:$G$68,R$4-$B76+1)</f>
        <v/>
      </c>
      <c r="S76" s="56">
        <f>$C76*INDEX(Curves!$G$8:$G$68,S$4-$B76+1)</f>
        <v/>
      </c>
      <c r="T76" s="56">
        <f>$C76*INDEX(Curves!$G$8:$G$68,T$4-$B76+1)</f>
        <v/>
      </c>
      <c r="U76" s="56">
        <f>$C76*INDEX(Curves!$G$8:$G$68,U$4-$B76+1)</f>
        <v/>
      </c>
      <c r="V76" s="56">
        <f>$C76*INDEX(Curves!$G$8:$G$68,V$4-$B76+1)</f>
        <v/>
      </c>
      <c r="W76" s="56">
        <f>$C76*INDEX(Curves!$G$8:$G$68,W$4-$B76+1)</f>
        <v/>
      </c>
      <c r="X76" s="56">
        <f>$C76*INDEX(Curves!$G$8:$G$68,X$4-$B76+1)</f>
        <v/>
      </c>
      <c r="Y76" s="56">
        <f>$C76*INDEX(Curves!$G$8:$G$68,Y$4-$B76+1)</f>
        <v/>
      </c>
      <c r="Z76" s="56">
        <f>$C76*INDEX(Curves!$G$8:$G$68,Z$4-$B76+1)</f>
        <v/>
      </c>
      <c r="AA76" s="56">
        <f>$C76*INDEX(Curves!$G$8:$G$68,AA$4-$B76+1)</f>
        <v/>
      </c>
      <c r="AB76" s="56">
        <f>$C76*INDEX(Curves!$G$8:$G$68,AB$4-$B76+1)</f>
        <v/>
      </c>
      <c r="AC76" s="56">
        <f>$C76*INDEX(Curves!$G$8:$G$68,AC$4-$B76+1)</f>
        <v/>
      </c>
      <c r="AD76" s="56">
        <f>$C76*INDEX(Curves!$G$8:$G$68,AD$4-$B76+1)</f>
        <v/>
      </c>
      <c r="AE76" s="56">
        <f>$C76*INDEX(Curves!$G$8:$G$68,AE$4-$B76+1)</f>
        <v/>
      </c>
      <c r="AF76" s="56">
        <f>$C76*INDEX(Curves!$G$8:$G$68,AF$4-$B76+1)</f>
        <v/>
      </c>
      <c r="AG76" s="56">
        <f>$C76*INDEX(Curves!$G$8:$G$68,AG$4-$B76+1)</f>
        <v/>
      </c>
      <c r="AH76" s="56">
        <f>$C76*INDEX(Curves!$G$8:$G$68,AH$4-$B76+1)</f>
        <v/>
      </c>
      <c r="AI76" s="56">
        <f>$C76*INDEX(Curves!$G$8:$G$68,AI$4-$B76+1)</f>
        <v/>
      </c>
      <c r="AJ76" s="56">
        <f>$C76*INDEX(Curves!$G$8:$G$68,AJ$4-$B76+1)</f>
        <v/>
      </c>
      <c r="AK76" s="56">
        <f>$C76*INDEX(Curves!$G$8:$G$68,AK$4-$B76+1)</f>
        <v/>
      </c>
      <c r="AL76" s="56">
        <f>$C76*INDEX(Curves!$G$8:$G$68,AL$4-$B76+1)</f>
        <v/>
      </c>
      <c r="AM76" s="56">
        <f>$C76*INDEX(Curves!$G$8:$G$68,AM$4-$B76+1)</f>
        <v/>
      </c>
      <c r="AN76" s="56">
        <f>$C76*INDEX(Curves!$G$8:$G$68,AN$4-$B76+1)</f>
        <v/>
      </c>
      <c r="AO76" s="56">
        <f>$C76*INDEX(Curves!$G$8:$G$68,AO$4-$B76+1)</f>
        <v/>
      </c>
      <c r="AP76" s="56">
        <f>$C76*INDEX(Curves!$G$8:$G$68,AP$4-$B76+1)</f>
        <v/>
      </c>
      <c r="AQ76" s="56">
        <f>$C76*INDEX(Curves!$G$8:$G$68,AQ$4-$B76+1)</f>
        <v/>
      </c>
      <c r="AR76" s="56">
        <f>$C76*INDEX(Curves!$G$8:$G$68,AR$4-$B76+1)</f>
        <v/>
      </c>
      <c r="AS76" s="56">
        <f>$C76*INDEX(Curves!$G$8:$G$68,AS$4-$B76+1)</f>
        <v/>
      </c>
      <c r="AT76" s="56">
        <f>$C76*INDEX(Curves!$G$8:$G$68,AT$4-$B76+1)</f>
        <v/>
      </c>
      <c r="AU76" s="56">
        <f>$C76*INDEX(Curves!$G$8:$G$68,AU$4-$B76+1)</f>
        <v/>
      </c>
      <c r="AV76" s="56">
        <f>$C76*INDEX(Curves!$G$8:$G$68,AV$4-$B76+1)</f>
        <v/>
      </c>
      <c r="AW76" s="56">
        <f>$C76*INDEX(Curves!$G$8:$G$68,AW$4-$B76+1)</f>
        <v/>
      </c>
      <c r="AX76" s="56">
        <f>$C76*INDEX(Curves!$G$8:$G$68,AX$4-$B76+1)</f>
        <v/>
      </c>
      <c r="AY76" s="56">
        <f>$C76*INDEX(Curves!$G$8:$G$68,AY$4-$B76+1)</f>
        <v/>
      </c>
      <c r="AZ76" s="56">
        <f>$C76*INDEX(Curves!$G$8:$G$68,AZ$4-$B76+1)</f>
        <v/>
      </c>
      <c r="BA76" s="56">
        <f>$C76*INDEX(Curves!$G$8:$G$68,BA$4-$B76+1)</f>
        <v/>
      </c>
      <c r="BB76" s="56">
        <f>$C76*INDEX(Curves!$G$8:$G$68,BB$4-$B76+1)</f>
        <v/>
      </c>
      <c r="BC76" s="56">
        <f>$C76*INDEX(Curves!$G$8:$G$68,BC$4-$B76+1)</f>
        <v/>
      </c>
      <c r="BD76" s="56">
        <f>$C76*INDEX(Curves!$G$8:$G$68,BD$4-$B76+1)</f>
        <v/>
      </c>
      <c r="BE76" s="56">
        <f>$C76*INDEX(Curves!$G$8:$G$68,BE$4-$B76+1)</f>
        <v/>
      </c>
      <c r="BF76" s="56">
        <f>$C76*INDEX(Curves!$G$8:$G$68,BF$4-$B76+1)</f>
        <v/>
      </c>
      <c r="BG76" s="56">
        <f>$C76*INDEX(Curves!$G$8:$G$68,BG$4-$B76+1)</f>
        <v/>
      </c>
      <c r="BH76" s="56">
        <f>$C76*INDEX(Curves!$G$8:$G$68,BH$4-$B76+1)</f>
        <v/>
      </c>
      <c r="BI76" s="56">
        <f>$C76*INDEX(Curves!$G$8:$G$68,BI$4-$B76+1)</f>
        <v/>
      </c>
      <c r="BJ76" s="56">
        <f>$C76*INDEX(Curves!$G$8:$G$68,BJ$4-$B76+1)</f>
        <v/>
      </c>
      <c r="BK76" s="56">
        <f>$C76*INDEX(Curves!$G$8:$G$68,BK$4-$B76+1)</f>
        <v/>
      </c>
      <c r="BL76" s="56">
        <f>$C76*INDEX(Curves!$G$8:$G$68,BL$4-$B76+1)</f>
        <v/>
      </c>
    </row>
    <row r="77">
      <c r="A77" s="55" t="inlineStr">
        <is>
          <t>Cohort month 5</t>
        </is>
      </c>
      <c r="B77" s="55" t="n">
        <v>5</v>
      </c>
      <c r="C77" s="46">
        <f>INDEX(Ops!$E$9:$BL$9,1,$B77)</f>
        <v/>
      </c>
      <c r="J77" s="56">
        <f>$C77*INDEX(Curves!$G$8:$G$68,J$4-$B77+1)</f>
        <v/>
      </c>
      <c r="K77" s="56">
        <f>$C77*INDEX(Curves!$G$8:$G$68,K$4-$B77+1)</f>
        <v/>
      </c>
      <c r="L77" s="56">
        <f>$C77*INDEX(Curves!$G$8:$G$68,L$4-$B77+1)</f>
        <v/>
      </c>
      <c r="M77" s="56">
        <f>$C77*INDEX(Curves!$G$8:$G$68,M$4-$B77+1)</f>
        <v/>
      </c>
      <c r="N77" s="56">
        <f>$C77*INDEX(Curves!$G$8:$G$68,N$4-$B77+1)</f>
        <v/>
      </c>
      <c r="O77" s="56">
        <f>$C77*INDEX(Curves!$G$8:$G$68,O$4-$B77+1)</f>
        <v/>
      </c>
      <c r="P77" s="56">
        <f>$C77*INDEX(Curves!$G$8:$G$68,P$4-$B77+1)</f>
        <v/>
      </c>
      <c r="Q77" s="56">
        <f>$C77*INDEX(Curves!$G$8:$G$68,Q$4-$B77+1)</f>
        <v/>
      </c>
      <c r="R77" s="56">
        <f>$C77*INDEX(Curves!$G$8:$G$68,R$4-$B77+1)</f>
        <v/>
      </c>
      <c r="S77" s="56">
        <f>$C77*INDEX(Curves!$G$8:$G$68,S$4-$B77+1)</f>
        <v/>
      </c>
      <c r="T77" s="56">
        <f>$C77*INDEX(Curves!$G$8:$G$68,T$4-$B77+1)</f>
        <v/>
      </c>
      <c r="U77" s="56">
        <f>$C77*INDEX(Curves!$G$8:$G$68,U$4-$B77+1)</f>
        <v/>
      </c>
      <c r="V77" s="56">
        <f>$C77*INDEX(Curves!$G$8:$G$68,V$4-$B77+1)</f>
        <v/>
      </c>
      <c r="W77" s="56">
        <f>$C77*INDEX(Curves!$G$8:$G$68,W$4-$B77+1)</f>
        <v/>
      </c>
      <c r="X77" s="56">
        <f>$C77*INDEX(Curves!$G$8:$G$68,X$4-$B77+1)</f>
        <v/>
      </c>
      <c r="Y77" s="56">
        <f>$C77*INDEX(Curves!$G$8:$G$68,Y$4-$B77+1)</f>
        <v/>
      </c>
      <c r="Z77" s="56">
        <f>$C77*INDEX(Curves!$G$8:$G$68,Z$4-$B77+1)</f>
        <v/>
      </c>
      <c r="AA77" s="56">
        <f>$C77*INDEX(Curves!$G$8:$G$68,AA$4-$B77+1)</f>
        <v/>
      </c>
      <c r="AB77" s="56">
        <f>$C77*INDEX(Curves!$G$8:$G$68,AB$4-$B77+1)</f>
        <v/>
      </c>
      <c r="AC77" s="56">
        <f>$C77*INDEX(Curves!$G$8:$G$68,AC$4-$B77+1)</f>
        <v/>
      </c>
      <c r="AD77" s="56">
        <f>$C77*INDEX(Curves!$G$8:$G$68,AD$4-$B77+1)</f>
        <v/>
      </c>
      <c r="AE77" s="56">
        <f>$C77*INDEX(Curves!$G$8:$G$68,AE$4-$B77+1)</f>
        <v/>
      </c>
      <c r="AF77" s="56">
        <f>$C77*INDEX(Curves!$G$8:$G$68,AF$4-$B77+1)</f>
        <v/>
      </c>
      <c r="AG77" s="56">
        <f>$C77*INDEX(Curves!$G$8:$G$68,AG$4-$B77+1)</f>
        <v/>
      </c>
      <c r="AH77" s="56">
        <f>$C77*INDEX(Curves!$G$8:$G$68,AH$4-$B77+1)</f>
        <v/>
      </c>
      <c r="AI77" s="56">
        <f>$C77*INDEX(Curves!$G$8:$G$68,AI$4-$B77+1)</f>
        <v/>
      </c>
      <c r="AJ77" s="56">
        <f>$C77*INDEX(Curves!$G$8:$G$68,AJ$4-$B77+1)</f>
        <v/>
      </c>
      <c r="AK77" s="56">
        <f>$C77*INDEX(Curves!$G$8:$G$68,AK$4-$B77+1)</f>
        <v/>
      </c>
      <c r="AL77" s="56">
        <f>$C77*INDEX(Curves!$G$8:$G$68,AL$4-$B77+1)</f>
        <v/>
      </c>
      <c r="AM77" s="56">
        <f>$C77*INDEX(Curves!$G$8:$G$68,AM$4-$B77+1)</f>
        <v/>
      </c>
      <c r="AN77" s="56">
        <f>$C77*INDEX(Curves!$G$8:$G$68,AN$4-$B77+1)</f>
        <v/>
      </c>
      <c r="AO77" s="56">
        <f>$C77*INDEX(Curves!$G$8:$G$68,AO$4-$B77+1)</f>
        <v/>
      </c>
      <c r="AP77" s="56">
        <f>$C77*INDEX(Curves!$G$8:$G$68,AP$4-$B77+1)</f>
        <v/>
      </c>
      <c r="AQ77" s="56">
        <f>$C77*INDEX(Curves!$G$8:$G$68,AQ$4-$B77+1)</f>
        <v/>
      </c>
      <c r="AR77" s="56">
        <f>$C77*INDEX(Curves!$G$8:$G$68,AR$4-$B77+1)</f>
        <v/>
      </c>
      <c r="AS77" s="56">
        <f>$C77*INDEX(Curves!$G$8:$G$68,AS$4-$B77+1)</f>
        <v/>
      </c>
      <c r="AT77" s="56">
        <f>$C77*INDEX(Curves!$G$8:$G$68,AT$4-$B77+1)</f>
        <v/>
      </c>
      <c r="AU77" s="56">
        <f>$C77*INDEX(Curves!$G$8:$G$68,AU$4-$B77+1)</f>
        <v/>
      </c>
      <c r="AV77" s="56">
        <f>$C77*INDEX(Curves!$G$8:$G$68,AV$4-$B77+1)</f>
        <v/>
      </c>
      <c r="AW77" s="56">
        <f>$C77*INDEX(Curves!$G$8:$G$68,AW$4-$B77+1)</f>
        <v/>
      </c>
      <c r="AX77" s="56">
        <f>$C77*INDEX(Curves!$G$8:$G$68,AX$4-$B77+1)</f>
        <v/>
      </c>
      <c r="AY77" s="56">
        <f>$C77*INDEX(Curves!$G$8:$G$68,AY$4-$B77+1)</f>
        <v/>
      </c>
      <c r="AZ77" s="56">
        <f>$C77*INDEX(Curves!$G$8:$G$68,AZ$4-$B77+1)</f>
        <v/>
      </c>
      <c r="BA77" s="56">
        <f>$C77*INDEX(Curves!$G$8:$G$68,BA$4-$B77+1)</f>
        <v/>
      </c>
      <c r="BB77" s="56">
        <f>$C77*INDEX(Curves!$G$8:$G$68,BB$4-$B77+1)</f>
        <v/>
      </c>
      <c r="BC77" s="56">
        <f>$C77*INDEX(Curves!$G$8:$G$68,BC$4-$B77+1)</f>
        <v/>
      </c>
      <c r="BD77" s="56">
        <f>$C77*INDEX(Curves!$G$8:$G$68,BD$4-$B77+1)</f>
        <v/>
      </c>
      <c r="BE77" s="56">
        <f>$C77*INDEX(Curves!$G$8:$G$68,BE$4-$B77+1)</f>
        <v/>
      </c>
      <c r="BF77" s="56">
        <f>$C77*INDEX(Curves!$G$8:$G$68,BF$4-$B77+1)</f>
        <v/>
      </c>
      <c r="BG77" s="56">
        <f>$C77*INDEX(Curves!$G$8:$G$68,BG$4-$B77+1)</f>
        <v/>
      </c>
      <c r="BH77" s="56">
        <f>$C77*INDEX(Curves!$G$8:$G$68,BH$4-$B77+1)</f>
        <v/>
      </c>
      <c r="BI77" s="56">
        <f>$C77*INDEX(Curves!$G$8:$G$68,BI$4-$B77+1)</f>
        <v/>
      </c>
      <c r="BJ77" s="56">
        <f>$C77*INDEX(Curves!$G$8:$G$68,BJ$4-$B77+1)</f>
        <v/>
      </c>
      <c r="BK77" s="56">
        <f>$C77*INDEX(Curves!$G$8:$G$68,BK$4-$B77+1)</f>
        <v/>
      </c>
      <c r="BL77" s="56">
        <f>$C77*INDEX(Curves!$G$8:$G$68,BL$4-$B77+1)</f>
        <v/>
      </c>
    </row>
    <row r="78">
      <c r="A78" s="55" t="inlineStr">
        <is>
          <t>Cohort month 6</t>
        </is>
      </c>
      <c r="B78" s="55" t="n">
        <v>6</v>
      </c>
      <c r="C78" s="46">
        <f>INDEX(Ops!$E$9:$BL$9,1,$B78)</f>
        <v/>
      </c>
      <c r="K78" s="56">
        <f>$C78*INDEX(Curves!$G$8:$G$68,K$4-$B78+1)</f>
        <v/>
      </c>
      <c r="L78" s="56">
        <f>$C78*INDEX(Curves!$G$8:$G$68,L$4-$B78+1)</f>
        <v/>
      </c>
      <c r="M78" s="56">
        <f>$C78*INDEX(Curves!$G$8:$G$68,M$4-$B78+1)</f>
        <v/>
      </c>
      <c r="N78" s="56">
        <f>$C78*INDEX(Curves!$G$8:$G$68,N$4-$B78+1)</f>
        <v/>
      </c>
      <c r="O78" s="56">
        <f>$C78*INDEX(Curves!$G$8:$G$68,O$4-$B78+1)</f>
        <v/>
      </c>
      <c r="P78" s="56">
        <f>$C78*INDEX(Curves!$G$8:$G$68,P$4-$B78+1)</f>
        <v/>
      </c>
      <c r="Q78" s="56">
        <f>$C78*INDEX(Curves!$G$8:$G$68,Q$4-$B78+1)</f>
        <v/>
      </c>
      <c r="R78" s="56">
        <f>$C78*INDEX(Curves!$G$8:$G$68,R$4-$B78+1)</f>
        <v/>
      </c>
      <c r="S78" s="56">
        <f>$C78*INDEX(Curves!$G$8:$G$68,S$4-$B78+1)</f>
        <v/>
      </c>
      <c r="T78" s="56">
        <f>$C78*INDEX(Curves!$G$8:$G$68,T$4-$B78+1)</f>
        <v/>
      </c>
      <c r="U78" s="56">
        <f>$C78*INDEX(Curves!$G$8:$G$68,U$4-$B78+1)</f>
        <v/>
      </c>
      <c r="V78" s="56">
        <f>$C78*INDEX(Curves!$G$8:$G$68,V$4-$B78+1)</f>
        <v/>
      </c>
      <c r="W78" s="56">
        <f>$C78*INDEX(Curves!$G$8:$G$68,W$4-$B78+1)</f>
        <v/>
      </c>
      <c r="X78" s="56">
        <f>$C78*INDEX(Curves!$G$8:$G$68,X$4-$B78+1)</f>
        <v/>
      </c>
      <c r="Y78" s="56">
        <f>$C78*INDEX(Curves!$G$8:$G$68,Y$4-$B78+1)</f>
        <v/>
      </c>
      <c r="Z78" s="56">
        <f>$C78*INDEX(Curves!$G$8:$G$68,Z$4-$B78+1)</f>
        <v/>
      </c>
      <c r="AA78" s="56">
        <f>$C78*INDEX(Curves!$G$8:$G$68,AA$4-$B78+1)</f>
        <v/>
      </c>
      <c r="AB78" s="56">
        <f>$C78*INDEX(Curves!$G$8:$G$68,AB$4-$B78+1)</f>
        <v/>
      </c>
      <c r="AC78" s="56">
        <f>$C78*INDEX(Curves!$G$8:$G$68,AC$4-$B78+1)</f>
        <v/>
      </c>
      <c r="AD78" s="56">
        <f>$C78*INDEX(Curves!$G$8:$G$68,AD$4-$B78+1)</f>
        <v/>
      </c>
      <c r="AE78" s="56">
        <f>$C78*INDEX(Curves!$G$8:$G$68,AE$4-$B78+1)</f>
        <v/>
      </c>
      <c r="AF78" s="56">
        <f>$C78*INDEX(Curves!$G$8:$G$68,AF$4-$B78+1)</f>
        <v/>
      </c>
      <c r="AG78" s="56">
        <f>$C78*INDEX(Curves!$G$8:$G$68,AG$4-$B78+1)</f>
        <v/>
      </c>
      <c r="AH78" s="56">
        <f>$C78*INDEX(Curves!$G$8:$G$68,AH$4-$B78+1)</f>
        <v/>
      </c>
      <c r="AI78" s="56">
        <f>$C78*INDEX(Curves!$G$8:$G$68,AI$4-$B78+1)</f>
        <v/>
      </c>
      <c r="AJ78" s="56">
        <f>$C78*INDEX(Curves!$G$8:$G$68,AJ$4-$B78+1)</f>
        <v/>
      </c>
      <c r="AK78" s="56">
        <f>$C78*INDEX(Curves!$G$8:$G$68,AK$4-$B78+1)</f>
        <v/>
      </c>
      <c r="AL78" s="56">
        <f>$C78*INDEX(Curves!$G$8:$G$68,AL$4-$B78+1)</f>
        <v/>
      </c>
      <c r="AM78" s="56">
        <f>$C78*INDEX(Curves!$G$8:$G$68,AM$4-$B78+1)</f>
        <v/>
      </c>
      <c r="AN78" s="56">
        <f>$C78*INDEX(Curves!$G$8:$G$68,AN$4-$B78+1)</f>
        <v/>
      </c>
      <c r="AO78" s="56">
        <f>$C78*INDEX(Curves!$G$8:$G$68,AO$4-$B78+1)</f>
        <v/>
      </c>
      <c r="AP78" s="56">
        <f>$C78*INDEX(Curves!$G$8:$G$68,AP$4-$B78+1)</f>
        <v/>
      </c>
      <c r="AQ78" s="56">
        <f>$C78*INDEX(Curves!$G$8:$G$68,AQ$4-$B78+1)</f>
        <v/>
      </c>
      <c r="AR78" s="56">
        <f>$C78*INDEX(Curves!$G$8:$G$68,AR$4-$B78+1)</f>
        <v/>
      </c>
      <c r="AS78" s="56">
        <f>$C78*INDEX(Curves!$G$8:$G$68,AS$4-$B78+1)</f>
        <v/>
      </c>
      <c r="AT78" s="56">
        <f>$C78*INDEX(Curves!$G$8:$G$68,AT$4-$B78+1)</f>
        <v/>
      </c>
      <c r="AU78" s="56">
        <f>$C78*INDEX(Curves!$G$8:$G$68,AU$4-$B78+1)</f>
        <v/>
      </c>
      <c r="AV78" s="56">
        <f>$C78*INDEX(Curves!$G$8:$G$68,AV$4-$B78+1)</f>
        <v/>
      </c>
      <c r="AW78" s="56">
        <f>$C78*INDEX(Curves!$G$8:$G$68,AW$4-$B78+1)</f>
        <v/>
      </c>
      <c r="AX78" s="56">
        <f>$C78*INDEX(Curves!$G$8:$G$68,AX$4-$B78+1)</f>
        <v/>
      </c>
      <c r="AY78" s="56">
        <f>$C78*INDEX(Curves!$G$8:$G$68,AY$4-$B78+1)</f>
        <v/>
      </c>
      <c r="AZ78" s="56">
        <f>$C78*INDEX(Curves!$G$8:$G$68,AZ$4-$B78+1)</f>
        <v/>
      </c>
      <c r="BA78" s="56">
        <f>$C78*INDEX(Curves!$G$8:$G$68,BA$4-$B78+1)</f>
        <v/>
      </c>
      <c r="BB78" s="56">
        <f>$C78*INDEX(Curves!$G$8:$G$68,BB$4-$B78+1)</f>
        <v/>
      </c>
      <c r="BC78" s="56">
        <f>$C78*INDEX(Curves!$G$8:$G$68,BC$4-$B78+1)</f>
        <v/>
      </c>
      <c r="BD78" s="56">
        <f>$C78*INDEX(Curves!$G$8:$G$68,BD$4-$B78+1)</f>
        <v/>
      </c>
      <c r="BE78" s="56">
        <f>$C78*INDEX(Curves!$G$8:$G$68,BE$4-$B78+1)</f>
        <v/>
      </c>
      <c r="BF78" s="56">
        <f>$C78*INDEX(Curves!$G$8:$G$68,BF$4-$B78+1)</f>
        <v/>
      </c>
      <c r="BG78" s="56">
        <f>$C78*INDEX(Curves!$G$8:$G$68,BG$4-$B78+1)</f>
        <v/>
      </c>
      <c r="BH78" s="56">
        <f>$C78*INDEX(Curves!$G$8:$G$68,BH$4-$B78+1)</f>
        <v/>
      </c>
      <c r="BI78" s="56">
        <f>$C78*INDEX(Curves!$G$8:$G$68,BI$4-$B78+1)</f>
        <v/>
      </c>
      <c r="BJ78" s="56">
        <f>$C78*INDEX(Curves!$G$8:$G$68,BJ$4-$B78+1)</f>
        <v/>
      </c>
      <c r="BK78" s="56">
        <f>$C78*INDEX(Curves!$G$8:$G$68,BK$4-$B78+1)</f>
        <v/>
      </c>
      <c r="BL78" s="56">
        <f>$C78*INDEX(Curves!$G$8:$G$68,BL$4-$B78+1)</f>
        <v/>
      </c>
    </row>
    <row r="79">
      <c r="A79" s="55" t="inlineStr">
        <is>
          <t>Cohort month 7</t>
        </is>
      </c>
      <c r="B79" s="55" t="n">
        <v>7</v>
      </c>
      <c r="C79" s="46">
        <f>INDEX(Ops!$E$9:$BL$9,1,$B79)</f>
        <v/>
      </c>
      <c r="L79" s="56">
        <f>$C79*INDEX(Curves!$G$8:$G$68,L$4-$B79+1)</f>
        <v/>
      </c>
      <c r="M79" s="56">
        <f>$C79*INDEX(Curves!$G$8:$G$68,M$4-$B79+1)</f>
        <v/>
      </c>
      <c r="N79" s="56">
        <f>$C79*INDEX(Curves!$G$8:$G$68,N$4-$B79+1)</f>
        <v/>
      </c>
      <c r="O79" s="56">
        <f>$C79*INDEX(Curves!$G$8:$G$68,O$4-$B79+1)</f>
        <v/>
      </c>
      <c r="P79" s="56">
        <f>$C79*INDEX(Curves!$G$8:$G$68,P$4-$B79+1)</f>
        <v/>
      </c>
      <c r="Q79" s="56">
        <f>$C79*INDEX(Curves!$G$8:$G$68,Q$4-$B79+1)</f>
        <v/>
      </c>
      <c r="R79" s="56">
        <f>$C79*INDEX(Curves!$G$8:$G$68,R$4-$B79+1)</f>
        <v/>
      </c>
      <c r="S79" s="56">
        <f>$C79*INDEX(Curves!$G$8:$G$68,S$4-$B79+1)</f>
        <v/>
      </c>
      <c r="T79" s="56">
        <f>$C79*INDEX(Curves!$G$8:$G$68,T$4-$B79+1)</f>
        <v/>
      </c>
      <c r="U79" s="56">
        <f>$C79*INDEX(Curves!$G$8:$G$68,U$4-$B79+1)</f>
        <v/>
      </c>
      <c r="V79" s="56">
        <f>$C79*INDEX(Curves!$G$8:$G$68,V$4-$B79+1)</f>
        <v/>
      </c>
      <c r="W79" s="56">
        <f>$C79*INDEX(Curves!$G$8:$G$68,W$4-$B79+1)</f>
        <v/>
      </c>
      <c r="X79" s="56">
        <f>$C79*INDEX(Curves!$G$8:$G$68,X$4-$B79+1)</f>
        <v/>
      </c>
      <c r="Y79" s="56">
        <f>$C79*INDEX(Curves!$G$8:$G$68,Y$4-$B79+1)</f>
        <v/>
      </c>
      <c r="Z79" s="56">
        <f>$C79*INDEX(Curves!$G$8:$G$68,Z$4-$B79+1)</f>
        <v/>
      </c>
      <c r="AA79" s="56">
        <f>$C79*INDEX(Curves!$G$8:$G$68,AA$4-$B79+1)</f>
        <v/>
      </c>
      <c r="AB79" s="56">
        <f>$C79*INDEX(Curves!$G$8:$G$68,AB$4-$B79+1)</f>
        <v/>
      </c>
      <c r="AC79" s="56">
        <f>$C79*INDEX(Curves!$G$8:$G$68,AC$4-$B79+1)</f>
        <v/>
      </c>
      <c r="AD79" s="56">
        <f>$C79*INDEX(Curves!$G$8:$G$68,AD$4-$B79+1)</f>
        <v/>
      </c>
      <c r="AE79" s="56">
        <f>$C79*INDEX(Curves!$G$8:$G$68,AE$4-$B79+1)</f>
        <v/>
      </c>
      <c r="AF79" s="56">
        <f>$C79*INDEX(Curves!$G$8:$G$68,AF$4-$B79+1)</f>
        <v/>
      </c>
      <c r="AG79" s="56">
        <f>$C79*INDEX(Curves!$G$8:$G$68,AG$4-$B79+1)</f>
        <v/>
      </c>
      <c r="AH79" s="56">
        <f>$C79*INDEX(Curves!$G$8:$G$68,AH$4-$B79+1)</f>
        <v/>
      </c>
      <c r="AI79" s="56">
        <f>$C79*INDEX(Curves!$G$8:$G$68,AI$4-$B79+1)</f>
        <v/>
      </c>
      <c r="AJ79" s="56">
        <f>$C79*INDEX(Curves!$G$8:$G$68,AJ$4-$B79+1)</f>
        <v/>
      </c>
      <c r="AK79" s="56">
        <f>$C79*INDEX(Curves!$G$8:$G$68,AK$4-$B79+1)</f>
        <v/>
      </c>
      <c r="AL79" s="56">
        <f>$C79*INDEX(Curves!$G$8:$G$68,AL$4-$B79+1)</f>
        <v/>
      </c>
      <c r="AM79" s="56">
        <f>$C79*INDEX(Curves!$G$8:$G$68,AM$4-$B79+1)</f>
        <v/>
      </c>
      <c r="AN79" s="56">
        <f>$C79*INDEX(Curves!$G$8:$G$68,AN$4-$B79+1)</f>
        <v/>
      </c>
      <c r="AO79" s="56">
        <f>$C79*INDEX(Curves!$G$8:$G$68,AO$4-$B79+1)</f>
        <v/>
      </c>
      <c r="AP79" s="56">
        <f>$C79*INDEX(Curves!$G$8:$G$68,AP$4-$B79+1)</f>
        <v/>
      </c>
      <c r="AQ79" s="56">
        <f>$C79*INDEX(Curves!$G$8:$G$68,AQ$4-$B79+1)</f>
        <v/>
      </c>
      <c r="AR79" s="56">
        <f>$C79*INDEX(Curves!$G$8:$G$68,AR$4-$B79+1)</f>
        <v/>
      </c>
      <c r="AS79" s="56">
        <f>$C79*INDEX(Curves!$G$8:$G$68,AS$4-$B79+1)</f>
        <v/>
      </c>
      <c r="AT79" s="56">
        <f>$C79*INDEX(Curves!$G$8:$G$68,AT$4-$B79+1)</f>
        <v/>
      </c>
      <c r="AU79" s="56">
        <f>$C79*INDEX(Curves!$G$8:$G$68,AU$4-$B79+1)</f>
        <v/>
      </c>
      <c r="AV79" s="56">
        <f>$C79*INDEX(Curves!$G$8:$G$68,AV$4-$B79+1)</f>
        <v/>
      </c>
      <c r="AW79" s="56">
        <f>$C79*INDEX(Curves!$G$8:$G$68,AW$4-$B79+1)</f>
        <v/>
      </c>
      <c r="AX79" s="56">
        <f>$C79*INDEX(Curves!$G$8:$G$68,AX$4-$B79+1)</f>
        <v/>
      </c>
      <c r="AY79" s="56">
        <f>$C79*INDEX(Curves!$G$8:$G$68,AY$4-$B79+1)</f>
        <v/>
      </c>
      <c r="AZ79" s="56">
        <f>$C79*INDEX(Curves!$G$8:$G$68,AZ$4-$B79+1)</f>
        <v/>
      </c>
      <c r="BA79" s="56">
        <f>$C79*INDEX(Curves!$G$8:$G$68,BA$4-$B79+1)</f>
        <v/>
      </c>
      <c r="BB79" s="56">
        <f>$C79*INDEX(Curves!$G$8:$G$68,BB$4-$B79+1)</f>
        <v/>
      </c>
      <c r="BC79" s="56">
        <f>$C79*INDEX(Curves!$G$8:$G$68,BC$4-$B79+1)</f>
        <v/>
      </c>
      <c r="BD79" s="56">
        <f>$C79*INDEX(Curves!$G$8:$G$68,BD$4-$B79+1)</f>
        <v/>
      </c>
      <c r="BE79" s="56">
        <f>$C79*INDEX(Curves!$G$8:$G$68,BE$4-$B79+1)</f>
        <v/>
      </c>
      <c r="BF79" s="56">
        <f>$C79*INDEX(Curves!$G$8:$G$68,BF$4-$B79+1)</f>
        <v/>
      </c>
      <c r="BG79" s="56">
        <f>$C79*INDEX(Curves!$G$8:$G$68,BG$4-$B79+1)</f>
        <v/>
      </c>
      <c r="BH79" s="56">
        <f>$C79*INDEX(Curves!$G$8:$G$68,BH$4-$B79+1)</f>
        <v/>
      </c>
      <c r="BI79" s="56">
        <f>$C79*INDEX(Curves!$G$8:$G$68,BI$4-$B79+1)</f>
        <v/>
      </c>
      <c r="BJ79" s="56">
        <f>$C79*INDEX(Curves!$G$8:$G$68,BJ$4-$B79+1)</f>
        <v/>
      </c>
      <c r="BK79" s="56">
        <f>$C79*INDEX(Curves!$G$8:$G$68,BK$4-$B79+1)</f>
        <v/>
      </c>
      <c r="BL79" s="56">
        <f>$C79*INDEX(Curves!$G$8:$G$68,BL$4-$B79+1)</f>
        <v/>
      </c>
    </row>
    <row r="80">
      <c r="A80" s="55" t="inlineStr">
        <is>
          <t>Cohort month 8</t>
        </is>
      </c>
      <c r="B80" s="55" t="n">
        <v>8</v>
      </c>
      <c r="C80" s="46">
        <f>INDEX(Ops!$E$9:$BL$9,1,$B80)</f>
        <v/>
      </c>
      <c r="M80" s="56">
        <f>$C80*INDEX(Curves!$G$8:$G$68,M$4-$B80+1)</f>
        <v/>
      </c>
      <c r="N80" s="56">
        <f>$C80*INDEX(Curves!$G$8:$G$68,N$4-$B80+1)</f>
        <v/>
      </c>
      <c r="O80" s="56">
        <f>$C80*INDEX(Curves!$G$8:$G$68,O$4-$B80+1)</f>
        <v/>
      </c>
      <c r="P80" s="56">
        <f>$C80*INDEX(Curves!$G$8:$G$68,P$4-$B80+1)</f>
        <v/>
      </c>
      <c r="Q80" s="56">
        <f>$C80*INDEX(Curves!$G$8:$G$68,Q$4-$B80+1)</f>
        <v/>
      </c>
      <c r="R80" s="56">
        <f>$C80*INDEX(Curves!$G$8:$G$68,R$4-$B80+1)</f>
        <v/>
      </c>
      <c r="S80" s="56">
        <f>$C80*INDEX(Curves!$G$8:$G$68,S$4-$B80+1)</f>
        <v/>
      </c>
      <c r="T80" s="56">
        <f>$C80*INDEX(Curves!$G$8:$G$68,T$4-$B80+1)</f>
        <v/>
      </c>
      <c r="U80" s="56">
        <f>$C80*INDEX(Curves!$G$8:$G$68,U$4-$B80+1)</f>
        <v/>
      </c>
      <c r="V80" s="56">
        <f>$C80*INDEX(Curves!$G$8:$G$68,V$4-$B80+1)</f>
        <v/>
      </c>
      <c r="W80" s="56">
        <f>$C80*INDEX(Curves!$G$8:$G$68,W$4-$B80+1)</f>
        <v/>
      </c>
      <c r="X80" s="56">
        <f>$C80*INDEX(Curves!$G$8:$G$68,X$4-$B80+1)</f>
        <v/>
      </c>
      <c r="Y80" s="56">
        <f>$C80*INDEX(Curves!$G$8:$G$68,Y$4-$B80+1)</f>
        <v/>
      </c>
      <c r="Z80" s="56">
        <f>$C80*INDEX(Curves!$G$8:$G$68,Z$4-$B80+1)</f>
        <v/>
      </c>
      <c r="AA80" s="56">
        <f>$C80*INDEX(Curves!$G$8:$G$68,AA$4-$B80+1)</f>
        <v/>
      </c>
      <c r="AB80" s="56">
        <f>$C80*INDEX(Curves!$G$8:$G$68,AB$4-$B80+1)</f>
        <v/>
      </c>
      <c r="AC80" s="56">
        <f>$C80*INDEX(Curves!$G$8:$G$68,AC$4-$B80+1)</f>
        <v/>
      </c>
      <c r="AD80" s="56">
        <f>$C80*INDEX(Curves!$G$8:$G$68,AD$4-$B80+1)</f>
        <v/>
      </c>
      <c r="AE80" s="56">
        <f>$C80*INDEX(Curves!$G$8:$G$68,AE$4-$B80+1)</f>
        <v/>
      </c>
      <c r="AF80" s="56">
        <f>$C80*INDEX(Curves!$G$8:$G$68,AF$4-$B80+1)</f>
        <v/>
      </c>
      <c r="AG80" s="56">
        <f>$C80*INDEX(Curves!$G$8:$G$68,AG$4-$B80+1)</f>
        <v/>
      </c>
      <c r="AH80" s="56">
        <f>$C80*INDEX(Curves!$G$8:$G$68,AH$4-$B80+1)</f>
        <v/>
      </c>
      <c r="AI80" s="56">
        <f>$C80*INDEX(Curves!$G$8:$G$68,AI$4-$B80+1)</f>
        <v/>
      </c>
      <c r="AJ80" s="56">
        <f>$C80*INDEX(Curves!$G$8:$G$68,AJ$4-$B80+1)</f>
        <v/>
      </c>
      <c r="AK80" s="56">
        <f>$C80*INDEX(Curves!$G$8:$G$68,AK$4-$B80+1)</f>
        <v/>
      </c>
      <c r="AL80" s="56">
        <f>$C80*INDEX(Curves!$G$8:$G$68,AL$4-$B80+1)</f>
        <v/>
      </c>
      <c r="AM80" s="56">
        <f>$C80*INDEX(Curves!$G$8:$G$68,AM$4-$B80+1)</f>
        <v/>
      </c>
      <c r="AN80" s="56">
        <f>$C80*INDEX(Curves!$G$8:$G$68,AN$4-$B80+1)</f>
        <v/>
      </c>
      <c r="AO80" s="56">
        <f>$C80*INDEX(Curves!$G$8:$G$68,AO$4-$B80+1)</f>
        <v/>
      </c>
      <c r="AP80" s="56">
        <f>$C80*INDEX(Curves!$G$8:$G$68,AP$4-$B80+1)</f>
        <v/>
      </c>
      <c r="AQ80" s="56">
        <f>$C80*INDEX(Curves!$G$8:$G$68,AQ$4-$B80+1)</f>
        <v/>
      </c>
      <c r="AR80" s="56">
        <f>$C80*INDEX(Curves!$G$8:$G$68,AR$4-$B80+1)</f>
        <v/>
      </c>
      <c r="AS80" s="56">
        <f>$C80*INDEX(Curves!$G$8:$G$68,AS$4-$B80+1)</f>
        <v/>
      </c>
      <c r="AT80" s="56">
        <f>$C80*INDEX(Curves!$G$8:$G$68,AT$4-$B80+1)</f>
        <v/>
      </c>
      <c r="AU80" s="56">
        <f>$C80*INDEX(Curves!$G$8:$G$68,AU$4-$B80+1)</f>
        <v/>
      </c>
      <c r="AV80" s="56">
        <f>$C80*INDEX(Curves!$G$8:$G$68,AV$4-$B80+1)</f>
        <v/>
      </c>
      <c r="AW80" s="56">
        <f>$C80*INDEX(Curves!$G$8:$G$68,AW$4-$B80+1)</f>
        <v/>
      </c>
      <c r="AX80" s="56">
        <f>$C80*INDEX(Curves!$G$8:$G$68,AX$4-$B80+1)</f>
        <v/>
      </c>
      <c r="AY80" s="56">
        <f>$C80*INDEX(Curves!$G$8:$G$68,AY$4-$B80+1)</f>
        <v/>
      </c>
      <c r="AZ80" s="56">
        <f>$C80*INDEX(Curves!$G$8:$G$68,AZ$4-$B80+1)</f>
        <v/>
      </c>
      <c r="BA80" s="56">
        <f>$C80*INDEX(Curves!$G$8:$G$68,BA$4-$B80+1)</f>
        <v/>
      </c>
      <c r="BB80" s="56">
        <f>$C80*INDEX(Curves!$G$8:$G$68,BB$4-$B80+1)</f>
        <v/>
      </c>
      <c r="BC80" s="56">
        <f>$C80*INDEX(Curves!$G$8:$G$68,BC$4-$B80+1)</f>
        <v/>
      </c>
      <c r="BD80" s="56">
        <f>$C80*INDEX(Curves!$G$8:$G$68,BD$4-$B80+1)</f>
        <v/>
      </c>
      <c r="BE80" s="56">
        <f>$C80*INDEX(Curves!$G$8:$G$68,BE$4-$B80+1)</f>
        <v/>
      </c>
      <c r="BF80" s="56">
        <f>$C80*INDEX(Curves!$G$8:$G$68,BF$4-$B80+1)</f>
        <v/>
      </c>
      <c r="BG80" s="56">
        <f>$C80*INDEX(Curves!$G$8:$G$68,BG$4-$B80+1)</f>
        <v/>
      </c>
      <c r="BH80" s="56">
        <f>$C80*INDEX(Curves!$G$8:$G$68,BH$4-$B80+1)</f>
        <v/>
      </c>
      <c r="BI80" s="56">
        <f>$C80*INDEX(Curves!$G$8:$G$68,BI$4-$B80+1)</f>
        <v/>
      </c>
      <c r="BJ80" s="56">
        <f>$C80*INDEX(Curves!$G$8:$G$68,BJ$4-$B80+1)</f>
        <v/>
      </c>
      <c r="BK80" s="56">
        <f>$C80*INDEX(Curves!$G$8:$G$68,BK$4-$B80+1)</f>
        <v/>
      </c>
      <c r="BL80" s="56">
        <f>$C80*INDEX(Curves!$G$8:$G$68,BL$4-$B80+1)</f>
        <v/>
      </c>
    </row>
    <row r="81">
      <c r="A81" s="55" t="inlineStr">
        <is>
          <t>Cohort month 9</t>
        </is>
      </c>
      <c r="B81" s="55" t="n">
        <v>9</v>
      </c>
      <c r="C81" s="46">
        <f>INDEX(Ops!$E$9:$BL$9,1,$B81)</f>
        <v/>
      </c>
      <c r="N81" s="56">
        <f>$C81*INDEX(Curves!$G$8:$G$68,N$4-$B81+1)</f>
        <v/>
      </c>
      <c r="O81" s="56">
        <f>$C81*INDEX(Curves!$G$8:$G$68,O$4-$B81+1)</f>
        <v/>
      </c>
      <c r="P81" s="56">
        <f>$C81*INDEX(Curves!$G$8:$G$68,P$4-$B81+1)</f>
        <v/>
      </c>
      <c r="Q81" s="56">
        <f>$C81*INDEX(Curves!$G$8:$G$68,Q$4-$B81+1)</f>
        <v/>
      </c>
      <c r="R81" s="56">
        <f>$C81*INDEX(Curves!$G$8:$G$68,R$4-$B81+1)</f>
        <v/>
      </c>
      <c r="S81" s="56">
        <f>$C81*INDEX(Curves!$G$8:$G$68,S$4-$B81+1)</f>
        <v/>
      </c>
      <c r="T81" s="56">
        <f>$C81*INDEX(Curves!$G$8:$G$68,T$4-$B81+1)</f>
        <v/>
      </c>
      <c r="U81" s="56">
        <f>$C81*INDEX(Curves!$G$8:$G$68,U$4-$B81+1)</f>
        <v/>
      </c>
      <c r="V81" s="56">
        <f>$C81*INDEX(Curves!$G$8:$G$68,V$4-$B81+1)</f>
        <v/>
      </c>
      <c r="W81" s="56">
        <f>$C81*INDEX(Curves!$G$8:$G$68,W$4-$B81+1)</f>
        <v/>
      </c>
      <c r="X81" s="56">
        <f>$C81*INDEX(Curves!$G$8:$G$68,X$4-$B81+1)</f>
        <v/>
      </c>
      <c r="Y81" s="56">
        <f>$C81*INDEX(Curves!$G$8:$G$68,Y$4-$B81+1)</f>
        <v/>
      </c>
      <c r="Z81" s="56">
        <f>$C81*INDEX(Curves!$G$8:$G$68,Z$4-$B81+1)</f>
        <v/>
      </c>
      <c r="AA81" s="56">
        <f>$C81*INDEX(Curves!$G$8:$G$68,AA$4-$B81+1)</f>
        <v/>
      </c>
      <c r="AB81" s="56">
        <f>$C81*INDEX(Curves!$G$8:$G$68,AB$4-$B81+1)</f>
        <v/>
      </c>
      <c r="AC81" s="56">
        <f>$C81*INDEX(Curves!$G$8:$G$68,AC$4-$B81+1)</f>
        <v/>
      </c>
      <c r="AD81" s="56">
        <f>$C81*INDEX(Curves!$G$8:$G$68,AD$4-$B81+1)</f>
        <v/>
      </c>
      <c r="AE81" s="56">
        <f>$C81*INDEX(Curves!$G$8:$G$68,AE$4-$B81+1)</f>
        <v/>
      </c>
      <c r="AF81" s="56">
        <f>$C81*INDEX(Curves!$G$8:$G$68,AF$4-$B81+1)</f>
        <v/>
      </c>
      <c r="AG81" s="56">
        <f>$C81*INDEX(Curves!$G$8:$G$68,AG$4-$B81+1)</f>
        <v/>
      </c>
      <c r="AH81" s="56">
        <f>$C81*INDEX(Curves!$G$8:$G$68,AH$4-$B81+1)</f>
        <v/>
      </c>
      <c r="AI81" s="56">
        <f>$C81*INDEX(Curves!$G$8:$G$68,AI$4-$B81+1)</f>
        <v/>
      </c>
      <c r="AJ81" s="56">
        <f>$C81*INDEX(Curves!$G$8:$G$68,AJ$4-$B81+1)</f>
        <v/>
      </c>
      <c r="AK81" s="56">
        <f>$C81*INDEX(Curves!$G$8:$G$68,AK$4-$B81+1)</f>
        <v/>
      </c>
      <c r="AL81" s="56">
        <f>$C81*INDEX(Curves!$G$8:$G$68,AL$4-$B81+1)</f>
        <v/>
      </c>
      <c r="AM81" s="56">
        <f>$C81*INDEX(Curves!$G$8:$G$68,AM$4-$B81+1)</f>
        <v/>
      </c>
      <c r="AN81" s="56">
        <f>$C81*INDEX(Curves!$G$8:$G$68,AN$4-$B81+1)</f>
        <v/>
      </c>
      <c r="AO81" s="56">
        <f>$C81*INDEX(Curves!$G$8:$G$68,AO$4-$B81+1)</f>
        <v/>
      </c>
      <c r="AP81" s="56">
        <f>$C81*INDEX(Curves!$G$8:$G$68,AP$4-$B81+1)</f>
        <v/>
      </c>
      <c r="AQ81" s="56">
        <f>$C81*INDEX(Curves!$G$8:$G$68,AQ$4-$B81+1)</f>
        <v/>
      </c>
      <c r="AR81" s="56">
        <f>$C81*INDEX(Curves!$G$8:$G$68,AR$4-$B81+1)</f>
        <v/>
      </c>
      <c r="AS81" s="56">
        <f>$C81*INDEX(Curves!$G$8:$G$68,AS$4-$B81+1)</f>
        <v/>
      </c>
      <c r="AT81" s="56">
        <f>$C81*INDEX(Curves!$G$8:$G$68,AT$4-$B81+1)</f>
        <v/>
      </c>
      <c r="AU81" s="56">
        <f>$C81*INDEX(Curves!$G$8:$G$68,AU$4-$B81+1)</f>
        <v/>
      </c>
      <c r="AV81" s="56">
        <f>$C81*INDEX(Curves!$G$8:$G$68,AV$4-$B81+1)</f>
        <v/>
      </c>
      <c r="AW81" s="56">
        <f>$C81*INDEX(Curves!$G$8:$G$68,AW$4-$B81+1)</f>
        <v/>
      </c>
      <c r="AX81" s="56">
        <f>$C81*INDEX(Curves!$G$8:$G$68,AX$4-$B81+1)</f>
        <v/>
      </c>
      <c r="AY81" s="56">
        <f>$C81*INDEX(Curves!$G$8:$G$68,AY$4-$B81+1)</f>
        <v/>
      </c>
      <c r="AZ81" s="56">
        <f>$C81*INDEX(Curves!$G$8:$G$68,AZ$4-$B81+1)</f>
        <v/>
      </c>
      <c r="BA81" s="56">
        <f>$C81*INDEX(Curves!$G$8:$G$68,BA$4-$B81+1)</f>
        <v/>
      </c>
      <c r="BB81" s="56">
        <f>$C81*INDEX(Curves!$G$8:$G$68,BB$4-$B81+1)</f>
        <v/>
      </c>
      <c r="BC81" s="56">
        <f>$C81*INDEX(Curves!$G$8:$G$68,BC$4-$B81+1)</f>
        <v/>
      </c>
      <c r="BD81" s="56">
        <f>$C81*INDEX(Curves!$G$8:$G$68,BD$4-$B81+1)</f>
        <v/>
      </c>
      <c r="BE81" s="56">
        <f>$C81*INDEX(Curves!$G$8:$G$68,BE$4-$B81+1)</f>
        <v/>
      </c>
      <c r="BF81" s="56">
        <f>$C81*INDEX(Curves!$G$8:$G$68,BF$4-$B81+1)</f>
        <v/>
      </c>
      <c r="BG81" s="56">
        <f>$C81*INDEX(Curves!$G$8:$G$68,BG$4-$B81+1)</f>
        <v/>
      </c>
      <c r="BH81" s="56">
        <f>$C81*INDEX(Curves!$G$8:$G$68,BH$4-$B81+1)</f>
        <v/>
      </c>
      <c r="BI81" s="56">
        <f>$C81*INDEX(Curves!$G$8:$G$68,BI$4-$B81+1)</f>
        <v/>
      </c>
      <c r="BJ81" s="56">
        <f>$C81*INDEX(Curves!$G$8:$G$68,BJ$4-$B81+1)</f>
        <v/>
      </c>
      <c r="BK81" s="56">
        <f>$C81*INDEX(Curves!$G$8:$G$68,BK$4-$B81+1)</f>
        <v/>
      </c>
      <c r="BL81" s="56">
        <f>$C81*INDEX(Curves!$G$8:$G$68,BL$4-$B81+1)</f>
        <v/>
      </c>
    </row>
    <row r="82">
      <c r="A82" s="55" t="inlineStr">
        <is>
          <t>Cohort month 10</t>
        </is>
      </c>
      <c r="B82" s="55" t="n">
        <v>10</v>
      </c>
      <c r="C82" s="46">
        <f>INDEX(Ops!$E$9:$BL$9,1,$B82)</f>
        <v/>
      </c>
      <c r="O82" s="56">
        <f>$C82*INDEX(Curves!$G$8:$G$68,O$4-$B82+1)</f>
        <v/>
      </c>
      <c r="P82" s="56">
        <f>$C82*INDEX(Curves!$G$8:$G$68,P$4-$B82+1)</f>
        <v/>
      </c>
      <c r="Q82" s="56">
        <f>$C82*INDEX(Curves!$G$8:$G$68,Q$4-$B82+1)</f>
        <v/>
      </c>
      <c r="R82" s="56">
        <f>$C82*INDEX(Curves!$G$8:$G$68,R$4-$B82+1)</f>
        <v/>
      </c>
      <c r="S82" s="56">
        <f>$C82*INDEX(Curves!$G$8:$G$68,S$4-$B82+1)</f>
        <v/>
      </c>
      <c r="T82" s="56">
        <f>$C82*INDEX(Curves!$G$8:$G$68,T$4-$B82+1)</f>
        <v/>
      </c>
      <c r="U82" s="56">
        <f>$C82*INDEX(Curves!$G$8:$G$68,U$4-$B82+1)</f>
        <v/>
      </c>
      <c r="V82" s="56">
        <f>$C82*INDEX(Curves!$G$8:$G$68,V$4-$B82+1)</f>
        <v/>
      </c>
      <c r="W82" s="56">
        <f>$C82*INDEX(Curves!$G$8:$G$68,W$4-$B82+1)</f>
        <v/>
      </c>
      <c r="X82" s="56">
        <f>$C82*INDEX(Curves!$G$8:$G$68,X$4-$B82+1)</f>
        <v/>
      </c>
      <c r="Y82" s="56">
        <f>$C82*INDEX(Curves!$G$8:$G$68,Y$4-$B82+1)</f>
        <v/>
      </c>
      <c r="Z82" s="56">
        <f>$C82*INDEX(Curves!$G$8:$G$68,Z$4-$B82+1)</f>
        <v/>
      </c>
      <c r="AA82" s="56">
        <f>$C82*INDEX(Curves!$G$8:$G$68,AA$4-$B82+1)</f>
        <v/>
      </c>
      <c r="AB82" s="56">
        <f>$C82*INDEX(Curves!$G$8:$G$68,AB$4-$B82+1)</f>
        <v/>
      </c>
      <c r="AC82" s="56">
        <f>$C82*INDEX(Curves!$G$8:$G$68,AC$4-$B82+1)</f>
        <v/>
      </c>
      <c r="AD82" s="56">
        <f>$C82*INDEX(Curves!$G$8:$G$68,AD$4-$B82+1)</f>
        <v/>
      </c>
      <c r="AE82" s="56">
        <f>$C82*INDEX(Curves!$G$8:$G$68,AE$4-$B82+1)</f>
        <v/>
      </c>
      <c r="AF82" s="56">
        <f>$C82*INDEX(Curves!$G$8:$G$68,AF$4-$B82+1)</f>
        <v/>
      </c>
      <c r="AG82" s="56">
        <f>$C82*INDEX(Curves!$G$8:$G$68,AG$4-$B82+1)</f>
        <v/>
      </c>
      <c r="AH82" s="56">
        <f>$C82*INDEX(Curves!$G$8:$G$68,AH$4-$B82+1)</f>
        <v/>
      </c>
      <c r="AI82" s="56">
        <f>$C82*INDEX(Curves!$G$8:$G$68,AI$4-$B82+1)</f>
        <v/>
      </c>
      <c r="AJ82" s="56">
        <f>$C82*INDEX(Curves!$G$8:$G$68,AJ$4-$B82+1)</f>
        <v/>
      </c>
      <c r="AK82" s="56">
        <f>$C82*INDEX(Curves!$G$8:$G$68,AK$4-$B82+1)</f>
        <v/>
      </c>
      <c r="AL82" s="56">
        <f>$C82*INDEX(Curves!$G$8:$G$68,AL$4-$B82+1)</f>
        <v/>
      </c>
      <c r="AM82" s="56">
        <f>$C82*INDEX(Curves!$G$8:$G$68,AM$4-$B82+1)</f>
        <v/>
      </c>
      <c r="AN82" s="56">
        <f>$C82*INDEX(Curves!$G$8:$G$68,AN$4-$B82+1)</f>
        <v/>
      </c>
      <c r="AO82" s="56">
        <f>$C82*INDEX(Curves!$G$8:$G$68,AO$4-$B82+1)</f>
        <v/>
      </c>
      <c r="AP82" s="56">
        <f>$C82*INDEX(Curves!$G$8:$G$68,AP$4-$B82+1)</f>
        <v/>
      </c>
      <c r="AQ82" s="56">
        <f>$C82*INDEX(Curves!$G$8:$G$68,AQ$4-$B82+1)</f>
        <v/>
      </c>
      <c r="AR82" s="56">
        <f>$C82*INDEX(Curves!$G$8:$G$68,AR$4-$B82+1)</f>
        <v/>
      </c>
      <c r="AS82" s="56">
        <f>$C82*INDEX(Curves!$G$8:$G$68,AS$4-$B82+1)</f>
        <v/>
      </c>
      <c r="AT82" s="56">
        <f>$C82*INDEX(Curves!$G$8:$G$68,AT$4-$B82+1)</f>
        <v/>
      </c>
      <c r="AU82" s="56">
        <f>$C82*INDEX(Curves!$G$8:$G$68,AU$4-$B82+1)</f>
        <v/>
      </c>
      <c r="AV82" s="56">
        <f>$C82*INDEX(Curves!$G$8:$G$68,AV$4-$B82+1)</f>
        <v/>
      </c>
      <c r="AW82" s="56">
        <f>$C82*INDEX(Curves!$G$8:$G$68,AW$4-$B82+1)</f>
        <v/>
      </c>
      <c r="AX82" s="56">
        <f>$C82*INDEX(Curves!$G$8:$G$68,AX$4-$B82+1)</f>
        <v/>
      </c>
      <c r="AY82" s="56">
        <f>$C82*INDEX(Curves!$G$8:$G$68,AY$4-$B82+1)</f>
        <v/>
      </c>
      <c r="AZ82" s="56">
        <f>$C82*INDEX(Curves!$G$8:$G$68,AZ$4-$B82+1)</f>
        <v/>
      </c>
      <c r="BA82" s="56">
        <f>$C82*INDEX(Curves!$G$8:$G$68,BA$4-$B82+1)</f>
        <v/>
      </c>
      <c r="BB82" s="56">
        <f>$C82*INDEX(Curves!$G$8:$G$68,BB$4-$B82+1)</f>
        <v/>
      </c>
      <c r="BC82" s="56">
        <f>$C82*INDEX(Curves!$G$8:$G$68,BC$4-$B82+1)</f>
        <v/>
      </c>
      <c r="BD82" s="56">
        <f>$C82*INDEX(Curves!$G$8:$G$68,BD$4-$B82+1)</f>
        <v/>
      </c>
      <c r="BE82" s="56">
        <f>$C82*INDEX(Curves!$G$8:$G$68,BE$4-$B82+1)</f>
        <v/>
      </c>
      <c r="BF82" s="56">
        <f>$C82*INDEX(Curves!$G$8:$G$68,BF$4-$B82+1)</f>
        <v/>
      </c>
      <c r="BG82" s="56">
        <f>$C82*INDEX(Curves!$G$8:$G$68,BG$4-$B82+1)</f>
        <v/>
      </c>
      <c r="BH82" s="56">
        <f>$C82*INDEX(Curves!$G$8:$G$68,BH$4-$B82+1)</f>
        <v/>
      </c>
      <c r="BI82" s="56">
        <f>$C82*INDEX(Curves!$G$8:$G$68,BI$4-$B82+1)</f>
        <v/>
      </c>
      <c r="BJ82" s="56">
        <f>$C82*INDEX(Curves!$G$8:$G$68,BJ$4-$B82+1)</f>
        <v/>
      </c>
      <c r="BK82" s="56">
        <f>$C82*INDEX(Curves!$G$8:$G$68,BK$4-$B82+1)</f>
        <v/>
      </c>
      <c r="BL82" s="56">
        <f>$C82*INDEX(Curves!$G$8:$G$68,BL$4-$B82+1)</f>
        <v/>
      </c>
    </row>
    <row r="83">
      <c r="A83" s="55" t="inlineStr">
        <is>
          <t>Cohort month 11</t>
        </is>
      </c>
      <c r="B83" s="55" t="n">
        <v>11</v>
      </c>
      <c r="C83" s="46">
        <f>INDEX(Ops!$E$9:$BL$9,1,$B83)</f>
        <v/>
      </c>
      <c r="P83" s="56">
        <f>$C83*INDEX(Curves!$G$8:$G$68,P$4-$B83+1)</f>
        <v/>
      </c>
      <c r="Q83" s="56">
        <f>$C83*INDEX(Curves!$G$8:$G$68,Q$4-$B83+1)</f>
        <v/>
      </c>
      <c r="R83" s="56">
        <f>$C83*INDEX(Curves!$G$8:$G$68,R$4-$B83+1)</f>
        <v/>
      </c>
      <c r="S83" s="56">
        <f>$C83*INDEX(Curves!$G$8:$G$68,S$4-$B83+1)</f>
        <v/>
      </c>
      <c r="T83" s="56">
        <f>$C83*INDEX(Curves!$G$8:$G$68,T$4-$B83+1)</f>
        <v/>
      </c>
      <c r="U83" s="56">
        <f>$C83*INDEX(Curves!$G$8:$G$68,U$4-$B83+1)</f>
        <v/>
      </c>
      <c r="V83" s="56">
        <f>$C83*INDEX(Curves!$G$8:$G$68,V$4-$B83+1)</f>
        <v/>
      </c>
      <c r="W83" s="56">
        <f>$C83*INDEX(Curves!$G$8:$G$68,W$4-$B83+1)</f>
        <v/>
      </c>
      <c r="X83" s="56">
        <f>$C83*INDEX(Curves!$G$8:$G$68,X$4-$B83+1)</f>
        <v/>
      </c>
      <c r="Y83" s="56">
        <f>$C83*INDEX(Curves!$G$8:$G$68,Y$4-$B83+1)</f>
        <v/>
      </c>
      <c r="Z83" s="56">
        <f>$C83*INDEX(Curves!$G$8:$G$68,Z$4-$B83+1)</f>
        <v/>
      </c>
      <c r="AA83" s="56">
        <f>$C83*INDEX(Curves!$G$8:$G$68,AA$4-$B83+1)</f>
        <v/>
      </c>
      <c r="AB83" s="56">
        <f>$C83*INDEX(Curves!$G$8:$G$68,AB$4-$B83+1)</f>
        <v/>
      </c>
      <c r="AC83" s="56">
        <f>$C83*INDEX(Curves!$G$8:$G$68,AC$4-$B83+1)</f>
        <v/>
      </c>
      <c r="AD83" s="56">
        <f>$C83*INDEX(Curves!$G$8:$G$68,AD$4-$B83+1)</f>
        <v/>
      </c>
      <c r="AE83" s="56">
        <f>$C83*INDEX(Curves!$G$8:$G$68,AE$4-$B83+1)</f>
        <v/>
      </c>
      <c r="AF83" s="56">
        <f>$C83*INDEX(Curves!$G$8:$G$68,AF$4-$B83+1)</f>
        <v/>
      </c>
      <c r="AG83" s="56">
        <f>$C83*INDEX(Curves!$G$8:$G$68,AG$4-$B83+1)</f>
        <v/>
      </c>
      <c r="AH83" s="56">
        <f>$C83*INDEX(Curves!$G$8:$G$68,AH$4-$B83+1)</f>
        <v/>
      </c>
      <c r="AI83" s="56">
        <f>$C83*INDEX(Curves!$G$8:$G$68,AI$4-$B83+1)</f>
        <v/>
      </c>
      <c r="AJ83" s="56">
        <f>$C83*INDEX(Curves!$G$8:$G$68,AJ$4-$B83+1)</f>
        <v/>
      </c>
      <c r="AK83" s="56">
        <f>$C83*INDEX(Curves!$G$8:$G$68,AK$4-$B83+1)</f>
        <v/>
      </c>
      <c r="AL83" s="56">
        <f>$C83*INDEX(Curves!$G$8:$G$68,AL$4-$B83+1)</f>
        <v/>
      </c>
      <c r="AM83" s="56">
        <f>$C83*INDEX(Curves!$G$8:$G$68,AM$4-$B83+1)</f>
        <v/>
      </c>
      <c r="AN83" s="56">
        <f>$C83*INDEX(Curves!$G$8:$G$68,AN$4-$B83+1)</f>
        <v/>
      </c>
      <c r="AO83" s="56">
        <f>$C83*INDEX(Curves!$G$8:$G$68,AO$4-$B83+1)</f>
        <v/>
      </c>
      <c r="AP83" s="56">
        <f>$C83*INDEX(Curves!$G$8:$G$68,AP$4-$B83+1)</f>
        <v/>
      </c>
      <c r="AQ83" s="56">
        <f>$C83*INDEX(Curves!$G$8:$G$68,AQ$4-$B83+1)</f>
        <v/>
      </c>
      <c r="AR83" s="56">
        <f>$C83*INDEX(Curves!$G$8:$G$68,AR$4-$B83+1)</f>
        <v/>
      </c>
      <c r="AS83" s="56">
        <f>$C83*INDEX(Curves!$G$8:$G$68,AS$4-$B83+1)</f>
        <v/>
      </c>
      <c r="AT83" s="56">
        <f>$C83*INDEX(Curves!$G$8:$G$68,AT$4-$B83+1)</f>
        <v/>
      </c>
      <c r="AU83" s="56">
        <f>$C83*INDEX(Curves!$G$8:$G$68,AU$4-$B83+1)</f>
        <v/>
      </c>
      <c r="AV83" s="56">
        <f>$C83*INDEX(Curves!$G$8:$G$68,AV$4-$B83+1)</f>
        <v/>
      </c>
      <c r="AW83" s="56">
        <f>$C83*INDEX(Curves!$G$8:$G$68,AW$4-$B83+1)</f>
        <v/>
      </c>
      <c r="AX83" s="56">
        <f>$C83*INDEX(Curves!$G$8:$G$68,AX$4-$B83+1)</f>
        <v/>
      </c>
      <c r="AY83" s="56">
        <f>$C83*INDEX(Curves!$G$8:$G$68,AY$4-$B83+1)</f>
        <v/>
      </c>
      <c r="AZ83" s="56">
        <f>$C83*INDEX(Curves!$G$8:$G$68,AZ$4-$B83+1)</f>
        <v/>
      </c>
      <c r="BA83" s="56">
        <f>$C83*INDEX(Curves!$G$8:$G$68,BA$4-$B83+1)</f>
        <v/>
      </c>
      <c r="BB83" s="56">
        <f>$C83*INDEX(Curves!$G$8:$G$68,BB$4-$B83+1)</f>
        <v/>
      </c>
      <c r="BC83" s="56">
        <f>$C83*INDEX(Curves!$G$8:$G$68,BC$4-$B83+1)</f>
        <v/>
      </c>
      <c r="BD83" s="56">
        <f>$C83*INDEX(Curves!$G$8:$G$68,BD$4-$B83+1)</f>
        <v/>
      </c>
      <c r="BE83" s="56">
        <f>$C83*INDEX(Curves!$G$8:$G$68,BE$4-$B83+1)</f>
        <v/>
      </c>
      <c r="BF83" s="56">
        <f>$C83*INDEX(Curves!$G$8:$G$68,BF$4-$B83+1)</f>
        <v/>
      </c>
      <c r="BG83" s="56">
        <f>$C83*INDEX(Curves!$G$8:$G$68,BG$4-$B83+1)</f>
        <v/>
      </c>
      <c r="BH83" s="56">
        <f>$C83*INDEX(Curves!$G$8:$G$68,BH$4-$B83+1)</f>
        <v/>
      </c>
      <c r="BI83" s="56">
        <f>$C83*INDEX(Curves!$G$8:$G$68,BI$4-$B83+1)</f>
        <v/>
      </c>
      <c r="BJ83" s="56">
        <f>$C83*INDEX(Curves!$G$8:$G$68,BJ$4-$B83+1)</f>
        <v/>
      </c>
      <c r="BK83" s="56">
        <f>$C83*INDEX(Curves!$G$8:$G$68,BK$4-$B83+1)</f>
        <v/>
      </c>
      <c r="BL83" s="56">
        <f>$C83*INDEX(Curves!$G$8:$G$68,BL$4-$B83+1)</f>
        <v/>
      </c>
    </row>
    <row r="84">
      <c r="A84" s="55" t="inlineStr">
        <is>
          <t>Cohort month 12</t>
        </is>
      </c>
      <c r="B84" s="55" t="n">
        <v>12</v>
      </c>
      <c r="C84" s="46">
        <f>INDEX(Ops!$E$9:$BL$9,1,$B84)</f>
        <v/>
      </c>
      <c r="Q84" s="56">
        <f>$C84*INDEX(Curves!$G$8:$G$68,Q$4-$B84+1)</f>
        <v/>
      </c>
      <c r="R84" s="56">
        <f>$C84*INDEX(Curves!$G$8:$G$68,R$4-$B84+1)</f>
        <v/>
      </c>
      <c r="S84" s="56">
        <f>$C84*INDEX(Curves!$G$8:$G$68,S$4-$B84+1)</f>
        <v/>
      </c>
      <c r="T84" s="56">
        <f>$C84*INDEX(Curves!$G$8:$G$68,T$4-$B84+1)</f>
        <v/>
      </c>
      <c r="U84" s="56">
        <f>$C84*INDEX(Curves!$G$8:$G$68,U$4-$B84+1)</f>
        <v/>
      </c>
      <c r="V84" s="56">
        <f>$C84*INDEX(Curves!$G$8:$G$68,V$4-$B84+1)</f>
        <v/>
      </c>
      <c r="W84" s="56">
        <f>$C84*INDEX(Curves!$G$8:$G$68,W$4-$B84+1)</f>
        <v/>
      </c>
      <c r="X84" s="56">
        <f>$C84*INDEX(Curves!$G$8:$G$68,X$4-$B84+1)</f>
        <v/>
      </c>
      <c r="Y84" s="56">
        <f>$C84*INDEX(Curves!$G$8:$G$68,Y$4-$B84+1)</f>
        <v/>
      </c>
      <c r="Z84" s="56">
        <f>$C84*INDEX(Curves!$G$8:$G$68,Z$4-$B84+1)</f>
        <v/>
      </c>
      <c r="AA84" s="56">
        <f>$C84*INDEX(Curves!$G$8:$G$68,AA$4-$B84+1)</f>
        <v/>
      </c>
      <c r="AB84" s="56">
        <f>$C84*INDEX(Curves!$G$8:$G$68,AB$4-$B84+1)</f>
        <v/>
      </c>
      <c r="AC84" s="56">
        <f>$C84*INDEX(Curves!$G$8:$G$68,AC$4-$B84+1)</f>
        <v/>
      </c>
      <c r="AD84" s="56">
        <f>$C84*INDEX(Curves!$G$8:$G$68,AD$4-$B84+1)</f>
        <v/>
      </c>
      <c r="AE84" s="56">
        <f>$C84*INDEX(Curves!$G$8:$G$68,AE$4-$B84+1)</f>
        <v/>
      </c>
      <c r="AF84" s="56">
        <f>$C84*INDEX(Curves!$G$8:$G$68,AF$4-$B84+1)</f>
        <v/>
      </c>
      <c r="AG84" s="56">
        <f>$C84*INDEX(Curves!$G$8:$G$68,AG$4-$B84+1)</f>
        <v/>
      </c>
      <c r="AH84" s="56">
        <f>$C84*INDEX(Curves!$G$8:$G$68,AH$4-$B84+1)</f>
        <v/>
      </c>
      <c r="AI84" s="56">
        <f>$C84*INDEX(Curves!$G$8:$G$68,AI$4-$B84+1)</f>
        <v/>
      </c>
      <c r="AJ84" s="56">
        <f>$C84*INDEX(Curves!$G$8:$G$68,AJ$4-$B84+1)</f>
        <v/>
      </c>
      <c r="AK84" s="56">
        <f>$C84*INDEX(Curves!$G$8:$G$68,AK$4-$B84+1)</f>
        <v/>
      </c>
      <c r="AL84" s="56">
        <f>$C84*INDEX(Curves!$G$8:$G$68,AL$4-$B84+1)</f>
        <v/>
      </c>
      <c r="AM84" s="56">
        <f>$C84*INDEX(Curves!$G$8:$G$68,AM$4-$B84+1)</f>
        <v/>
      </c>
      <c r="AN84" s="56">
        <f>$C84*INDEX(Curves!$G$8:$G$68,AN$4-$B84+1)</f>
        <v/>
      </c>
      <c r="AO84" s="56">
        <f>$C84*INDEX(Curves!$G$8:$G$68,AO$4-$B84+1)</f>
        <v/>
      </c>
      <c r="AP84" s="56">
        <f>$C84*INDEX(Curves!$G$8:$G$68,AP$4-$B84+1)</f>
        <v/>
      </c>
      <c r="AQ84" s="56">
        <f>$C84*INDEX(Curves!$G$8:$G$68,AQ$4-$B84+1)</f>
        <v/>
      </c>
      <c r="AR84" s="56">
        <f>$C84*INDEX(Curves!$G$8:$G$68,AR$4-$B84+1)</f>
        <v/>
      </c>
      <c r="AS84" s="56">
        <f>$C84*INDEX(Curves!$G$8:$G$68,AS$4-$B84+1)</f>
        <v/>
      </c>
      <c r="AT84" s="56">
        <f>$C84*INDEX(Curves!$G$8:$G$68,AT$4-$B84+1)</f>
        <v/>
      </c>
      <c r="AU84" s="56">
        <f>$C84*INDEX(Curves!$G$8:$G$68,AU$4-$B84+1)</f>
        <v/>
      </c>
      <c r="AV84" s="56">
        <f>$C84*INDEX(Curves!$G$8:$G$68,AV$4-$B84+1)</f>
        <v/>
      </c>
      <c r="AW84" s="56">
        <f>$C84*INDEX(Curves!$G$8:$G$68,AW$4-$B84+1)</f>
        <v/>
      </c>
      <c r="AX84" s="56">
        <f>$C84*INDEX(Curves!$G$8:$G$68,AX$4-$B84+1)</f>
        <v/>
      </c>
      <c r="AY84" s="56">
        <f>$C84*INDEX(Curves!$G$8:$G$68,AY$4-$B84+1)</f>
        <v/>
      </c>
      <c r="AZ84" s="56">
        <f>$C84*INDEX(Curves!$G$8:$G$68,AZ$4-$B84+1)</f>
        <v/>
      </c>
      <c r="BA84" s="56">
        <f>$C84*INDEX(Curves!$G$8:$G$68,BA$4-$B84+1)</f>
        <v/>
      </c>
      <c r="BB84" s="56">
        <f>$C84*INDEX(Curves!$G$8:$G$68,BB$4-$B84+1)</f>
        <v/>
      </c>
      <c r="BC84" s="56">
        <f>$C84*INDEX(Curves!$G$8:$G$68,BC$4-$B84+1)</f>
        <v/>
      </c>
      <c r="BD84" s="56">
        <f>$C84*INDEX(Curves!$G$8:$G$68,BD$4-$B84+1)</f>
        <v/>
      </c>
      <c r="BE84" s="56">
        <f>$C84*INDEX(Curves!$G$8:$G$68,BE$4-$B84+1)</f>
        <v/>
      </c>
      <c r="BF84" s="56">
        <f>$C84*INDEX(Curves!$G$8:$G$68,BF$4-$B84+1)</f>
        <v/>
      </c>
      <c r="BG84" s="56">
        <f>$C84*INDEX(Curves!$G$8:$G$68,BG$4-$B84+1)</f>
        <v/>
      </c>
      <c r="BH84" s="56">
        <f>$C84*INDEX(Curves!$G$8:$G$68,BH$4-$B84+1)</f>
        <v/>
      </c>
      <c r="BI84" s="56">
        <f>$C84*INDEX(Curves!$G$8:$G$68,BI$4-$B84+1)</f>
        <v/>
      </c>
      <c r="BJ84" s="56">
        <f>$C84*INDEX(Curves!$G$8:$G$68,BJ$4-$B84+1)</f>
        <v/>
      </c>
      <c r="BK84" s="56">
        <f>$C84*INDEX(Curves!$G$8:$G$68,BK$4-$B84+1)</f>
        <v/>
      </c>
      <c r="BL84" s="56">
        <f>$C84*INDEX(Curves!$G$8:$G$68,BL$4-$B84+1)</f>
        <v/>
      </c>
    </row>
    <row r="85">
      <c r="A85" s="55" t="inlineStr">
        <is>
          <t>Cohort month 13</t>
        </is>
      </c>
      <c r="B85" s="55" t="n">
        <v>13</v>
      </c>
      <c r="C85" s="46">
        <f>INDEX(Ops!$E$9:$BL$9,1,$B85)</f>
        <v/>
      </c>
      <c r="R85" s="56">
        <f>$C85*INDEX(Curves!$G$8:$G$68,R$4-$B85+1)</f>
        <v/>
      </c>
      <c r="S85" s="56">
        <f>$C85*INDEX(Curves!$G$8:$G$68,S$4-$B85+1)</f>
        <v/>
      </c>
      <c r="T85" s="56">
        <f>$C85*INDEX(Curves!$G$8:$G$68,T$4-$B85+1)</f>
        <v/>
      </c>
      <c r="U85" s="56">
        <f>$C85*INDEX(Curves!$G$8:$G$68,U$4-$B85+1)</f>
        <v/>
      </c>
      <c r="V85" s="56">
        <f>$C85*INDEX(Curves!$G$8:$G$68,V$4-$B85+1)</f>
        <v/>
      </c>
      <c r="W85" s="56">
        <f>$C85*INDEX(Curves!$G$8:$G$68,W$4-$B85+1)</f>
        <v/>
      </c>
      <c r="X85" s="56">
        <f>$C85*INDEX(Curves!$G$8:$G$68,X$4-$B85+1)</f>
        <v/>
      </c>
      <c r="Y85" s="56">
        <f>$C85*INDEX(Curves!$G$8:$G$68,Y$4-$B85+1)</f>
        <v/>
      </c>
      <c r="Z85" s="56">
        <f>$C85*INDEX(Curves!$G$8:$G$68,Z$4-$B85+1)</f>
        <v/>
      </c>
      <c r="AA85" s="56">
        <f>$C85*INDEX(Curves!$G$8:$G$68,AA$4-$B85+1)</f>
        <v/>
      </c>
      <c r="AB85" s="56">
        <f>$C85*INDEX(Curves!$G$8:$G$68,AB$4-$B85+1)</f>
        <v/>
      </c>
      <c r="AC85" s="56">
        <f>$C85*INDEX(Curves!$G$8:$G$68,AC$4-$B85+1)</f>
        <v/>
      </c>
      <c r="AD85" s="56">
        <f>$C85*INDEX(Curves!$G$8:$G$68,AD$4-$B85+1)</f>
        <v/>
      </c>
      <c r="AE85" s="56">
        <f>$C85*INDEX(Curves!$G$8:$G$68,AE$4-$B85+1)</f>
        <v/>
      </c>
      <c r="AF85" s="56">
        <f>$C85*INDEX(Curves!$G$8:$G$68,AF$4-$B85+1)</f>
        <v/>
      </c>
      <c r="AG85" s="56">
        <f>$C85*INDEX(Curves!$G$8:$G$68,AG$4-$B85+1)</f>
        <v/>
      </c>
      <c r="AH85" s="56">
        <f>$C85*INDEX(Curves!$G$8:$G$68,AH$4-$B85+1)</f>
        <v/>
      </c>
      <c r="AI85" s="56">
        <f>$C85*INDEX(Curves!$G$8:$G$68,AI$4-$B85+1)</f>
        <v/>
      </c>
      <c r="AJ85" s="56">
        <f>$C85*INDEX(Curves!$G$8:$G$68,AJ$4-$B85+1)</f>
        <v/>
      </c>
      <c r="AK85" s="56">
        <f>$C85*INDEX(Curves!$G$8:$G$68,AK$4-$B85+1)</f>
        <v/>
      </c>
      <c r="AL85" s="56">
        <f>$C85*INDEX(Curves!$G$8:$G$68,AL$4-$B85+1)</f>
        <v/>
      </c>
      <c r="AM85" s="56">
        <f>$C85*INDEX(Curves!$G$8:$G$68,AM$4-$B85+1)</f>
        <v/>
      </c>
      <c r="AN85" s="56">
        <f>$C85*INDEX(Curves!$G$8:$G$68,AN$4-$B85+1)</f>
        <v/>
      </c>
      <c r="AO85" s="56">
        <f>$C85*INDEX(Curves!$G$8:$G$68,AO$4-$B85+1)</f>
        <v/>
      </c>
      <c r="AP85" s="56">
        <f>$C85*INDEX(Curves!$G$8:$G$68,AP$4-$B85+1)</f>
        <v/>
      </c>
      <c r="AQ85" s="56">
        <f>$C85*INDEX(Curves!$G$8:$G$68,AQ$4-$B85+1)</f>
        <v/>
      </c>
      <c r="AR85" s="56">
        <f>$C85*INDEX(Curves!$G$8:$G$68,AR$4-$B85+1)</f>
        <v/>
      </c>
      <c r="AS85" s="56">
        <f>$C85*INDEX(Curves!$G$8:$G$68,AS$4-$B85+1)</f>
        <v/>
      </c>
      <c r="AT85" s="56">
        <f>$C85*INDEX(Curves!$G$8:$G$68,AT$4-$B85+1)</f>
        <v/>
      </c>
      <c r="AU85" s="56">
        <f>$C85*INDEX(Curves!$G$8:$G$68,AU$4-$B85+1)</f>
        <v/>
      </c>
      <c r="AV85" s="56">
        <f>$C85*INDEX(Curves!$G$8:$G$68,AV$4-$B85+1)</f>
        <v/>
      </c>
      <c r="AW85" s="56">
        <f>$C85*INDEX(Curves!$G$8:$G$68,AW$4-$B85+1)</f>
        <v/>
      </c>
      <c r="AX85" s="56">
        <f>$C85*INDEX(Curves!$G$8:$G$68,AX$4-$B85+1)</f>
        <v/>
      </c>
      <c r="AY85" s="56">
        <f>$C85*INDEX(Curves!$G$8:$G$68,AY$4-$B85+1)</f>
        <v/>
      </c>
      <c r="AZ85" s="56">
        <f>$C85*INDEX(Curves!$G$8:$G$68,AZ$4-$B85+1)</f>
        <v/>
      </c>
      <c r="BA85" s="56">
        <f>$C85*INDEX(Curves!$G$8:$G$68,BA$4-$B85+1)</f>
        <v/>
      </c>
      <c r="BB85" s="56">
        <f>$C85*INDEX(Curves!$G$8:$G$68,BB$4-$B85+1)</f>
        <v/>
      </c>
      <c r="BC85" s="56">
        <f>$C85*INDEX(Curves!$G$8:$G$68,BC$4-$B85+1)</f>
        <v/>
      </c>
      <c r="BD85" s="56">
        <f>$C85*INDEX(Curves!$G$8:$G$68,BD$4-$B85+1)</f>
        <v/>
      </c>
      <c r="BE85" s="56">
        <f>$C85*INDEX(Curves!$G$8:$G$68,BE$4-$B85+1)</f>
        <v/>
      </c>
      <c r="BF85" s="56">
        <f>$C85*INDEX(Curves!$G$8:$G$68,BF$4-$B85+1)</f>
        <v/>
      </c>
      <c r="BG85" s="56">
        <f>$C85*INDEX(Curves!$G$8:$G$68,BG$4-$B85+1)</f>
        <v/>
      </c>
      <c r="BH85" s="56">
        <f>$C85*INDEX(Curves!$G$8:$G$68,BH$4-$B85+1)</f>
        <v/>
      </c>
      <c r="BI85" s="56">
        <f>$C85*INDEX(Curves!$G$8:$G$68,BI$4-$B85+1)</f>
        <v/>
      </c>
      <c r="BJ85" s="56">
        <f>$C85*INDEX(Curves!$G$8:$G$68,BJ$4-$B85+1)</f>
        <v/>
      </c>
      <c r="BK85" s="56">
        <f>$C85*INDEX(Curves!$G$8:$G$68,BK$4-$B85+1)</f>
        <v/>
      </c>
      <c r="BL85" s="56">
        <f>$C85*INDEX(Curves!$G$8:$G$68,BL$4-$B85+1)</f>
        <v/>
      </c>
    </row>
    <row r="86">
      <c r="A86" s="55" t="inlineStr">
        <is>
          <t>Cohort month 14</t>
        </is>
      </c>
      <c r="B86" s="55" t="n">
        <v>14</v>
      </c>
      <c r="C86" s="46">
        <f>INDEX(Ops!$E$9:$BL$9,1,$B86)</f>
        <v/>
      </c>
      <c r="S86" s="56">
        <f>$C86*INDEX(Curves!$G$8:$G$68,S$4-$B86+1)</f>
        <v/>
      </c>
      <c r="T86" s="56">
        <f>$C86*INDEX(Curves!$G$8:$G$68,T$4-$B86+1)</f>
        <v/>
      </c>
      <c r="U86" s="56">
        <f>$C86*INDEX(Curves!$G$8:$G$68,U$4-$B86+1)</f>
        <v/>
      </c>
      <c r="V86" s="56">
        <f>$C86*INDEX(Curves!$G$8:$G$68,V$4-$B86+1)</f>
        <v/>
      </c>
      <c r="W86" s="56">
        <f>$C86*INDEX(Curves!$G$8:$G$68,W$4-$B86+1)</f>
        <v/>
      </c>
      <c r="X86" s="56">
        <f>$C86*INDEX(Curves!$G$8:$G$68,X$4-$B86+1)</f>
        <v/>
      </c>
      <c r="Y86" s="56">
        <f>$C86*INDEX(Curves!$G$8:$G$68,Y$4-$B86+1)</f>
        <v/>
      </c>
      <c r="Z86" s="56">
        <f>$C86*INDEX(Curves!$G$8:$G$68,Z$4-$B86+1)</f>
        <v/>
      </c>
      <c r="AA86" s="56">
        <f>$C86*INDEX(Curves!$G$8:$G$68,AA$4-$B86+1)</f>
        <v/>
      </c>
      <c r="AB86" s="56">
        <f>$C86*INDEX(Curves!$G$8:$G$68,AB$4-$B86+1)</f>
        <v/>
      </c>
      <c r="AC86" s="56">
        <f>$C86*INDEX(Curves!$G$8:$G$68,AC$4-$B86+1)</f>
        <v/>
      </c>
      <c r="AD86" s="56">
        <f>$C86*INDEX(Curves!$G$8:$G$68,AD$4-$B86+1)</f>
        <v/>
      </c>
      <c r="AE86" s="56">
        <f>$C86*INDEX(Curves!$G$8:$G$68,AE$4-$B86+1)</f>
        <v/>
      </c>
      <c r="AF86" s="56">
        <f>$C86*INDEX(Curves!$G$8:$G$68,AF$4-$B86+1)</f>
        <v/>
      </c>
      <c r="AG86" s="56">
        <f>$C86*INDEX(Curves!$G$8:$G$68,AG$4-$B86+1)</f>
        <v/>
      </c>
      <c r="AH86" s="56">
        <f>$C86*INDEX(Curves!$G$8:$G$68,AH$4-$B86+1)</f>
        <v/>
      </c>
      <c r="AI86" s="56">
        <f>$C86*INDEX(Curves!$G$8:$G$68,AI$4-$B86+1)</f>
        <v/>
      </c>
      <c r="AJ86" s="56">
        <f>$C86*INDEX(Curves!$G$8:$G$68,AJ$4-$B86+1)</f>
        <v/>
      </c>
      <c r="AK86" s="56">
        <f>$C86*INDEX(Curves!$G$8:$G$68,AK$4-$B86+1)</f>
        <v/>
      </c>
      <c r="AL86" s="56">
        <f>$C86*INDEX(Curves!$G$8:$G$68,AL$4-$B86+1)</f>
        <v/>
      </c>
      <c r="AM86" s="56">
        <f>$C86*INDEX(Curves!$G$8:$G$68,AM$4-$B86+1)</f>
        <v/>
      </c>
      <c r="AN86" s="56">
        <f>$C86*INDEX(Curves!$G$8:$G$68,AN$4-$B86+1)</f>
        <v/>
      </c>
      <c r="AO86" s="56">
        <f>$C86*INDEX(Curves!$G$8:$G$68,AO$4-$B86+1)</f>
        <v/>
      </c>
      <c r="AP86" s="56">
        <f>$C86*INDEX(Curves!$G$8:$G$68,AP$4-$B86+1)</f>
        <v/>
      </c>
      <c r="AQ86" s="56">
        <f>$C86*INDEX(Curves!$G$8:$G$68,AQ$4-$B86+1)</f>
        <v/>
      </c>
      <c r="AR86" s="56">
        <f>$C86*INDEX(Curves!$G$8:$G$68,AR$4-$B86+1)</f>
        <v/>
      </c>
      <c r="AS86" s="56">
        <f>$C86*INDEX(Curves!$G$8:$G$68,AS$4-$B86+1)</f>
        <v/>
      </c>
      <c r="AT86" s="56">
        <f>$C86*INDEX(Curves!$G$8:$G$68,AT$4-$B86+1)</f>
        <v/>
      </c>
      <c r="AU86" s="56">
        <f>$C86*INDEX(Curves!$G$8:$G$68,AU$4-$B86+1)</f>
        <v/>
      </c>
      <c r="AV86" s="56">
        <f>$C86*INDEX(Curves!$G$8:$G$68,AV$4-$B86+1)</f>
        <v/>
      </c>
      <c r="AW86" s="56">
        <f>$C86*INDEX(Curves!$G$8:$G$68,AW$4-$B86+1)</f>
        <v/>
      </c>
      <c r="AX86" s="56">
        <f>$C86*INDEX(Curves!$G$8:$G$68,AX$4-$B86+1)</f>
        <v/>
      </c>
      <c r="AY86" s="56">
        <f>$C86*INDEX(Curves!$G$8:$G$68,AY$4-$B86+1)</f>
        <v/>
      </c>
      <c r="AZ86" s="56">
        <f>$C86*INDEX(Curves!$G$8:$G$68,AZ$4-$B86+1)</f>
        <v/>
      </c>
      <c r="BA86" s="56">
        <f>$C86*INDEX(Curves!$G$8:$G$68,BA$4-$B86+1)</f>
        <v/>
      </c>
      <c r="BB86" s="56">
        <f>$C86*INDEX(Curves!$G$8:$G$68,BB$4-$B86+1)</f>
        <v/>
      </c>
      <c r="BC86" s="56">
        <f>$C86*INDEX(Curves!$G$8:$G$68,BC$4-$B86+1)</f>
        <v/>
      </c>
      <c r="BD86" s="56">
        <f>$C86*INDEX(Curves!$G$8:$G$68,BD$4-$B86+1)</f>
        <v/>
      </c>
      <c r="BE86" s="56">
        <f>$C86*INDEX(Curves!$G$8:$G$68,BE$4-$B86+1)</f>
        <v/>
      </c>
      <c r="BF86" s="56">
        <f>$C86*INDEX(Curves!$G$8:$G$68,BF$4-$B86+1)</f>
        <v/>
      </c>
      <c r="BG86" s="56">
        <f>$C86*INDEX(Curves!$G$8:$G$68,BG$4-$B86+1)</f>
        <v/>
      </c>
      <c r="BH86" s="56">
        <f>$C86*INDEX(Curves!$G$8:$G$68,BH$4-$B86+1)</f>
        <v/>
      </c>
      <c r="BI86" s="56">
        <f>$C86*INDEX(Curves!$G$8:$G$68,BI$4-$B86+1)</f>
        <v/>
      </c>
      <c r="BJ86" s="56">
        <f>$C86*INDEX(Curves!$G$8:$G$68,BJ$4-$B86+1)</f>
        <v/>
      </c>
      <c r="BK86" s="56">
        <f>$C86*INDEX(Curves!$G$8:$G$68,BK$4-$B86+1)</f>
        <v/>
      </c>
      <c r="BL86" s="56">
        <f>$C86*INDEX(Curves!$G$8:$G$68,BL$4-$B86+1)</f>
        <v/>
      </c>
    </row>
    <row r="87">
      <c r="A87" s="55" t="inlineStr">
        <is>
          <t>Cohort month 15</t>
        </is>
      </c>
      <c r="B87" s="55" t="n">
        <v>15</v>
      </c>
      <c r="C87" s="46">
        <f>INDEX(Ops!$E$9:$BL$9,1,$B87)</f>
        <v/>
      </c>
      <c r="T87" s="56">
        <f>$C87*INDEX(Curves!$G$8:$G$68,T$4-$B87+1)</f>
        <v/>
      </c>
      <c r="U87" s="56">
        <f>$C87*INDEX(Curves!$G$8:$G$68,U$4-$B87+1)</f>
        <v/>
      </c>
      <c r="V87" s="56">
        <f>$C87*INDEX(Curves!$G$8:$G$68,V$4-$B87+1)</f>
        <v/>
      </c>
      <c r="W87" s="56">
        <f>$C87*INDEX(Curves!$G$8:$G$68,W$4-$B87+1)</f>
        <v/>
      </c>
      <c r="X87" s="56">
        <f>$C87*INDEX(Curves!$G$8:$G$68,X$4-$B87+1)</f>
        <v/>
      </c>
      <c r="Y87" s="56">
        <f>$C87*INDEX(Curves!$G$8:$G$68,Y$4-$B87+1)</f>
        <v/>
      </c>
      <c r="Z87" s="56">
        <f>$C87*INDEX(Curves!$G$8:$G$68,Z$4-$B87+1)</f>
        <v/>
      </c>
      <c r="AA87" s="56">
        <f>$C87*INDEX(Curves!$G$8:$G$68,AA$4-$B87+1)</f>
        <v/>
      </c>
      <c r="AB87" s="56">
        <f>$C87*INDEX(Curves!$G$8:$G$68,AB$4-$B87+1)</f>
        <v/>
      </c>
      <c r="AC87" s="56">
        <f>$C87*INDEX(Curves!$G$8:$G$68,AC$4-$B87+1)</f>
        <v/>
      </c>
      <c r="AD87" s="56">
        <f>$C87*INDEX(Curves!$G$8:$G$68,AD$4-$B87+1)</f>
        <v/>
      </c>
      <c r="AE87" s="56">
        <f>$C87*INDEX(Curves!$G$8:$G$68,AE$4-$B87+1)</f>
        <v/>
      </c>
      <c r="AF87" s="56">
        <f>$C87*INDEX(Curves!$G$8:$G$68,AF$4-$B87+1)</f>
        <v/>
      </c>
      <c r="AG87" s="56">
        <f>$C87*INDEX(Curves!$G$8:$G$68,AG$4-$B87+1)</f>
        <v/>
      </c>
      <c r="AH87" s="56">
        <f>$C87*INDEX(Curves!$G$8:$G$68,AH$4-$B87+1)</f>
        <v/>
      </c>
      <c r="AI87" s="56">
        <f>$C87*INDEX(Curves!$G$8:$G$68,AI$4-$B87+1)</f>
        <v/>
      </c>
      <c r="AJ87" s="56">
        <f>$C87*INDEX(Curves!$G$8:$G$68,AJ$4-$B87+1)</f>
        <v/>
      </c>
      <c r="AK87" s="56">
        <f>$C87*INDEX(Curves!$G$8:$G$68,AK$4-$B87+1)</f>
        <v/>
      </c>
      <c r="AL87" s="56">
        <f>$C87*INDEX(Curves!$G$8:$G$68,AL$4-$B87+1)</f>
        <v/>
      </c>
      <c r="AM87" s="56">
        <f>$C87*INDEX(Curves!$G$8:$G$68,AM$4-$B87+1)</f>
        <v/>
      </c>
      <c r="AN87" s="56">
        <f>$C87*INDEX(Curves!$G$8:$G$68,AN$4-$B87+1)</f>
        <v/>
      </c>
      <c r="AO87" s="56">
        <f>$C87*INDEX(Curves!$G$8:$G$68,AO$4-$B87+1)</f>
        <v/>
      </c>
      <c r="AP87" s="56">
        <f>$C87*INDEX(Curves!$G$8:$G$68,AP$4-$B87+1)</f>
        <v/>
      </c>
      <c r="AQ87" s="56">
        <f>$C87*INDEX(Curves!$G$8:$G$68,AQ$4-$B87+1)</f>
        <v/>
      </c>
      <c r="AR87" s="56">
        <f>$C87*INDEX(Curves!$G$8:$G$68,AR$4-$B87+1)</f>
        <v/>
      </c>
      <c r="AS87" s="56">
        <f>$C87*INDEX(Curves!$G$8:$G$68,AS$4-$B87+1)</f>
        <v/>
      </c>
      <c r="AT87" s="56">
        <f>$C87*INDEX(Curves!$G$8:$G$68,AT$4-$B87+1)</f>
        <v/>
      </c>
      <c r="AU87" s="56">
        <f>$C87*INDEX(Curves!$G$8:$G$68,AU$4-$B87+1)</f>
        <v/>
      </c>
      <c r="AV87" s="56">
        <f>$C87*INDEX(Curves!$G$8:$G$68,AV$4-$B87+1)</f>
        <v/>
      </c>
      <c r="AW87" s="56">
        <f>$C87*INDEX(Curves!$G$8:$G$68,AW$4-$B87+1)</f>
        <v/>
      </c>
      <c r="AX87" s="56">
        <f>$C87*INDEX(Curves!$G$8:$G$68,AX$4-$B87+1)</f>
        <v/>
      </c>
      <c r="AY87" s="56">
        <f>$C87*INDEX(Curves!$G$8:$G$68,AY$4-$B87+1)</f>
        <v/>
      </c>
      <c r="AZ87" s="56">
        <f>$C87*INDEX(Curves!$G$8:$G$68,AZ$4-$B87+1)</f>
        <v/>
      </c>
      <c r="BA87" s="56">
        <f>$C87*INDEX(Curves!$G$8:$G$68,BA$4-$B87+1)</f>
        <v/>
      </c>
      <c r="BB87" s="56">
        <f>$C87*INDEX(Curves!$G$8:$G$68,BB$4-$B87+1)</f>
        <v/>
      </c>
      <c r="BC87" s="56">
        <f>$C87*INDEX(Curves!$G$8:$G$68,BC$4-$B87+1)</f>
        <v/>
      </c>
      <c r="BD87" s="56">
        <f>$C87*INDEX(Curves!$G$8:$G$68,BD$4-$B87+1)</f>
        <v/>
      </c>
      <c r="BE87" s="56">
        <f>$C87*INDEX(Curves!$G$8:$G$68,BE$4-$B87+1)</f>
        <v/>
      </c>
      <c r="BF87" s="56">
        <f>$C87*INDEX(Curves!$G$8:$G$68,BF$4-$B87+1)</f>
        <v/>
      </c>
      <c r="BG87" s="56">
        <f>$C87*INDEX(Curves!$G$8:$G$68,BG$4-$B87+1)</f>
        <v/>
      </c>
      <c r="BH87" s="56">
        <f>$C87*INDEX(Curves!$G$8:$G$68,BH$4-$B87+1)</f>
        <v/>
      </c>
      <c r="BI87" s="56">
        <f>$C87*INDEX(Curves!$G$8:$G$68,BI$4-$B87+1)</f>
        <v/>
      </c>
      <c r="BJ87" s="56">
        <f>$C87*INDEX(Curves!$G$8:$G$68,BJ$4-$B87+1)</f>
        <v/>
      </c>
      <c r="BK87" s="56">
        <f>$C87*INDEX(Curves!$G$8:$G$68,BK$4-$B87+1)</f>
        <v/>
      </c>
      <c r="BL87" s="56">
        <f>$C87*INDEX(Curves!$G$8:$G$68,BL$4-$B87+1)</f>
        <v/>
      </c>
    </row>
    <row r="88">
      <c r="A88" s="55" t="inlineStr">
        <is>
          <t>Cohort month 16</t>
        </is>
      </c>
      <c r="B88" s="55" t="n">
        <v>16</v>
      </c>
      <c r="C88" s="46">
        <f>INDEX(Ops!$E$9:$BL$9,1,$B88)</f>
        <v/>
      </c>
      <c r="U88" s="56">
        <f>$C88*INDEX(Curves!$G$8:$G$68,U$4-$B88+1)</f>
        <v/>
      </c>
      <c r="V88" s="56">
        <f>$C88*INDEX(Curves!$G$8:$G$68,V$4-$B88+1)</f>
        <v/>
      </c>
      <c r="W88" s="56">
        <f>$C88*INDEX(Curves!$G$8:$G$68,W$4-$B88+1)</f>
        <v/>
      </c>
      <c r="X88" s="56">
        <f>$C88*INDEX(Curves!$G$8:$G$68,X$4-$B88+1)</f>
        <v/>
      </c>
      <c r="Y88" s="56">
        <f>$C88*INDEX(Curves!$G$8:$G$68,Y$4-$B88+1)</f>
        <v/>
      </c>
      <c r="Z88" s="56">
        <f>$C88*INDEX(Curves!$G$8:$G$68,Z$4-$B88+1)</f>
        <v/>
      </c>
      <c r="AA88" s="56">
        <f>$C88*INDEX(Curves!$G$8:$G$68,AA$4-$B88+1)</f>
        <v/>
      </c>
      <c r="AB88" s="56">
        <f>$C88*INDEX(Curves!$G$8:$G$68,AB$4-$B88+1)</f>
        <v/>
      </c>
      <c r="AC88" s="56">
        <f>$C88*INDEX(Curves!$G$8:$G$68,AC$4-$B88+1)</f>
        <v/>
      </c>
      <c r="AD88" s="56">
        <f>$C88*INDEX(Curves!$G$8:$G$68,AD$4-$B88+1)</f>
        <v/>
      </c>
      <c r="AE88" s="56">
        <f>$C88*INDEX(Curves!$G$8:$G$68,AE$4-$B88+1)</f>
        <v/>
      </c>
      <c r="AF88" s="56">
        <f>$C88*INDEX(Curves!$G$8:$G$68,AF$4-$B88+1)</f>
        <v/>
      </c>
      <c r="AG88" s="56">
        <f>$C88*INDEX(Curves!$G$8:$G$68,AG$4-$B88+1)</f>
        <v/>
      </c>
      <c r="AH88" s="56">
        <f>$C88*INDEX(Curves!$G$8:$G$68,AH$4-$B88+1)</f>
        <v/>
      </c>
      <c r="AI88" s="56">
        <f>$C88*INDEX(Curves!$G$8:$G$68,AI$4-$B88+1)</f>
        <v/>
      </c>
      <c r="AJ88" s="56">
        <f>$C88*INDEX(Curves!$G$8:$G$68,AJ$4-$B88+1)</f>
        <v/>
      </c>
      <c r="AK88" s="56">
        <f>$C88*INDEX(Curves!$G$8:$G$68,AK$4-$B88+1)</f>
        <v/>
      </c>
      <c r="AL88" s="56">
        <f>$C88*INDEX(Curves!$G$8:$G$68,AL$4-$B88+1)</f>
        <v/>
      </c>
      <c r="AM88" s="56">
        <f>$C88*INDEX(Curves!$G$8:$G$68,AM$4-$B88+1)</f>
        <v/>
      </c>
      <c r="AN88" s="56">
        <f>$C88*INDEX(Curves!$G$8:$G$68,AN$4-$B88+1)</f>
        <v/>
      </c>
      <c r="AO88" s="56">
        <f>$C88*INDEX(Curves!$G$8:$G$68,AO$4-$B88+1)</f>
        <v/>
      </c>
      <c r="AP88" s="56">
        <f>$C88*INDEX(Curves!$G$8:$G$68,AP$4-$B88+1)</f>
        <v/>
      </c>
      <c r="AQ88" s="56">
        <f>$C88*INDEX(Curves!$G$8:$G$68,AQ$4-$B88+1)</f>
        <v/>
      </c>
      <c r="AR88" s="56">
        <f>$C88*INDEX(Curves!$G$8:$G$68,AR$4-$B88+1)</f>
        <v/>
      </c>
      <c r="AS88" s="56">
        <f>$C88*INDEX(Curves!$G$8:$G$68,AS$4-$B88+1)</f>
        <v/>
      </c>
      <c r="AT88" s="56">
        <f>$C88*INDEX(Curves!$G$8:$G$68,AT$4-$B88+1)</f>
        <v/>
      </c>
      <c r="AU88" s="56">
        <f>$C88*INDEX(Curves!$G$8:$G$68,AU$4-$B88+1)</f>
        <v/>
      </c>
      <c r="AV88" s="56">
        <f>$C88*INDEX(Curves!$G$8:$G$68,AV$4-$B88+1)</f>
        <v/>
      </c>
      <c r="AW88" s="56">
        <f>$C88*INDEX(Curves!$G$8:$G$68,AW$4-$B88+1)</f>
        <v/>
      </c>
      <c r="AX88" s="56">
        <f>$C88*INDEX(Curves!$G$8:$G$68,AX$4-$B88+1)</f>
        <v/>
      </c>
      <c r="AY88" s="56">
        <f>$C88*INDEX(Curves!$G$8:$G$68,AY$4-$B88+1)</f>
        <v/>
      </c>
      <c r="AZ88" s="56">
        <f>$C88*INDEX(Curves!$G$8:$G$68,AZ$4-$B88+1)</f>
        <v/>
      </c>
      <c r="BA88" s="56">
        <f>$C88*INDEX(Curves!$G$8:$G$68,BA$4-$B88+1)</f>
        <v/>
      </c>
      <c r="BB88" s="56">
        <f>$C88*INDEX(Curves!$G$8:$G$68,BB$4-$B88+1)</f>
        <v/>
      </c>
      <c r="BC88" s="56">
        <f>$C88*INDEX(Curves!$G$8:$G$68,BC$4-$B88+1)</f>
        <v/>
      </c>
      <c r="BD88" s="56">
        <f>$C88*INDEX(Curves!$G$8:$G$68,BD$4-$B88+1)</f>
        <v/>
      </c>
      <c r="BE88" s="56">
        <f>$C88*INDEX(Curves!$G$8:$G$68,BE$4-$B88+1)</f>
        <v/>
      </c>
      <c r="BF88" s="56">
        <f>$C88*INDEX(Curves!$G$8:$G$68,BF$4-$B88+1)</f>
        <v/>
      </c>
      <c r="BG88" s="56">
        <f>$C88*INDEX(Curves!$G$8:$G$68,BG$4-$B88+1)</f>
        <v/>
      </c>
      <c r="BH88" s="56">
        <f>$C88*INDEX(Curves!$G$8:$G$68,BH$4-$B88+1)</f>
        <v/>
      </c>
      <c r="BI88" s="56">
        <f>$C88*INDEX(Curves!$G$8:$G$68,BI$4-$B88+1)</f>
        <v/>
      </c>
      <c r="BJ88" s="56">
        <f>$C88*INDEX(Curves!$G$8:$G$68,BJ$4-$B88+1)</f>
        <v/>
      </c>
      <c r="BK88" s="56">
        <f>$C88*INDEX(Curves!$G$8:$G$68,BK$4-$B88+1)</f>
        <v/>
      </c>
      <c r="BL88" s="56">
        <f>$C88*INDEX(Curves!$G$8:$G$68,BL$4-$B88+1)</f>
        <v/>
      </c>
    </row>
    <row r="89">
      <c r="A89" s="55" t="inlineStr">
        <is>
          <t>Cohort month 17</t>
        </is>
      </c>
      <c r="B89" s="55" t="n">
        <v>17</v>
      </c>
      <c r="C89" s="46">
        <f>INDEX(Ops!$E$9:$BL$9,1,$B89)</f>
        <v/>
      </c>
      <c r="V89" s="56">
        <f>$C89*INDEX(Curves!$G$8:$G$68,V$4-$B89+1)</f>
        <v/>
      </c>
      <c r="W89" s="56">
        <f>$C89*INDEX(Curves!$G$8:$G$68,W$4-$B89+1)</f>
        <v/>
      </c>
      <c r="X89" s="56">
        <f>$C89*INDEX(Curves!$G$8:$G$68,X$4-$B89+1)</f>
        <v/>
      </c>
      <c r="Y89" s="56">
        <f>$C89*INDEX(Curves!$G$8:$G$68,Y$4-$B89+1)</f>
        <v/>
      </c>
      <c r="Z89" s="56">
        <f>$C89*INDEX(Curves!$G$8:$G$68,Z$4-$B89+1)</f>
        <v/>
      </c>
      <c r="AA89" s="56">
        <f>$C89*INDEX(Curves!$G$8:$G$68,AA$4-$B89+1)</f>
        <v/>
      </c>
      <c r="AB89" s="56">
        <f>$C89*INDEX(Curves!$G$8:$G$68,AB$4-$B89+1)</f>
        <v/>
      </c>
      <c r="AC89" s="56">
        <f>$C89*INDEX(Curves!$G$8:$G$68,AC$4-$B89+1)</f>
        <v/>
      </c>
      <c r="AD89" s="56">
        <f>$C89*INDEX(Curves!$G$8:$G$68,AD$4-$B89+1)</f>
        <v/>
      </c>
      <c r="AE89" s="56">
        <f>$C89*INDEX(Curves!$G$8:$G$68,AE$4-$B89+1)</f>
        <v/>
      </c>
      <c r="AF89" s="56">
        <f>$C89*INDEX(Curves!$G$8:$G$68,AF$4-$B89+1)</f>
        <v/>
      </c>
      <c r="AG89" s="56">
        <f>$C89*INDEX(Curves!$G$8:$G$68,AG$4-$B89+1)</f>
        <v/>
      </c>
      <c r="AH89" s="56">
        <f>$C89*INDEX(Curves!$G$8:$G$68,AH$4-$B89+1)</f>
        <v/>
      </c>
      <c r="AI89" s="56">
        <f>$C89*INDEX(Curves!$G$8:$G$68,AI$4-$B89+1)</f>
        <v/>
      </c>
      <c r="AJ89" s="56">
        <f>$C89*INDEX(Curves!$G$8:$G$68,AJ$4-$B89+1)</f>
        <v/>
      </c>
      <c r="AK89" s="56">
        <f>$C89*INDEX(Curves!$G$8:$G$68,AK$4-$B89+1)</f>
        <v/>
      </c>
      <c r="AL89" s="56">
        <f>$C89*INDEX(Curves!$G$8:$G$68,AL$4-$B89+1)</f>
        <v/>
      </c>
      <c r="AM89" s="56">
        <f>$C89*INDEX(Curves!$G$8:$G$68,AM$4-$B89+1)</f>
        <v/>
      </c>
      <c r="AN89" s="56">
        <f>$C89*INDEX(Curves!$G$8:$G$68,AN$4-$B89+1)</f>
        <v/>
      </c>
      <c r="AO89" s="56">
        <f>$C89*INDEX(Curves!$G$8:$G$68,AO$4-$B89+1)</f>
        <v/>
      </c>
      <c r="AP89" s="56">
        <f>$C89*INDEX(Curves!$G$8:$G$68,AP$4-$B89+1)</f>
        <v/>
      </c>
      <c r="AQ89" s="56">
        <f>$C89*INDEX(Curves!$G$8:$G$68,AQ$4-$B89+1)</f>
        <v/>
      </c>
      <c r="AR89" s="56">
        <f>$C89*INDEX(Curves!$G$8:$G$68,AR$4-$B89+1)</f>
        <v/>
      </c>
      <c r="AS89" s="56">
        <f>$C89*INDEX(Curves!$G$8:$G$68,AS$4-$B89+1)</f>
        <v/>
      </c>
      <c r="AT89" s="56">
        <f>$C89*INDEX(Curves!$G$8:$G$68,AT$4-$B89+1)</f>
        <v/>
      </c>
      <c r="AU89" s="56">
        <f>$C89*INDEX(Curves!$G$8:$G$68,AU$4-$B89+1)</f>
        <v/>
      </c>
      <c r="AV89" s="56">
        <f>$C89*INDEX(Curves!$G$8:$G$68,AV$4-$B89+1)</f>
        <v/>
      </c>
      <c r="AW89" s="56">
        <f>$C89*INDEX(Curves!$G$8:$G$68,AW$4-$B89+1)</f>
        <v/>
      </c>
      <c r="AX89" s="56">
        <f>$C89*INDEX(Curves!$G$8:$G$68,AX$4-$B89+1)</f>
        <v/>
      </c>
      <c r="AY89" s="56">
        <f>$C89*INDEX(Curves!$G$8:$G$68,AY$4-$B89+1)</f>
        <v/>
      </c>
      <c r="AZ89" s="56">
        <f>$C89*INDEX(Curves!$G$8:$G$68,AZ$4-$B89+1)</f>
        <v/>
      </c>
      <c r="BA89" s="56">
        <f>$C89*INDEX(Curves!$G$8:$G$68,BA$4-$B89+1)</f>
        <v/>
      </c>
      <c r="BB89" s="56">
        <f>$C89*INDEX(Curves!$G$8:$G$68,BB$4-$B89+1)</f>
        <v/>
      </c>
      <c r="BC89" s="56">
        <f>$C89*INDEX(Curves!$G$8:$G$68,BC$4-$B89+1)</f>
        <v/>
      </c>
      <c r="BD89" s="56">
        <f>$C89*INDEX(Curves!$G$8:$G$68,BD$4-$B89+1)</f>
        <v/>
      </c>
      <c r="BE89" s="56">
        <f>$C89*INDEX(Curves!$G$8:$G$68,BE$4-$B89+1)</f>
        <v/>
      </c>
      <c r="BF89" s="56">
        <f>$C89*INDEX(Curves!$G$8:$G$68,BF$4-$B89+1)</f>
        <v/>
      </c>
      <c r="BG89" s="56">
        <f>$C89*INDEX(Curves!$G$8:$G$68,BG$4-$B89+1)</f>
        <v/>
      </c>
      <c r="BH89" s="56">
        <f>$C89*INDEX(Curves!$G$8:$G$68,BH$4-$B89+1)</f>
        <v/>
      </c>
      <c r="BI89" s="56">
        <f>$C89*INDEX(Curves!$G$8:$G$68,BI$4-$B89+1)</f>
        <v/>
      </c>
      <c r="BJ89" s="56">
        <f>$C89*INDEX(Curves!$G$8:$G$68,BJ$4-$B89+1)</f>
        <v/>
      </c>
      <c r="BK89" s="56">
        <f>$C89*INDEX(Curves!$G$8:$G$68,BK$4-$B89+1)</f>
        <v/>
      </c>
      <c r="BL89" s="56">
        <f>$C89*INDEX(Curves!$G$8:$G$68,BL$4-$B89+1)</f>
        <v/>
      </c>
    </row>
    <row r="90">
      <c r="A90" s="55" t="inlineStr">
        <is>
          <t>Cohort month 18</t>
        </is>
      </c>
      <c r="B90" s="55" t="n">
        <v>18</v>
      </c>
      <c r="C90" s="46">
        <f>INDEX(Ops!$E$9:$BL$9,1,$B90)</f>
        <v/>
      </c>
      <c r="W90" s="56">
        <f>$C90*INDEX(Curves!$G$8:$G$68,W$4-$B90+1)</f>
        <v/>
      </c>
      <c r="X90" s="56">
        <f>$C90*INDEX(Curves!$G$8:$G$68,X$4-$B90+1)</f>
        <v/>
      </c>
      <c r="Y90" s="56">
        <f>$C90*INDEX(Curves!$G$8:$G$68,Y$4-$B90+1)</f>
        <v/>
      </c>
      <c r="Z90" s="56">
        <f>$C90*INDEX(Curves!$G$8:$G$68,Z$4-$B90+1)</f>
        <v/>
      </c>
      <c r="AA90" s="56">
        <f>$C90*INDEX(Curves!$G$8:$G$68,AA$4-$B90+1)</f>
        <v/>
      </c>
      <c r="AB90" s="56">
        <f>$C90*INDEX(Curves!$G$8:$G$68,AB$4-$B90+1)</f>
        <v/>
      </c>
      <c r="AC90" s="56">
        <f>$C90*INDEX(Curves!$G$8:$G$68,AC$4-$B90+1)</f>
        <v/>
      </c>
      <c r="AD90" s="56">
        <f>$C90*INDEX(Curves!$G$8:$G$68,AD$4-$B90+1)</f>
        <v/>
      </c>
      <c r="AE90" s="56">
        <f>$C90*INDEX(Curves!$G$8:$G$68,AE$4-$B90+1)</f>
        <v/>
      </c>
      <c r="AF90" s="56">
        <f>$C90*INDEX(Curves!$G$8:$G$68,AF$4-$B90+1)</f>
        <v/>
      </c>
      <c r="AG90" s="56">
        <f>$C90*INDEX(Curves!$G$8:$G$68,AG$4-$B90+1)</f>
        <v/>
      </c>
      <c r="AH90" s="56">
        <f>$C90*INDEX(Curves!$G$8:$G$68,AH$4-$B90+1)</f>
        <v/>
      </c>
      <c r="AI90" s="56">
        <f>$C90*INDEX(Curves!$G$8:$G$68,AI$4-$B90+1)</f>
        <v/>
      </c>
      <c r="AJ90" s="56">
        <f>$C90*INDEX(Curves!$G$8:$G$68,AJ$4-$B90+1)</f>
        <v/>
      </c>
      <c r="AK90" s="56">
        <f>$C90*INDEX(Curves!$G$8:$G$68,AK$4-$B90+1)</f>
        <v/>
      </c>
      <c r="AL90" s="56">
        <f>$C90*INDEX(Curves!$G$8:$G$68,AL$4-$B90+1)</f>
        <v/>
      </c>
      <c r="AM90" s="56">
        <f>$C90*INDEX(Curves!$G$8:$G$68,AM$4-$B90+1)</f>
        <v/>
      </c>
      <c r="AN90" s="56">
        <f>$C90*INDEX(Curves!$G$8:$G$68,AN$4-$B90+1)</f>
        <v/>
      </c>
      <c r="AO90" s="56">
        <f>$C90*INDEX(Curves!$G$8:$G$68,AO$4-$B90+1)</f>
        <v/>
      </c>
      <c r="AP90" s="56">
        <f>$C90*INDEX(Curves!$G$8:$G$68,AP$4-$B90+1)</f>
        <v/>
      </c>
      <c r="AQ90" s="56">
        <f>$C90*INDEX(Curves!$G$8:$G$68,AQ$4-$B90+1)</f>
        <v/>
      </c>
      <c r="AR90" s="56">
        <f>$C90*INDEX(Curves!$G$8:$G$68,AR$4-$B90+1)</f>
        <v/>
      </c>
      <c r="AS90" s="56">
        <f>$C90*INDEX(Curves!$G$8:$G$68,AS$4-$B90+1)</f>
        <v/>
      </c>
      <c r="AT90" s="56">
        <f>$C90*INDEX(Curves!$G$8:$G$68,AT$4-$B90+1)</f>
        <v/>
      </c>
      <c r="AU90" s="56">
        <f>$C90*INDEX(Curves!$G$8:$G$68,AU$4-$B90+1)</f>
        <v/>
      </c>
      <c r="AV90" s="56">
        <f>$C90*INDEX(Curves!$G$8:$G$68,AV$4-$B90+1)</f>
        <v/>
      </c>
      <c r="AW90" s="56">
        <f>$C90*INDEX(Curves!$G$8:$G$68,AW$4-$B90+1)</f>
        <v/>
      </c>
      <c r="AX90" s="56">
        <f>$C90*INDEX(Curves!$G$8:$G$68,AX$4-$B90+1)</f>
        <v/>
      </c>
      <c r="AY90" s="56">
        <f>$C90*INDEX(Curves!$G$8:$G$68,AY$4-$B90+1)</f>
        <v/>
      </c>
      <c r="AZ90" s="56">
        <f>$C90*INDEX(Curves!$G$8:$G$68,AZ$4-$B90+1)</f>
        <v/>
      </c>
      <c r="BA90" s="56">
        <f>$C90*INDEX(Curves!$G$8:$G$68,BA$4-$B90+1)</f>
        <v/>
      </c>
      <c r="BB90" s="56">
        <f>$C90*INDEX(Curves!$G$8:$G$68,BB$4-$B90+1)</f>
        <v/>
      </c>
      <c r="BC90" s="56">
        <f>$C90*INDEX(Curves!$G$8:$G$68,BC$4-$B90+1)</f>
        <v/>
      </c>
      <c r="BD90" s="56">
        <f>$C90*INDEX(Curves!$G$8:$G$68,BD$4-$B90+1)</f>
        <v/>
      </c>
      <c r="BE90" s="56">
        <f>$C90*INDEX(Curves!$G$8:$G$68,BE$4-$B90+1)</f>
        <v/>
      </c>
      <c r="BF90" s="56">
        <f>$C90*INDEX(Curves!$G$8:$G$68,BF$4-$B90+1)</f>
        <v/>
      </c>
      <c r="BG90" s="56">
        <f>$C90*INDEX(Curves!$G$8:$G$68,BG$4-$B90+1)</f>
        <v/>
      </c>
      <c r="BH90" s="56">
        <f>$C90*INDEX(Curves!$G$8:$G$68,BH$4-$B90+1)</f>
        <v/>
      </c>
      <c r="BI90" s="56">
        <f>$C90*INDEX(Curves!$G$8:$G$68,BI$4-$B90+1)</f>
        <v/>
      </c>
      <c r="BJ90" s="56">
        <f>$C90*INDEX(Curves!$G$8:$G$68,BJ$4-$B90+1)</f>
        <v/>
      </c>
      <c r="BK90" s="56">
        <f>$C90*INDEX(Curves!$G$8:$G$68,BK$4-$B90+1)</f>
        <v/>
      </c>
      <c r="BL90" s="56">
        <f>$C90*INDEX(Curves!$G$8:$G$68,BL$4-$B90+1)</f>
        <v/>
      </c>
    </row>
    <row r="91">
      <c r="A91" s="55" t="inlineStr">
        <is>
          <t>Cohort month 19</t>
        </is>
      </c>
      <c r="B91" s="55" t="n">
        <v>19</v>
      </c>
      <c r="C91" s="46">
        <f>INDEX(Ops!$E$9:$BL$9,1,$B91)</f>
        <v/>
      </c>
      <c r="X91" s="56">
        <f>$C91*INDEX(Curves!$G$8:$G$68,X$4-$B91+1)</f>
        <v/>
      </c>
      <c r="Y91" s="56">
        <f>$C91*INDEX(Curves!$G$8:$G$68,Y$4-$B91+1)</f>
        <v/>
      </c>
      <c r="Z91" s="56">
        <f>$C91*INDEX(Curves!$G$8:$G$68,Z$4-$B91+1)</f>
        <v/>
      </c>
      <c r="AA91" s="56">
        <f>$C91*INDEX(Curves!$G$8:$G$68,AA$4-$B91+1)</f>
        <v/>
      </c>
      <c r="AB91" s="56">
        <f>$C91*INDEX(Curves!$G$8:$G$68,AB$4-$B91+1)</f>
        <v/>
      </c>
      <c r="AC91" s="56">
        <f>$C91*INDEX(Curves!$G$8:$G$68,AC$4-$B91+1)</f>
        <v/>
      </c>
      <c r="AD91" s="56">
        <f>$C91*INDEX(Curves!$G$8:$G$68,AD$4-$B91+1)</f>
        <v/>
      </c>
      <c r="AE91" s="56">
        <f>$C91*INDEX(Curves!$G$8:$G$68,AE$4-$B91+1)</f>
        <v/>
      </c>
      <c r="AF91" s="56">
        <f>$C91*INDEX(Curves!$G$8:$G$68,AF$4-$B91+1)</f>
        <v/>
      </c>
      <c r="AG91" s="56">
        <f>$C91*INDEX(Curves!$G$8:$G$68,AG$4-$B91+1)</f>
        <v/>
      </c>
      <c r="AH91" s="56">
        <f>$C91*INDEX(Curves!$G$8:$G$68,AH$4-$B91+1)</f>
        <v/>
      </c>
      <c r="AI91" s="56">
        <f>$C91*INDEX(Curves!$G$8:$G$68,AI$4-$B91+1)</f>
        <v/>
      </c>
      <c r="AJ91" s="56">
        <f>$C91*INDEX(Curves!$G$8:$G$68,AJ$4-$B91+1)</f>
        <v/>
      </c>
      <c r="AK91" s="56">
        <f>$C91*INDEX(Curves!$G$8:$G$68,AK$4-$B91+1)</f>
        <v/>
      </c>
      <c r="AL91" s="56">
        <f>$C91*INDEX(Curves!$G$8:$G$68,AL$4-$B91+1)</f>
        <v/>
      </c>
      <c r="AM91" s="56">
        <f>$C91*INDEX(Curves!$G$8:$G$68,AM$4-$B91+1)</f>
        <v/>
      </c>
      <c r="AN91" s="56">
        <f>$C91*INDEX(Curves!$G$8:$G$68,AN$4-$B91+1)</f>
        <v/>
      </c>
      <c r="AO91" s="56">
        <f>$C91*INDEX(Curves!$G$8:$G$68,AO$4-$B91+1)</f>
        <v/>
      </c>
      <c r="AP91" s="56">
        <f>$C91*INDEX(Curves!$G$8:$G$68,AP$4-$B91+1)</f>
        <v/>
      </c>
      <c r="AQ91" s="56">
        <f>$C91*INDEX(Curves!$G$8:$G$68,AQ$4-$B91+1)</f>
        <v/>
      </c>
      <c r="AR91" s="56">
        <f>$C91*INDEX(Curves!$G$8:$G$68,AR$4-$B91+1)</f>
        <v/>
      </c>
      <c r="AS91" s="56">
        <f>$C91*INDEX(Curves!$G$8:$G$68,AS$4-$B91+1)</f>
        <v/>
      </c>
      <c r="AT91" s="56">
        <f>$C91*INDEX(Curves!$G$8:$G$68,AT$4-$B91+1)</f>
        <v/>
      </c>
      <c r="AU91" s="56">
        <f>$C91*INDEX(Curves!$G$8:$G$68,AU$4-$B91+1)</f>
        <v/>
      </c>
      <c r="AV91" s="56">
        <f>$C91*INDEX(Curves!$G$8:$G$68,AV$4-$B91+1)</f>
        <v/>
      </c>
      <c r="AW91" s="56">
        <f>$C91*INDEX(Curves!$G$8:$G$68,AW$4-$B91+1)</f>
        <v/>
      </c>
      <c r="AX91" s="56">
        <f>$C91*INDEX(Curves!$G$8:$G$68,AX$4-$B91+1)</f>
        <v/>
      </c>
      <c r="AY91" s="56">
        <f>$C91*INDEX(Curves!$G$8:$G$68,AY$4-$B91+1)</f>
        <v/>
      </c>
      <c r="AZ91" s="56">
        <f>$C91*INDEX(Curves!$G$8:$G$68,AZ$4-$B91+1)</f>
        <v/>
      </c>
      <c r="BA91" s="56">
        <f>$C91*INDEX(Curves!$G$8:$G$68,BA$4-$B91+1)</f>
        <v/>
      </c>
      <c r="BB91" s="56">
        <f>$C91*INDEX(Curves!$G$8:$G$68,BB$4-$B91+1)</f>
        <v/>
      </c>
      <c r="BC91" s="56">
        <f>$C91*INDEX(Curves!$G$8:$G$68,BC$4-$B91+1)</f>
        <v/>
      </c>
      <c r="BD91" s="56">
        <f>$C91*INDEX(Curves!$G$8:$G$68,BD$4-$B91+1)</f>
        <v/>
      </c>
      <c r="BE91" s="56">
        <f>$C91*INDEX(Curves!$G$8:$G$68,BE$4-$B91+1)</f>
        <v/>
      </c>
      <c r="BF91" s="56">
        <f>$C91*INDEX(Curves!$G$8:$G$68,BF$4-$B91+1)</f>
        <v/>
      </c>
      <c r="BG91" s="56">
        <f>$C91*INDEX(Curves!$G$8:$G$68,BG$4-$B91+1)</f>
        <v/>
      </c>
      <c r="BH91" s="56">
        <f>$C91*INDEX(Curves!$G$8:$G$68,BH$4-$B91+1)</f>
        <v/>
      </c>
      <c r="BI91" s="56">
        <f>$C91*INDEX(Curves!$G$8:$G$68,BI$4-$B91+1)</f>
        <v/>
      </c>
      <c r="BJ91" s="56">
        <f>$C91*INDEX(Curves!$G$8:$G$68,BJ$4-$B91+1)</f>
        <v/>
      </c>
      <c r="BK91" s="56">
        <f>$C91*INDEX(Curves!$G$8:$G$68,BK$4-$B91+1)</f>
        <v/>
      </c>
      <c r="BL91" s="56">
        <f>$C91*INDEX(Curves!$G$8:$G$68,BL$4-$B91+1)</f>
        <v/>
      </c>
    </row>
    <row r="92">
      <c r="A92" s="55" t="inlineStr">
        <is>
          <t>Cohort month 20</t>
        </is>
      </c>
      <c r="B92" s="55" t="n">
        <v>20</v>
      </c>
      <c r="C92" s="46">
        <f>INDEX(Ops!$E$9:$BL$9,1,$B92)</f>
        <v/>
      </c>
      <c r="Y92" s="56">
        <f>$C92*INDEX(Curves!$G$8:$G$68,Y$4-$B92+1)</f>
        <v/>
      </c>
      <c r="Z92" s="56">
        <f>$C92*INDEX(Curves!$G$8:$G$68,Z$4-$B92+1)</f>
        <v/>
      </c>
      <c r="AA92" s="56">
        <f>$C92*INDEX(Curves!$G$8:$G$68,AA$4-$B92+1)</f>
        <v/>
      </c>
      <c r="AB92" s="56">
        <f>$C92*INDEX(Curves!$G$8:$G$68,AB$4-$B92+1)</f>
        <v/>
      </c>
      <c r="AC92" s="56">
        <f>$C92*INDEX(Curves!$G$8:$G$68,AC$4-$B92+1)</f>
        <v/>
      </c>
      <c r="AD92" s="56">
        <f>$C92*INDEX(Curves!$G$8:$G$68,AD$4-$B92+1)</f>
        <v/>
      </c>
      <c r="AE92" s="56">
        <f>$C92*INDEX(Curves!$G$8:$G$68,AE$4-$B92+1)</f>
        <v/>
      </c>
      <c r="AF92" s="56">
        <f>$C92*INDEX(Curves!$G$8:$G$68,AF$4-$B92+1)</f>
        <v/>
      </c>
      <c r="AG92" s="56">
        <f>$C92*INDEX(Curves!$G$8:$G$68,AG$4-$B92+1)</f>
        <v/>
      </c>
      <c r="AH92" s="56">
        <f>$C92*INDEX(Curves!$G$8:$G$68,AH$4-$B92+1)</f>
        <v/>
      </c>
      <c r="AI92" s="56">
        <f>$C92*INDEX(Curves!$G$8:$G$68,AI$4-$B92+1)</f>
        <v/>
      </c>
      <c r="AJ92" s="56">
        <f>$C92*INDEX(Curves!$G$8:$G$68,AJ$4-$B92+1)</f>
        <v/>
      </c>
      <c r="AK92" s="56">
        <f>$C92*INDEX(Curves!$G$8:$G$68,AK$4-$B92+1)</f>
        <v/>
      </c>
      <c r="AL92" s="56">
        <f>$C92*INDEX(Curves!$G$8:$G$68,AL$4-$B92+1)</f>
        <v/>
      </c>
      <c r="AM92" s="56">
        <f>$C92*INDEX(Curves!$G$8:$G$68,AM$4-$B92+1)</f>
        <v/>
      </c>
      <c r="AN92" s="56">
        <f>$C92*INDEX(Curves!$G$8:$G$68,AN$4-$B92+1)</f>
        <v/>
      </c>
      <c r="AO92" s="56">
        <f>$C92*INDEX(Curves!$G$8:$G$68,AO$4-$B92+1)</f>
        <v/>
      </c>
      <c r="AP92" s="56">
        <f>$C92*INDEX(Curves!$G$8:$G$68,AP$4-$B92+1)</f>
        <v/>
      </c>
      <c r="AQ92" s="56">
        <f>$C92*INDEX(Curves!$G$8:$G$68,AQ$4-$B92+1)</f>
        <v/>
      </c>
      <c r="AR92" s="56">
        <f>$C92*INDEX(Curves!$G$8:$G$68,AR$4-$B92+1)</f>
        <v/>
      </c>
      <c r="AS92" s="56">
        <f>$C92*INDEX(Curves!$G$8:$G$68,AS$4-$B92+1)</f>
        <v/>
      </c>
      <c r="AT92" s="56">
        <f>$C92*INDEX(Curves!$G$8:$G$68,AT$4-$B92+1)</f>
        <v/>
      </c>
      <c r="AU92" s="56">
        <f>$C92*INDEX(Curves!$G$8:$G$68,AU$4-$B92+1)</f>
        <v/>
      </c>
      <c r="AV92" s="56">
        <f>$C92*INDEX(Curves!$G$8:$G$68,AV$4-$B92+1)</f>
        <v/>
      </c>
      <c r="AW92" s="56">
        <f>$C92*INDEX(Curves!$G$8:$G$68,AW$4-$B92+1)</f>
        <v/>
      </c>
      <c r="AX92" s="56">
        <f>$C92*INDEX(Curves!$G$8:$G$68,AX$4-$B92+1)</f>
        <v/>
      </c>
      <c r="AY92" s="56">
        <f>$C92*INDEX(Curves!$G$8:$G$68,AY$4-$B92+1)</f>
        <v/>
      </c>
      <c r="AZ92" s="56">
        <f>$C92*INDEX(Curves!$G$8:$G$68,AZ$4-$B92+1)</f>
        <v/>
      </c>
      <c r="BA92" s="56">
        <f>$C92*INDEX(Curves!$G$8:$G$68,BA$4-$B92+1)</f>
        <v/>
      </c>
      <c r="BB92" s="56">
        <f>$C92*INDEX(Curves!$G$8:$G$68,BB$4-$B92+1)</f>
        <v/>
      </c>
      <c r="BC92" s="56">
        <f>$C92*INDEX(Curves!$G$8:$G$68,BC$4-$B92+1)</f>
        <v/>
      </c>
      <c r="BD92" s="56">
        <f>$C92*INDEX(Curves!$G$8:$G$68,BD$4-$B92+1)</f>
        <v/>
      </c>
      <c r="BE92" s="56">
        <f>$C92*INDEX(Curves!$G$8:$G$68,BE$4-$B92+1)</f>
        <v/>
      </c>
      <c r="BF92" s="56">
        <f>$C92*INDEX(Curves!$G$8:$G$68,BF$4-$B92+1)</f>
        <v/>
      </c>
      <c r="BG92" s="56">
        <f>$C92*INDEX(Curves!$G$8:$G$68,BG$4-$B92+1)</f>
        <v/>
      </c>
      <c r="BH92" s="56">
        <f>$C92*INDEX(Curves!$G$8:$G$68,BH$4-$B92+1)</f>
        <v/>
      </c>
      <c r="BI92" s="56">
        <f>$C92*INDEX(Curves!$G$8:$G$68,BI$4-$B92+1)</f>
        <v/>
      </c>
      <c r="BJ92" s="56">
        <f>$C92*INDEX(Curves!$G$8:$G$68,BJ$4-$B92+1)</f>
        <v/>
      </c>
      <c r="BK92" s="56">
        <f>$C92*INDEX(Curves!$G$8:$G$68,BK$4-$B92+1)</f>
        <v/>
      </c>
      <c r="BL92" s="56">
        <f>$C92*INDEX(Curves!$G$8:$G$68,BL$4-$B92+1)</f>
        <v/>
      </c>
    </row>
    <row r="93">
      <c r="A93" s="55" t="inlineStr">
        <is>
          <t>Cohort month 21</t>
        </is>
      </c>
      <c r="B93" s="55" t="n">
        <v>21</v>
      </c>
      <c r="C93" s="46">
        <f>INDEX(Ops!$E$9:$BL$9,1,$B93)</f>
        <v/>
      </c>
      <c r="Z93" s="56">
        <f>$C93*INDEX(Curves!$G$8:$G$68,Z$4-$B93+1)</f>
        <v/>
      </c>
      <c r="AA93" s="56">
        <f>$C93*INDEX(Curves!$G$8:$G$68,AA$4-$B93+1)</f>
        <v/>
      </c>
      <c r="AB93" s="56">
        <f>$C93*INDEX(Curves!$G$8:$G$68,AB$4-$B93+1)</f>
        <v/>
      </c>
      <c r="AC93" s="56">
        <f>$C93*INDEX(Curves!$G$8:$G$68,AC$4-$B93+1)</f>
        <v/>
      </c>
      <c r="AD93" s="56">
        <f>$C93*INDEX(Curves!$G$8:$G$68,AD$4-$B93+1)</f>
        <v/>
      </c>
      <c r="AE93" s="56">
        <f>$C93*INDEX(Curves!$G$8:$G$68,AE$4-$B93+1)</f>
        <v/>
      </c>
      <c r="AF93" s="56">
        <f>$C93*INDEX(Curves!$G$8:$G$68,AF$4-$B93+1)</f>
        <v/>
      </c>
      <c r="AG93" s="56">
        <f>$C93*INDEX(Curves!$G$8:$G$68,AG$4-$B93+1)</f>
        <v/>
      </c>
      <c r="AH93" s="56">
        <f>$C93*INDEX(Curves!$G$8:$G$68,AH$4-$B93+1)</f>
        <v/>
      </c>
      <c r="AI93" s="56">
        <f>$C93*INDEX(Curves!$G$8:$G$68,AI$4-$B93+1)</f>
        <v/>
      </c>
      <c r="AJ93" s="56">
        <f>$C93*INDEX(Curves!$G$8:$G$68,AJ$4-$B93+1)</f>
        <v/>
      </c>
      <c r="AK93" s="56">
        <f>$C93*INDEX(Curves!$G$8:$G$68,AK$4-$B93+1)</f>
        <v/>
      </c>
      <c r="AL93" s="56">
        <f>$C93*INDEX(Curves!$G$8:$G$68,AL$4-$B93+1)</f>
        <v/>
      </c>
      <c r="AM93" s="56">
        <f>$C93*INDEX(Curves!$G$8:$G$68,AM$4-$B93+1)</f>
        <v/>
      </c>
      <c r="AN93" s="56">
        <f>$C93*INDEX(Curves!$G$8:$G$68,AN$4-$B93+1)</f>
        <v/>
      </c>
      <c r="AO93" s="56">
        <f>$C93*INDEX(Curves!$G$8:$G$68,AO$4-$B93+1)</f>
        <v/>
      </c>
      <c r="AP93" s="56">
        <f>$C93*INDEX(Curves!$G$8:$G$68,AP$4-$B93+1)</f>
        <v/>
      </c>
      <c r="AQ93" s="56">
        <f>$C93*INDEX(Curves!$G$8:$G$68,AQ$4-$B93+1)</f>
        <v/>
      </c>
      <c r="AR93" s="56">
        <f>$C93*INDEX(Curves!$G$8:$G$68,AR$4-$B93+1)</f>
        <v/>
      </c>
      <c r="AS93" s="56">
        <f>$C93*INDEX(Curves!$G$8:$G$68,AS$4-$B93+1)</f>
        <v/>
      </c>
      <c r="AT93" s="56">
        <f>$C93*INDEX(Curves!$G$8:$G$68,AT$4-$B93+1)</f>
        <v/>
      </c>
      <c r="AU93" s="56">
        <f>$C93*INDEX(Curves!$G$8:$G$68,AU$4-$B93+1)</f>
        <v/>
      </c>
      <c r="AV93" s="56">
        <f>$C93*INDEX(Curves!$G$8:$G$68,AV$4-$B93+1)</f>
        <v/>
      </c>
      <c r="AW93" s="56">
        <f>$C93*INDEX(Curves!$G$8:$G$68,AW$4-$B93+1)</f>
        <v/>
      </c>
      <c r="AX93" s="56">
        <f>$C93*INDEX(Curves!$G$8:$G$68,AX$4-$B93+1)</f>
        <v/>
      </c>
      <c r="AY93" s="56">
        <f>$C93*INDEX(Curves!$G$8:$G$68,AY$4-$B93+1)</f>
        <v/>
      </c>
      <c r="AZ93" s="56">
        <f>$C93*INDEX(Curves!$G$8:$G$68,AZ$4-$B93+1)</f>
        <v/>
      </c>
      <c r="BA93" s="56">
        <f>$C93*INDEX(Curves!$G$8:$G$68,BA$4-$B93+1)</f>
        <v/>
      </c>
      <c r="BB93" s="56">
        <f>$C93*INDEX(Curves!$G$8:$G$68,BB$4-$B93+1)</f>
        <v/>
      </c>
      <c r="BC93" s="56">
        <f>$C93*INDEX(Curves!$G$8:$G$68,BC$4-$B93+1)</f>
        <v/>
      </c>
      <c r="BD93" s="56">
        <f>$C93*INDEX(Curves!$G$8:$G$68,BD$4-$B93+1)</f>
        <v/>
      </c>
      <c r="BE93" s="56">
        <f>$C93*INDEX(Curves!$G$8:$G$68,BE$4-$B93+1)</f>
        <v/>
      </c>
      <c r="BF93" s="56">
        <f>$C93*INDEX(Curves!$G$8:$G$68,BF$4-$B93+1)</f>
        <v/>
      </c>
      <c r="BG93" s="56">
        <f>$C93*INDEX(Curves!$G$8:$G$68,BG$4-$B93+1)</f>
        <v/>
      </c>
      <c r="BH93" s="56">
        <f>$C93*INDEX(Curves!$G$8:$G$68,BH$4-$B93+1)</f>
        <v/>
      </c>
      <c r="BI93" s="56">
        <f>$C93*INDEX(Curves!$G$8:$G$68,BI$4-$B93+1)</f>
        <v/>
      </c>
      <c r="BJ93" s="56">
        <f>$C93*INDEX(Curves!$G$8:$G$68,BJ$4-$B93+1)</f>
        <v/>
      </c>
      <c r="BK93" s="56">
        <f>$C93*INDEX(Curves!$G$8:$G$68,BK$4-$B93+1)</f>
        <v/>
      </c>
      <c r="BL93" s="56">
        <f>$C93*INDEX(Curves!$G$8:$G$68,BL$4-$B93+1)</f>
        <v/>
      </c>
    </row>
    <row r="94">
      <c r="A94" s="55" t="inlineStr">
        <is>
          <t>Cohort month 22</t>
        </is>
      </c>
      <c r="B94" s="55" t="n">
        <v>22</v>
      </c>
      <c r="C94" s="46">
        <f>INDEX(Ops!$E$9:$BL$9,1,$B94)</f>
        <v/>
      </c>
      <c r="AA94" s="56">
        <f>$C94*INDEX(Curves!$G$8:$G$68,AA$4-$B94+1)</f>
        <v/>
      </c>
      <c r="AB94" s="56">
        <f>$C94*INDEX(Curves!$G$8:$G$68,AB$4-$B94+1)</f>
        <v/>
      </c>
      <c r="AC94" s="56">
        <f>$C94*INDEX(Curves!$G$8:$G$68,AC$4-$B94+1)</f>
        <v/>
      </c>
      <c r="AD94" s="56">
        <f>$C94*INDEX(Curves!$G$8:$G$68,AD$4-$B94+1)</f>
        <v/>
      </c>
      <c r="AE94" s="56">
        <f>$C94*INDEX(Curves!$G$8:$G$68,AE$4-$B94+1)</f>
        <v/>
      </c>
      <c r="AF94" s="56">
        <f>$C94*INDEX(Curves!$G$8:$G$68,AF$4-$B94+1)</f>
        <v/>
      </c>
      <c r="AG94" s="56">
        <f>$C94*INDEX(Curves!$G$8:$G$68,AG$4-$B94+1)</f>
        <v/>
      </c>
      <c r="AH94" s="56">
        <f>$C94*INDEX(Curves!$G$8:$G$68,AH$4-$B94+1)</f>
        <v/>
      </c>
      <c r="AI94" s="56">
        <f>$C94*INDEX(Curves!$G$8:$G$68,AI$4-$B94+1)</f>
        <v/>
      </c>
      <c r="AJ94" s="56">
        <f>$C94*INDEX(Curves!$G$8:$G$68,AJ$4-$B94+1)</f>
        <v/>
      </c>
      <c r="AK94" s="56">
        <f>$C94*INDEX(Curves!$G$8:$G$68,AK$4-$B94+1)</f>
        <v/>
      </c>
      <c r="AL94" s="56">
        <f>$C94*INDEX(Curves!$G$8:$G$68,AL$4-$B94+1)</f>
        <v/>
      </c>
      <c r="AM94" s="56">
        <f>$C94*INDEX(Curves!$G$8:$G$68,AM$4-$B94+1)</f>
        <v/>
      </c>
      <c r="AN94" s="56">
        <f>$C94*INDEX(Curves!$G$8:$G$68,AN$4-$B94+1)</f>
        <v/>
      </c>
      <c r="AO94" s="56">
        <f>$C94*INDEX(Curves!$G$8:$G$68,AO$4-$B94+1)</f>
        <v/>
      </c>
      <c r="AP94" s="56">
        <f>$C94*INDEX(Curves!$G$8:$G$68,AP$4-$B94+1)</f>
        <v/>
      </c>
      <c r="AQ94" s="56">
        <f>$C94*INDEX(Curves!$G$8:$G$68,AQ$4-$B94+1)</f>
        <v/>
      </c>
      <c r="AR94" s="56">
        <f>$C94*INDEX(Curves!$G$8:$G$68,AR$4-$B94+1)</f>
        <v/>
      </c>
      <c r="AS94" s="56">
        <f>$C94*INDEX(Curves!$G$8:$G$68,AS$4-$B94+1)</f>
        <v/>
      </c>
      <c r="AT94" s="56">
        <f>$C94*INDEX(Curves!$G$8:$G$68,AT$4-$B94+1)</f>
        <v/>
      </c>
      <c r="AU94" s="56">
        <f>$C94*INDEX(Curves!$G$8:$G$68,AU$4-$B94+1)</f>
        <v/>
      </c>
      <c r="AV94" s="56">
        <f>$C94*INDEX(Curves!$G$8:$G$68,AV$4-$B94+1)</f>
        <v/>
      </c>
      <c r="AW94" s="56">
        <f>$C94*INDEX(Curves!$G$8:$G$68,AW$4-$B94+1)</f>
        <v/>
      </c>
      <c r="AX94" s="56">
        <f>$C94*INDEX(Curves!$G$8:$G$68,AX$4-$B94+1)</f>
        <v/>
      </c>
      <c r="AY94" s="56">
        <f>$C94*INDEX(Curves!$G$8:$G$68,AY$4-$B94+1)</f>
        <v/>
      </c>
      <c r="AZ94" s="56">
        <f>$C94*INDEX(Curves!$G$8:$G$68,AZ$4-$B94+1)</f>
        <v/>
      </c>
      <c r="BA94" s="56">
        <f>$C94*INDEX(Curves!$G$8:$G$68,BA$4-$B94+1)</f>
        <v/>
      </c>
      <c r="BB94" s="56">
        <f>$C94*INDEX(Curves!$G$8:$G$68,BB$4-$B94+1)</f>
        <v/>
      </c>
      <c r="BC94" s="56">
        <f>$C94*INDEX(Curves!$G$8:$G$68,BC$4-$B94+1)</f>
        <v/>
      </c>
      <c r="BD94" s="56">
        <f>$C94*INDEX(Curves!$G$8:$G$68,BD$4-$B94+1)</f>
        <v/>
      </c>
      <c r="BE94" s="56">
        <f>$C94*INDEX(Curves!$G$8:$G$68,BE$4-$B94+1)</f>
        <v/>
      </c>
      <c r="BF94" s="56">
        <f>$C94*INDEX(Curves!$G$8:$G$68,BF$4-$B94+1)</f>
        <v/>
      </c>
      <c r="BG94" s="56">
        <f>$C94*INDEX(Curves!$G$8:$G$68,BG$4-$B94+1)</f>
        <v/>
      </c>
      <c r="BH94" s="56">
        <f>$C94*INDEX(Curves!$G$8:$G$68,BH$4-$B94+1)</f>
        <v/>
      </c>
      <c r="BI94" s="56">
        <f>$C94*INDEX(Curves!$G$8:$G$68,BI$4-$B94+1)</f>
        <v/>
      </c>
      <c r="BJ94" s="56">
        <f>$C94*INDEX(Curves!$G$8:$G$68,BJ$4-$B94+1)</f>
        <v/>
      </c>
      <c r="BK94" s="56">
        <f>$C94*INDEX(Curves!$G$8:$G$68,BK$4-$B94+1)</f>
        <v/>
      </c>
      <c r="BL94" s="56">
        <f>$C94*INDEX(Curves!$G$8:$G$68,BL$4-$B94+1)</f>
        <v/>
      </c>
    </row>
    <row r="95">
      <c r="A95" s="55" t="inlineStr">
        <is>
          <t>Cohort month 23</t>
        </is>
      </c>
      <c r="B95" s="55" t="n">
        <v>23</v>
      </c>
      <c r="C95" s="46">
        <f>INDEX(Ops!$E$9:$BL$9,1,$B95)</f>
        <v/>
      </c>
      <c r="AB95" s="56">
        <f>$C95*INDEX(Curves!$G$8:$G$68,AB$4-$B95+1)</f>
        <v/>
      </c>
      <c r="AC95" s="56">
        <f>$C95*INDEX(Curves!$G$8:$G$68,AC$4-$B95+1)</f>
        <v/>
      </c>
      <c r="AD95" s="56">
        <f>$C95*INDEX(Curves!$G$8:$G$68,AD$4-$B95+1)</f>
        <v/>
      </c>
      <c r="AE95" s="56">
        <f>$C95*INDEX(Curves!$G$8:$G$68,AE$4-$B95+1)</f>
        <v/>
      </c>
      <c r="AF95" s="56">
        <f>$C95*INDEX(Curves!$G$8:$G$68,AF$4-$B95+1)</f>
        <v/>
      </c>
      <c r="AG95" s="56">
        <f>$C95*INDEX(Curves!$G$8:$G$68,AG$4-$B95+1)</f>
        <v/>
      </c>
      <c r="AH95" s="56">
        <f>$C95*INDEX(Curves!$G$8:$G$68,AH$4-$B95+1)</f>
        <v/>
      </c>
      <c r="AI95" s="56">
        <f>$C95*INDEX(Curves!$G$8:$G$68,AI$4-$B95+1)</f>
        <v/>
      </c>
      <c r="AJ95" s="56">
        <f>$C95*INDEX(Curves!$G$8:$G$68,AJ$4-$B95+1)</f>
        <v/>
      </c>
      <c r="AK95" s="56">
        <f>$C95*INDEX(Curves!$G$8:$G$68,AK$4-$B95+1)</f>
        <v/>
      </c>
      <c r="AL95" s="56">
        <f>$C95*INDEX(Curves!$G$8:$G$68,AL$4-$B95+1)</f>
        <v/>
      </c>
      <c r="AM95" s="56">
        <f>$C95*INDEX(Curves!$G$8:$G$68,AM$4-$B95+1)</f>
        <v/>
      </c>
      <c r="AN95" s="56">
        <f>$C95*INDEX(Curves!$G$8:$G$68,AN$4-$B95+1)</f>
        <v/>
      </c>
      <c r="AO95" s="56">
        <f>$C95*INDEX(Curves!$G$8:$G$68,AO$4-$B95+1)</f>
        <v/>
      </c>
      <c r="AP95" s="56">
        <f>$C95*INDEX(Curves!$G$8:$G$68,AP$4-$B95+1)</f>
        <v/>
      </c>
      <c r="AQ95" s="56">
        <f>$C95*INDEX(Curves!$G$8:$G$68,AQ$4-$B95+1)</f>
        <v/>
      </c>
      <c r="AR95" s="56">
        <f>$C95*INDEX(Curves!$G$8:$G$68,AR$4-$B95+1)</f>
        <v/>
      </c>
      <c r="AS95" s="56">
        <f>$C95*INDEX(Curves!$G$8:$G$68,AS$4-$B95+1)</f>
        <v/>
      </c>
      <c r="AT95" s="56">
        <f>$C95*INDEX(Curves!$G$8:$G$68,AT$4-$B95+1)</f>
        <v/>
      </c>
      <c r="AU95" s="56">
        <f>$C95*INDEX(Curves!$G$8:$G$68,AU$4-$B95+1)</f>
        <v/>
      </c>
      <c r="AV95" s="56">
        <f>$C95*INDEX(Curves!$G$8:$G$68,AV$4-$B95+1)</f>
        <v/>
      </c>
      <c r="AW95" s="56">
        <f>$C95*INDEX(Curves!$G$8:$G$68,AW$4-$B95+1)</f>
        <v/>
      </c>
      <c r="AX95" s="56">
        <f>$C95*INDEX(Curves!$G$8:$G$68,AX$4-$B95+1)</f>
        <v/>
      </c>
      <c r="AY95" s="56">
        <f>$C95*INDEX(Curves!$G$8:$G$68,AY$4-$B95+1)</f>
        <v/>
      </c>
      <c r="AZ95" s="56">
        <f>$C95*INDEX(Curves!$G$8:$G$68,AZ$4-$B95+1)</f>
        <v/>
      </c>
      <c r="BA95" s="56">
        <f>$C95*INDEX(Curves!$G$8:$G$68,BA$4-$B95+1)</f>
        <v/>
      </c>
      <c r="BB95" s="56">
        <f>$C95*INDEX(Curves!$G$8:$G$68,BB$4-$B95+1)</f>
        <v/>
      </c>
      <c r="BC95" s="56">
        <f>$C95*INDEX(Curves!$G$8:$G$68,BC$4-$B95+1)</f>
        <v/>
      </c>
      <c r="BD95" s="56">
        <f>$C95*INDEX(Curves!$G$8:$G$68,BD$4-$B95+1)</f>
        <v/>
      </c>
      <c r="BE95" s="56">
        <f>$C95*INDEX(Curves!$G$8:$G$68,BE$4-$B95+1)</f>
        <v/>
      </c>
      <c r="BF95" s="56">
        <f>$C95*INDEX(Curves!$G$8:$G$68,BF$4-$B95+1)</f>
        <v/>
      </c>
      <c r="BG95" s="56">
        <f>$C95*INDEX(Curves!$G$8:$G$68,BG$4-$B95+1)</f>
        <v/>
      </c>
      <c r="BH95" s="56">
        <f>$C95*INDEX(Curves!$G$8:$G$68,BH$4-$B95+1)</f>
        <v/>
      </c>
      <c r="BI95" s="56">
        <f>$C95*INDEX(Curves!$G$8:$G$68,BI$4-$B95+1)</f>
        <v/>
      </c>
      <c r="BJ95" s="56">
        <f>$C95*INDEX(Curves!$G$8:$G$68,BJ$4-$B95+1)</f>
        <v/>
      </c>
      <c r="BK95" s="56">
        <f>$C95*INDEX(Curves!$G$8:$G$68,BK$4-$B95+1)</f>
        <v/>
      </c>
      <c r="BL95" s="56">
        <f>$C95*INDEX(Curves!$G$8:$G$68,BL$4-$B95+1)</f>
        <v/>
      </c>
    </row>
    <row r="96">
      <c r="A96" s="55" t="inlineStr">
        <is>
          <t>Cohort month 24</t>
        </is>
      </c>
      <c r="B96" s="55" t="n">
        <v>24</v>
      </c>
      <c r="C96" s="46">
        <f>INDEX(Ops!$E$9:$BL$9,1,$B96)</f>
        <v/>
      </c>
      <c r="AC96" s="56">
        <f>$C96*INDEX(Curves!$G$8:$G$68,AC$4-$B96+1)</f>
        <v/>
      </c>
      <c r="AD96" s="56">
        <f>$C96*INDEX(Curves!$G$8:$G$68,AD$4-$B96+1)</f>
        <v/>
      </c>
      <c r="AE96" s="56">
        <f>$C96*INDEX(Curves!$G$8:$G$68,AE$4-$B96+1)</f>
        <v/>
      </c>
      <c r="AF96" s="56">
        <f>$C96*INDEX(Curves!$G$8:$G$68,AF$4-$B96+1)</f>
        <v/>
      </c>
      <c r="AG96" s="56">
        <f>$C96*INDEX(Curves!$G$8:$G$68,AG$4-$B96+1)</f>
        <v/>
      </c>
      <c r="AH96" s="56">
        <f>$C96*INDEX(Curves!$G$8:$G$68,AH$4-$B96+1)</f>
        <v/>
      </c>
      <c r="AI96" s="56">
        <f>$C96*INDEX(Curves!$G$8:$G$68,AI$4-$B96+1)</f>
        <v/>
      </c>
      <c r="AJ96" s="56">
        <f>$C96*INDEX(Curves!$G$8:$G$68,AJ$4-$B96+1)</f>
        <v/>
      </c>
      <c r="AK96" s="56">
        <f>$C96*INDEX(Curves!$G$8:$G$68,AK$4-$B96+1)</f>
        <v/>
      </c>
      <c r="AL96" s="56">
        <f>$C96*INDEX(Curves!$G$8:$G$68,AL$4-$B96+1)</f>
        <v/>
      </c>
      <c r="AM96" s="56">
        <f>$C96*INDEX(Curves!$G$8:$G$68,AM$4-$B96+1)</f>
        <v/>
      </c>
      <c r="AN96" s="56">
        <f>$C96*INDEX(Curves!$G$8:$G$68,AN$4-$B96+1)</f>
        <v/>
      </c>
      <c r="AO96" s="56">
        <f>$C96*INDEX(Curves!$G$8:$G$68,AO$4-$B96+1)</f>
        <v/>
      </c>
      <c r="AP96" s="56">
        <f>$C96*INDEX(Curves!$G$8:$G$68,AP$4-$B96+1)</f>
        <v/>
      </c>
      <c r="AQ96" s="56">
        <f>$C96*INDEX(Curves!$G$8:$G$68,AQ$4-$B96+1)</f>
        <v/>
      </c>
      <c r="AR96" s="56">
        <f>$C96*INDEX(Curves!$G$8:$G$68,AR$4-$B96+1)</f>
        <v/>
      </c>
      <c r="AS96" s="56">
        <f>$C96*INDEX(Curves!$G$8:$G$68,AS$4-$B96+1)</f>
        <v/>
      </c>
      <c r="AT96" s="56">
        <f>$C96*INDEX(Curves!$G$8:$G$68,AT$4-$B96+1)</f>
        <v/>
      </c>
      <c r="AU96" s="56">
        <f>$C96*INDEX(Curves!$G$8:$G$68,AU$4-$B96+1)</f>
        <v/>
      </c>
      <c r="AV96" s="56">
        <f>$C96*INDEX(Curves!$G$8:$G$68,AV$4-$B96+1)</f>
        <v/>
      </c>
      <c r="AW96" s="56">
        <f>$C96*INDEX(Curves!$G$8:$G$68,AW$4-$B96+1)</f>
        <v/>
      </c>
      <c r="AX96" s="56">
        <f>$C96*INDEX(Curves!$G$8:$G$68,AX$4-$B96+1)</f>
        <v/>
      </c>
      <c r="AY96" s="56">
        <f>$C96*INDEX(Curves!$G$8:$G$68,AY$4-$B96+1)</f>
        <v/>
      </c>
      <c r="AZ96" s="56">
        <f>$C96*INDEX(Curves!$G$8:$G$68,AZ$4-$B96+1)</f>
        <v/>
      </c>
      <c r="BA96" s="56">
        <f>$C96*INDEX(Curves!$G$8:$G$68,BA$4-$B96+1)</f>
        <v/>
      </c>
      <c r="BB96" s="56">
        <f>$C96*INDEX(Curves!$G$8:$G$68,BB$4-$B96+1)</f>
        <v/>
      </c>
      <c r="BC96" s="56">
        <f>$C96*INDEX(Curves!$G$8:$G$68,BC$4-$B96+1)</f>
        <v/>
      </c>
      <c r="BD96" s="56">
        <f>$C96*INDEX(Curves!$G$8:$G$68,BD$4-$B96+1)</f>
        <v/>
      </c>
      <c r="BE96" s="56">
        <f>$C96*INDEX(Curves!$G$8:$G$68,BE$4-$B96+1)</f>
        <v/>
      </c>
      <c r="BF96" s="56">
        <f>$C96*INDEX(Curves!$G$8:$G$68,BF$4-$B96+1)</f>
        <v/>
      </c>
      <c r="BG96" s="56">
        <f>$C96*INDEX(Curves!$G$8:$G$68,BG$4-$B96+1)</f>
        <v/>
      </c>
      <c r="BH96" s="56">
        <f>$C96*INDEX(Curves!$G$8:$G$68,BH$4-$B96+1)</f>
        <v/>
      </c>
      <c r="BI96" s="56">
        <f>$C96*INDEX(Curves!$G$8:$G$68,BI$4-$B96+1)</f>
        <v/>
      </c>
      <c r="BJ96" s="56">
        <f>$C96*INDEX(Curves!$G$8:$G$68,BJ$4-$B96+1)</f>
        <v/>
      </c>
      <c r="BK96" s="56">
        <f>$C96*INDEX(Curves!$G$8:$G$68,BK$4-$B96+1)</f>
        <v/>
      </c>
      <c r="BL96" s="56">
        <f>$C96*INDEX(Curves!$G$8:$G$68,BL$4-$B96+1)</f>
        <v/>
      </c>
    </row>
    <row r="97">
      <c r="A97" s="55" t="inlineStr">
        <is>
          <t>Cohort month 25</t>
        </is>
      </c>
      <c r="B97" s="55" t="n">
        <v>25</v>
      </c>
      <c r="C97" s="46">
        <f>INDEX(Ops!$E$9:$BL$9,1,$B97)</f>
        <v/>
      </c>
      <c r="AD97" s="56">
        <f>$C97*INDEX(Curves!$G$8:$G$68,AD$4-$B97+1)</f>
        <v/>
      </c>
      <c r="AE97" s="56">
        <f>$C97*INDEX(Curves!$G$8:$G$68,AE$4-$B97+1)</f>
        <v/>
      </c>
      <c r="AF97" s="56">
        <f>$C97*INDEX(Curves!$G$8:$G$68,AF$4-$B97+1)</f>
        <v/>
      </c>
      <c r="AG97" s="56">
        <f>$C97*INDEX(Curves!$G$8:$G$68,AG$4-$B97+1)</f>
        <v/>
      </c>
      <c r="AH97" s="56">
        <f>$C97*INDEX(Curves!$G$8:$G$68,AH$4-$B97+1)</f>
        <v/>
      </c>
      <c r="AI97" s="56">
        <f>$C97*INDEX(Curves!$G$8:$G$68,AI$4-$B97+1)</f>
        <v/>
      </c>
      <c r="AJ97" s="56">
        <f>$C97*INDEX(Curves!$G$8:$G$68,AJ$4-$B97+1)</f>
        <v/>
      </c>
      <c r="AK97" s="56">
        <f>$C97*INDEX(Curves!$G$8:$G$68,AK$4-$B97+1)</f>
        <v/>
      </c>
      <c r="AL97" s="56">
        <f>$C97*INDEX(Curves!$G$8:$G$68,AL$4-$B97+1)</f>
        <v/>
      </c>
      <c r="AM97" s="56">
        <f>$C97*INDEX(Curves!$G$8:$G$68,AM$4-$B97+1)</f>
        <v/>
      </c>
      <c r="AN97" s="56">
        <f>$C97*INDEX(Curves!$G$8:$G$68,AN$4-$B97+1)</f>
        <v/>
      </c>
      <c r="AO97" s="56">
        <f>$C97*INDEX(Curves!$G$8:$G$68,AO$4-$B97+1)</f>
        <v/>
      </c>
      <c r="AP97" s="56">
        <f>$C97*INDEX(Curves!$G$8:$G$68,AP$4-$B97+1)</f>
        <v/>
      </c>
      <c r="AQ97" s="56">
        <f>$C97*INDEX(Curves!$G$8:$G$68,AQ$4-$B97+1)</f>
        <v/>
      </c>
      <c r="AR97" s="56">
        <f>$C97*INDEX(Curves!$G$8:$G$68,AR$4-$B97+1)</f>
        <v/>
      </c>
      <c r="AS97" s="56">
        <f>$C97*INDEX(Curves!$G$8:$G$68,AS$4-$B97+1)</f>
        <v/>
      </c>
      <c r="AT97" s="56">
        <f>$C97*INDEX(Curves!$G$8:$G$68,AT$4-$B97+1)</f>
        <v/>
      </c>
      <c r="AU97" s="56">
        <f>$C97*INDEX(Curves!$G$8:$G$68,AU$4-$B97+1)</f>
        <v/>
      </c>
      <c r="AV97" s="56">
        <f>$C97*INDEX(Curves!$G$8:$G$68,AV$4-$B97+1)</f>
        <v/>
      </c>
      <c r="AW97" s="56">
        <f>$C97*INDEX(Curves!$G$8:$G$68,AW$4-$B97+1)</f>
        <v/>
      </c>
      <c r="AX97" s="56">
        <f>$C97*INDEX(Curves!$G$8:$G$68,AX$4-$B97+1)</f>
        <v/>
      </c>
      <c r="AY97" s="56">
        <f>$C97*INDEX(Curves!$G$8:$G$68,AY$4-$B97+1)</f>
        <v/>
      </c>
      <c r="AZ97" s="56">
        <f>$C97*INDEX(Curves!$G$8:$G$68,AZ$4-$B97+1)</f>
        <v/>
      </c>
      <c r="BA97" s="56">
        <f>$C97*INDEX(Curves!$G$8:$G$68,BA$4-$B97+1)</f>
        <v/>
      </c>
      <c r="BB97" s="56">
        <f>$C97*INDEX(Curves!$G$8:$G$68,BB$4-$B97+1)</f>
        <v/>
      </c>
      <c r="BC97" s="56">
        <f>$C97*INDEX(Curves!$G$8:$G$68,BC$4-$B97+1)</f>
        <v/>
      </c>
      <c r="BD97" s="56">
        <f>$C97*INDEX(Curves!$G$8:$G$68,BD$4-$B97+1)</f>
        <v/>
      </c>
      <c r="BE97" s="56">
        <f>$C97*INDEX(Curves!$G$8:$G$68,BE$4-$B97+1)</f>
        <v/>
      </c>
      <c r="BF97" s="56">
        <f>$C97*INDEX(Curves!$G$8:$G$68,BF$4-$B97+1)</f>
        <v/>
      </c>
      <c r="BG97" s="56">
        <f>$C97*INDEX(Curves!$G$8:$G$68,BG$4-$B97+1)</f>
        <v/>
      </c>
      <c r="BH97" s="56">
        <f>$C97*INDEX(Curves!$G$8:$G$68,BH$4-$B97+1)</f>
        <v/>
      </c>
      <c r="BI97" s="56">
        <f>$C97*INDEX(Curves!$G$8:$G$68,BI$4-$B97+1)</f>
        <v/>
      </c>
      <c r="BJ97" s="56">
        <f>$C97*INDEX(Curves!$G$8:$G$68,BJ$4-$B97+1)</f>
        <v/>
      </c>
      <c r="BK97" s="56">
        <f>$C97*INDEX(Curves!$G$8:$G$68,BK$4-$B97+1)</f>
        <v/>
      </c>
      <c r="BL97" s="56">
        <f>$C97*INDEX(Curves!$G$8:$G$68,BL$4-$B97+1)</f>
        <v/>
      </c>
    </row>
    <row r="98">
      <c r="A98" s="55" t="inlineStr">
        <is>
          <t>Cohort month 26</t>
        </is>
      </c>
      <c r="B98" s="55" t="n">
        <v>26</v>
      </c>
      <c r="C98" s="46">
        <f>INDEX(Ops!$E$9:$BL$9,1,$B98)</f>
        <v/>
      </c>
      <c r="AE98" s="56">
        <f>$C98*INDEX(Curves!$G$8:$G$68,AE$4-$B98+1)</f>
        <v/>
      </c>
      <c r="AF98" s="56">
        <f>$C98*INDEX(Curves!$G$8:$G$68,AF$4-$B98+1)</f>
        <v/>
      </c>
      <c r="AG98" s="56">
        <f>$C98*INDEX(Curves!$G$8:$G$68,AG$4-$B98+1)</f>
        <v/>
      </c>
      <c r="AH98" s="56">
        <f>$C98*INDEX(Curves!$G$8:$G$68,AH$4-$B98+1)</f>
        <v/>
      </c>
      <c r="AI98" s="56">
        <f>$C98*INDEX(Curves!$G$8:$G$68,AI$4-$B98+1)</f>
        <v/>
      </c>
      <c r="AJ98" s="56">
        <f>$C98*INDEX(Curves!$G$8:$G$68,AJ$4-$B98+1)</f>
        <v/>
      </c>
      <c r="AK98" s="56">
        <f>$C98*INDEX(Curves!$G$8:$G$68,AK$4-$B98+1)</f>
        <v/>
      </c>
      <c r="AL98" s="56">
        <f>$C98*INDEX(Curves!$G$8:$G$68,AL$4-$B98+1)</f>
        <v/>
      </c>
      <c r="AM98" s="56">
        <f>$C98*INDEX(Curves!$G$8:$G$68,AM$4-$B98+1)</f>
        <v/>
      </c>
      <c r="AN98" s="56">
        <f>$C98*INDEX(Curves!$G$8:$G$68,AN$4-$B98+1)</f>
        <v/>
      </c>
      <c r="AO98" s="56">
        <f>$C98*INDEX(Curves!$G$8:$G$68,AO$4-$B98+1)</f>
        <v/>
      </c>
      <c r="AP98" s="56">
        <f>$C98*INDEX(Curves!$G$8:$G$68,AP$4-$B98+1)</f>
        <v/>
      </c>
      <c r="AQ98" s="56">
        <f>$C98*INDEX(Curves!$G$8:$G$68,AQ$4-$B98+1)</f>
        <v/>
      </c>
      <c r="AR98" s="56">
        <f>$C98*INDEX(Curves!$G$8:$G$68,AR$4-$B98+1)</f>
        <v/>
      </c>
      <c r="AS98" s="56">
        <f>$C98*INDEX(Curves!$G$8:$G$68,AS$4-$B98+1)</f>
        <v/>
      </c>
      <c r="AT98" s="56">
        <f>$C98*INDEX(Curves!$G$8:$G$68,AT$4-$B98+1)</f>
        <v/>
      </c>
      <c r="AU98" s="56">
        <f>$C98*INDEX(Curves!$G$8:$G$68,AU$4-$B98+1)</f>
        <v/>
      </c>
      <c r="AV98" s="56">
        <f>$C98*INDEX(Curves!$G$8:$G$68,AV$4-$B98+1)</f>
        <v/>
      </c>
      <c r="AW98" s="56">
        <f>$C98*INDEX(Curves!$G$8:$G$68,AW$4-$B98+1)</f>
        <v/>
      </c>
      <c r="AX98" s="56">
        <f>$C98*INDEX(Curves!$G$8:$G$68,AX$4-$B98+1)</f>
        <v/>
      </c>
      <c r="AY98" s="56">
        <f>$C98*INDEX(Curves!$G$8:$G$68,AY$4-$B98+1)</f>
        <v/>
      </c>
      <c r="AZ98" s="56">
        <f>$C98*INDEX(Curves!$G$8:$G$68,AZ$4-$B98+1)</f>
        <v/>
      </c>
      <c r="BA98" s="56">
        <f>$C98*INDEX(Curves!$G$8:$G$68,BA$4-$B98+1)</f>
        <v/>
      </c>
      <c r="BB98" s="56">
        <f>$C98*INDEX(Curves!$G$8:$G$68,BB$4-$B98+1)</f>
        <v/>
      </c>
      <c r="BC98" s="56">
        <f>$C98*INDEX(Curves!$G$8:$G$68,BC$4-$B98+1)</f>
        <v/>
      </c>
      <c r="BD98" s="56">
        <f>$C98*INDEX(Curves!$G$8:$G$68,BD$4-$B98+1)</f>
        <v/>
      </c>
      <c r="BE98" s="56">
        <f>$C98*INDEX(Curves!$G$8:$G$68,BE$4-$B98+1)</f>
        <v/>
      </c>
      <c r="BF98" s="56">
        <f>$C98*INDEX(Curves!$G$8:$G$68,BF$4-$B98+1)</f>
        <v/>
      </c>
      <c r="BG98" s="56">
        <f>$C98*INDEX(Curves!$G$8:$G$68,BG$4-$B98+1)</f>
        <v/>
      </c>
      <c r="BH98" s="56">
        <f>$C98*INDEX(Curves!$G$8:$G$68,BH$4-$B98+1)</f>
        <v/>
      </c>
      <c r="BI98" s="56">
        <f>$C98*INDEX(Curves!$G$8:$G$68,BI$4-$B98+1)</f>
        <v/>
      </c>
      <c r="BJ98" s="56">
        <f>$C98*INDEX(Curves!$G$8:$G$68,BJ$4-$B98+1)</f>
        <v/>
      </c>
      <c r="BK98" s="56">
        <f>$C98*INDEX(Curves!$G$8:$G$68,BK$4-$B98+1)</f>
        <v/>
      </c>
      <c r="BL98" s="56">
        <f>$C98*INDEX(Curves!$G$8:$G$68,BL$4-$B98+1)</f>
        <v/>
      </c>
    </row>
    <row r="99">
      <c r="A99" s="55" t="inlineStr">
        <is>
          <t>Cohort month 27</t>
        </is>
      </c>
      <c r="B99" s="55" t="n">
        <v>27</v>
      </c>
      <c r="C99" s="46">
        <f>INDEX(Ops!$E$9:$BL$9,1,$B99)</f>
        <v/>
      </c>
      <c r="AF99" s="56">
        <f>$C99*INDEX(Curves!$G$8:$G$68,AF$4-$B99+1)</f>
        <v/>
      </c>
      <c r="AG99" s="56">
        <f>$C99*INDEX(Curves!$G$8:$G$68,AG$4-$B99+1)</f>
        <v/>
      </c>
      <c r="AH99" s="56">
        <f>$C99*INDEX(Curves!$G$8:$G$68,AH$4-$B99+1)</f>
        <v/>
      </c>
      <c r="AI99" s="56">
        <f>$C99*INDEX(Curves!$G$8:$G$68,AI$4-$B99+1)</f>
        <v/>
      </c>
      <c r="AJ99" s="56">
        <f>$C99*INDEX(Curves!$G$8:$G$68,AJ$4-$B99+1)</f>
        <v/>
      </c>
      <c r="AK99" s="56">
        <f>$C99*INDEX(Curves!$G$8:$G$68,AK$4-$B99+1)</f>
        <v/>
      </c>
      <c r="AL99" s="56">
        <f>$C99*INDEX(Curves!$G$8:$G$68,AL$4-$B99+1)</f>
        <v/>
      </c>
      <c r="AM99" s="56">
        <f>$C99*INDEX(Curves!$G$8:$G$68,AM$4-$B99+1)</f>
        <v/>
      </c>
      <c r="AN99" s="56">
        <f>$C99*INDEX(Curves!$G$8:$G$68,AN$4-$B99+1)</f>
        <v/>
      </c>
      <c r="AO99" s="56">
        <f>$C99*INDEX(Curves!$G$8:$G$68,AO$4-$B99+1)</f>
        <v/>
      </c>
      <c r="AP99" s="56">
        <f>$C99*INDEX(Curves!$G$8:$G$68,AP$4-$B99+1)</f>
        <v/>
      </c>
      <c r="AQ99" s="56">
        <f>$C99*INDEX(Curves!$G$8:$G$68,AQ$4-$B99+1)</f>
        <v/>
      </c>
      <c r="AR99" s="56">
        <f>$C99*INDEX(Curves!$G$8:$G$68,AR$4-$B99+1)</f>
        <v/>
      </c>
      <c r="AS99" s="56">
        <f>$C99*INDEX(Curves!$G$8:$G$68,AS$4-$B99+1)</f>
        <v/>
      </c>
      <c r="AT99" s="56">
        <f>$C99*INDEX(Curves!$G$8:$G$68,AT$4-$B99+1)</f>
        <v/>
      </c>
      <c r="AU99" s="56">
        <f>$C99*INDEX(Curves!$G$8:$G$68,AU$4-$B99+1)</f>
        <v/>
      </c>
      <c r="AV99" s="56">
        <f>$C99*INDEX(Curves!$G$8:$G$68,AV$4-$B99+1)</f>
        <v/>
      </c>
      <c r="AW99" s="56">
        <f>$C99*INDEX(Curves!$G$8:$G$68,AW$4-$B99+1)</f>
        <v/>
      </c>
      <c r="AX99" s="56">
        <f>$C99*INDEX(Curves!$G$8:$G$68,AX$4-$B99+1)</f>
        <v/>
      </c>
      <c r="AY99" s="56">
        <f>$C99*INDEX(Curves!$G$8:$G$68,AY$4-$B99+1)</f>
        <v/>
      </c>
      <c r="AZ99" s="56">
        <f>$C99*INDEX(Curves!$G$8:$G$68,AZ$4-$B99+1)</f>
        <v/>
      </c>
      <c r="BA99" s="56">
        <f>$C99*INDEX(Curves!$G$8:$G$68,BA$4-$B99+1)</f>
        <v/>
      </c>
      <c r="BB99" s="56">
        <f>$C99*INDEX(Curves!$G$8:$G$68,BB$4-$B99+1)</f>
        <v/>
      </c>
      <c r="BC99" s="56">
        <f>$C99*INDEX(Curves!$G$8:$G$68,BC$4-$B99+1)</f>
        <v/>
      </c>
      <c r="BD99" s="56">
        <f>$C99*INDEX(Curves!$G$8:$G$68,BD$4-$B99+1)</f>
        <v/>
      </c>
      <c r="BE99" s="56">
        <f>$C99*INDEX(Curves!$G$8:$G$68,BE$4-$B99+1)</f>
        <v/>
      </c>
      <c r="BF99" s="56">
        <f>$C99*INDEX(Curves!$G$8:$G$68,BF$4-$B99+1)</f>
        <v/>
      </c>
      <c r="BG99" s="56">
        <f>$C99*INDEX(Curves!$G$8:$G$68,BG$4-$B99+1)</f>
        <v/>
      </c>
      <c r="BH99" s="56">
        <f>$C99*INDEX(Curves!$G$8:$G$68,BH$4-$B99+1)</f>
        <v/>
      </c>
      <c r="BI99" s="56">
        <f>$C99*INDEX(Curves!$G$8:$G$68,BI$4-$B99+1)</f>
        <v/>
      </c>
      <c r="BJ99" s="56">
        <f>$C99*INDEX(Curves!$G$8:$G$68,BJ$4-$B99+1)</f>
        <v/>
      </c>
      <c r="BK99" s="56">
        <f>$C99*INDEX(Curves!$G$8:$G$68,BK$4-$B99+1)</f>
        <v/>
      </c>
      <c r="BL99" s="56">
        <f>$C99*INDEX(Curves!$G$8:$G$68,BL$4-$B99+1)</f>
        <v/>
      </c>
    </row>
    <row r="100">
      <c r="A100" s="55" t="inlineStr">
        <is>
          <t>Cohort month 28</t>
        </is>
      </c>
      <c r="B100" s="55" t="n">
        <v>28</v>
      </c>
      <c r="C100" s="46">
        <f>INDEX(Ops!$E$9:$BL$9,1,$B100)</f>
        <v/>
      </c>
      <c r="AG100" s="56">
        <f>$C100*INDEX(Curves!$G$8:$G$68,AG$4-$B100+1)</f>
        <v/>
      </c>
      <c r="AH100" s="56">
        <f>$C100*INDEX(Curves!$G$8:$G$68,AH$4-$B100+1)</f>
        <v/>
      </c>
      <c r="AI100" s="56">
        <f>$C100*INDEX(Curves!$G$8:$G$68,AI$4-$B100+1)</f>
        <v/>
      </c>
      <c r="AJ100" s="56">
        <f>$C100*INDEX(Curves!$G$8:$G$68,AJ$4-$B100+1)</f>
        <v/>
      </c>
      <c r="AK100" s="56">
        <f>$C100*INDEX(Curves!$G$8:$G$68,AK$4-$B100+1)</f>
        <v/>
      </c>
      <c r="AL100" s="56">
        <f>$C100*INDEX(Curves!$G$8:$G$68,AL$4-$B100+1)</f>
        <v/>
      </c>
      <c r="AM100" s="56">
        <f>$C100*INDEX(Curves!$G$8:$G$68,AM$4-$B100+1)</f>
        <v/>
      </c>
      <c r="AN100" s="56">
        <f>$C100*INDEX(Curves!$G$8:$G$68,AN$4-$B100+1)</f>
        <v/>
      </c>
      <c r="AO100" s="56">
        <f>$C100*INDEX(Curves!$G$8:$G$68,AO$4-$B100+1)</f>
        <v/>
      </c>
      <c r="AP100" s="56">
        <f>$C100*INDEX(Curves!$G$8:$G$68,AP$4-$B100+1)</f>
        <v/>
      </c>
      <c r="AQ100" s="56">
        <f>$C100*INDEX(Curves!$G$8:$G$68,AQ$4-$B100+1)</f>
        <v/>
      </c>
      <c r="AR100" s="56">
        <f>$C100*INDEX(Curves!$G$8:$G$68,AR$4-$B100+1)</f>
        <v/>
      </c>
      <c r="AS100" s="56">
        <f>$C100*INDEX(Curves!$G$8:$G$68,AS$4-$B100+1)</f>
        <v/>
      </c>
      <c r="AT100" s="56">
        <f>$C100*INDEX(Curves!$G$8:$G$68,AT$4-$B100+1)</f>
        <v/>
      </c>
      <c r="AU100" s="56">
        <f>$C100*INDEX(Curves!$G$8:$G$68,AU$4-$B100+1)</f>
        <v/>
      </c>
      <c r="AV100" s="56">
        <f>$C100*INDEX(Curves!$G$8:$G$68,AV$4-$B100+1)</f>
        <v/>
      </c>
      <c r="AW100" s="56">
        <f>$C100*INDEX(Curves!$G$8:$G$68,AW$4-$B100+1)</f>
        <v/>
      </c>
      <c r="AX100" s="56">
        <f>$C100*INDEX(Curves!$G$8:$G$68,AX$4-$B100+1)</f>
        <v/>
      </c>
      <c r="AY100" s="56">
        <f>$C100*INDEX(Curves!$G$8:$G$68,AY$4-$B100+1)</f>
        <v/>
      </c>
      <c r="AZ100" s="56">
        <f>$C100*INDEX(Curves!$G$8:$G$68,AZ$4-$B100+1)</f>
        <v/>
      </c>
      <c r="BA100" s="56">
        <f>$C100*INDEX(Curves!$G$8:$G$68,BA$4-$B100+1)</f>
        <v/>
      </c>
      <c r="BB100" s="56">
        <f>$C100*INDEX(Curves!$G$8:$G$68,BB$4-$B100+1)</f>
        <v/>
      </c>
      <c r="BC100" s="56">
        <f>$C100*INDEX(Curves!$G$8:$G$68,BC$4-$B100+1)</f>
        <v/>
      </c>
      <c r="BD100" s="56">
        <f>$C100*INDEX(Curves!$G$8:$G$68,BD$4-$B100+1)</f>
        <v/>
      </c>
      <c r="BE100" s="56">
        <f>$C100*INDEX(Curves!$G$8:$G$68,BE$4-$B100+1)</f>
        <v/>
      </c>
      <c r="BF100" s="56">
        <f>$C100*INDEX(Curves!$G$8:$G$68,BF$4-$B100+1)</f>
        <v/>
      </c>
      <c r="BG100" s="56">
        <f>$C100*INDEX(Curves!$G$8:$G$68,BG$4-$B100+1)</f>
        <v/>
      </c>
      <c r="BH100" s="56">
        <f>$C100*INDEX(Curves!$G$8:$G$68,BH$4-$B100+1)</f>
        <v/>
      </c>
      <c r="BI100" s="56">
        <f>$C100*INDEX(Curves!$G$8:$G$68,BI$4-$B100+1)</f>
        <v/>
      </c>
      <c r="BJ100" s="56">
        <f>$C100*INDEX(Curves!$G$8:$G$68,BJ$4-$B100+1)</f>
        <v/>
      </c>
      <c r="BK100" s="56">
        <f>$C100*INDEX(Curves!$G$8:$G$68,BK$4-$B100+1)</f>
        <v/>
      </c>
      <c r="BL100" s="56">
        <f>$C100*INDEX(Curves!$G$8:$G$68,BL$4-$B100+1)</f>
        <v/>
      </c>
    </row>
    <row r="101">
      <c r="A101" s="55" t="inlineStr">
        <is>
          <t>Cohort month 29</t>
        </is>
      </c>
      <c r="B101" s="55" t="n">
        <v>29</v>
      </c>
      <c r="C101" s="46">
        <f>INDEX(Ops!$E$9:$BL$9,1,$B101)</f>
        <v/>
      </c>
      <c r="AH101" s="56">
        <f>$C101*INDEX(Curves!$G$8:$G$68,AH$4-$B101+1)</f>
        <v/>
      </c>
      <c r="AI101" s="56">
        <f>$C101*INDEX(Curves!$G$8:$G$68,AI$4-$B101+1)</f>
        <v/>
      </c>
      <c r="AJ101" s="56">
        <f>$C101*INDEX(Curves!$G$8:$G$68,AJ$4-$B101+1)</f>
        <v/>
      </c>
      <c r="AK101" s="56">
        <f>$C101*INDEX(Curves!$G$8:$G$68,AK$4-$B101+1)</f>
        <v/>
      </c>
      <c r="AL101" s="56">
        <f>$C101*INDEX(Curves!$G$8:$G$68,AL$4-$B101+1)</f>
        <v/>
      </c>
      <c r="AM101" s="56">
        <f>$C101*INDEX(Curves!$G$8:$G$68,AM$4-$B101+1)</f>
        <v/>
      </c>
      <c r="AN101" s="56">
        <f>$C101*INDEX(Curves!$G$8:$G$68,AN$4-$B101+1)</f>
        <v/>
      </c>
      <c r="AO101" s="56">
        <f>$C101*INDEX(Curves!$G$8:$G$68,AO$4-$B101+1)</f>
        <v/>
      </c>
      <c r="AP101" s="56">
        <f>$C101*INDEX(Curves!$G$8:$G$68,AP$4-$B101+1)</f>
        <v/>
      </c>
      <c r="AQ101" s="56">
        <f>$C101*INDEX(Curves!$G$8:$G$68,AQ$4-$B101+1)</f>
        <v/>
      </c>
      <c r="AR101" s="56">
        <f>$C101*INDEX(Curves!$G$8:$G$68,AR$4-$B101+1)</f>
        <v/>
      </c>
      <c r="AS101" s="56">
        <f>$C101*INDEX(Curves!$G$8:$G$68,AS$4-$B101+1)</f>
        <v/>
      </c>
      <c r="AT101" s="56">
        <f>$C101*INDEX(Curves!$G$8:$G$68,AT$4-$B101+1)</f>
        <v/>
      </c>
      <c r="AU101" s="56">
        <f>$C101*INDEX(Curves!$G$8:$G$68,AU$4-$B101+1)</f>
        <v/>
      </c>
      <c r="AV101" s="56">
        <f>$C101*INDEX(Curves!$G$8:$G$68,AV$4-$B101+1)</f>
        <v/>
      </c>
      <c r="AW101" s="56">
        <f>$C101*INDEX(Curves!$G$8:$G$68,AW$4-$B101+1)</f>
        <v/>
      </c>
      <c r="AX101" s="56">
        <f>$C101*INDEX(Curves!$G$8:$G$68,AX$4-$B101+1)</f>
        <v/>
      </c>
      <c r="AY101" s="56">
        <f>$C101*INDEX(Curves!$G$8:$G$68,AY$4-$B101+1)</f>
        <v/>
      </c>
      <c r="AZ101" s="56">
        <f>$C101*INDEX(Curves!$G$8:$G$68,AZ$4-$B101+1)</f>
        <v/>
      </c>
      <c r="BA101" s="56">
        <f>$C101*INDEX(Curves!$G$8:$G$68,BA$4-$B101+1)</f>
        <v/>
      </c>
      <c r="BB101" s="56">
        <f>$C101*INDEX(Curves!$G$8:$G$68,BB$4-$B101+1)</f>
        <v/>
      </c>
      <c r="BC101" s="56">
        <f>$C101*INDEX(Curves!$G$8:$G$68,BC$4-$B101+1)</f>
        <v/>
      </c>
      <c r="BD101" s="56">
        <f>$C101*INDEX(Curves!$G$8:$G$68,BD$4-$B101+1)</f>
        <v/>
      </c>
      <c r="BE101" s="56">
        <f>$C101*INDEX(Curves!$G$8:$G$68,BE$4-$B101+1)</f>
        <v/>
      </c>
      <c r="BF101" s="56">
        <f>$C101*INDEX(Curves!$G$8:$G$68,BF$4-$B101+1)</f>
        <v/>
      </c>
      <c r="BG101" s="56">
        <f>$C101*INDEX(Curves!$G$8:$G$68,BG$4-$B101+1)</f>
        <v/>
      </c>
      <c r="BH101" s="56">
        <f>$C101*INDEX(Curves!$G$8:$G$68,BH$4-$B101+1)</f>
        <v/>
      </c>
      <c r="BI101" s="56">
        <f>$C101*INDEX(Curves!$G$8:$G$68,BI$4-$B101+1)</f>
        <v/>
      </c>
      <c r="BJ101" s="56">
        <f>$C101*INDEX(Curves!$G$8:$G$68,BJ$4-$B101+1)</f>
        <v/>
      </c>
      <c r="BK101" s="56">
        <f>$C101*INDEX(Curves!$G$8:$G$68,BK$4-$B101+1)</f>
        <v/>
      </c>
      <c r="BL101" s="56">
        <f>$C101*INDEX(Curves!$G$8:$G$68,BL$4-$B101+1)</f>
        <v/>
      </c>
    </row>
    <row r="102">
      <c r="A102" s="55" t="inlineStr">
        <is>
          <t>Cohort month 30</t>
        </is>
      </c>
      <c r="B102" s="55" t="n">
        <v>30</v>
      </c>
      <c r="C102" s="46">
        <f>INDEX(Ops!$E$9:$BL$9,1,$B102)</f>
        <v/>
      </c>
      <c r="AI102" s="56">
        <f>$C102*INDEX(Curves!$G$8:$G$68,AI$4-$B102+1)</f>
        <v/>
      </c>
      <c r="AJ102" s="56">
        <f>$C102*INDEX(Curves!$G$8:$G$68,AJ$4-$B102+1)</f>
        <v/>
      </c>
      <c r="AK102" s="56">
        <f>$C102*INDEX(Curves!$G$8:$G$68,AK$4-$B102+1)</f>
        <v/>
      </c>
      <c r="AL102" s="56">
        <f>$C102*INDEX(Curves!$G$8:$G$68,AL$4-$B102+1)</f>
        <v/>
      </c>
      <c r="AM102" s="56">
        <f>$C102*INDEX(Curves!$G$8:$G$68,AM$4-$B102+1)</f>
        <v/>
      </c>
      <c r="AN102" s="56">
        <f>$C102*INDEX(Curves!$G$8:$G$68,AN$4-$B102+1)</f>
        <v/>
      </c>
      <c r="AO102" s="56">
        <f>$C102*INDEX(Curves!$G$8:$G$68,AO$4-$B102+1)</f>
        <v/>
      </c>
      <c r="AP102" s="56">
        <f>$C102*INDEX(Curves!$G$8:$G$68,AP$4-$B102+1)</f>
        <v/>
      </c>
      <c r="AQ102" s="56">
        <f>$C102*INDEX(Curves!$G$8:$G$68,AQ$4-$B102+1)</f>
        <v/>
      </c>
      <c r="AR102" s="56">
        <f>$C102*INDEX(Curves!$G$8:$G$68,AR$4-$B102+1)</f>
        <v/>
      </c>
      <c r="AS102" s="56">
        <f>$C102*INDEX(Curves!$G$8:$G$68,AS$4-$B102+1)</f>
        <v/>
      </c>
      <c r="AT102" s="56">
        <f>$C102*INDEX(Curves!$G$8:$G$68,AT$4-$B102+1)</f>
        <v/>
      </c>
      <c r="AU102" s="56">
        <f>$C102*INDEX(Curves!$G$8:$G$68,AU$4-$B102+1)</f>
        <v/>
      </c>
      <c r="AV102" s="56">
        <f>$C102*INDEX(Curves!$G$8:$G$68,AV$4-$B102+1)</f>
        <v/>
      </c>
      <c r="AW102" s="56">
        <f>$C102*INDEX(Curves!$G$8:$G$68,AW$4-$B102+1)</f>
        <v/>
      </c>
      <c r="AX102" s="56">
        <f>$C102*INDEX(Curves!$G$8:$G$68,AX$4-$B102+1)</f>
        <v/>
      </c>
      <c r="AY102" s="56">
        <f>$C102*INDEX(Curves!$G$8:$G$68,AY$4-$B102+1)</f>
        <v/>
      </c>
      <c r="AZ102" s="56">
        <f>$C102*INDEX(Curves!$G$8:$G$68,AZ$4-$B102+1)</f>
        <v/>
      </c>
      <c r="BA102" s="56">
        <f>$C102*INDEX(Curves!$G$8:$G$68,BA$4-$B102+1)</f>
        <v/>
      </c>
      <c r="BB102" s="56">
        <f>$C102*INDEX(Curves!$G$8:$G$68,BB$4-$B102+1)</f>
        <v/>
      </c>
      <c r="BC102" s="56">
        <f>$C102*INDEX(Curves!$G$8:$G$68,BC$4-$B102+1)</f>
        <v/>
      </c>
      <c r="BD102" s="56">
        <f>$C102*INDEX(Curves!$G$8:$G$68,BD$4-$B102+1)</f>
        <v/>
      </c>
      <c r="BE102" s="56">
        <f>$C102*INDEX(Curves!$G$8:$G$68,BE$4-$B102+1)</f>
        <v/>
      </c>
      <c r="BF102" s="56">
        <f>$C102*INDEX(Curves!$G$8:$G$68,BF$4-$B102+1)</f>
        <v/>
      </c>
      <c r="BG102" s="56">
        <f>$C102*INDEX(Curves!$G$8:$G$68,BG$4-$B102+1)</f>
        <v/>
      </c>
      <c r="BH102" s="56">
        <f>$C102*INDEX(Curves!$G$8:$G$68,BH$4-$B102+1)</f>
        <v/>
      </c>
      <c r="BI102" s="56">
        <f>$C102*INDEX(Curves!$G$8:$G$68,BI$4-$B102+1)</f>
        <v/>
      </c>
      <c r="BJ102" s="56">
        <f>$C102*INDEX(Curves!$G$8:$G$68,BJ$4-$B102+1)</f>
        <v/>
      </c>
      <c r="BK102" s="56">
        <f>$C102*INDEX(Curves!$G$8:$G$68,BK$4-$B102+1)</f>
        <v/>
      </c>
      <c r="BL102" s="56">
        <f>$C102*INDEX(Curves!$G$8:$G$68,BL$4-$B102+1)</f>
        <v/>
      </c>
    </row>
    <row r="103">
      <c r="A103" s="55" t="inlineStr">
        <is>
          <t>Cohort month 31</t>
        </is>
      </c>
      <c r="B103" s="55" t="n">
        <v>31</v>
      </c>
      <c r="C103" s="46">
        <f>INDEX(Ops!$E$9:$BL$9,1,$B103)</f>
        <v/>
      </c>
      <c r="AJ103" s="56">
        <f>$C103*INDEX(Curves!$G$8:$G$68,AJ$4-$B103+1)</f>
        <v/>
      </c>
      <c r="AK103" s="56">
        <f>$C103*INDEX(Curves!$G$8:$G$68,AK$4-$B103+1)</f>
        <v/>
      </c>
      <c r="AL103" s="56">
        <f>$C103*INDEX(Curves!$G$8:$G$68,AL$4-$B103+1)</f>
        <v/>
      </c>
      <c r="AM103" s="56">
        <f>$C103*INDEX(Curves!$G$8:$G$68,AM$4-$B103+1)</f>
        <v/>
      </c>
      <c r="AN103" s="56">
        <f>$C103*INDEX(Curves!$G$8:$G$68,AN$4-$B103+1)</f>
        <v/>
      </c>
      <c r="AO103" s="56">
        <f>$C103*INDEX(Curves!$G$8:$G$68,AO$4-$B103+1)</f>
        <v/>
      </c>
      <c r="AP103" s="56">
        <f>$C103*INDEX(Curves!$G$8:$G$68,AP$4-$B103+1)</f>
        <v/>
      </c>
      <c r="AQ103" s="56">
        <f>$C103*INDEX(Curves!$G$8:$G$68,AQ$4-$B103+1)</f>
        <v/>
      </c>
      <c r="AR103" s="56">
        <f>$C103*INDEX(Curves!$G$8:$G$68,AR$4-$B103+1)</f>
        <v/>
      </c>
      <c r="AS103" s="56">
        <f>$C103*INDEX(Curves!$G$8:$G$68,AS$4-$B103+1)</f>
        <v/>
      </c>
      <c r="AT103" s="56">
        <f>$C103*INDEX(Curves!$G$8:$G$68,AT$4-$B103+1)</f>
        <v/>
      </c>
      <c r="AU103" s="56">
        <f>$C103*INDEX(Curves!$G$8:$G$68,AU$4-$B103+1)</f>
        <v/>
      </c>
      <c r="AV103" s="56">
        <f>$C103*INDEX(Curves!$G$8:$G$68,AV$4-$B103+1)</f>
        <v/>
      </c>
      <c r="AW103" s="56">
        <f>$C103*INDEX(Curves!$G$8:$G$68,AW$4-$B103+1)</f>
        <v/>
      </c>
      <c r="AX103" s="56">
        <f>$C103*INDEX(Curves!$G$8:$G$68,AX$4-$B103+1)</f>
        <v/>
      </c>
      <c r="AY103" s="56">
        <f>$C103*INDEX(Curves!$G$8:$G$68,AY$4-$B103+1)</f>
        <v/>
      </c>
      <c r="AZ103" s="56">
        <f>$C103*INDEX(Curves!$G$8:$G$68,AZ$4-$B103+1)</f>
        <v/>
      </c>
      <c r="BA103" s="56">
        <f>$C103*INDEX(Curves!$G$8:$G$68,BA$4-$B103+1)</f>
        <v/>
      </c>
      <c r="BB103" s="56">
        <f>$C103*INDEX(Curves!$G$8:$G$68,BB$4-$B103+1)</f>
        <v/>
      </c>
      <c r="BC103" s="56">
        <f>$C103*INDEX(Curves!$G$8:$G$68,BC$4-$B103+1)</f>
        <v/>
      </c>
      <c r="BD103" s="56">
        <f>$C103*INDEX(Curves!$G$8:$G$68,BD$4-$B103+1)</f>
        <v/>
      </c>
      <c r="BE103" s="56">
        <f>$C103*INDEX(Curves!$G$8:$G$68,BE$4-$B103+1)</f>
        <v/>
      </c>
      <c r="BF103" s="56">
        <f>$C103*INDEX(Curves!$G$8:$G$68,BF$4-$B103+1)</f>
        <v/>
      </c>
      <c r="BG103" s="56">
        <f>$C103*INDEX(Curves!$G$8:$G$68,BG$4-$B103+1)</f>
        <v/>
      </c>
      <c r="BH103" s="56">
        <f>$C103*INDEX(Curves!$G$8:$G$68,BH$4-$B103+1)</f>
        <v/>
      </c>
      <c r="BI103" s="56">
        <f>$C103*INDEX(Curves!$G$8:$G$68,BI$4-$B103+1)</f>
        <v/>
      </c>
      <c r="BJ103" s="56">
        <f>$C103*INDEX(Curves!$G$8:$G$68,BJ$4-$B103+1)</f>
        <v/>
      </c>
      <c r="BK103" s="56">
        <f>$C103*INDEX(Curves!$G$8:$G$68,BK$4-$B103+1)</f>
        <v/>
      </c>
      <c r="BL103" s="56">
        <f>$C103*INDEX(Curves!$G$8:$G$68,BL$4-$B103+1)</f>
        <v/>
      </c>
    </row>
    <row r="104">
      <c r="A104" s="55" t="inlineStr">
        <is>
          <t>Cohort month 32</t>
        </is>
      </c>
      <c r="B104" s="55" t="n">
        <v>32</v>
      </c>
      <c r="C104" s="46">
        <f>INDEX(Ops!$E$9:$BL$9,1,$B104)</f>
        <v/>
      </c>
      <c r="AK104" s="56">
        <f>$C104*INDEX(Curves!$G$8:$G$68,AK$4-$B104+1)</f>
        <v/>
      </c>
      <c r="AL104" s="56">
        <f>$C104*INDEX(Curves!$G$8:$G$68,AL$4-$B104+1)</f>
        <v/>
      </c>
      <c r="AM104" s="56">
        <f>$C104*INDEX(Curves!$G$8:$G$68,AM$4-$B104+1)</f>
        <v/>
      </c>
      <c r="AN104" s="56">
        <f>$C104*INDEX(Curves!$G$8:$G$68,AN$4-$B104+1)</f>
        <v/>
      </c>
      <c r="AO104" s="56">
        <f>$C104*INDEX(Curves!$G$8:$G$68,AO$4-$B104+1)</f>
        <v/>
      </c>
      <c r="AP104" s="56">
        <f>$C104*INDEX(Curves!$G$8:$G$68,AP$4-$B104+1)</f>
        <v/>
      </c>
      <c r="AQ104" s="56">
        <f>$C104*INDEX(Curves!$G$8:$G$68,AQ$4-$B104+1)</f>
        <v/>
      </c>
      <c r="AR104" s="56">
        <f>$C104*INDEX(Curves!$G$8:$G$68,AR$4-$B104+1)</f>
        <v/>
      </c>
      <c r="AS104" s="56">
        <f>$C104*INDEX(Curves!$G$8:$G$68,AS$4-$B104+1)</f>
        <v/>
      </c>
      <c r="AT104" s="56">
        <f>$C104*INDEX(Curves!$G$8:$G$68,AT$4-$B104+1)</f>
        <v/>
      </c>
      <c r="AU104" s="56">
        <f>$C104*INDEX(Curves!$G$8:$G$68,AU$4-$B104+1)</f>
        <v/>
      </c>
      <c r="AV104" s="56">
        <f>$C104*INDEX(Curves!$G$8:$G$68,AV$4-$B104+1)</f>
        <v/>
      </c>
      <c r="AW104" s="56">
        <f>$C104*INDEX(Curves!$G$8:$G$68,AW$4-$B104+1)</f>
        <v/>
      </c>
      <c r="AX104" s="56">
        <f>$C104*INDEX(Curves!$G$8:$G$68,AX$4-$B104+1)</f>
        <v/>
      </c>
      <c r="AY104" s="56">
        <f>$C104*INDEX(Curves!$G$8:$G$68,AY$4-$B104+1)</f>
        <v/>
      </c>
      <c r="AZ104" s="56">
        <f>$C104*INDEX(Curves!$G$8:$G$68,AZ$4-$B104+1)</f>
        <v/>
      </c>
      <c r="BA104" s="56">
        <f>$C104*INDEX(Curves!$G$8:$G$68,BA$4-$B104+1)</f>
        <v/>
      </c>
      <c r="BB104" s="56">
        <f>$C104*INDEX(Curves!$G$8:$G$68,BB$4-$B104+1)</f>
        <v/>
      </c>
      <c r="BC104" s="56">
        <f>$C104*INDEX(Curves!$G$8:$G$68,BC$4-$B104+1)</f>
        <v/>
      </c>
      <c r="BD104" s="56">
        <f>$C104*INDEX(Curves!$G$8:$G$68,BD$4-$B104+1)</f>
        <v/>
      </c>
      <c r="BE104" s="56">
        <f>$C104*INDEX(Curves!$G$8:$G$68,BE$4-$B104+1)</f>
        <v/>
      </c>
      <c r="BF104" s="56">
        <f>$C104*INDEX(Curves!$G$8:$G$68,BF$4-$B104+1)</f>
        <v/>
      </c>
      <c r="BG104" s="56">
        <f>$C104*INDEX(Curves!$G$8:$G$68,BG$4-$B104+1)</f>
        <v/>
      </c>
      <c r="BH104" s="56">
        <f>$C104*INDEX(Curves!$G$8:$G$68,BH$4-$B104+1)</f>
        <v/>
      </c>
      <c r="BI104" s="56">
        <f>$C104*INDEX(Curves!$G$8:$G$68,BI$4-$B104+1)</f>
        <v/>
      </c>
      <c r="BJ104" s="56">
        <f>$C104*INDEX(Curves!$G$8:$G$68,BJ$4-$B104+1)</f>
        <v/>
      </c>
      <c r="BK104" s="56">
        <f>$C104*INDEX(Curves!$G$8:$G$68,BK$4-$B104+1)</f>
        <v/>
      </c>
      <c r="BL104" s="56">
        <f>$C104*INDEX(Curves!$G$8:$G$68,BL$4-$B104+1)</f>
        <v/>
      </c>
    </row>
    <row r="105">
      <c r="A105" s="55" t="inlineStr">
        <is>
          <t>Cohort month 33</t>
        </is>
      </c>
      <c r="B105" s="55" t="n">
        <v>33</v>
      </c>
      <c r="C105" s="46">
        <f>INDEX(Ops!$E$9:$BL$9,1,$B105)</f>
        <v/>
      </c>
      <c r="AL105" s="56">
        <f>$C105*INDEX(Curves!$G$8:$G$68,AL$4-$B105+1)</f>
        <v/>
      </c>
      <c r="AM105" s="56">
        <f>$C105*INDEX(Curves!$G$8:$G$68,AM$4-$B105+1)</f>
        <v/>
      </c>
      <c r="AN105" s="56">
        <f>$C105*INDEX(Curves!$G$8:$G$68,AN$4-$B105+1)</f>
        <v/>
      </c>
      <c r="AO105" s="56">
        <f>$C105*INDEX(Curves!$G$8:$G$68,AO$4-$B105+1)</f>
        <v/>
      </c>
      <c r="AP105" s="56">
        <f>$C105*INDEX(Curves!$G$8:$G$68,AP$4-$B105+1)</f>
        <v/>
      </c>
      <c r="AQ105" s="56">
        <f>$C105*INDEX(Curves!$G$8:$G$68,AQ$4-$B105+1)</f>
        <v/>
      </c>
      <c r="AR105" s="56">
        <f>$C105*INDEX(Curves!$G$8:$G$68,AR$4-$B105+1)</f>
        <v/>
      </c>
      <c r="AS105" s="56">
        <f>$C105*INDEX(Curves!$G$8:$G$68,AS$4-$B105+1)</f>
        <v/>
      </c>
      <c r="AT105" s="56">
        <f>$C105*INDEX(Curves!$G$8:$G$68,AT$4-$B105+1)</f>
        <v/>
      </c>
      <c r="AU105" s="56">
        <f>$C105*INDEX(Curves!$G$8:$G$68,AU$4-$B105+1)</f>
        <v/>
      </c>
      <c r="AV105" s="56">
        <f>$C105*INDEX(Curves!$G$8:$G$68,AV$4-$B105+1)</f>
        <v/>
      </c>
      <c r="AW105" s="56">
        <f>$C105*INDEX(Curves!$G$8:$G$68,AW$4-$B105+1)</f>
        <v/>
      </c>
      <c r="AX105" s="56">
        <f>$C105*INDEX(Curves!$G$8:$G$68,AX$4-$B105+1)</f>
        <v/>
      </c>
      <c r="AY105" s="56">
        <f>$C105*INDEX(Curves!$G$8:$G$68,AY$4-$B105+1)</f>
        <v/>
      </c>
      <c r="AZ105" s="56">
        <f>$C105*INDEX(Curves!$G$8:$G$68,AZ$4-$B105+1)</f>
        <v/>
      </c>
      <c r="BA105" s="56">
        <f>$C105*INDEX(Curves!$G$8:$G$68,BA$4-$B105+1)</f>
        <v/>
      </c>
      <c r="BB105" s="56">
        <f>$C105*INDEX(Curves!$G$8:$G$68,BB$4-$B105+1)</f>
        <v/>
      </c>
      <c r="BC105" s="56">
        <f>$C105*INDEX(Curves!$G$8:$G$68,BC$4-$B105+1)</f>
        <v/>
      </c>
      <c r="BD105" s="56">
        <f>$C105*INDEX(Curves!$G$8:$G$68,BD$4-$B105+1)</f>
        <v/>
      </c>
      <c r="BE105" s="56">
        <f>$C105*INDEX(Curves!$G$8:$G$68,BE$4-$B105+1)</f>
        <v/>
      </c>
      <c r="BF105" s="56">
        <f>$C105*INDEX(Curves!$G$8:$G$68,BF$4-$B105+1)</f>
        <v/>
      </c>
      <c r="BG105" s="56">
        <f>$C105*INDEX(Curves!$G$8:$G$68,BG$4-$B105+1)</f>
        <v/>
      </c>
      <c r="BH105" s="56">
        <f>$C105*INDEX(Curves!$G$8:$G$68,BH$4-$B105+1)</f>
        <v/>
      </c>
      <c r="BI105" s="56">
        <f>$C105*INDEX(Curves!$G$8:$G$68,BI$4-$B105+1)</f>
        <v/>
      </c>
      <c r="BJ105" s="56">
        <f>$C105*INDEX(Curves!$G$8:$G$68,BJ$4-$B105+1)</f>
        <v/>
      </c>
      <c r="BK105" s="56">
        <f>$C105*INDEX(Curves!$G$8:$G$68,BK$4-$B105+1)</f>
        <v/>
      </c>
      <c r="BL105" s="56">
        <f>$C105*INDEX(Curves!$G$8:$G$68,BL$4-$B105+1)</f>
        <v/>
      </c>
    </row>
    <row r="106">
      <c r="A106" s="55" t="inlineStr">
        <is>
          <t>Cohort month 34</t>
        </is>
      </c>
      <c r="B106" s="55" t="n">
        <v>34</v>
      </c>
      <c r="C106" s="46">
        <f>INDEX(Ops!$E$9:$BL$9,1,$B106)</f>
        <v/>
      </c>
      <c r="AM106" s="56">
        <f>$C106*INDEX(Curves!$G$8:$G$68,AM$4-$B106+1)</f>
        <v/>
      </c>
      <c r="AN106" s="56">
        <f>$C106*INDEX(Curves!$G$8:$G$68,AN$4-$B106+1)</f>
        <v/>
      </c>
      <c r="AO106" s="56">
        <f>$C106*INDEX(Curves!$G$8:$G$68,AO$4-$B106+1)</f>
        <v/>
      </c>
      <c r="AP106" s="56">
        <f>$C106*INDEX(Curves!$G$8:$G$68,AP$4-$B106+1)</f>
        <v/>
      </c>
      <c r="AQ106" s="56">
        <f>$C106*INDEX(Curves!$G$8:$G$68,AQ$4-$B106+1)</f>
        <v/>
      </c>
      <c r="AR106" s="56">
        <f>$C106*INDEX(Curves!$G$8:$G$68,AR$4-$B106+1)</f>
        <v/>
      </c>
      <c r="AS106" s="56">
        <f>$C106*INDEX(Curves!$G$8:$G$68,AS$4-$B106+1)</f>
        <v/>
      </c>
      <c r="AT106" s="56">
        <f>$C106*INDEX(Curves!$G$8:$G$68,AT$4-$B106+1)</f>
        <v/>
      </c>
      <c r="AU106" s="56">
        <f>$C106*INDEX(Curves!$G$8:$G$68,AU$4-$B106+1)</f>
        <v/>
      </c>
      <c r="AV106" s="56">
        <f>$C106*INDEX(Curves!$G$8:$G$68,AV$4-$B106+1)</f>
        <v/>
      </c>
      <c r="AW106" s="56">
        <f>$C106*INDEX(Curves!$G$8:$G$68,AW$4-$B106+1)</f>
        <v/>
      </c>
      <c r="AX106" s="56">
        <f>$C106*INDEX(Curves!$G$8:$G$68,AX$4-$B106+1)</f>
        <v/>
      </c>
      <c r="AY106" s="56">
        <f>$C106*INDEX(Curves!$G$8:$G$68,AY$4-$B106+1)</f>
        <v/>
      </c>
      <c r="AZ106" s="56">
        <f>$C106*INDEX(Curves!$G$8:$G$68,AZ$4-$B106+1)</f>
        <v/>
      </c>
      <c r="BA106" s="56">
        <f>$C106*INDEX(Curves!$G$8:$G$68,BA$4-$B106+1)</f>
        <v/>
      </c>
      <c r="BB106" s="56">
        <f>$C106*INDEX(Curves!$G$8:$G$68,BB$4-$B106+1)</f>
        <v/>
      </c>
      <c r="BC106" s="56">
        <f>$C106*INDEX(Curves!$G$8:$G$68,BC$4-$B106+1)</f>
        <v/>
      </c>
      <c r="BD106" s="56">
        <f>$C106*INDEX(Curves!$G$8:$G$68,BD$4-$B106+1)</f>
        <v/>
      </c>
      <c r="BE106" s="56">
        <f>$C106*INDEX(Curves!$G$8:$G$68,BE$4-$B106+1)</f>
        <v/>
      </c>
      <c r="BF106" s="56">
        <f>$C106*INDEX(Curves!$G$8:$G$68,BF$4-$B106+1)</f>
        <v/>
      </c>
      <c r="BG106" s="56">
        <f>$C106*INDEX(Curves!$G$8:$G$68,BG$4-$B106+1)</f>
        <v/>
      </c>
      <c r="BH106" s="56">
        <f>$C106*INDEX(Curves!$G$8:$G$68,BH$4-$B106+1)</f>
        <v/>
      </c>
      <c r="BI106" s="56">
        <f>$C106*INDEX(Curves!$G$8:$G$68,BI$4-$B106+1)</f>
        <v/>
      </c>
      <c r="BJ106" s="56">
        <f>$C106*INDEX(Curves!$G$8:$G$68,BJ$4-$B106+1)</f>
        <v/>
      </c>
      <c r="BK106" s="56">
        <f>$C106*INDEX(Curves!$G$8:$G$68,BK$4-$B106+1)</f>
        <v/>
      </c>
      <c r="BL106" s="56">
        <f>$C106*INDEX(Curves!$G$8:$G$68,BL$4-$B106+1)</f>
        <v/>
      </c>
    </row>
    <row r="107">
      <c r="A107" s="55" t="inlineStr">
        <is>
          <t>Cohort month 35</t>
        </is>
      </c>
      <c r="B107" s="55" t="n">
        <v>35</v>
      </c>
      <c r="C107" s="46">
        <f>INDEX(Ops!$E$9:$BL$9,1,$B107)</f>
        <v/>
      </c>
      <c r="AN107" s="56">
        <f>$C107*INDEX(Curves!$G$8:$G$68,AN$4-$B107+1)</f>
        <v/>
      </c>
      <c r="AO107" s="56">
        <f>$C107*INDEX(Curves!$G$8:$G$68,AO$4-$B107+1)</f>
        <v/>
      </c>
      <c r="AP107" s="56">
        <f>$C107*INDEX(Curves!$G$8:$G$68,AP$4-$B107+1)</f>
        <v/>
      </c>
      <c r="AQ107" s="56">
        <f>$C107*INDEX(Curves!$G$8:$G$68,AQ$4-$B107+1)</f>
        <v/>
      </c>
      <c r="AR107" s="56">
        <f>$C107*INDEX(Curves!$G$8:$G$68,AR$4-$B107+1)</f>
        <v/>
      </c>
      <c r="AS107" s="56">
        <f>$C107*INDEX(Curves!$G$8:$G$68,AS$4-$B107+1)</f>
        <v/>
      </c>
      <c r="AT107" s="56">
        <f>$C107*INDEX(Curves!$G$8:$G$68,AT$4-$B107+1)</f>
        <v/>
      </c>
      <c r="AU107" s="56">
        <f>$C107*INDEX(Curves!$G$8:$G$68,AU$4-$B107+1)</f>
        <v/>
      </c>
      <c r="AV107" s="56">
        <f>$C107*INDEX(Curves!$G$8:$G$68,AV$4-$B107+1)</f>
        <v/>
      </c>
      <c r="AW107" s="56">
        <f>$C107*INDEX(Curves!$G$8:$G$68,AW$4-$B107+1)</f>
        <v/>
      </c>
      <c r="AX107" s="56">
        <f>$C107*INDEX(Curves!$G$8:$G$68,AX$4-$B107+1)</f>
        <v/>
      </c>
      <c r="AY107" s="56">
        <f>$C107*INDEX(Curves!$G$8:$G$68,AY$4-$B107+1)</f>
        <v/>
      </c>
      <c r="AZ107" s="56">
        <f>$C107*INDEX(Curves!$G$8:$G$68,AZ$4-$B107+1)</f>
        <v/>
      </c>
      <c r="BA107" s="56">
        <f>$C107*INDEX(Curves!$G$8:$G$68,BA$4-$B107+1)</f>
        <v/>
      </c>
      <c r="BB107" s="56">
        <f>$C107*INDEX(Curves!$G$8:$G$68,BB$4-$B107+1)</f>
        <v/>
      </c>
      <c r="BC107" s="56">
        <f>$C107*INDEX(Curves!$G$8:$G$68,BC$4-$B107+1)</f>
        <v/>
      </c>
      <c r="BD107" s="56">
        <f>$C107*INDEX(Curves!$G$8:$G$68,BD$4-$B107+1)</f>
        <v/>
      </c>
      <c r="BE107" s="56">
        <f>$C107*INDEX(Curves!$G$8:$G$68,BE$4-$B107+1)</f>
        <v/>
      </c>
      <c r="BF107" s="56">
        <f>$C107*INDEX(Curves!$G$8:$G$68,BF$4-$B107+1)</f>
        <v/>
      </c>
      <c r="BG107" s="56">
        <f>$C107*INDEX(Curves!$G$8:$G$68,BG$4-$B107+1)</f>
        <v/>
      </c>
      <c r="BH107" s="56">
        <f>$C107*INDEX(Curves!$G$8:$G$68,BH$4-$B107+1)</f>
        <v/>
      </c>
      <c r="BI107" s="56">
        <f>$C107*INDEX(Curves!$G$8:$G$68,BI$4-$B107+1)</f>
        <v/>
      </c>
      <c r="BJ107" s="56">
        <f>$C107*INDEX(Curves!$G$8:$G$68,BJ$4-$B107+1)</f>
        <v/>
      </c>
      <c r="BK107" s="56">
        <f>$C107*INDEX(Curves!$G$8:$G$68,BK$4-$B107+1)</f>
        <v/>
      </c>
      <c r="BL107" s="56">
        <f>$C107*INDEX(Curves!$G$8:$G$68,BL$4-$B107+1)</f>
        <v/>
      </c>
    </row>
    <row r="108">
      <c r="A108" s="55" t="inlineStr">
        <is>
          <t>Cohort month 36</t>
        </is>
      </c>
      <c r="B108" s="55" t="n">
        <v>36</v>
      </c>
      <c r="C108" s="46">
        <f>INDEX(Ops!$E$9:$BL$9,1,$B108)</f>
        <v/>
      </c>
      <c r="AO108" s="56">
        <f>$C108*INDEX(Curves!$G$8:$G$68,AO$4-$B108+1)</f>
        <v/>
      </c>
      <c r="AP108" s="56">
        <f>$C108*INDEX(Curves!$G$8:$G$68,AP$4-$B108+1)</f>
        <v/>
      </c>
      <c r="AQ108" s="56">
        <f>$C108*INDEX(Curves!$G$8:$G$68,AQ$4-$B108+1)</f>
        <v/>
      </c>
      <c r="AR108" s="56">
        <f>$C108*INDEX(Curves!$G$8:$G$68,AR$4-$B108+1)</f>
        <v/>
      </c>
      <c r="AS108" s="56">
        <f>$C108*INDEX(Curves!$G$8:$G$68,AS$4-$B108+1)</f>
        <v/>
      </c>
      <c r="AT108" s="56">
        <f>$C108*INDEX(Curves!$G$8:$G$68,AT$4-$B108+1)</f>
        <v/>
      </c>
      <c r="AU108" s="56">
        <f>$C108*INDEX(Curves!$G$8:$G$68,AU$4-$B108+1)</f>
        <v/>
      </c>
      <c r="AV108" s="56">
        <f>$C108*INDEX(Curves!$G$8:$G$68,AV$4-$B108+1)</f>
        <v/>
      </c>
      <c r="AW108" s="56">
        <f>$C108*INDEX(Curves!$G$8:$G$68,AW$4-$B108+1)</f>
        <v/>
      </c>
      <c r="AX108" s="56">
        <f>$C108*INDEX(Curves!$G$8:$G$68,AX$4-$B108+1)</f>
        <v/>
      </c>
      <c r="AY108" s="56">
        <f>$C108*INDEX(Curves!$G$8:$G$68,AY$4-$B108+1)</f>
        <v/>
      </c>
      <c r="AZ108" s="56">
        <f>$C108*INDEX(Curves!$G$8:$G$68,AZ$4-$B108+1)</f>
        <v/>
      </c>
      <c r="BA108" s="56">
        <f>$C108*INDEX(Curves!$G$8:$G$68,BA$4-$B108+1)</f>
        <v/>
      </c>
      <c r="BB108" s="56">
        <f>$C108*INDEX(Curves!$G$8:$G$68,BB$4-$B108+1)</f>
        <v/>
      </c>
      <c r="BC108" s="56">
        <f>$C108*INDEX(Curves!$G$8:$G$68,BC$4-$B108+1)</f>
        <v/>
      </c>
      <c r="BD108" s="56">
        <f>$C108*INDEX(Curves!$G$8:$G$68,BD$4-$B108+1)</f>
        <v/>
      </c>
      <c r="BE108" s="56">
        <f>$C108*INDEX(Curves!$G$8:$G$68,BE$4-$B108+1)</f>
        <v/>
      </c>
      <c r="BF108" s="56">
        <f>$C108*INDEX(Curves!$G$8:$G$68,BF$4-$B108+1)</f>
        <v/>
      </c>
      <c r="BG108" s="56">
        <f>$C108*INDEX(Curves!$G$8:$G$68,BG$4-$B108+1)</f>
        <v/>
      </c>
      <c r="BH108" s="56">
        <f>$C108*INDEX(Curves!$G$8:$G$68,BH$4-$B108+1)</f>
        <v/>
      </c>
      <c r="BI108" s="56">
        <f>$C108*INDEX(Curves!$G$8:$G$68,BI$4-$B108+1)</f>
        <v/>
      </c>
      <c r="BJ108" s="56">
        <f>$C108*INDEX(Curves!$G$8:$G$68,BJ$4-$B108+1)</f>
        <v/>
      </c>
      <c r="BK108" s="56">
        <f>$C108*INDEX(Curves!$G$8:$G$68,BK$4-$B108+1)</f>
        <v/>
      </c>
      <c r="BL108" s="56">
        <f>$C108*INDEX(Curves!$G$8:$G$68,BL$4-$B108+1)</f>
        <v/>
      </c>
    </row>
    <row r="109">
      <c r="A109" s="55" t="inlineStr">
        <is>
          <t>Cohort month 37</t>
        </is>
      </c>
      <c r="B109" s="55" t="n">
        <v>37</v>
      </c>
      <c r="C109" s="46">
        <f>INDEX(Ops!$E$9:$BL$9,1,$B109)</f>
        <v/>
      </c>
      <c r="AP109" s="56">
        <f>$C109*INDEX(Curves!$G$8:$G$68,AP$4-$B109+1)</f>
        <v/>
      </c>
      <c r="AQ109" s="56">
        <f>$C109*INDEX(Curves!$G$8:$G$68,AQ$4-$B109+1)</f>
        <v/>
      </c>
      <c r="AR109" s="56">
        <f>$C109*INDEX(Curves!$G$8:$G$68,AR$4-$B109+1)</f>
        <v/>
      </c>
      <c r="AS109" s="56">
        <f>$C109*INDEX(Curves!$G$8:$G$68,AS$4-$B109+1)</f>
        <v/>
      </c>
      <c r="AT109" s="56">
        <f>$C109*INDEX(Curves!$G$8:$G$68,AT$4-$B109+1)</f>
        <v/>
      </c>
      <c r="AU109" s="56">
        <f>$C109*INDEX(Curves!$G$8:$G$68,AU$4-$B109+1)</f>
        <v/>
      </c>
      <c r="AV109" s="56">
        <f>$C109*INDEX(Curves!$G$8:$G$68,AV$4-$B109+1)</f>
        <v/>
      </c>
      <c r="AW109" s="56">
        <f>$C109*INDEX(Curves!$G$8:$G$68,AW$4-$B109+1)</f>
        <v/>
      </c>
      <c r="AX109" s="56">
        <f>$C109*INDEX(Curves!$G$8:$G$68,AX$4-$B109+1)</f>
        <v/>
      </c>
      <c r="AY109" s="56">
        <f>$C109*INDEX(Curves!$G$8:$G$68,AY$4-$B109+1)</f>
        <v/>
      </c>
      <c r="AZ109" s="56">
        <f>$C109*INDEX(Curves!$G$8:$G$68,AZ$4-$B109+1)</f>
        <v/>
      </c>
      <c r="BA109" s="56">
        <f>$C109*INDEX(Curves!$G$8:$G$68,BA$4-$B109+1)</f>
        <v/>
      </c>
      <c r="BB109" s="56">
        <f>$C109*INDEX(Curves!$G$8:$G$68,BB$4-$B109+1)</f>
        <v/>
      </c>
      <c r="BC109" s="56">
        <f>$C109*INDEX(Curves!$G$8:$G$68,BC$4-$B109+1)</f>
        <v/>
      </c>
      <c r="BD109" s="56">
        <f>$C109*INDEX(Curves!$G$8:$G$68,BD$4-$B109+1)</f>
        <v/>
      </c>
      <c r="BE109" s="56">
        <f>$C109*INDEX(Curves!$G$8:$G$68,BE$4-$B109+1)</f>
        <v/>
      </c>
      <c r="BF109" s="56">
        <f>$C109*INDEX(Curves!$G$8:$G$68,BF$4-$B109+1)</f>
        <v/>
      </c>
      <c r="BG109" s="56">
        <f>$C109*INDEX(Curves!$G$8:$G$68,BG$4-$B109+1)</f>
        <v/>
      </c>
      <c r="BH109" s="56">
        <f>$C109*INDEX(Curves!$G$8:$G$68,BH$4-$B109+1)</f>
        <v/>
      </c>
      <c r="BI109" s="56">
        <f>$C109*INDEX(Curves!$G$8:$G$68,BI$4-$B109+1)</f>
        <v/>
      </c>
      <c r="BJ109" s="56">
        <f>$C109*INDEX(Curves!$G$8:$G$68,BJ$4-$B109+1)</f>
        <v/>
      </c>
      <c r="BK109" s="56">
        <f>$C109*INDEX(Curves!$G$8:$G$68,BK$4-$B109+1)</f>
        <v/>
      </c>
      <c r="BL109" s="56">
        <f>$C109*INDEX(Curves!$G$8:$G$68,BL$4-$B109+1)</f>
        <v/>
      </c>
    </row>
    <row r="110">
      <c r="A110" s="55" t="inlineStr">
        <is>
          <t>Cohort month 38</t>
        </is>
      </c>
      <c r="B110" s="55" t="n">
        <v>38</v>
      </c>
      <c r="C110" s="46">
        <f>INDEX(Ops!$E$9:$BL$9,1,$B110)</f>
        <v/>
      </c>
      <c r="AQ110" s="56">
        <f>$C110*INDEX(Curves!$G$8:$G$68,AQ$4-$B110+1)</f>
        <v/>
      </c>
      <c r="AR110" s="56">
        <f>$C110*INDEX(Curves!$G$8:$G$68,AR$4-$B110+1)</f>
        <v/>
      </c>
      <c r="AS110" s="56">
        <f>$C110*INDEX(Curves!$G$8:$G$68,AS$4-$B110+1)</f>
        <v/>
      </c>
      <c r="AT110" s="56">
        <f>$C110*INDEX(Curves!$G$8:$G$68,AT$4-$B110+1)</f>
        <v/>
      </c>
      <c r="AU110" s="56">
        <f>$C110*INDEX(Curves!$G$8:$G$68,AU$4-$B110+1)</f>
        <v/>
      </c>
      <c r="AV110" s="56">
        <f>$C110*INDEX(Curves!$G$8:$G$68,AV$4-$B110+1)</f>
        <v/>
      </c>
      <c r="AW110" s="56">
        <f>$C110*INDEX(Curves!$G$8:$G$68,AW$4-$B110+1)</f>
        <v/>
      </c>
      <c r="AX110" s="56">
        <f>$C110*INDEX(Curves!$G$8:$G$68,AX$4-$B110+1)</f>
        <v/>
      </c>
      <c r="AY110" s="56">
        <f>$C110*INDEX(Curves!$G$8:$G$68,AY$4-$B110+1)</f>
        <v/>
      </c>
      <c r="AZ110" s="56">
        <f>$C110*INDEX(Curves!$G$8:$G$68,AZ$4-$B110+1)</f>
        <v/>
      </c>
      <c r="BA110" s="56">
        <f>$C110*INDEX(Curves!$G$8:$G$68,BA$4-$B110+1)</f>
        <v/>
      </c>
      <c r="BB110" s="56">
        <f>$C110*INDEX(Curves!$G$8:$G$68,BB$4-$B110+1)</f>
        <v/>
      </c>
      <c r="BC110" s="56">
        <f>$C110*INDEX(Curves!$G$8:$G$68,BC$4-$B110+1)</f>
        <v/>
      </c>
      <c r="BD110" s="56">
        <f>$C110*INDEX(Curves!$G$8:$G$68,BD$4-$B110+1)</f>
        <v/>
      </c>
      <c r="BE110" s="56">
        <f>$C110*INDEX(Curves!$G$8:$G$68,BE$4-$B110+1)</f>
        <v/>
      </c>
      <c r="BF110" s="56">
        <f>$C110*INDEX(Curves!$G$8:$G$68,BF$4-$B110+1)</f>
        <v/>
      </c>
      <c r="BG110" s="56">
        <f>$C110*INDEX(Curves!$G$8:$G$68,BG$4-$B110+1)</f>
        <v/>
      </c>
      <c r="BH110" s="56">
        <f>$C110*INDEX(Curves!$G$8:$G$68,BH$4-$B110+1)</f>
        <v/>
      </c>
      <c r="BI110" s="56">
        <f>$C110*INDEX(Curves!$G$8:$G$68,BI$4-$B110+1)</f>
        <v/>
      </c>
      <c r="BJ110" s="56">
        <f>$C110*INDEX(Curves!$G$8:$G$68,BJ$4-$B110+1)</f>
        <v/>
      </c>
      <c r="BK110" s="56">
        <f>$C110*INDEX(Curves!$G$8:$G$68,BK$4-$B110+1)</f>
        <v/>
      </c>
      <c r="BL110" s="56">
        <f>$C110*INDEX(Curves!$G$8:$G$68,BL$4-$B110+1)</f>
        <v/>
      </c>
    </row>
    <row r="111">
      <c r="A111" s="55" t="inlineStr">
        <is>
          <t>Cohort month 39</t>
        </is>
      </c>
      <c r="B111" s="55" t="n">
        <v>39</v>
      </c>
      <c r="C111" s="46">
        <f>INDEX(Ops!$E$9:$BL$9,1,$B111)</f>
        <v/>
      </c>
      <c r="AR111" s="56">
        <f>$C111*INDEX(Curves!$G$8:$G$68,AR$4-$B111+1)</f>
        <v/>
      </c>
      <c r="AS111" s="56">
        <f>$C111*INDEX(Curves!$G$8:$G$68,AS$4-$B111+1)</f>
        <v/>
      </c>
      <c r="AT111" s="56">
        <f>$C111*INDEX(Curves!$G$8:$G$68,AT$4-$B111+1)</f>
        <v/>
      </c>
      <c r="AU111" s="56">
        <f>$C111*INDEX(Curves!$G$8:$G$68,AU$4-$B111+1)</f>
        <v/>
      </c>
      <c r="AV111" s="56">
        <f>$C111*INDEX(Curves!$G$8:$G$68,AV$4-$B111+1)</f>
        <v/>
      </c>
      <c r="AW111" s="56">
        <f>$C111*INDEX(Curves!$G$8:$G$68,AW$4-$B111+1)</f>
        <v/>
      </c>
      <c r="AX111" s="56">
        <f>$C111*INDEX(Curves!$G$8:$G$68,AX$4-$B111+1)</f>
        <v/>
      </c>
      <c r="AY111" s="56">
        <f>$C111*INDEX(Curves!$G$8:$G$68,AY$4-$B111+1)</f>
        <v/>
      </c>
      <c r="AZ111" s="56">
        <f>$C111*INDEX(Curves!$G$8:$G$68,AZ$4-$B111+1)</f>
        <v/>
      </c>
      <c r="BA111" s="56">
        <f>$C111*INDEX(Curves!$G$8:$G$68,BA$4-$B111+1)</f>
        <v/>
      </c>
      <c r="BB111" s="56">
        <f>$C111*INDEX(Curves!$G$8:$G$68,BB$4-$B111+1)</f>
        <v/>
      </c>
      <c r="BC111" s="56">
        <f>$C111*INDEX(Curves!$G$8:$G$68,BC$4-$B111+1)</f>
        <v/>
      </c>
      <c r="BD111" s="56">
        <f>$C111*INDEX(Curves!$G$8:$G$68,BD$4-$B111+1)</f>
        <v/>
      </c>
      <c r="BE111" s="56">
        <f>$C111*INDEX(Curves!$G$8:$G$68,BE$4-$B111+1)</f>
        <v/>
      </c>
      <c r="BF111" s="56">
        <f>$C111*INDEX(Curves!$G$8:$G$68,BF$4-$B111+1)</f>
        <v/>
      </c>
      <c r="BG111" s="56">
        <f>$C111*INDEX(Curves!$G$8:$G$68,BG$4-$B111+1)</f>
        <v/>
      </c>
      <c r="BH111" s="56">
        <f>$C111*INDEX(Curves!$G$8:$G$68,BH$4-$B111+1)</f>
        <v/>
      </c>
      <c r="BI111" s="56">
        <f>$C111*INDEX(Curves!$G$8:$G$68,BI$4-$B111+1)</f>
        <v/>
      </c>
      <c r="BJ111" s="56">
        <f>$C111*INDEX(Curves!$G$8:$G$68,BJ$4-$B111+1)</f>
        <v/>
      </c>
      <c r="BK111" s="56">
        <f>$C111*INDEX(Curves!$G$8:$G$68,BK$4-$B111+1)</f>
        <v/>
      </c>
      <c r="BL111" s="56">
        <f>$C111*INDEX(Curves!$G$8:$G$68,BL$4-$B111+1)</f>
        <v/>
      </c>
    </row>
    <row r="112">
      <c r="A112" s="55" t="inlineStr">
        <is>
          <t>Cohort month 40</t>
        </is>
      </c>
      <c r="B112" s="55" t="n">
        <v>40</v>
      </c>
      <c r="C112" s="46">
        <f>INDEX(Ops!$E$9:$BL$9,1,$B112)</f>
        <v/>
      </c>
      <c r="AS112" s="56">
        <f>$C112*INDEX(Curves!$G$8:$G$68,AS$4-$B112+1)</f>
        <v/>
      </c>
      <c r="AT112" s="56">
        <f>$C112*INDEX(Curves!$G$8:$G$68,AT$4-$B112+1)</f>
        <v/>
      </c>
      <c r="AU112" s="56">
        <f>$C112*INDEX(Curves!$G$8:$G$68,AU$4-$B112+1)</f>
        <v/>
      </c>
      <c r="AV112" s="56">
        <f>$C112*INDEX(Curves!$G$8:$G$68,AV$4-$B112+1)</f>
        <v/>
      </c>
      <c r="AW112" s="56">
        <f>$C112*INDEX(Curves!$G$8:$G$68,AW$4-$B112+1)</f>
        <v/>
      </c>
      <c r="AX112" s="56">
        <f>$C112*INDEX(Curves!$G$8:$G$68,AX$4-$B112+1)</f>
        <v/>
      </c>
      <c r="AY112" s="56">
        <f>$C112*INDEX(Curves!$G$8:$G$68,AY$4-$B112+1)</f>
        <v/>
      </c>
      <c r="AZ112" s="56">
        <f>$C112*INDEX(Curves!$G$8:$G$68,AZ$4-$B112+1)</f>
        <v/>
      </c>
      <c r="BA112" s="56">
        <f>$C112*INDEX(Curves!$G$8:$G$68,BA$4-$B112+1)</f>
        <v/>
      </c>
      <c r="BB112" s="56">
        <f>$C112*INDEX(Curves!$G$8:$G$68,BB$4-$B112+1)</f>
        <v/>
      </c>
      <c r="BC112" s="56">
        <f>$C112*INDEX(Curves!$G$8:$G$68,BC$4-$B112+1)</f>
        <v/>
      </c>
      <c r="BD112" s="56">
        <f>$C112*INDEX(Curves!$G$8:$G$68,BD$4-$B112+1)</f>
        <v/>
      </c>
      <c r="BE112" s="56">
        <f>$C112*INDEX(Curves!$G$8:$G$68,BE$4-$B112+1)</f>
        <v/>
      </c>
      <c r="BF112" s="56">
        <f>$C112*INDEX(Curves!$G$8:$G$68,BF$4-$B112+1)</f>
        <v/>
      </c>
      <c r="BG112" s="56">
        <f>$C112*INDEX(Curves!$G$8:$G$68,BG$4-$B112+1)</f>
        <v/>
      </c>
      <c r="BH112" s="56">
        <f>$C112*INDEX(Curves!$G$8:$G$68,BH$4-$B112+1)</f>
        <v/>
      </c>
      <c r="BI112" s="56">
        <f>$C112*INDEX(Curves!$G$8:$G$68,BI$4-$B112+1)</f>
        <v/>
      </c>
      <c r="BJ112" s="56">
        <f>$C112*INDEX(Curves!$G$8:$G$68,BJ$4-$B112+1)</f>
        <v/>
      </c>
      <c r="BK112" s="56">
        <f>$C112*INDEX(Curves!$G$8:$G$68,BK$4-$B112+1)</f>
        <v/>
      </c>
      <c r="BL112" s="56">
        <f>$C112*INDEX(Curves!$G$8:$G$68,BL$4-$B112+1)</f>
        <v/>
      </c>
    </row>
    <row r="113">
      <c r="A113" s="55" t="inlineStr">
        <is>
          <t>Cohort month 41</t>
        </is>
      </c>
      <c r="B113" s="55" t="n">
        <v>41</v>
      </c>
      <c r="C113" s="46">
        <f>INDEX(Ops!$E$9:$BL$9,1,$B113)</f>
        <v/>
      </c>
      <c r="AT113" s="56">
        <f>$C113*INDEX(Curves!$G$8:$G$68,AT$4-$B113+1)</f>
        <v/>
      </c>
      <c r="AU113" s="56">
        <f>$C113*INDEX(Curves!$G$8:$G$68,AU$4-$B113+1)</f>
        <v/>
      </c>
      <c r="AV113" s="56">
        <f>$C113*INDEX(Curves!$G$8:$G$68,AV$4-$B113+1)</f>
        <v/>
      </c>
      <c r="AW113" s="56">
        <f>$C113*INDEX(Curves!$G$8:$G$68,AW$4-$B113+1)</f>
        <v/>
      </c>
      <c r="AX113" s="56">
        <f>$C113*INDEX(Curves!$G$8:$G$68,AX$4-$B113+1)</f>
        <v/>
      </c>
      <c r="AY113" s="56">
        <f>$C113*INDEX(Curves!$G$8:$G$68,AY$4-$B113+1)</f>
        <v/>
      </c>
      <c r="AZ113" s="56">
        <f>$C113*INDEX(Curves!$G$8:$G$68,AZ$4-$B113+1)</f>
        <v/>
      </c>
      <c r="BA113" s="56">
        <f>$C113*INDEX(Curves!$G$8:$G$68,BA$4-$B113+1)</f>
        <v/>
      </c>
      <c r="BB113" s="56">
        <f>$C113*INDEX(Curves!$G$8:$G$68,BB$4-$B113+1)</f>
        <v/>
      </c>
      <c r="BC113" s="56">
        <f>$C113*INDEX(Curves!$G$8:$G$68,BC$4-$B113+1)</f>
        <v/>
      </c>
      <c r="BD113" s="56">
        <f>$C113*INDEX(Curves!$G$8:$G$68,BD$4-$B113+1)</f>
        <v/>
      </c>
      <c r="BE113" s="56">
        <f>$C113*INDEX(Curves!$G$8:$G$68,BE$4-$B113+1)</f>
        <v/>
      </c>
      <c r="BF113" s="56">
        <f>$C113*INDEX(Curves!$G$8:$G$68,BF$4-$B113+1)</f>
        <v/>
      </c>
      <c r="BG113" s="56">
        <f>$C113*INDEX(Curves!$G$8:$G$68,BG$4-$B113+1)</f>
        <v/>
      </c>
      <c r="BH113" s="56">
        <f>$C113*INDEX(Curves!$G$8:$G$68,BH$4-$B113+1)</f>
        <v/>
      </c>
      <c r="BI113" s="56">
        <f>$C113*INDEX(Curves!$G$8:$G$68,BI$4-$B113+1)</f>
        <v/>
      </c>
      <c r="BJ113" s="56">
        <f>$C113*INDEX(Curves!$G$8:$G$68,BJ$4-$B113+1)</f>
        <v/>
      </c>
      <c r="BK113" s="56">
        <f>$C113*INDEX(Curves!$G$8:$G$68,BK$4-$B113+1)</f>
        <v/>
      </c>
      <c r="BL113" s="56">
        <f>$C113*INDEX(Curves!$G$8:$G$68,BL$4-$B113+1)</f>
        <v/>
      </c>
    </row>
    <row r="114">
      <c r="A114" s="55" t="inlineStr">
        <is>
          <t>Cohort month 42</t>
        </is>
      </c>
      <c r="B114" s="55" t="n">
        <v>42</v>
      </c>
      <c r="C114" s="46">
        <f>INDEX(Ops!$E$9:$BL$9,1,$B114)</f>
        <v/>
      </c>
      <c r="AU114" s="56">
        <f>$C114*INDEX(Curves!$G$8:$G$68,AU$4-$B114+1)</f>
        <v/>
      </c>
      <c r="AV114" s="56">
        <f>$C114*INDEX(Curves!$G$8:$G$68,AV$4-$B114+1)</f>
        <v/>
      </c>
      <c r="AW114" s="56">
        <f>$C114*INDEX(Curves!$G$8:$G$68,AW$4-$B114+1)</f>
        <v/>
      </c>
      <c r="AX114" s="56">
        <f>$C114*INDEX(Curves!$G$8:$G$68,AX$4-$B114+1)</f>
        <v/>
      </c>
      <c r="AY114" s="56">
        <f>$C114*INDEX(Curves!$G$8:$G$68,AY$4-$B114+1)</f>
        <v/>
      </c>
      <c r="AZ114" s="56">
        <f>$C114*INDEX(Curves!$G$8:$G$68,AZ$4-$B114+1)</f>
        <v/>
      </c>
      <c r="BA114" s="56">
        <f>$C114*INDEX(Curves!$G$8:$G$68,BA$4-$B114+1)</f>
        <v/>
      </c>
      <c r="BB114" s="56">
        <f>$C114*INDEX(Curves!$G$8:$G$68,BB$4-$B114+1)</f>
        <v/>
      </c>
      <c r="BC114" s="56">
        <f>$C114*INDEX(Curves!$G$8:$G$68,BC$4-$B114+1)</f>
        <v/>
      </c>
      <c r="BD114" s="56">
        <f>$C114*INDEX(Curves!$G$8:$G$68,BD$4-$B114+1)</f>
        <v/>
      </c>
      <c r="BE114" s="56">
        <f>$C114*INDEX(Curves!$G$8:$G$68,BE$4-$B114+1)</f>
        <v/>
      </c>
      <c r="BF114" s="56">
        <f>$C114*INDEX(Curves!$G$8:$G$68,BF$4-$B114+1)</f>
        <v/>
      </c>
      <c r="BG114" s="56">
        <f>$C114*INDEX(Curves!$G$8:$G$68,BG$4-$B114+1)</f>
        <v/>
      </c>
      <c r="BH114" s="56">
        <f>$C114*INDEX(Curves!$G$8:$G$68,BH$4-$B114+1)</f>
        <v/>
      </c>
      <c r="BI114" s="56">
        <f>$C114*INDEX(Curves!$G$8:$G$68,BI$4-$B114+1)</f>
        <v/>
      </c>
      <c r="BJ114" s="56">
        <f>$C114*INDEX(Curves!$G$8:$G$68,BJ$4-$B114+1)</f>
        <v/>
      </c>
      <c r="BK114" s="56">
        <f>$C114*INDEX(Curves!$G$8:$G$68,BK$4-$B114+1)</f>
        <v/>
      </c>
      <c r="BL114" s="56">
        <f>$C114*INDEX(Curves!$G$8:$G$68,BL$4-$B114+1)</f>
        <v/>
      </c>
    </row>
    <row r="115">
      <c r="A115" s="55" t="inlineStr">
        <is>
          <t>Cohort month 43</t>
        </is>
      </c>
      <c r="B115" s="55" t="n">
        <v>43</v>
      </c>
      <c r="C115" s="46">
        <f>INDEX(Ops!$E$9:$BL$9,1,$B115)</f>
        <v/>
      </c>
      <c r="AV115" s="56">
        <f>$C115*INDEX(Curves!$G$8:$G$68,AV$4-$B115+1)</f>
        <v/>
      </c>
      <c r="AW115" s="56">
        <f>$C115*INDEX(Curves!$G$8:$G$68,AW$4-$B115+1)</f>
        <v/>
      </c>
      <c r="AX115" s="56">
        <f>$C115*INDEX(Curves!$G$8:$G$68,AX$4-$B115+1)</f>
        <v/>
      </c>
      <c r="AY115" s="56">
        <f>$C115*INDEX(Curves!$G$8:$G$68,AY$4-$B115+1)</f>
        <v/>
      </c>
      <c r="AZ115" s="56">
        <f>$C115*INDEX(Curves!$G$8:$G$68,AZ$4-$B115+1)</f>
        <v/>
      </c>
      <c r="BA115" s="56">
        <f>$C115*INDEX(Curves!$G$8:$G$68,BA$4-$B115+1)</f>
        <v/>
      </c>
      <c r="BB115" s="56">
        <f>$C115*INDEX(Curves!$G$8:$G$68,BB$4-$B115+1)</f>
        <v/>
      </c>
      <c r="BC115" s="56">
        <f>$C115*INDEX(Curves!$G$8:$G$68,BC$4-$B115+1)</f>
        <v/>
      </c>
      <c r="BD115" s="56">
        <f>$C115*INDEX(Curves!$G$8:$G$68,BD$4-$B115+1)</f>
        <v/>
      </c>
      <c r="BE115" s="56">
        <f>$C115*INDEX(Curves!$G$8:$G$68,BE$4-$B115+1)</f>
        <v/>
      </c>
      <c r="BF115" s="56">
        <f>$C115*INDEX(Curves!$G$8:$G$68,BF$4-$B115+1)</f>
        <v/>
      </c>
      <c r="BG115" s="56">
        <f>$C115*INDEX(Curves!$G$8:$G$68,BG$4-$B115+1)</f>
        <v/>
      </c>
      <c r="BH115" s="56">
        <f>$C115*INDEX(Curves!$G$8:$G$68,BH$4-$B115+1)</f>
        <v/>
      </c>
      <c r="BI115" s="56">
        <f>$C115*INDEX(Curves!$G$8:$G$68,BI$4-$B115+1)</f>
        <v/>
      </c>
      <c r="BJ115" s="56">
        <f>$C115*INDEX(Curves!$G$8:$G$68,BJ$4-$B115+1)</f>
        <v/>
      </c>
      <c r="BK115" s="56">
        <f>$C115*INDEX(Curves!$G$8:$G$68,BK$4-$B115+1)</f>
        <v/>
      </c>
      <c r="BL115" s="56">
        <f>$C115*INDEX(Curves!$G$8:$G$68,BL$4-$B115+1)</f>
        <v/>
      </c>
    </row>
    <row r="116">
      <c r="A116" s="55" t="inlineStr">
        <is>
          <t>Cohort month 44</t>
        </is>
      </c>
      <c r="B116" s="55" t="n">
        <v>44</v>
      </c>
      <c r="C116" s="46">
        <f>INDEX(Ops!$E$9:$BL$9,1,$B116)</f>
        <v/>
      </c>
      <c r="AW116" s="56">
        <f>$C116*INDEX(Curves!$G$8:$G$68,AW$4-$B116+1)</f>
        <v/>
      </c>
      <c r="AX116" s="56">
        <f>$C116*INDEX(Curves!$G$8:$G$68,AX$4-$B116+1)</f>
        <v/>
      </c>
      <c r="AY116" s="56">
        <f>$C116*INDEX(Curves!$G$8:$G$68,AY$4-$B116+1)</f>
        <v/>
      </c>
      <c r="AZ116" s="56">
        <f>$C116*INDEX(Curves!$G$8:$G$68,AZ$4-$B116+1)</f>
        <v/>
      </c>
      <c r="BA116" s="56">
        <f>$C116*INDEX(Curves!$G$8:$G$68,BA$4-$B116+1)</f>
        <v/>
      </c>
      <c r="BB116" s="56">
        <f>$C116*INDEX(Curves!$G$8:$G$68,BB$4-$B116+1)</f>
        <v/>
      </c>
      <c r="BC116" s="56">
        <f>$C116*INDEX(Curves!$G$8:$G$68,BC$4-$B116+1)</f>
        <v/>
      </c>
      <c r="BD116" s="56">
        <f>$C116*INDEX(Curves!$G$8:$G$68,BD$4-$B116+1)</f>
        <v/>
      </c>
      <c r="BE116" s="56">
        <f>$C116*INDEX(Curves!$G$8:$G$68,BE$4-$B116+1)</f>
        <v/>
      </c>
      <c r="BF116" s="56">
        <f>$C116*INDEX(Curves!$G$8:$G$68,BF$4-$B116+1)</f>
        <v/>
      </c>
      <c r="BG116" s="56">
        <f>$C116*INDEX(Curves!$G$8:$G$68,BG$4-$B116+1)</f>
        <v/>
      </c>
      <c r="BH116" s="56">
        <f>$C116*INDEX(Curves!$G$8:$G$68,BH$4-$B116+1)</f>
        <v/>
      </c>
      <c r="BI116" s="56">
        <f>$C116*INDEX(Curves!$G$8:$G$68,BI$4-$B116+1)</f>
        <v/>
      </c>
      <c r="BJ116" s="56">
        <f>$C116*INDEX(Curves!$G$8:$G$68,BJ$4-$B116+1)</f>
        <v/>
      </c>
      <c r="BK116" s="56">
        <f>$C116*INDEX(Curves!$G$8:$G$68,BK$4-$B116+1)</f>
        <v/>
      </c>
      <c r="BL116" s="56">
        <f>$C116*INDEX(Curves!$G$8:$G$68,BL$4-$B116+1)</f>
        <v/>
      </c>
    </row>
    <row r="117">
      <c r="A117" s="55" t="inlineStr">
        <is>
          <t>Cohort month 45</t>
        </is>
      </c>
      <c r="B117" s="55" t="n">
        <v>45</v>
      </c>
      <c r="C117" s="46">
        <f>INDEX(Ops!$E$9:$BL$9,1,$B117)</f>
        <v/>
      </c>
      <c r="AX117" s="56">
        <f>$C117*INDEX(Curves!$G$8:$G$68,AX$4-$B117+1)</f>
        <v/>
      </c>
      <c r="AY117" s="56">
        <f>$C117*INDEX(Curves!$G$8:$G$68,AY$4-$B117+1)</f>
        <v/>
      </c>
      <c r="AZ117" s="56">
        <f>$C117*INDEX(Curves!$G$8:$G$68,AZ$4-$B117+1)</f>
        <v/>
      </c>
      <c r="BA117" s="56">
        <f>$C117*INDEX(Curves!$G$8:$G$68,BA$4-$B117+1)</f>
        <v/>
      </c>
      <c r="BB117" s="56">
        <f>$C117*INDEX(Curves!$G$8:$G$68,BB$4-$B117+1)</f>
        <v/>
      </c>
      <c r="BC117" s="56">
        <f>$C117*INDEX(Curves!$G$8:$G$68,BC$4-$B117+1)</f>
        <v/>
      </c>
      <c r="BD117" s="56">
        <f>$C117*INDEX(Curves!$G$8:$G$68,BD$4-$B117+1)</f>
        <v/>
      </c>
      <c r="BE117" s="56">
        <f>$C117*INDEX(Curves!$G$8:$G$68,BE$4-$B117+1)</f>
        <v/>
      </c>
      <c r="BF117" s="56">
        <f>$C117*INDEX(Curves!$G$8:$G$68,BF$4-$B117+1)</f>
        <v/>
      </c>
      <c r="BG117" s="56">
        <f>$C117*INDEX(Curves!$G$8:$G$68,BG$4-$B117+1)</f>
        <v/>
      </c>
      <c r="BH117" s="56">
        <f>$C117*INDEX(Curves!$G$8:$G$68,BH$4-$B117+1)</f>
        <v/>
      </c>
      <c r="BI117" s="56">
        <f>$C117*INDEX(Curves!$G$8:$G$68,BI$4-$B117+1)</f>
        <v/>
      </c>
      <c r="BJ117" s="56">
        <f>$C117*INDEX(Curves!$G$8:$G$68,BJ$4-$B117+1)</f>
        <v/>
      </c>
      <c r="BK117" s="56">
        <f>$C117*INDEX(Curves!$G$8:$G$68,BK$4-$B117+1)</f>
        <v/>
      </c>
      <c r="BL117" s="56">
        <f>$C117*INDEX(Curves!$G$8:$G$68,BL$4-$B117+1)</f>
        <v/>
      </c>
    </row>
    <row r="118">
      <c r="A118" s="55" t="inlineStr">
        <is>
          <t>Cohort month 46</t>
        </is>
      </c>
      <c r="B118" s="55" t="n">
        <v>46</v>
      </c>
      <c r="C118" s="46">
        <f>INDEX(Ops!$E$9:$BL$9,1,$B118)</f>
        <v/>
      </c>
      <c r="AY118" s="56">
        <f>$C118*INDEX(Curves!$G$8:$G$68,AY$4-$B118+1)</f>
        <v/>
      </c>
      <c r="AZ118" s="56">
        <f>$C118*INDEX(Curves!$G$8:$G$68,AZ$4-$B118+1)</f>
        <v/>
      </c>
      <c r="BA118" s="56">
        <f>$C118*INDEX(Curves!$G$8:$G$68,BA$4-$B118+1)</f>
        <v/>
      </c>
      <c r="BB118" s="56">
        <f>$C118*INDEX(Curves!$G$8:$G$68,BB$4-$B118+1)</f>
        <v/>
      </c>
      <c r="BC118" s="56">
        <f>$C118*INDEX(Curves!$G$8:$G$68,BC$4-$B118+1)</f>
        <v/>
      </c>
      <c r="BD118" s="56">
        <f>$C118*INDEX(Curves!$G$8:$G$68,BD$4-$B118+1)</f>
        <v/>
      </c>
      <c r="BE118" s="56">
        <f>$C118*INDEX(Curves!$G$8:$G$68,BE$4-$B118+1)</f>
        <v/>
      </c>
      <c r="BF118" s="56">
        <f>$C118*INDEX(Curves!$G$8:$G$68,BF$4-$B118+1)</f>
        <v/>
      </c>
      <c r="BG118" s="56">
        <f>$C118*INDEX(Curves!$G$8:$G$68,BG$4-$B118+1)</f>
        <v/>
      </c>
      <c r="BH118" s="56">
        <f>$C118*INDEX(Curves!$G$8:$G$68,BH$4-$B118+1)</f>
        <v/>
      </c>
      <c r="BI118" s="56">
        <f>$C118*INDEX(Curves!$G$8:$G$68,BI$4-$B118+1)</f>
        <v/>
      </c>
      <c r="BJ118" s="56">
        <f>$C118*INDEX(Curves!$G$8:$G$68,BJ$4-$B118+1)</f>
        <v/>
      </c>
      <c r="BK118" s="56">
        <f>$C118*INDEX(Curves!$G$8:$G$68,BK$4-$B118+1)</f>
        <v/>
      </c>
      <c r="BL118" s="56">
        <f>$C118*INDEX(Curves!$G$8:$G$68,BL$4-$B118+1)</f>
        <v/>
      </c>
    </row>
    <row r="119">
      <c r="A119" s="55" t="inlineStr">
        <is>
          <t>Cohort month 47</t>
        </is>
      </c>
      <c r="B119" s="55" t="n">
        <v>47</v>
      </c>
      <c r="C119" s="46">
        <f>INDEX(Ops!$E$9:$BL$9,1,$B119)</f>
        <v/>
      </c>
      <c r="AZ119" s="56">
        <f>$C119*INDEX(Curves!$G$8:$G$68,AZ$4-$B119+1)</f>
        <v/>
      </c>
      <c r="BA119" s="56">
        <f>$C119*INDEX(Curves!$G$8:$G$68,BA$4-$B119+1)</f>
        <v/>
      </c>
      <c r="BB119" s="56">
        <f>$C119*INDEX(Curves!$G$8:$G$68,BB$4-$B119+1)</f>
        <v/>
      </c>
      <c r="BC119" s="56">
        <f>$C119*INDEX(Curves!$G$8:$G$68,BC$4-$B119+1)</f>
        <v/>
      </c>
      <c r="BD119" s="56">
        <f>$C119*INDEX(Curves!$G$8:$G$68,BD$4-$B119+1)</f>
        <v/>
      </c>
      <c r="BE119" s="56">
        <f>$C119*INDEX(Curves!$G$8:$G$68,BE$4-$B119+1)</f>
        <v/>
      </c>
      <c r="BF119" s="56">
        <f>$C119*INDEX(Curves!$G$8:$G$68,BF$4-$B119+1)</f>
        <v/>
      </c>
      <c r="BG119" s="56">
        <f>$C119*INDEX(Curves!$G$8:$G$68,BG$4-$B119+1)</f>
        <v/>
      </c>
      <c r="BH119" s="56">
        <f>$C119*INDEX(Curves!$G$8:$G$68,BH$4-$B119+1)</f>
        <v/>
      </c>
      <c r="BI119" s="56">
        <f>$C119*INDEX(Curves!$G$8:$G$68,BI$4-$B119+1)</f>
        <v/>
      </c>
      <c r="BJ119" s="56">
        <f>$C119*INDEX(Curves!$G$8:$G$68,BJ$4-$B119+1)</f>
        <v/>
      </c>
      <c r="BK119" s="56">
        <f>$C119*INDEX(Curves!$G$8:$G$68,BK$4-$B119+1)</f>
        <v/>
      </c>
      <c r="BL119" s="56">
        <f>$C119*INDEX(Curves!$G$8:$G$68,BL$4-$B119+1)</f>
        <v/>
      </c>
    </row>
    <row r="120">
      <c r="A120" s="55" t="inlineStr">
        <is>
          <t>Cohort month 48</t>
        </is>
      </c>
      <c r="B120" s="55" t="n">
        <v>48</v>
      </c>
      <c r="C120" s="46">
        <f>INDEX(Ops!$E$9:$BL$9,1,$B120)</f>
        <v/>
      </c>
      <c r="BA120" s="56">
        <f>$C120*INDEX(Curves!$G$8:$G$68,BA$4-$B120+1)</f>
        <v/>
      </c>
      <c r="BB120" s="56">
        <f>$C120*INDEX(Curves!$G$8:$G$68,BB$4-$B120+1)</f>
        <v/>
      </c>
      <c r="BC120" s="56">
        <f>$C120*INDEX(Curves!$G$8:$G$68,BC$4-$B120+1)</f>
        <v/>
      </c>
      <c r="BD120" s="56">
        <f>$C120*INDEX(Curves!$G$8:$G$68,BD$4-$B120+1)</f>
        <v/>
      </c>
      <c r="BE120" s="56">
        <f>$C120*INDEX(Curves!$G$8:$G$68,BE$4-$B120+1)</f>
        <v/>
      </c>
      <c r="BF120" s="56">
        <f>$C120*INDEX(Curves!$G$8:$G$68,BF$4-$B120+1)</f>
        <v/>
      </c>
      <c r="BG120" s="56">
        <f>$C120*INDEX(Curves!$G$8:$G$68,BG$4-$B120+1)</f>
        <v/>
      </c>
      <c r="BH120" s="56">
        <f>$C120*INDEX(Curves!$G$8:$G$68,BH$4-$B120+1)</f>
        <v/>
      </c>
      <c r="BI120" s="56">
        <f>$C120*INDEX(Curves!$G$8:$G$68,BI$4-$B120+1)</f>
        <v/>
      </c>
      <c r="BJ120" s="56">
        <f>$C120*INDEX(Curves!$G$8:$G$68,BJ$4-$B120+1)</f>
        <v/>
      </c>
      <c r="BK120" s="56">
        <f>$C120*INDEX(Curves!$G$8:$G$68,BK$4-$B120+1)</f>
        <v/>
      </c>
      <c r="BL120" s="56">
        <f>$C120*INDEX(Curves!$G$8:$G$68,BL$4-$B120+1)</f>
        <v/>
      </c>
    </row>
    <row r="121">
      <c r="A121" s="55" t="inlineStr">
        <is>
          <t>Cohort month 49</t>
        </is>
      </c>
      <c r="B121" s="55" t="n">
        <v>49</v>
      </c>
      <c r="C121" s="46">
        <f>INDEX(Ops!$E$9:$BL$9,1,$B121)</f>
        <v/>
      </c>
      <c r="BB121" s="56">
        <f>$C121*INDEX(Curves!$G$8:$G$68,BB$4-$B121+1)</f>
        <v/>
      </c>
      <c r="BC121" s="56">
        <f>$C121*INDEX(Curves!$G$8:$G$68,BC$4-$B121+1)</f>
        <v/>
      </c>
      <c r="BD121" s="56">
        <f>$C121*INDEX(Curves!$G$8:$G$68,BD$4-$B121+1)</f>
        <v/>
      </c>
      <c r="BE121" s="56">
        <f>$C121*INDEX(Curves!$G$8:$G$68,BE$4-$B121+1)</f>
        <v/>
      </c>
      <c r="BF121" s="56">
        <f>$C121*INDEX(Curves!$G$8:$G$68,BF$4-$B121+1)</f>
        <v/>
      </c>
      <c r="BG121" s="56">
        <f>$C121*INDEX(Curves!$G$8:$G$68,BG$4-$B121+1)</f>
        <v/>
      </c>
      <c r="BH121" s="56">
        <f>$C121*INDEX(Curves!$G$8:$G$68,BH$4-$B121+1)</f>
        <v/>
      </c>
      <c r="BI121" s="56">
        <f>$C121*INDEX(Curves!$G$8:$G$68,BI$4-$B121+1)</f>
        <v/>
      </c>
      <c r="BJ121" s="56">
        <f>$C121*INDEX(Curves!$G$8:$G$68,BJ$4-$B121+1)</f>
        <v/>
      </c>
      <c r="BK121" s="56">
        <f>$C121*INDEX(Curves!$G$8:$G$68,BK$4-$B121+1)</f>
        <v/>
      </c>
      <c r="BL121" s="56">
        <f>$C121*INDEX(Curves!$G$8:$G$68,BL$4-$B121+1)</f>
        <v/>
      </c>
    </row>
    <row r="122">
      <c r="A122" s="55" t="inlineStr">
        <is>
          <t>Cohort month 50</t>
        </is>
      </c>
      <c r="B122" s="55" t="n">
        <v>50</v>
      </c>
      <c r="C122" s="46">
        <f>INDEX(Ops!$E$9:$BL$9,1,$B122)</f>
        <v/>
      </c>
      <c r="BC122" s="56">
        <f>$C122*INDEX(Curves!$G$8:$G$68,BC$4-$B122+1)</f>
        <v/>
      </c>
      <c r="BD122" s="56">
        <f>$C122*INDEX(Curves!$G$8:$G$68,BD$4-$B122+1)</f>
        <v/>
      </c>
      <c r="BE122" s="56">
        <f>$C122*INDEX(Curves!$G$8:$G$68,BE$4-$B122+1)</f>
        <v/>
      </c>
      <c r="BF122" s="56">
        <f>$C122*INDEX(Curves!$G$8:$G$68,BF$4-$B122+1)</f>
        <v/>
      </c>
      <c r="BG122" s="56">
        <f>$C122*INDEX(Curves!$G$8:$G$68,BG$4-$B122+1)</f>
        <v/>
      </c>
      <c r="BH122" s="56">
        <f>$C122*INDEX(Curves!$G$8:$G$68,BH$4-$B122+1)</f>
        <v/>
      </c>
      <c r="BI122" s="56">
        <f>$C122*INDEX(Curves!$G$8:$G$68,BI$4-$B122+1)</f>
        <v/>
      </c>
      <c r="BJ122" s="56">
        <f>$C122*INDEX(Curves!$G$8:$G$68,BJ$4-$B122+1)</f>
        <v/>
      </c>
      <c r="BK122" s="56">
        <f>$C122*INDEX(Curves!$G$8:$G$68,BK$4-$B122+1)</f>
        <v/>
      </c>
      <c r="BL122" s="56">
        <f>$C122*INDEX(Curves!$G$8:$G$68,BL$4-$B122+1)</f>
        <v/>
      </c>
    </row>
    <row r="123">
      <c r="A123" s="55" t="inlineStr">
        <is>
          <t>Cohort month 51</t>
        </is>
      </c>
      <c r="B123" s="55" t="n">
        <v>51</v>
      </c>
      <c r="C123" s="46">
        <f>INDEX(Ops!$E$9:$BL$9,1,$B123)</f>
        <v/>
      </c>
      <c r="BD123" s="56">
        <f>$C123*INDEX(Curves!$G$8:$G$68,BD$4-$B123+1)</f>
        <v/>
      </c>
      <c r="BE123" s="56">
        <f>$C123*INDEX(Curves!$G$8:$G$68,BE$4-$B123+1)</f>
        <v/>
      </c>
      <c r="BF123" s="56">
        <f>$C123*INDEX(Curves!$G$8:$G$68,BF$4-$B123+1)</f>
        <v/>
      </c>
      <c r="BG123" s="56">
        <f>$C123*INDEX(Curves!$G$8:$G$68,BG$4-$B123+1)</f>
        <v/>
      </c>
      <c r="BH123" s="56">
        <f>$C123*INDEX(Curves!$G$8:$G$68,BH$4-$B123+1)</f>
        <v/>
      </c>
      <c r="BI123" s="56">
        <f>$C123*INDEX(Curves!$G$8:$G$68,BI$4-$B123+1)</f>
        <v/>
      </c>
      <c r="BJ123" s="56">
        <f>$C123*INDEX(Curves!$G$8:$G$68,BJ$4-$B123+1)</f>
        <v/>
      </c>
      <c r="BK123" s="56">
        <f>$C123*INDEX(Curves!$G$8:$G$68,BK$4-$B123+1)</f>
        <v/>
      </c>
      <c r="BL123" s="56">
        <f>$C123*INDEX(Curves!$G$8:$G$68,BL$4-$B123+1)</f>
        <v/>
      </c>
    </row>
    <row r="124">
      <c r="A124" s="55" t="inlineStr">
        <is>
          <t>Cohort month 52</t>
        </is>
      </c>
      <c r="B124" s="55" t="n">
        <v>52</v>
      </c>
      <c r="C124" s="46">
        <f>INDEX(Ops!$E$9:$BL$9,1,$B124)</f>
        <v/>
      </c>
      <c r="BE124" s="56">
        <f>$C124*INDEX(Curves!$G$8:$G$68,BE$4-$B124+1)</f>
        <v/>
      </c>
      <c r="BF124" s="56">
        <f>$C124*INDEX(Curves!$G$8:$G$68,BF$4-$B124+1)</f>
        <v/>
      </c>
      <c r="BG124" s="56">
        <f>$C124*INDEX(Curves!$G$8:$G$68,BG$4-$B124+1)</f>
        <v/>
      </c>
      <c r="BH124" s="56">
        <f>$C124*INDEX(Curves!$G$8:$G$68,BH$4-$B124+1)</f>
        <v/>
      </c>
      <c r="BI124" s="56">
        <f>$C124*INDEX(Curves!$G$8:$G$68,BI$4-$B124+1)</f>
        <v/>
      </c>
      <c r="BJ124" s="56">
        <f>$C124*INDEX(Curves!$G$8:$G$68,BJ$4-$B124+1)</f>
        <v/>
      </c>
      <c r="BK124" s="56">
        <f>$C124*INDEX(Curves!$G$8:$G$68,BK$4-$B124+1)</f>
        <v/>
      </c>
      <c r="BL124" s="56">
        <f>$C124*INDEX(Curves!$G$8:$G$68,BL$4-$B124+1)</f>
        <v/>
      </c>
    </row>
    <row r="125">
      <c r="A125" s="55" t="inlineStr">
        <is>
          <t>Cohort month 53</t>
        </is>
      </c>
      <c r="B125" s="55" t="n">
        <v>53</v>
      </c>
      <c r="C125" s="46">
        <f>INDEX(Ops!$E$9:$BL$9,1,$B125)</f>
        <v/>
      </c>
      <c r="BF125" s="56">
        <f>$C125*INDEX(Curves!$G$8:$G$68,BF$4-$B125+1)</f>
        <v/>
      </c>
      <c r="BG125" s="56">
        <f>$C125*INDEX(Curves!$G$8:$G$68,BG$4-$B125+1)</f>
        <v/>
      </c>
      <c r="BH125" s="56">
        <f>$C125*INDEX(Curves!$G$8:$G$68,BH$4-$B125+1)</f>
        <v/>
      </c>
      <c r="BI125" s="56">
        <f>$C125*INDEX(Curves!$G$8:$G$68,BI$4-$B125+1)</f>
        <v/>
      </c>
      <c r="BJ125" s="56">
        <f>$C125*INDEX(Curves!$G$8:$G$68,BJ$4-$B125+1)</f>
        <v/>
      </c>
      <c r="BK125" s="56">
        <f>$C125*INDEX(Curves!$G$8:$G$68,BK$4-$B125+1)</f>
        <v/>
      </c>
      <c r="BL125" s="56">
        <f>$C125*INDEX(Curves!$G$8:$G$68,BL$4-$B125+1)</f>
        <v/>
      </c>
    </row>
    <row r="126">
      <c r="A126" s="55" t="inlineStr">
        <is>
          <t>Cohort month 54</t>
        </is>
      </c>
      <c r="B126" s="55" t="n">
        <v>54</v>
      </c>
      <c r="C126" s="46">
        <f>INDEX(Ops!$E$9:$BL$9,1,$B126)</f>
        <v/>
      </c>
      <c r="BG126" s="56">
        <f>$C126*INDEX(Curves!$G$8:$G$68,BG$4-$B126+1)</f>
        <v/>
      </c>
      <c r="BH126" s="56">
        <f>$C126*INDEX(Curves!$G$8:$G$68,BH$4-$B126+1)</f>
        <v/>
      </c>
      <c r="BI126" s="56">
        <f>$C126*INDEX(Curves!$G$8:$G$68,BI$4-$B126+1)</f>
        <v/>
      </c>
      <c r="BJ126" s="56">
        <f>$C126*INDEX(Curves!$G$8:$G$68,BJ$4-$B126+1)</f>
        <v/>
      </c>
      <c r="BK126" s="56">
        <f>$C126*INDEX(Curves!$G$8:$G$68,BK$4-$B126+1)</f>
        <v/>
      </c>
      <c r="BL126" s="56">
        <f>$C126*INDEX(Curves!$G$8:$G$68,BL$4-$B126+1)</f>
        <v/>
      </c>
    </row>
    <row r="127">
      <c r="A127" s="55" t="inlineStr">
        <is>
          <t>Cohort month 55</t>
        </is>
      </c>
      <c r="B127" s="55" t="n">
        <v>55</v>
      </c>
      <c r="C127" s="46">
        <f>INDEX(Ops!$E$9:$BL$9,1,$B127)</f>
        <v/>
      </c>
      <c r="BH127" s="56">
        <f>$C127*INDEX(Curves!$G$8:$G$68,BH$4-$B127+1)</f>
        <v/>
      </c>
      <c r="BI127" s="56">
        <f>$C127*INDEX(Curves!$G$8:$G$68,BI$4-$B127+1)</f>
        <v/>
      </c>
      <c r="BJ127" s="56">
        <f>$C127*INDEX(Curves!$G$8:$G$68,BJ$4-$B127+1)</f>
        <v/>
      </c>
      <c r="BK127" s="56">
        <f>$C127*INDEX(Curves!$G$8:$G$68,BK$4-$B127+1)</f>
        <v/>
      </c>
      <c r="BL127" s="56">
        <f>$C127*INDEX(Curves!$G$8:$G$68,BL$4-$B127+1)</f>
        <v/>
      </c>
    </row>
    <row r="128">
      <c r="A128" s="55" t="inlineStr">
        <is>
          <t>Cohort month 56</t>
        </is>
      </c>
      <c r="B128" s="55" t="n">
        <v>56</v>
      </c>
      <c r="C128" s="46">
        <f>INDEX(Ops!$E$9:$BL$9,1,$B128)</f>
        <v/>
      </c>
      <c r="BI128" s="56">
        <f>$C128*INDEX(Curves!$G$8:$G$68,BI$4-$B128+1)</f>
        <v/>
      </c>
      <c r="BJ128" s="56">
        <f>$C128*INDEX(Curves!$G$8:$G$68,BJ$4-$B128+1)</f>
        <v/>
      </c>
      <c r="BK128" s="56">
        <f>$C128*INDEX(Curves!$G$8:$G$68,BK$4-$B128+1)</f>
        <v/>
      </c>
      <c r="BL128" s="56">
        <f>$C128*INDEX(Curves!$G$8:$G$68,BL$4-$B128+1)</f>
        <v/>
      </c>
    </row>
    <row r="129">
      <c r="A129" s="55" t="inlineStr">
        <is>
          <t>Cohort month 57</t>
        </is>
      </c>
      <c r="B129" s="55" t="n">
        <v>57</v>
      </c>
      <c r="C129" s="46">
        <f>INDEX(Ops!$E$9:$BL$9,1,$B129)</f>
        <v/>
      </c>
      <c r="BJ129" s="56">
        <f>$C129*INDEX(Curves!$G$8:$G$68,BJ$4-$B129+1)</f>
        <v/>
      </c>
      <c r="BK129" s="56">
        <f>$C129*INDEX(Curves!$G$8:$G$68,BK$4-$B129+1)</f>
        <v/>
      </c>
      <c r="BL129" s="56">
        <f>$C129*INDEX(Curves!$G$8:$G$68,BL$4-$B129+1)</f>
        <v/>
      </c>
    </row>
    <row r="130">
      <c r="A130" s="55" t="inlineStr">
        <is>
          <t>Cohort month 58</t>
        </is>
      </c>
      <c r="B130" s="55" t="n">
        <v>58</v>
      </c>
      <c r="C130" s="46">
        <f>INDEX(Ops!$E$9:$BL$9,1,$B130)</f>
        <v/>
      </c>
      <c r="BK130" s="56">
        <f>$C130*INDEX(Curves!$G$8:$G$68,BK$4-$B130+1)</f>
        <v/>
      </c>
      <c r="BL130" s="56">
        <f>$C130*INDEX(Curves!$G$8:$G$68,BL$4-$B130+1)</f>
        <v/>
      </c>
    </row>
    <row r="131">
      <c r="A131" s="55" t="inlineStr">
        <is>
          <t>Cohort month 59</t>
        </is>
      </c>
      <c r="B131" s="55" t="n">
        <v>59</v>
      </c>
      <c r="C131" s="46">
        <f>INDEX(Ops!$E$9:$BL$9,1,$B131)</f>
        <v/>
      </c>
      <c r="BL131" s="56">
        <f>$C131*INDEX(Curves!$G$8:$G$68,BL$4-$B131+1)</f>
        <v/>
      </c>
    </row>
    <row r="132">
      <c r="A132" s="55" t="inlineStr">
        <is>
          <t>Cohort month 60</t>
        </is>
      </c>
      <c r="B132" s="55" t="n">
        <v>60</v>
      </c>
      <c r="C132" s="46">
        <f>INDEX(Ops!$E$9:$BL$9,1,$B132)</f>
        <v/>
      </c>
    </row>
    <row r="133"/>
    <row r="134">
      <c r="A134" s="11" t="inlineStr">
        <is>
          <t>Receivables at risk by cohort (LCY)</t>
        </is>
      </c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  <c r="BJ134" s="12" t="n"/>
      <c r="BK134" s="12" t="n"/>
      <c r="BL134" s="12" t="n"/>
    </row>
    <row r="135">
      <c r="A135" s="47" t="inlineStr">
        <is>
          <t>Total</t>
        </is>
      </c>
      <c r="B135" s="48" t="inlineStr"/>
      <c r="C135" s="50" t="n"/>
      <c r="D135" s="50" t="n"/>
      <c r="E135" s="51">
        <f>SUM(E136:E195)</f>
        <v/>
      </c>
      <c r="F135" s="51">
        <f>SUM(F136:F195)</f>
        <v/>
      </c>
      <c r="G135" s="51">
        <f>SUM(G136:G195)</f>
        <v/>
      </c>
      <c r="H135" s="51">
        <f>SUM(H136:H195)</f>
        <v/>
      </c>
      <c r="I135" s="51">
        <f>SUM(I136:I195)</f>
        <v/>
      </c>
      <c r="J135" s="51">
        <f>SUM(J136:J195)</f>
        <v/>
      </c>
      <c r="K135" s="51">
        <f>SUM(K136:K195)</f>
        <v/>
      </c>
      <c r="L135" s="51">
        <f>SUM(L136:L195)</f>
        <v/>
      </c>
      <c r="M135" s="51">
        <f>SUM(M136:M195)</f>
        <v/>
      </c>
      <c r="N135" s="51">
        <f>SUM(N136:N195)</f>
        <v/>
      </c>
      <c r="O135" s="51">
        <f>SUM(O136:O195)</f>
        <v/>
      </c>
      <c r="P135" s="51">
        <f>SUM(P136:P195)</f>
        <v/>
      </c>
      <c r="Q135" s="51">
        <f>SUM(Q136:Q195)</f>
        <v/>
      </c>
      <c r="R135" s="51">
        <f>SUM(R136:R195)</f>
        <v/>
      </c>
      <c r="S135" s="51">
        <f>SUM(S136:S195)</f>
        <v/>
      </c>
      <c r="T135" s="51">
        <f>SUM(T136:T195)</f>
        <v/>
      </c>
      <c r="U135" s="51">
        <f>SUM(U136:U195)</f>
        <v/>
      </c>
      <c r="V135" s="51">
        <f>SUM(V136:V195)</f>
        <v/>
      </c>
      <c r="W135" s="51">
        <f>SUM(W136:W195)</f>
        <v/>
      </c>
      <c r="X135" s="51">
        <f>SUM(X136:X195)</f>
        <v/>
      </c>
      <c r="Y135" s="51">
        <f>SUM(Y136:Y195)</f>
        <v/>
      </c>
      <c r="Z135" s="51">
        <f>SUM(Z136:Z195)</f>
        <v/>
      </c>
      <c r="AA135" s="51">
        <f>SUM(AA136:AA195)</f>
        <v/>
      </c>
      <c r="AB135" s="51">
        <f>SUM(AB136:AB195)</f>
        <v/>
      </c>
      <c r="AC135" s="51">
        <f>SUM(AC136:AC195)</f>
        <v/>
      </c>
      <c r="AD135" s="51">
        <f>SUM(AD136:AD195)</f>
        <v/>
      </c>
      <c r="AE135" s="51">
        <f>SUM(AE136:AE195)</f>
        <v/>
      </c>
      <c r="AF135" s="51">
        <f>SUM(AF136:AF195)</f>
        <v/>
      </c>
      <c r="AG135" s="51">
        <f>SUM(AG136:AG195)</f>
        <v/>
      </c>
      <c r="AH135" s="51">
        <f>SUM(AH136:AH195)</f>
        <v/>
      </c>
      <c r="AI135" s="51">
        <f>SUM(AI136:AI195)</f>
        <v/>
      </c>
      <c r="AJ135" s="51">
        <f>SUM(AJ136:AJ195)</f>
        <v/>
      </c>
      <c r="AK135" s="51">
        <f>SUM(AK136:AK195)</f>
        <v/>
      </c>
      <c r="AL135" s="51">
        <f>SUM(AL136:AL195)</f>
        <v/>
      </c>
      <c r="AM135" s="51">
        <f>SUM(AM136:AM195)</f>
        <v/>
      </c>
      <c r="AN135" s="51">
        <f>SUM(AN136:AN195)</f>
        <v/>
      </c>
      <c r="AO135" s="51">
        <f>SUM(AO136:AO195)</f>
        <v/>
      </c>
      <c r="AP135" s="51">
        <f>SUM(AP136:AP195)</f>
        <v/>
      </c>
      <c r="AQ135" s="51">
        <f>SUM(AQ136:AQ195)</f>
        <v/>
      </c>
      <c r="AR135" s="51">
        <f>SUM(AR136:AR195)</f>
        <v/>
      </c>
      <c r="AS135" s="51">
        <f>SUM(AS136:AS195)</f>
        <v/>
      </c>
      <c r="AT135" s="51">
        <f>SUM(AT136:AT195)</f>
        <v/>
      </c>
      <c r="AU135" s="51">
        <f>SUM(AU136:AU195)</f>
        <v/>
      </c>
      <c r="AV135" s="51">
        <f>SUM(AV136:AV195)</f>
        <v/>
      </c>
      <c r="AW135" s="51">
        <f>SUM(AW136:AW195)</f>
        <v/>
      </c>
      <c r="AX135" s="51">
        <f>SUM(AX136:AX195)</f>
        <v/>
      </c>
      <c r="AY135" s="51">
        <f>SUM(AY136:AY195)</f>
        <v/>
      </c>
      <c r="AZ135" s="51">
        <f>SUM(AZ136:AZ195)</f>
        <v/>
      </c>
      <c r="BA135" s="51">
        <f>SUM(BA136:BA195)</f>
        <v/>
      </c>
      <c r="BB135" s="51">
        <f>SUM(BB136:BB195)</f>
        <v/>
      </c>
      <c r="BC135" s="51">
        <f>SUM(BC136:BC195)</f>
        <v/>
      </c>
      <c r="BD135" s="51">
        <f>SUM(BD136:BD195)</f>
        <v/>
      </c>
      <c r="BE135" s="51">
        <f>SUM(BE136:BE195)</f>
        <v/>
      </c>
      <c r="BF135" s="51">
        <f>SUM(BF136:BF195)</f>
        <v/>
      </c>
      <c r="BG135" s="51">
        <f>SUM(BG136:BG195)</f>
        <v/>
      </c>
      <c r="BH135" s="51">
        <f>SUM(BH136:BH195)</f>
        <v/>
      </c>
      <c r="BI135" s="51">
        <f>SUM(BI136:BI195)</f>
        <v/>
      </c>
      <c r="BJ135" s="51">
        <f>SUM(BJ136:BJ195)</f>
        <v/>
      </c>
      <c r="BK135" s="51">
        <f>SUM(BK136:BK195)</f>
        <v/>
      </c>
      <c r="BL135" s="51">
        <f>SUM(BL136:BL195)</f>
        <v/>
      </c>
    </row>
    <row r="136">
      <c r="A136" s="55" t="inlineStr">
        <is>
          <t>Cohort month 1</t>
        </is>
      </c>
      <c r="B136" s="55" t="n">
        <v>1</v>
      </c>
      <c r="C136" s="46">
        <f>INDEX(Ops!$E$10:$BL$10,1,$B136)</f>
        <v/>
      </c>
      <c r="F136" s="56">
        <f>$C136*INDEX(Curves!$F$8:$F$68,F$4-$B136+1)</f>
        <v/>
      </c>
      <c r="G136" s="56">
        <f>$C136*INDEX(Curves!$F$8:$F$68,G$4-$B136+1)</f>
        <v/>
      </c>
      <c r="H136" s="56">
        <f>$C136*INDEX(Curves!$F$8:$F$68,H$4-$B136+1)</f>
        <v/>
      </c>
      <c r="I136" s="56">
        <f>$C136*INDEX(Curves!$F$8:$F$68,I$4-$B136+1)</f>
        <v/>
      </c>
      <c r="J136" s="56">
        <f>$C136*INDEX(Curves!$F$8:$F$68,J$4-$B136+1)</f>
        <v/>
      </c>
      <c r="K136" s="56">
        <f>$C136*INDEX(Curves!$F$8:$F$68,K$4-$B136+1)</f>
        <v/>
      </c>
      <c r="L136" s="56">
        <f>$C136*INDEX(Curves!$F$8:$F$68,L$4-$B136+1)</f>
        <v/>
      </c>
      <c r="M136" s="56">
        <f>$C136*INDEX(Curves!$F$8:$F$68,M$4-$B136+1)</f>
        <v/>
      </c>
      <c r="N136" s="56">
        <f>$C136*INDEX(Curves!$F$8:$F$68,N$4-$B136+1)</f>
        <v/>
      </c>
      <c r="O136" s="56">
        <f>$C136*INDEX(Curves!$F$8:$F$68,O$4-$B136+1)</f>
        <v/>
      </c>
      <c r="P136" s="56">
        <f>$C136*INDEX(Curves!$F$8:$F$68,P$4-$B136+1)</f>
        <v/>
      </c>
      <c r="Q136" s="56">
        <f>$C136*INDEX(Curves!$F$8:$F$68,Q$4-$B136+1)</f>
        <v/>
      </c>
      <c r="R136" s="56">
        <f>$C136*INDEX(Curves!$F$8:$F$68,R$4-$B136+1)</f>
        <v/>
      </c>
      <c r="S136" s="56">
        <f>$C136*INDEX(Curves!$F$8:$F$68,S$4-$B136+1)</f>
        <v/>
      </c>
      <c r="T136" s="56">
        <f>$C136*INDEX(Curves!$F$8:$F$68,T$4-$B136+1)</f>
        <v/>
      </c>
      <c r="U136" s="56">
        <f>$C136*INDEX(Curves!$F$8:$F$68,U$4-$B136+1)</f>
        <v/>
      </c>
      <c r="V136" s="56">
        <f>$C136*INDEX(Curves!$F$8:$F$68,V$4-$B136+1)</f>
        <v/>
      </c>
      <c r="W136" s="56">
        <f>$C136*INDEX(Curves!$F$8:$F$68,W$4-$B136+1)</f>
        <v/>
      </c>
      <c r="X136" s="56">
        <f>$C136*INDEX(Curves!$F$8:$F$68,X$4-$B136+1)</f>
        <v/>
      </c>
      <c r="Y136" s="56">
        <f>$C136*INDEX(Curves!$F$8:$F$68,Y$4-$B136+1)</f>
        <v/>
      </c>
      <c r="Z136" s="56">
        <f>$C136*INDEX(Curves!$F$8:$F$68,Z$4-$B136+1)</f>
        <v/>
      </c>
      <c r="AA136" s="56">
        <f>$C136*INDEX(Curves!$F$8:$F$68,AA$4-$B136+1)</f>
        <v/>
      </c>
      <c r="AB136" s="56">
        <f>$C136*INDEX(Curves!$F$8:$F$68,AB$4-$B136+1)</f>
        <v/>
      </c>
      <c r="AC136" s="56">
        <f>$C136*INDEX(Curves!$F$8:$F$68,AC$4-$B136+1)</f>
        <v/>
      </c>
      <c r="AD136" s="56">
        <f>$C136*INDEX(Curves!$F$8:$F$68,AD$4-$B136+1)</f>
        <v/>
      </c>
      <c r="AE136" s="56">
        <f>$C136*INDEX(Curves!$F$8:$F$68,AE$4-$B136+1)</f>
        <v/>
      </c>
      <c r="AF136" s="56">
        <f>$C136*INDEX(Curves!$F$8:$F$68,AF$4-$B136+1)</f>
        <v/>
      </c>
      <c r="AG136" s="56">
        <f>$C136*INDEX(Curves!$F$8:$F$68,AG$4-$B136+1)</f>
        <v/>
      </c>
      <c r="AH136" s="56">
        <f>$C136*INDEX(Curves!$F$8:$F$68,AH$4-$B136+1)</f>
        <v/>
      </c>
      <c r="AI136" s="56">
        <f>$C136*INDEX(Curves!$F$8:$F$68,AI$4-$B136+1)</f>
        <v/>
      </c>
      <c r="AJ136" s="56">
        <f>$C136*INDEX(Curves!$F$8:$F$68,AJ$4-$B136+1)</f>
        <v/>
      </c>
      <c r="AK136" s="56">
        <f>$C136*INDEX(Curves!$F$8:$F$68,AK$4-$B136+1)</f>
        <v/>
      </c>
      <c r="AL136" s="56">
        <f>$C136*INDEX(Curves!$F$8:$F$68,AL$4-$B136+1)</f>
        <v/>
      </c>
      <c r="AM136" s="56">
        <f>$C136*INDEX(Curves!$F$8:$F$68,AM$4-$B136+1)</f>
        <v/>
      </c>
      <c r="AN136" s="56">
        <f>$C136*INDEX(Curves!$F$8:$F$68,AN$4-$B136+1)</f>
        <v/>
      </c>
      <c r="AO136" s="56">
        <f>$C136*INDEX(Curves!$F$8:$F$68,AO$4-$B136+1)</f>
        <v/>
      </c>
      <c r="AP136" s="56">
        <f>$C136*INDEX(Curves!$F$8:$F$68,AP$4-$B136+1)</f>
        <v/>
      </c>
      <c r="AQ136" s="56">
        <f>$C136*INDEX(Curves!$F$8:$F$68,AQ$4-$B136+1)</f>
        <v/>
      </c>
      <c r="AR136" s="56">
        <f>$C136*INDEX(Curves!$F$8:$F$68,AR$4-$B136+1)</f>
        <v/>
      </c>
      <c r="AS136" s="56">
        <f>$C136*INDEX(Curves!$F$8:$F$68,AS$4-$B136+1)</f>
        <v/>
      </c>
      <c r="AT136" s="56">
        <f>$C136*INDEX(Curves!$F$8:$F$68,AT$4-$B136+1)</f>
        <v/>
      </c>
      <c r="AU136" s="56">
        <f>$C136*INDEX(Curves!$F$8:$F$68,AU$4-$B136+1)</f>
        <v/>
      </c>
      <c r="AV136" s="56">
        <f>$C136*INDEX(Curves!$F$8:$F$68,AV$4-$B136+1)</f>
        <v/>
      </c>
      <c r="AW136" s="56">
        <f>$C136*INDEX(Curves!$F$8:$F$68,AW$4-$B136+1)</f>
        <v/>
      </c>
      <c r="AX136" s="56">
        <f>$C136*INDEX(Curves!$F$8:$F$68,AX$4-$B136+1)</f>
        <v/>
      </c>
      <c r="AY136" s="56">
        <f>$C136*INDEX(Curves!$F$8:$F$68,AY$4-$B136+1)</f>
        <v/>
      </c>
      <c r="AZ136" s="56">
        <f>$C136*INDEX(Curves!$F$8:$F$68,AZ$4-$B136+1)</f>
        <v/>
      </c>
      <c r="BA136" s="56">
        <f>$C136*INDEX(Curves!$F$8:$F$68,BA$4-$B136+1)</f>
        <v/>
      </c>
      <c r="BB136" s="56">
        <f>$C136*INDEX(Curves!$F$8:$F$68,BB$4-$B136+1)</f>
        <v/>
      </c>
      <c r="BC136" s="56">
        <f>$C136*INDEX(Curves!$F$8:$F$68,BC$4-$B136+1)</f>
        <v/>
      </c>
      <c r="BD136" s="56">
        <f>$C136*INDEX(Curves!$F$8:$F$68,BD$4-$B136+1)</f>
        <v/>
      </c>
      <c r="BE136" s="56">
        <f>$C136*INDEX(Curves!$F$8:$F$68,BE$4-$B136+1)</f>
        <v/>
      </c>
      <c r="BF136" s="56">
        <f>$C136*INDEX(Curves!$F$8:$F$68,BF$4-$B136+1)</f>
        <v/>
      </c>
      <c r="BG136" s="56">
        <f>$C136*INDEX(Curves!$F$8:$F$68,BG$4-$B136+1)</f>
        <v/>
      </c>
      <c r="BH136" s="56">
        <f>$C136*INDEX(Curves!$F$8:$F$68,BH$4-$B136+1)</f>
        <v/>
      </c>
      <c r="BI136" s="56">
        <f>$C136*INDEX(Curves!$F$8:$F$68,BI$4-$B136+1)</f>
        <v/>
      </c>
      <c r="BJ136" s="56">
        <f>$C136*INDEX(Curves!$F$8:$F$68,BJ$4-$B136+1)</f>
        <v/>
      </c>
      <c r="BK136" s="56">
        <f>$C136*INDEX(Curves!$F$8:$F$68,BK$4-$B136+1)</f>
        <v/>
      </c>
      <c r="BL136" s="56">
        <f>$C136*INDEX(Curves!$F$8:$F$68,BL$4-$B136+1)</f>
        <v/>
      </c>
    </row>
    <row r="137">
      <c r="A137" s="55" t="inlineStr">
        <is>
          <t>Cohort month 2</t>
        </is>
      </c>
      <c r="B137" s="55" t="n">
        <v>2</v>
      </c>
      <c r="C137" s="46">
        <f>INDEX(Ops!$E$10:$BL$10,1,$B137)</f>
        <v/>
      </c>
      <c r="G137" s="56">
        <f>$C137*INDEX(Curves!$F$8:$F$68,G$4-$B137+1)</f>
        <v/>
      </c>
      <c r="H137" s="56">
        <f>$C137*INDEX(Curves!$F$8:$F$68,H$4-$B137+1)</f>
        <v/>
      </c>
      <c r="I137" s="56">
        <f>$C137*INDEX(Curves!$F$8:$F$68,I$4-$B137+1)</f>
        <v/>
      </c>
      <c r="J137" s="56">
        <f>$C137*INDEX(Curves!$F$8:$F$68,J$4-$B137+1)</f>
        <v/>
      </c>
      <c r="K137" s="56">
        <f>$C137*INDEX(Curves!$F$8:$F$68,K$4-$B137+1)</f>
        <v/>
      </c>
      <c r="L137" s="56">
        <f>$C137*INDEX(Curves!$F$8:$F$68,L$4-$B137+1)</f>
        <v/>
      </c>
      <c r="M137" s="56">
        <f>$C137*INDEX(Curves!$F$8:$F$68,M$4-$B137+1)</f>
        <v/>
      </c>
      <c r="N137" s="56">
        <f>$C137*INDEX(Curves!$F$8:$F$68,N$4-$B137+1)</f>
        <v/>
      </c>
      <c r="O137" s="56">
        <f>$C137*INDEX(Curves!$F$8:$F$68,O$4-$B137+1)</f>
        <v/>
      </c>
      <c r="P137" s="56">
        <f>$C137*INDEX(Curves!$F$8:$F$68,P$4-$B137+1)</f>
        <v/>
      </c>
      <c r="Q137" s="56">
        <f>$C137*INDEX(Curves!$F$8:$F$68,Q$4-$B137+1)</f>
        <v/>
      </c>
      <c r="R137" s="56">
        <f>$C137*INDEX(Curves!$F$8:$F$68,R$4-$B137+1)</f>
        <v/>
      </c>
      <c r="S137" s="56">
        <f>$C137*INDEX(Curves!$F$8:$F$68,S$4-$B137+1)</f>
        <v/>
      </c>
      <c r="T137" s="56">
        <f>$C137*INDEX(Curves!$F$8:$F$68,T$4-$B137+1)</f>
        <v/>
      </c>
      <c r="U137" s="56">
        <f>$C137*INDEX(Curves!$F$8:$F$68,U$4-$B137+1)</f>
        <v/>
      </c>
      <c r="V137" s="56">
        <f>$C137*INDEX(Curves!$F$8:$F$68,V$4-$B137+1)</f>
        <v/>
      </c>
      <c r="W137" s="56">
        <f>$C137*INDEX(Curves!$F$8:$F$68,W$4-$B137+1)</f>
        <v/>
      </c>
      <c r="X137" s="56">
        <f>$C137*INDEX(Curves!$F$8:$F$68,X$4-$B137+1)</f>
        <v/>
      </c>
      <c r="Y137" s="56">
        <f>$C137*INDEX(Curves!$F$8:$F$68,Y$4-$B137+1)</f>
        <v/>
      </c>
      <c r="Z137" s="56">
        <f>$C137*INDEX(Curves!$F$8:$F$68,Z$4-$B137+1)</f>
        <v/>
      </c>
      <c r="AA137" s="56">
        <f>$C137*INDEX(Curves!$F$8:$F$68,AA$4-$B137+1)</f>
        <v/>
      </c>
      <c r="AB137" s="56">
        <f>$C137*INDEX(Curves!$F$8:$F$68,AB$4-$B137+1)</f>
        <v/>
      </c>
      <c r="AC137" s="56">
        <f>$C137*INDEX(Curves!$F$8:$F$68,AC$4-$B137+1)</f>
        <v/>
      </c>
      <c r="AD137" s="56">
        <f>$C137*INDEX(Curves!$F$8:$F$68,AD$4-$B137+1)</f>
        <v/>
      </c>
      <c r="AE137" s="56">
        <f>$C137*INDEX(Curves!$F$8:$F$68,AE$4-$B137+1)</f>
        <v/>
      </c>
      <c r="AF137" s="56">
        <f>$C137*INDEX(Curves!$F$8:$F$68,AF$4-$B137+1)</f>
        <v/>
      </c>
      <c r="AG137" s="56">
        <f>$C137*INDEX(Curves!$F$8:$F$68,AG$4-$B137+1)</f>
        <v/>
      </c>
      <c r="AH137" s="56">
        <f>$C137*INDEX(Curves!$F$8:$F$68,AH$4-$B137+1)</f>
        <v/>
      </c>
      <c r="AI137" s="56">
        <f>$C137*INDEX(Curves!$F$8:$F$68,AI$4-$B137+1)</f>
        <v/>
      </c>
      <c r="AJ137" s="56">
        <f>$C137*INDEX(Curves!$F$8:$F$68,AJ$4-$B137+1)</f>
        <v/>
      </c>
      <c r="AK137" s="56">
        <f>$C137*INDEX(Curves!$F$8:$F$68,AK$4-$B137+1)</f>
        <v/>
      </c>
      <c r="AL137" s="56">
        <f>$C137*INDEX(Curves!$F$8:$F$68,AL$4-$B137+1)</f>
        <v/>
      </c>
      <c r="AM137" s="56">
        <f>$C137*INDEX(Curves!$F$8:$F$68,AM$4-$B137+1)</f>
        <v/>
      </c>
      <c r="AN137" s="56">
        <f>$C137*INDEX(Curves!$F$8:$F$68,AN$4-$B137+1)</f>
        <v/>
      </c>
      <c r="AO137" s="56">
        <f>$C137*INDEX(Curves!$F$8:$F$68,AO$4-$B137+1)</f>
        <v/>
      </c>
      <c r="AP137" s="56">
        <f>$C137*INDEX(Curves!$F$8:$F$68,AP$4-$B137+1)</f>
        <v/>
      </c>
      <c r="AQ137" s="56">
        <f>$C137*INDEX(Curves!$F$8:$F$68,AQ$4-$B137+1)</f>
        <v/>
      </c>
      <c r="AR137" s="56">
        <f>$C137*INDEX(Curves!$F$8:$F$68,AR$4-$B137+1)</f>
        <v/>
      </c>
      <c r="AS137" s="56">
        <f>$C137*INDEX(Curves!$F$8:$F$68,AS$4-$B137+1)</f>
        <v/>
      </c>
      <c r="AT137" s="56">
        <f>$C137*INDEX(Curves!$F$8:$F$68,AT$4-$B137+1)</f>
        <v/>
      </c>
      <c r="AU137" s="56">
        <f>$C137*INDEX(Curves!$F$8:$F$68,AU$4-$B137+1)</f>
        <v/>
      </c>
      <c r="AV137" s="56">
        <f>$C137*INDEX(Curves!$F$8:$F$68,AV$4-$B137+1)</f>
        <v/>
      </c>
      <c r="AW137" s="56">
        <f>$C137*INDEX(Curves!$F$8:$F$68,AW$4-$B137+1)</f>
        <v/>
      </c>
      <c r="AX137" s="56">
        <f>$C137*INDEX(Curves!$F$8:$F$68,AX$4-$B137+1)</f>
        <v/>
      </c>
      <c r="AY137" s="56">
        <f>$C137*INDEX(Curves!$F$8:$F$68,AY$4-$B137+1)</f>
        <v/>
      </c>
      <c r="AZ137" s="56">
        <f>$C137*INDEX(Curves!$F$8:$F$68,AZ$4-$B137+1)</f>
        <v/>
      </c>
      <c r="BA137" s="56">
        <f>$C137*INDEX(Curves!$F$8:$F$68,BA$4-$B137+1)</f>
        <v/>
      </c>
      <c r="BB137" s="56">
        <f>$C137*INDEX(Curves!$F$8:$F$68,BB$4-$B137+1)</f>
        <v/>
      </c>
      <c r="BC137" s="56">
        <f>$C137*INDEX(Curves!$F$8:$F$68,BC$4-$B137+1)</f>
        <v/>
      </c>
      <c r="BD137" s="56">
        <f>$C137*INDEX(Curves!$F$8:$F$68,BD$4-$B137+1)</f>
        <v/>
      </c>
      <c r="BE137" s="56">
        <f>$C137*INDEX(Curves!$F$8:$F$68,BE$4-$B137+1)</f>
        <v/>
      </c>
      <c r="BF137" s="56">
        <f>$C137*INDEX(Curves!$F$8:$F$68,BF$4-$B137+1)</f>
        <v/>
      </c>
      <c r="BG137" s="56">
        <f>$C137*INDEX(Curves!$F$8:$F$68,BG$4-$B137+1)</f>
        <v/>
      </c>
      <c r="BH137" s="56">
        <f>$C137*INDEX(Curves!$F$8:$F$68,BH$4-$B137+1)</f>
        <v/>
      </c>
      <c r="BI137" s="56">
        <f>$C137*INDEX(Curves!$F$8:$F$68,BI$4-$B137+1)</f>
        <v/>
      </c>
      <c r="BJ137" s="56">
        <f>$C137*INDEX(Curves!$F$8:$F$68,BJ$4-$B137+1)</f>
        <v/>
      </c>
      <c r="BK137" s="56">
        <f>$C137*INDEX(Curves!$F$8:$F$68,BK$4-$B137+1)</f>
        <v/>
      </c>
      <c r="BL137" s="56">
        <f>$C137*INDEX(Curves!$F$8:$F$68,BL$4-$B137+1)</f>
        <v/>
      </c>
    </row>
    <row r="138">
      <c r="A138" s="55" t="inlineStr">
        <is>
          <t>Cohort month 3</t>
        </is>
      </c>
      <c r="B138" s="55" t="n">
        <v>3</v>
      </c>
      <c r="C138" s="46">
        <f>INDEX(Ops!$E$10:$BL$10,1,$B138)</f>
        <v/>
      </c>
      <c r="H138" s="56">
        <f>$C138*INDEX(Curves!$F$8:$F$68,H$4-$B138+1)</f>
        <v/>
      </c>
      <c r="I138" s="56">
        <f>$C138*INDEX(Curves!$F$8:$F$68,I$4-$B138+1)</f>
        <v/>
      </c>
      <c r="J138" s="56">
        <f>$C138*INDEX(Curves!$F$8:$F$68,J$4-$B138+1)</f>
        <v/>
      </c>
      <c r="K138" s="56">
        <f>$C138*INDEX(Curves!$F$8:$F$68,K$4-$B138+1)</f>
        <v/>
      </c>
      <c r="L138" s="56">
        <f>$C138*INDEX(Curves!$F$8:$F$68,L$4-$B138+1)</f>
        <v/>
      </c>
      <c r="M138" s="56">
        <f>$C138*INDEX(Curves!$F$8:$F$68,M$4-$B138+1)</f>
        <v/>
      </c>
      <c r="N138" s="56">
        <f>$C138*INDEX(Curves!$F$8:$F$68,N$4-$B138+1)</f>
        <v/>
      </c>
      <c r="O138" s="56">
        <f>$C138*INDEX(Curves!$F$8:$F$68,O$4-$B138+1)</f>
        <v/>
      </c>
      <c r="P138" s="56">
        <f>$C138*INDEX(Curves!$F$8:$F$68,P$4-$B138+1)</f>
        <v/>
      </c>
      <c r="Q138" s="56">
        <f>$C138*INDEX(Curves!$F$8:$F$68,Q$4-$B138+1)</f>
        <v/>
      </c>
      <c r="R138" s="56">
        <f>$C138*INDEX(Curves!$F$8:$F$68,R$4-$B138+1)</f>
        <v/>
      </c>
      <c r="S138" s="56">
        <f>$C138*INDEX(Curves!$F$8:$F$68,S$4-$B138+1)</f>
        <v/>
      </c>
      <c r="T138" s="56">
        <f>$C138*INDEX(Curves!$F$8:$F$68,T$4-$B138+1)</f>
        <v/>
      </c>
      <c r="U138" s="56">
        <f>$C138*INDEX(Curves!$F$8:$F$68,U$4-$B138+1)</f>
        <v/>
      </c>
      <c r="V138" s="56">
        <f>$C138*INDEX(Curves!$F$8:$F$68,V$4-$B138+1)</f>
        <v/>
      </c>
      <c r="W138" s="56">
        <f>$C138*INDEX(Curves!$F$8:$F$68,W$4-$B138+1)</f>
        <v/>
      </c>
      <c r="X138" s="56">
        <f>$C138*INDEX(Curves!$F$8:$F$68,X$4-$B138+1)</f>
        <v/>
      </c>
      <c r="Y138" s="56">
        <f>$C138*INDEX(Curves!$F$8:$F$68,Y$4-$B138+1)</f>
        <v/>
      </c>
      <c r="Z138" s="56">
        <f>$C138*INDEX(Curves!$F$8:$F$68,Z$4-$B138+1)</f>
        <v/>
      </c>
      <c r="AA138" s="56">
        <f>$C138*INDEX(Curves!$F$8:$F$68,AA$4-$B138+1)</f>
        <v/>
      </c>
      <c r="AB138" s="56">
        <f>$C138*INDEX(Curves!$F$8:$F$68,AB$4-$B138+1)</f>
        <v/>
      </c>
      <c r="AC138" s="56">
        <f>$C138*INDEX(Curves!$F$8:$F$68,AC$4-$B138+1)</f>
        <v/>
      </c>
      <c r="AD138" s="56">
        <f>$C138*INDEX(Curves!$F$8:$F$68,AD$4-$B138+1)</f>
        <v/>
      </c>
      <c r="AE138" s="56">
        <f>$C138*INDEX(Curves!$F$8:$F$68,AE$4-$B138+1)</f>
        <v/>
      </c>
      <c r="AF138" s="56">
        <f>$C138*INDEX(Curves!$F$8:$F$68,AF$4-$B138+1)</f>
        <v/>
      </c>
      <c r="AG138" s="56">
        <f>$C138*INDEX(Curves!$F$8:$F$68,AG$4-$B138+1)</f>
        <v/>
      </c>
      <c r="AH138" s="56">
        <f>$C138*INDEX(Curves!$F$8:$F$68,AH$4-$B138+1)</f>
        <v/>
      </c>
      <c r="AI138" s="56">
        <f>$C138*INDEX(Curves!$F$8:$F$68,AI$4-$B138+1)</f>
        <v/>
      </c>
      <c r="AJ138" s="56">
        <f>$C138*INDEX(Curves!$F$8:$F$68,AJ$4-$B138+1)</f>
        <v/>
      </c>
      <c r="AK138" s="56">
        <f>$C138*INDEX(Curves!$F$8:$F$68,AK$4-$B138+1)</f>
        <v/>
      </c>
      <c r="AL138" s="56">
        <f>$C138*INDEX(Curves!$F$8:$F$68,AL$4-$B138+1)</f>
        <v/>
      </c>
      <c r="AM138" s="56">
        <f>$C138*INDEX(Curves!$F$8:$F$68,AM$4-$B138+1)</f>
        <v/>
      </c>
      <c r="AN138" s="56">
        <f>$C138*INDEX(Curves!$F$8:$F$68,AN$4-$B138+1)</f>
        <v/>
      </c>
      <c r="AO138" s="56">
        <f>$C138*INDEX(Curves!$F$8:$F$68,AO$4-$B138+1)</f>
        <v/>
      </c>
      <c r="AP138" s="56">
        <f>$C138*INDEX(Curves!$F$8:$F$68,AP$4-$B138+1)</f>
        <v/>
      </c>
      <c r="AQ138" s="56">
        <f>$C138*INDEX(Curves!$F$8:$F$68,AQ$4-$B138+1)</f>
        <v/>
      </c>
      <c r="AR138" s="56">
        <f>$C138*INDEX(Curves!$F$8:$F$68,AR$4-$B138+1)</f>
        <v/>
      </c>
      <c r="AS138" s="56">
        <f>$C138*INDEX(Curves!$F$8:$F$68,AS$4-$B138+1)</f>
        <v/>
      </c>
      <c r="AT138" s="56">
        <f>$C138*INDEX(Curves!$F$8:$F$68,AT$4-$B138+1)</f>
        <v/>
      </c>
      <c r="AU138" s="56">
        <f>$C138*INDEX(Curves!$F$8:$F$68,AU$4-$B138+1)</f>
        <v/>
      </c>
      <c r="AV138" s="56">
        <f>$C138*INDEX(Curves!$F$8:$F$68,AV$4-$B138+1)</f>
        <v/>
      </c>
      <c r="AW138" s="56">
        <f>$C138*INDEX(Curves!$F$8:$F$68,AW$4-$B138+1)</f>
        <v/>
      </c>
      <c r="AX138" s="56">
        <f>$C138*INDEX(Curves!$F$8:$F$68,AX$4-$B138+1)</f>
        <v/>
      </c>
      <c r="AY138" s="56">
        <f>$C138*INDEX(Curves!$F$8:$F$68,AY$4-$B138+1)</f>
        <v/>
      </c>
      <c r="AZ138" s="56">
        <f>$C138*INDEX(Curves!$F$8:$F$68,AZ$4-$B138+1)</f>
        <v/>
      </c>
      <c r="BA138" s="56">
        <f>$C138*INDEX(Curves!$F$8:$F$68,BA$4-$B138+1)</f>
        <v/>
      </c>
      <c r="BB138" s="56">
        <f>$C138*INDEX(Curves!$F$8:$F$68,BB$4-$B138+1)</f>
        <v/>
      </c>
      <c r="BC138" s="56">
        <f>$C138*INDEX(Curves!$F$8:$F$68,BC$4-$B138+1)</f>
        <v/>
      </c>
      <c r="BD138" s="56">
        <f>$C138*INDEX(Curves!$F$8:$F$68,BD$4-$B138+1)</f>
        <v/>
      </c>
      <c r="BE138" s="56">
        <f>$C138*INDEX(Curves!$F$8:$F$68,BE$4-$B138+1)</f>
        <v/>
      </c>
      <c r="BF138" s="56">
        <f>$C138*INDEX(Curves!$F$8:$F$68,BF$4-$B138+1)</f>
        <v/>
      </c>
      <c r="BG138" s="56">
        <f>$C138*INDEX(Curves!$F$8:$F$68,BG$4-$B138+1)</f>
        <v/>
      </c>
      <c r="BH138" s="56">
        <f>$C138*INDEX(Curves!$F$8:$F$68,BH$4-$B138+1)</f>
        <v/>
      </c>
      <c r="BI138" s="56">
        <f>$C138*INDEX(Curves!$F$8:$F$68,BI$4-$B138+1)</f>
        <v/>
      </c>
      <c r="BJ138" s="56">
        <f>$C138*INDEX(Curves!$F$8:$F$68,BJ$4-$B138+1)</f>
        <v/>
      </c>
      <c r="BK138" s="56">
        <f>$C138*INDEX(Curves!$F$8:$F$68,BK$4-$B138+1)</f>
        <v/>
      </c>
      <c r="BL138" s="56">
        <f>$C138*INDEX(Curves!$F$8:$F$68,BL$4-$B138+1)</f>
        <v/>
      </c>
    </row>
    <row r="139">
      <c r="A139" s="55" t="inlineStr">
        <is>
          <t>Cohort month 4</t>
        </is>
      </c>
      <c r="B139" s="55" t="n">
        <v>4</v>
      </c>
      <c r="C139" s="46">
        <f>INDEX(Ops!$E$10:$BL$10,1,$B139)</f>
        <v/>
      </c>
      <c r="I139" s="56">
        <f>$C139*INDEX(Curves!$F$8:$F$68,I$4-$B139+1)</f>
        <v/>
      </c>
      <c r="J139" s="56">
        <f>$C139*INDEX(Curves!$F$8:$F$68,J$4-$B139+1)</f>
        <v/>
      </c>
      <c r="K139" s="56">
        <f>$C139*INDEX(Curves!$F$8:$F$68,K$4-$B139+1)</f>
        <v/>
      </c>
      <c r="L139" s="56">
        <f>$C139*INDEX(Curves!$F$8:$F$68,L$4-$B139+1)</f>
        <v/>
      </c>
      <c r="M139" s="56">
        <f>$C139*INDEX(Curves!$F$8:$F$68,M$4-$B139+1)</f>
        <v/>
      </c>
      <c r="N139" s="56">
        <f>$C139*INDEX(Curves!$F$8:$F$68,N$4-$B139+1)</f>
        <v/>
      </c>
      <c r="O139" s="56">
        <f>$C139*INDEX(Curves!$F$8:$F$68,O$4-$B139+1)</f>
        <v/>
      </c>
      <c r="P139" s="56">
        <f>$C139*INDEX(Curves!$F$8:$F$68,P$4-$B139+1)</f>
        <v/>
      </c>
      <c r="Q139" s="56">
        <f>$C139*INDEX(Curves!$F$8:$F$68,Q$4-$B139+1)</f>
        <v/>
      </c>
      <c r="R139" s="56">
        <f>$C139*INDEX(Curves!$F$8:$F$68,R$4-$B139+1)</f>
        <v/>
      </c>
      <c r="S139" s="56">
        <f>$C139*INDEX(Curves!$F$8:$F$68,S$4-$B139+1)</f>
        <v/>
      </c>
      <c r="T139" s="56">
        <f>$C139*INDEX(Curves!$F$8:$F$68,T$4-$B139+1)</f>
        <v/>
      </c>
      <c r="U139" s="56">
        <f>$C139*INDEX(Curves!$F$8:$F$68,U$4-$B139+1)</f>
        <v/>
      </c>
      <c r="V139" s="56">
        <f>$C139*INDEX(Curves!$F$8:$F$68,V$4-$B139+1)</f>
        <v/>
      </c>
      <c r="W139" s="56">
        <f>$C139*INDEX(Curves!$F$8:$F$68,W$4-$B139+1)</f>
        <v/>
      </c>
      <c r="X139" s="56">
        <f>$C139*INDEX(Curves!$F$8:$F$68,X$4-$B139+1)</f>
        <v/>
      </c>
      <c r="Y139" s="56">
        <f>$C139*INDEX(Curves!$F$8:$F$68,Y$4-$B139+1)</f>
        <v/>
      </c>
      <c r="Z139" s="56">
        <f>$C139*INDEX(Curves!$F$8:$F$68,Z$4-$B139+1)</f>
        <v/>
      </c>
      <c r="AA139" s="56">
        <f>$C139*INDEX(Curves!$F$8:$F$68,AA$4-$B139+1)</f>
        <v/>
      </c>
      <c r="AB139" s="56">
        <f>$C139*INDEX(Curves!$F$8:$F$68,AB$4-$B139+1)</f>
        <v/>
      </c>
      <c r="AC139" s="56">
        <f>$C139*INDEX(Curves!$F$8:$F$68,AC$4-$B139+1)</f>
        <v/>
      </c>
      <c r="AD139" s="56">
        <f>$C139*INDEX(Curves!$F$8:$F$68,AD$4-$B139+1)</f>
        <v/>
      </c>
      <c r="AE139" s="56">
        <f>$C139*INDEX(Curves!$F$8:$F$68,AE$4-$B139+1)</f>
        <v/>
      </c>
      <c r="AF139" s="56">
        <f>$C139*INDEX(Curves!$F$8:$F$68,AF$4-$B139+1)</f>
        <v/>
      </c>
      <c r="AG139" s="56">
        <f>$C139*INDEX(Curves!$F$8:$F$68,AG$4-$B139+1)</f>
        <v/>
      </c>
      <c r="AH139" s="56">
        <f>$C139*INDEX(Curves!$F$8:$F$68,AH$4-$B139+1)</f>
        <v/>
      </c>
      <c r="AI139" s="56">
        <f>$C139*INDEX(Curves!$F$8:$F$68,AI$4-$B139+1)</f>
        <v/>
      </c>
      <c r="AJ139" s="56">
        <f>$C139*INDEX(Curves!$F$8:$F$68,AJ$4-$B139+1)</f>
        <v/>
      </c>
      <c r="AK139" s="56">
        <f>$C139*INDEX(Curves!$F$8:$F$68,AK$4-$B139+1)</f>
        <v/>
      </c>
      <c r="AL139" s="56">
        <f>$C139*INDEX(Curves!$F$8:$F$68,AL$4-$B139+1)</f>
        <v/>
      </c>
      <c r="AM139" s="56">
        <f>$C139*INDEX(Curves!$F$8:$F$68,AM$4-$B139+1)</f>
        <v/>
      </c>
      <c r="AN139" s="56">
        <f>$C139*INDEX(Curves!$F$8:$F$68,AN$4-$B139+1)</f>
        <v/>
      </c>
      <c r="AO139" s="56">
        <f>$C139*INDEX(Curves!$F$8:$F$68,AO$4-$B139+1)</f>
        <v/>
      </c>
      <c r="AP139" s="56">
        <f>$C139*INDEX(Curves!$F$8:$F$68,AP$4-$B139+1)</f>
        <v/>
      </c>
      <c r="AQ139" s="56">
        <f>$C139*INDEX(Curves!$F$8:$F$68,AQ$4-$B139+1)</f>
        <v/>
      </c>
      <c r="AR139" s="56">
        <f>$C139*INDEX(Curves!$F$8:$F$68,AR$4-$B139+1)</f>
        <v/>
      </c>
      <c r="AS139" s="56">
        <f>$C139*INDEX(Curves!$F$8:$F$68,AS$4-$B139+1)</f>
        <v/>
      </c>
      <c r="AT139" s="56">
        <f>$C139*INDEX(Curves!$F$8:$F$68,AT$4-$B139+1)</f>
        <v/>
      </c>
      <c r="AU139" s="56">
        <f>$C139*INDEX(Curves!$F$8:$F$68,AU$4-$B139+1)</f>
        <v/>
      </c>
      <c r="AV139" s="56">
        <f>$C139*INDEX(Curves!$F$8:$F$68,AV$4-$B139+1)</f>
        <v/>
      </c>
      <c r="AW139" s="56">
        <f>$C139*INDEX(Curves!$F$8:$F$68,AW$4-$B139+1)</f>
        <v/>
      </c>
      <c r="AX139" s="56">
        <f>$C139*INDEX(Curves!$F$8:$F$68,AX$4-$B139+1)</f>
        <v/>
      </c>
      <c r="AY139" s="56">
        <f>$C139*INDEX(Curves!$F$8:$F$68,AY$4-$B139+1)</f>
        <v/>
      </c>
      <c r="AZ139" s="56">
        <f>$C139*INDEX(Curves!$F$8:$F$68,AZ$4-$B139+1)</f>
        <v/>
      </c>
      <c r="BA139" s="56">
        <f>$C139*INDEX(Curves!$F$8:$F$68,BA$4-$B139+1)</f>
        <v/>
      </c>
      <c r="BB139" s="56">
        <f>$C139*INDEX(Curves!$F$8:$F$68,BB$4-$B139+1)</f>
        <v/>
      </c>
      <c r="BC139" s="56">
        <f>$C139*INDEX(Curves!$F$8:$F$68,BC$4-$B139+1)</f>
        <v/>
      </c>
      <c r="BD139" s="56">
        <f>$C139*INDEX(Curves!$F$8:$F$68,BD$4-$B139+1)</f>
        <v/>
      </c>
      <c r="BE139" s="56">
        <f>$C139*INDEX(Curves!$F$8:$F$68,BE$4-$B139+1)</f>
        <v/>
      </c>
      <c r="BF139" s="56">
        <f>$C139*INDEX(Curves!$F$8:$F$68,BF$4-$B139+1)</f>
        <v/>
      </c>
      <c r="BG139" s="56">
        <f>$C139*INDEX(Curves!$F$8:$F$68,BG$4-$B139+1)</f>
        <v/>
      </c>
      <c r="BH139" s="56">
        <f>$C139*INDEX(Curves!$F$8:$F$68,BH$4-$B139+1)</f>
        <v/>
      </c>
      <c r="BI139" s="56">
        <f>$C139*INDEX(Curves!$F$8:$F$68,BI$4-$B139+1)</f>
        <v/>
      </c>
      <c r="BJ139" s="56">
        <f>$C139*INDEX(Curves!$F$8:$F$68,BJ$4-$B139+1)</f>
        <v/>
      </c>
      <c r="BK139" s="56">
        <f>$C139*INDEX(Curves!$F$8:$F$68,BK$4-$B139+1)</f>
        <v/>
      </c>
      <c r="BL139" s="56">
        <f>$C139*INDEX(Curves!$F$8:$F$68,BL$4-$B139+1)</f>
        <v/>
      </c>
    </row>
    <row r="140">
      <c r="A140" s="55" t="inlineStr">
        <is>
          <t>Cohort month 5</t>
        </is>
      </c>
      <c r="B140" s="55" t="n">
        <v>5</v>
      </c>
      <c r="C140" s="46">
        <f>INDEX(Ops!$E$10:$BL$10,1,$B140)</f>
        <v/>
      </c>
      <c r="J140" s="56">
        <f>$C140*INDEX(Curves!$F$8:$F$68,J$4-$B140+1)</f>
        <v/>
      </c>
      <c r="K140" s="56">
        <f>$C140*INDEX(Curves!$F$8:$F$68,K$4-$B140+1)</f>
        <v/>
      </c>
      <c r="L140" s="56">
        <f>$C140*INDEX(Curves!$F$8:$F$68,L$4-$B140+1)</f>
        <v/>
      </c>
      <c r="M140" s="56">
        <f>$C140*INDEX(Curves!$F$8:$F$68,M$4-$B140+1)</f>
        <v/>
      </c>
      <c r="N140" s="56">
        <f>$C140*INDEX(Curves!$F$8:$F$68,N$4-$B140+1)</f>
        <v/>
      </c>
      <c r="O140" s="56">
        <f>$C140*INDEX(Curves!$F$8:$F$68,O$4-$B140+1)</f>
        <v/>
      </c>
      <c r="P140" s="56">
        <f>$C140*INDEX(Curves!$F$8:$F$68,P$4-$B140+1)</f>
        <v/>
      </c>
      <c r="Q140" s="56">
        <f>$C140*INDEX(Curves!$F$8:$F$68,Q$4-$B140+1)</f>
        <v/>
      </c>
      <c r="R140" s="56">
        <f>$C140*INDEX(Curves!$F$8:$F$68,R$4-$B140+1)</f>
        <v/>
      </c>
      <c r="S140" s="56">
        <f>$C140*INDEX(Curves!$F$8:$F$68,S$4-$B140+1)</f>
        <v/>
      </c>
      <c r="T140" s="56">
        <f>$C140*INDEX(Curves!$F$8:$F$68,T$4-$B140+1)</f>
        <v/>
      </c>
      <c r="U140" s="56">
        <f>$C140*INDEX(Curves!$F$8:$F$68,U$4-$B140+1)</f>
        <v/>
      </c>
      <c r="V140" s="56">
        <f>$C140*INDEX(Curves!$F$8:$F$68,V$4-$B140+1)</f>
        <v/>
      </c>
      <c r="W140" s="56">
        <f>$C140*INDEX(Curves!$F$8:$F$68,W$4-$B140+1)</f>
        <v/>
      </c>
      <c r="X140" s="56">
        <f>$C140*INDEX(Curves!$F$8:$F$68,X$4-$B140+1)</f>
        <v/>
      </c>
      <c r="Y140" s="56">
        <f>$C140*INDEX(Curves!$F$8:$F$68,Y$4-$B140+1)</f>
        <v/>
      </c>
      <c r="Z140" s="56">
        <f>$C140*INDEX(Curves!$F$8:$F$68,Z$4-$B140+1)</f>
        <v/>
      </c>
      <c r="AA140" s="56">
        <f>$C140*INDEX(Curves!$F$8:$F$68,AA$4-$B140+1)</f>
        <v/>
      </c>
      <c r="AB140" s="56">
        <f>$C140*INDEX(Curves!$F$8:$F$68,AB$4-$B140+1)</f>
        <v/>
      </c>
      <c r="AC140" s="56">
        <f>$C140*INDEX(Curves!$F$8:$F$68,AC$4-$B140+1)</f>
        <v/>
      </c>
      <c r="AD140" s="56">
        <f>$C140*INDEX(Curves!$F$8:$F$68,AD$4-$B140+1)</f>
        <v/>
      </c>
      <c r="AE140" s="56">
        <f>$C140*INDEX(Curves!$F$8:$F$68,AE$4-$B140+1)</f>
        <v/>
      </c>
      <c r="AF140" s="56">
        <f>$C140*INDEX(Curves!$F$8:$F$68,AF$4-$B140+1)</f>
        <v/>
      </c>
      <c r="AG140" s="56">
        <f>$C140*INDEX(Curves!$F$8:$F$68,AG$4-$B140+1)</f>
        <v/>
      </c>
      <c r="AH140" s="56">
        <f>$C140*INDEX(Curves!$F$8:$F$68,AH$4-$B140+1)</f>
        <v/>
      </c>
      <c r="AI140" s="56">
        <f>$C140*INDEX(Curves!$F$8:$F$68,AI$4-$B140+1)</f>
        <v/>
      </c>
      <c r="AJ140" s="56">
        <f>$C140*INDEX(Curves!$F$8:$F$68,AJ$4-$B140+1)</f>
        <v/>
      </c>
      <c r="AK140" s="56">
        <f>$C140*INDEX(Curves!$F$8:$F$68,AK$4-$B140+1)</f>
        <v/>
      </c>
      <c r="AL140" s="56">
        <f>$C140*INDEX(Curves!$F$8:$F$68,AL$4-$B140+1)</f>
        <v/>
      </c>
      <c r="AM140" s="56">
        <f>$C140*INDEX(Curves!$F$8:$F$68,AM$4-$B140+1)</f>
        <v/>
      </c>
      <c r="AN140" s="56">
        <f>$C140*INDEX(Curves!$F$8:$F$68,AN$4-$B140+1)</f>
        <v/>
      </c>
      <c r="AO140" s="56">
        <f>$C140*INDEX(Curves!$F$8:$F$68,AO$4-$B140+1)</f>
        <v/>
      </c>
      <c r="AP140" s="56">
        <f>$C140*INDEX(Curves!$F$8:$F$68,AP$4-$B140+1)</f>
        <v/>
      </c>
      <c r="AQ140" s="56">
        <f>$C140*INDEX(Curves!$F$8:$F$68,AQ$4-$B140+1)</f>
        <v/>
      </c>
      <c r="AR140" s="56">
        <f>$C140*INDEX(Curves!$F$8:$F$68,AR$4-$B140+1)</f>
        <v/>
      </c>
      <c r="AS140" s="56">
        <f>$C140*INDEX(Curves!$F$8:$F$68,AS$4-$B140+1)</f>
        <v/>
      </c>
      <c r="AT140" s="56">
        <f>$C140*INDEX(Curves!$F$8:$F$68,AT$4-$B140+1)</f>
        <v/>
      </c>
      <c r="AU140" s="56">
        <f>$C140*INDEX(Curves!$F$8:$F$68,AU$4-$B140+1)</f>
        <v/>
      </c>
      <c r="AV140" s="56">
        <f>$C140*INDEX(Curves!$F$8:$F$68,AV$4-$B140+1)</f>
        <v/>
      </c>
      <c r="AW140" s="56">
        <f>$C140*INDEX(Curves!$F$8:$F$68,AW$4-$B140+1)</f>
        <v/>
      </c>
      <c r="AX140" s="56">
        <f>$C140*INDEX(Curves!$F$8:$F$68,AX$4-$B140+1)</f>
        <v/>
      </c>
      <c r="AY140" s="56">
        <f>$C140*INDEX(Curves!$F$8:$F$68,AY$4-$B140+1)</f>
        <v/>
      </c>
      <c r="AZ140" s="56">
        <f>$C140*INDEX(Curves!$F$8:$F$68,AZ$4-$B140+1)</f>
        <v/>
      </c>
      <c r="BA140" s="56">
        <f>$C140*INDEX(Curves!$F$8:$F$68,BA$4-$B140+1)</f>
        <v/>
      </c>
      <c r="BB140" s="56">
        <f>$C140*INDEX(Curves!$F$8:$F$68,BB$4-$B140+1)</f>
        <v/>
      </c>
      <c r="BC140" s="56">
        <f>$C140*INDEX(Curves!$F$8:$F$68,BC$4-$B140+1)</f>
        <v/>
      </c>
      <c r="BD140" s="56">
        <f>$C140*INDEX(Curves!$F$8:$F$68,BD$4-$B140+1)</f>
        <v/>
      </c>
      <c r="BE140" s="56">
        <f>$C140*INDEX(Curves!$F$8:$F$68,BE$4-$B140+1)</f>
        <v/>
      </c>
      <c r="BF140" s="56">
        <f>$C140*INDEX(Curves!$F$8:$F$68,BF$4-$B140+1)</f>
        <v/>
      </c>
      <c r="BG140" s="56">
        <f>$C140*INDEX(Curves!$F$8:$F$68,BG$4-$B140+1)</f>
        <v/>
      </c>
      <c r="BH140" s="56">
        <f>$C140*INDEX(Curves!$F$8:$F$68,BH$4-$B140+1)</f>
        <v/>
      </c>
      <c r="BI140" s="56">
        <f>$C140*INDEX(Curves!$F$8:$F$68,BI$4-$B140+1)</f>
        <v/>
      </c>
      <c r="BJ140" s="56">
        <f>$C140*INDEX(Curves!$F$8:$F$68,BJ$4-$B140+1)</f>
        <v/>
      </c>
      <c r="BK140" s="56">
        <f>$C140*INDEX(Curves!$F$8:$F$68,BK$4-$B140+1)</f>
        <v/>
      </c>
      <c r="BL140" s="56">
        <f>$C140*INDEX(Curves!$F$8:$F$68,BL$4-$B140+1)</f>
        <v/>
      </c>
    </row>
    <row r="141">
      <c r="A141" s="55" t="inlineStr">
        <is>
          <t>Cohort month 6</t>
        </is>
      </c>
      <c r="B141" s="55" t="n">
        <v>6</v>
      </c>
      <c r="C141" s="46">
        <f>INDEX(Ops!$E$10:$BL$10,1,$B141)</f>
        <v/>
      </c>
      <c r="K141" s="56">
        <f>$C141*INDEX(Curves!$F$8:$F$68,K$4-$B141+1)</f>
        <v/>
      </c>
      <c r="L141" s="56">
        <f>$C141*INDEX(Curves!$F$8:$F$68,L$4-$B141+1)</f>
        <v/>
      </c>
      <c r="M141" s="56">
        <f>$C141*INDEX(Curves!$F$8:$F$68,M$4-$B141+1)</f>
        <v/>
      </c>
      <c r="N141" s="56">
        <f>$C141*INDEX(Curves!$F$8:$F$68,N$4-$B141+1)</f>
        <v/>
      </c>
      <c r="O141" s="56">
        <f>$C141*INDEX(Curves!$F$8:$F$68,O$4-$B141+1)</f>
        <v/>
      </c>
      <c r="P141" s="56">
        <f>$C141*INDEX(Curves!$F$8:$F$68,P$4-$B141+1)</f>
        <v/>
      </c>
      <c r="Q141" s="56">
        <f>$C141*INDEX(Curves!$F$8:$F$68,Q$4-$B141+1)</f>
        <v/>
      </c>
      <c r="R141" s="56">
        <f>$C141*INDEX(Curves!$F$8:$F$68,R$4-$B141+1)</f>
        <v/>
      </c>
      <c r="S141" s="56">
        <f>$C141*INDEX(Curves!$F$8:$F$68,S$4-$B141+1)</f>
        <v/>
      </c>
      <c r="T141" s="56">
        <f>$C141*INDEX(Curves!$F$8:$F$68,T$4-$B141+1)</f>
        <v/>
      </c>
      <c r="U141" s="56">
        <f>$C141*INDEX(Curves!$F$8:$F$68,U$4-$B141+1)</f>
        <v/>
      </c>
      <c r="V141" s="56">
        <f>$C141*INDEX(Curves!$F$8:$F$68,V$4-$B141+1)</f>
        <v/>
      </c>
      <c r="W141" s="56">
        <f>$C141*INDEX(Curves!$F$8:$F$68,W$4-$B141+1)</f>
        <v/>
      </c>
      <c r="X141" s="56">
        <f>$C141*INDEX(Curves!$F$8:$F$68,X$4-$B141+1)</f>
        <v/>
      </c>
      <c r="Y141" s="56">
        <f>$C141*INDEX(Curves!$F$8:$F$68,Y$4-$B141+1)</f>
        <v/>
      </c>
      <c r="Z141" s="56">
        <f>$C141*INDEX(Curves!$F$8:$F$68,Z$4-$B141+1)</f>
        <v/>
      </c>
      <c r="AA141" s="56">
        <f>$C141*INDEX(Curves!$F$8:$F$68,AA$4-$B141+1)</f>
        <v/>
      </c>
      <c r="AB141" s="56">
        <f>$C141*INDEX(Curves!$F$8:$F$68,AB$4-$B141+1)</f>
        <v/>
      </c>
      <c r="AC141" s="56">
        <f>$C141*INDEX(Curves!$F$8:$F$68,AC$4-$B141+1)</f>
        <v/>
      </c>
      <c r="AD141" s="56">
        <f>$C141*INDEX(Curves!$F$8:$F$68,AD$4-$B141+1)</f>
        <v/>
      </c>
      <c r="AE141" s="56">
        <f>$C141*INDEX(Curves!$F$8:$F$68,AE$4-$B141+1)</f>
        <v/>
      </c>
      <c r="AF141" s="56">
        <f>$C141*INDEX(Curves!$F$8:$F$68,AF$4-$B141+1)</f>
        <v/>
      </c>
      <c r="AG141" s="56">
        <f>$C141*INDEX(Curves!$F$8:$F$68,AG$4-$B141+1)</f>
        <v/>
      </c>
      <c r="AH141" s="56">
        <f>$C141*INDEX(Curves!$F$8:$F$68,AH$4-$B141+1)</f>
        <v/>
      </c>
      <c r="AI141" s="56">
        <f>$C141*INDEX(Curves!$F$8:$F$68,AI$4-$B141+1)</f>
        <v/>
      </c>
      <c r="AJ141" s="56">
        <f>$C141*INDEX(Curves!$F$8:$F$68,AJ$4-$B141+1)</f>
        <v/>
      </c>
      <c r="AK141" s="56">
        <f>$C141*INDEX(Curves!$F$8:$F$68,AK$4-$B141+1)</f>
        <v/>
      </c>
      <c r="AL141" s="56">
        <f>$C141*INDEX(Curves!$F$8:$F$68,AL$4-$B141+1)</f>
        <v/>
      </c>
      <c r="AM141" s="56">
        <f>$C141*INDEX(Curves!$F$8:$F$68,AM$4-$B141+1)</f>
        <v/>
      </c>
      <c r="AN141" s="56">
        <f>$C141*INDEX(Curves!$F$8:$F$68,AN$4-$B141+1)</f>
        <v/>
      </c>
      <c r="AO141" s="56">
        <f>$C141*INDEX(Curves!$F$8:$F$68,AO$4-$B141+1)</f>
        <v/>
      </c>
      <c r="AP141" s="56">
        <f>$C141*INDEX(Curves!$F$8:$F$68,AP$4-$B141+1)</f>
        <v/>
      </c>
      <c r="AQ141" s="56">
        <f>$C141*INDEX(Curves!$F$8:$F$68,AQ$4-$B141+1)</f>
        <v/>
      </c>
      <c r="AR141" s="56">
        <f>$C141*INDEX(Curves!$F$8:$F$68,AR$4-$B141+1)</f>
        <v/>
      </c>
      <c r="AS141" s="56">
        <f>$C141*INDEX(Curves!$F$8:$F$68,AS$4-$B141+1)</f>
        <v/>
      </c>
      <c r="AT141" s="56">
        <f>$C141*INDEX(Curves!$F$8:$F$68,AT$4-$B141+1)</f>
        <v/>
      </c>
      <c r="AU141" s="56">
        <f>$C141*INDEX(Curves!$F$8:$F$68,AU$4-$B141+1)</f>
        <v/>
      </c>
      <c r="AV141" s="56">
        <f>$C141*INDEX(Curves!$F$8:$F$68,AV$4-$B141+1)</f>
        <v/>
      </c>
      <c r="AW141" s="56">
        <f>$C141*INDEX(Curves!$F$8:$F$68,AW$4-$B141+1)</f>
        <v/>
      </c>
      <c r="AX141" s="56">
        <f>$C141*INDEX(Curves!$F$8:$F$68,AX$4-$B141+1)</f>
        <v/>
      </c>
      <c r="AY141" s="56">
        <f>$C141*INDEX(Curves!$F$8:$F$68,AY$4-$B141+1)</f>
        <v/>
      </c>
      <c r="AZ141" s="56">
        <f>$C141*INDEX(Curves!$F$8:$F$68,AZ$4-$B141+1)</f>
        <v/>
      </c>
      <c r="BA141" s="56">
        <f>$C141*INDEX(Curves!$F$8:$F$68,BA$4-$B141+1)</f>
        <v/>
      </c>
      <c r="BB141" s="56">
        <f>$C141*INDEX(Curves!$F$8:$F$68,BB$4-$B141+1)</f>
        <v/>
      </c>
      <c r="BC141" s="56">
        <f>$C141*INDEX(Curves!$F$8:$F$68,BC$4-$B141+1)</f>
        <v/>
      </c>
      <c r="BD141" s="56">
        <f>$C141*INDEX(Curves!$F$8:$F$68,BD$4-$B141+1)</f>
        <v/>
      </c>
      <c r="BE141" s="56">
        <f>$C141*INDEX(Curves!$F$8:$F$68,BE$4-$B141+1)</f>
        <v/>
      </c>
      <c r="BF141" s="56">
        <f>$C141*INDEX(Curves!$F$8:$F$68,BF$4-$B141+1)</f>
        <v/>
      </c>
      <c r="BG141" s="56">
        <f>$C141*INDEX(Curves!$F$8:$F$68,BG$4-$B141+1)</f>
        <v/>
      </c>
      <c r="BH141" s="56">
        <f>$C141*INDEX(Curves!$F$8:$F$68,BH$4-$B141+1)</f>
        <v/>
      </c>
      <c r="BI141" s="56">
        <f>$C141*INDEX(Curves!$F$8:$F$68,BI$4-$B141+1)</f>
        <v/>
      </c>
      <c r="BJ141" s="56">
        <f>$C141*INDEX(Curves!$F$8:$F$68,BJ$4-$B141+1)</f>
        <v/>
      </c>
      <c r="BK141" s="56">
        <f>$C141*INDEX(Curves!$F$8:$F$68,BK$4-$B141+1)</f>
        <v/>
      </c>
      <c r="BL141" s="56">
        <f>$C141*INDEX(Curves!$F$8:$F$68,BL$4-$B141+1)</f>
        <v/>
      </c>
    </row>
    <row r="142">
      <c r="A142" s="55" t="inlineStr">
        <is>
          <t>Cohort month 7</t>
        </is>
      </c>
      <c r="B142" s="55" t="n">
        <v>7</v>
      </c>
      <c r="C142" s="46">
        <f>INDEX(Ops!$E$10:$BL$10,1,$B142)</f>
        <v/>
      </c>
      <c r="L142" s="56">
        <f>$C142*INDEX(Curves!$F$8:$F$68,L$4-$B142+1)</f>
        <v/>
      </c>
      <c r="M142" s="56">
        <f>$C142*INDEX(Curves!$F$8:$F$68,M$4-$B142+1)</f>
        <v/>
      </c>
      <c r="N142" s="56">
        <f>$C142*INDEX(Curves!$F$8:$F$68,N$4-$B142+1)</f>
        <v/>
      </c>
      <c r="O142" s="56">
        <f>$C142*INDEX(Curves!$F$8:$F$68,O$4-$B142+1)</f>
        <v/>
      </c>
      <c r="P142" s="56">
        <f>$C142*INDEX(Curves!$F$8:$F$68,P$4-$B142+1)</f>
        <v/>
      </c>
      <c r="Q142" s="56">
        <f>$C142*INDEX(Curves!$F$8:$F$68,Q$4-$B142+1)</f>
        <v/>
      </c>
      <c r="R142" s="56">
        <f>$C142*INDEX(Curves!$F$8:$F$68,R$4-$B142+1)</f>
        <v/>
      </c>
      <c r="S142" s="56">
        <f>$C142*INDEX(Curves!$F$8:$F$68,S$4-$B142+1)</f>
        <v/>
      </c>
      <c r="T142" s="56">
        <f>$C142*INDEX(Curves!$F$8:$F$68,T$4-$B142+1)</f>
        <v/>
      </c>
      <c r="U142" s="56">
        <f>$C142*INDEX(Curves!$F$8:$F$68,U$4-$B142+1)</f>
        <v/>
      </c>
      <c r="V142" s="56">
        <f>$C142*INDEX(Curves!$F$8:$F$68,V$4-$B142+1)</f>
        <v/>
      </c>
      <c r="W142" s="56">
        <f>$C142*INDEX(Curves!$F$8:$F$68,W$4-$B142+1)</f>
        <v/>
      </c>
      <c r="X142" s="56">
        <f>$C142*INDEX(Curves!$F$8:$F$68,X$4-$B142+1)</f>
        <v/>
      </c>
      <c r="Y142" s="56">
        <f>$C142*INDEX(Curves!$F$8:$F$68,Y$4-$B142+1)</f>
        <v/>
      </c>
      <c r="Z142" s="56">
        <f>$C142*INDEX(Curves!$F$8:$F$68,Z$4-$B142+1)</f>
        <v/>
      </c>
      <c r="AA142" s="56">
        <f>$C142*INDEX(Curves!$F$8:$F$68,AA$4-$B142+1)</f>
        <v/>
      </c>
      <c r="AB142" s="56">
        <f>$C142*INDEX(Curves!$F$8:$F$68,AB$4-$B142+1)</f>
        <v/>
      </c>
      <c r="AC142" s="56">
        <f>$C142*INDEX(Curves!$F$8:$F$68,AC$4-$B142+1)</f>
        <v/>
      </c>
      <c r="AD142" s="56">
        <f>$C142*INDEX(Curves!$F$8:$F$68,AD$4-$B142+1)</f>
        <v/>
      </c>
      <c r="AE142" s="56">
        <f>$C142*INDEX(Curves!$F$8:$F$68,AE$4-$B142+1)</f>
        <v/>
      </c>
      <c r="AF142" s="56">
        <f>$C142*INDEX(Curves!$F$8:$F$68,AF$4-$B142+1)</f>
        <v/>
      </c>
      <c r="AG142" s="56">
        <f>$C142*INDEX(Curves!$F$8:$F$68,AG$4-$B142+1)</f>
        <v/>
      </c>
      <c r="AH142" s="56">
        <f>$C142*INDEX(Curves!$F$8:$F$68,AH$4-$B142+1)</f>
        <v/>
      </c>
      <c r="AI142" s="56">
        <f>$C142*INDEX(Curves!$F$8:$F$68,AI$4-$B142+1)</f>
        <v/>
      </c>
      <c r="AJ142" s="56">
        <f>$C142*INDEX(Curves!$F$8:$F$68,AJ$4-$B142+1)</f>
        <v/>
      </c>
      <c r="AK142" s="56">
        <f>$C142*INDEX(Curves!$F$8:$F$68,AK$4-$B142+1)</f>
        <v/>
      </c>
      <c r="AL142" s="56">
        <f>$C142*INDEX(Curves!$F$8:$F$68,AL$4-$B142+1)</f>
        <v/>
      </c>
      <c r="AM142" s="56">
        <f>$C142*INDEX(Curves!$F$8:$F$68,AM$4-$B142+1)</f>
        <v/>
      </c>
      <c r="AN142" s="56">
        <f>$C142*INDEX(Curves!$F$8:$F$68,AN$4-$B142+1)</f>
        <v/>
      </c>
      <c r="AO142" s="56">
        <f>$C142*INDEX(Curves!$F$8:$F$68,AO$4-$B142+1)</f>
        <v/>
      </c>
      <c r="AP142" s="56">
        <f>$C142*INDEX(Curves!$F$8:$F$68,AP$4-$B142+1)</f>
        <v/>
      </c>
      <c r="AQ142" s="56">
        <f>$C142*INDEX(Curves!$F$8:$F$68,AQ$4-$B142+1)</f>
        <v/>
      </c>
      <c r="AR142" s="56">
        <f>$C142*INDEX(Curves!$F$8:$F$68,AR$4-$B142+1)</f>
        <v/>
      </c>
      <c r="AS142" s="56">
        <f>$C142*INDEX(Curves!$F$8:$F$68,AS$4-$B142+1)</f>
        <v/>
      </c>
      <c r="AT142" s="56">
        <f>$C142*INDEX(Curves!$F$8:$F$68,AT$4-$B142+1)</f>
        <v/>
      </c>
      <c r="AU142" s="56">
        <f>$C142*INDEX(Curves!$F$8:$F$68,AU$4-$B142+1)</f>
        <v/>
      </c>
      <c r="AV142" s="56">
        <f>$C142*INDEX(Curves!$F$8:$F$68,AV$4-$B142+1)</f>
        <v/>
      </c>
      <c r="AW142" s="56">
        <f>$C142*INDEX(Curves!$F$8:$F$68,AW$4-$B142+1)</f>
        <v/>
      </c>
      <c r="AX142" s="56">
        <f>$C142*INDEX(Curves!$F$8:$F$68,AX$4-$B142+1)</f>
        <v/>
      </c>
      <c r="AY142" s="56">
        <f>$C142*INDEX(Curves!$F$8:$F$68,AY$4-$B142+1)</f>
        <v/>
      </c>
      <c r="AZ142" s="56">
        <f>$C142*INDEX(Curves!$F$8:$F$68,AZ$4-$B142+1)</f>
        <v/>
      </c>
      <c r="BA142" s="56">
        <f>$C142*INDEX(Curves!$F$8:$F$68,BA$4-$B142+1)</f>
        <v/>
      </c>
      <c r="BB142" s="56">
        <f>$C142*INDEX(Curves!$F$8:$F$68,BB$4-$B142+1)</f>
        <v/>
      </c>
      <c r="BC142" s="56">
        <f>$C142*INDEX(Curves!$F$8:$F$68,BC$4-$B142+1)</f>
        <v/>
      </c>
      <c r="BD142" s="56">
        <f>$C142*INDEX(Curves!$F$8:$F$68,BD$4-$B142+1)</f>
        <v/>
      </c>
      <c r="BE142" s="56">
        <f>$C142*INDEX(Curves!$F$8:$F$68,BE$4-$B142+1)</f>
        <v/>
      </c>
      <c r="BF142" s="56">
        <f>$C142*INDEX(Curves!$F$8:$F$68,BF$4-$B142+1)</f>
        <v/>
      </c>
      <c r="BG142" s="56">
        <f>$C142*INDEX(Curves!$F$8:$F$68,BG$4-$B142+1)</f>
        <v/>
      </c>
      <c r="BH142" s="56">
        <f>$C142*INDEX(Curves!$F$8:$F$68,BH$4-$B142+1)</f>
        <v/>
      </c>
      <c r="BI142" s="56">
        <f>$C142*INDEX(Curves!$F$8:$F$68,BI$4-$B142+1)</f>
        <v/>
      </c>
      <c r="BJ142" s="56">
        <f>$C142*INDEX(Curves!$F$8:$F$68,BJ$4-$B142+1)</f>
        <v/>
      </c>
      <c r="BK142" s="56">
        <f>$C142*INDEX(Curves!$F$8:$F$68,BK$4-$B142+1)</f>
        <v/>
      </c>
      <c r="BL142" s="56">
        <f>$C142*INDEX(Curves!$F$8:$F$68,BL$4-$B142+1)</f>
        <v/>
      </c>
    </row>
    <row r="143">
      <c r="A143" s="55" t="inlineStr">
        <is>
          <t>Cohort month 8</t>
        </is>
      </c>
      <c r="B143" s="55" t="n">
        <v>8</v>
      </c>
      <c r="C143" s="46">
        <f>INDEX(Ops!$E$10:$BL$10,1,$B143)</f>
        <v/>
      </c>
      <c r="M143" s="56">
        <f>$C143*INDEX(Curves!$F$8:$F$68,M$4-$B143+1)</f>
        <v/>
      </c>
      <c r="N143" s="56">
        <f>$C143*INDEX(Curves!$F$8:$F$68,N$4-$B143+1)</f>
        <v/>
      </c>
      <c r="O143" s="56">
        <f>$C143*INDEX(Curves!$F$8:$F$68,O$4-$B143+1)</f>
        <v/>
      </c>
      <c r="P143" s="56">
        <f>$C143*INDEX(Curves!$F$8:$F$68,P$4-$B143+1)</f>
        <v/>
      </c>
      <c r="Q143" s="56">
        <f>$C143*INDEX(Curves!$F$8:$F$68,Q$4-$B143+1)</f>
        <v/>
      </c>
      <c r="R143" s="56">
        <f>$C143*INDEX(Curves!$F$8:$F$68,R$4-$B143+1)</f>
        <v/>
      </c>
      <c r="S143" s="56">
        <f>$C143*INDEX(Curves!$F$8:$F$68,S$4-$B143+1)</f>
        <v/>
      </c>
      <c r="T143" s="56">
        <f>$C143*INDEX(Curves!$F$8:$F$68,T$4-$B143+1)</f>
        <v/>
      </c>
      <c r="U143" s="56">
        <f>$C143*INDEX(Curves!$F$8:$F$68,U$4-$B143+1)</f>
        <v/>
      </c>
      <c r="V143" s="56">
        <f>$C143*INDEX(Curves!$F$8:$F$68,V$4-$B143+1)</f>
        <v/>
      </c>
      <c r="W143" s="56">
        <f>$C143*INDEX(Curves!$F$8:$F$68,W$4-$B143+1)</f>
        <v/>
      </c>
      <c r="X143" s="56">
        <f>$C143*INDEX(Curves!$F$8:$F$68,X$4-$B143+1)</f>
        <v/>
      </c>
      <c r="Y143" s="56">
        <f>$C143*INDEX(Curves!$F$8:$F$68,Y$4-$B143+1)</f>
        <v/>
      </c>
      <c r="Z143" s="56">
        <f>$C143*INDEX(Curves!$F$8:$F$68,Z$4-$B143+1)</f>
        <v/>
      </c>
      <c r="AA143" s="56">
        <f>$C143*INDEX(Curves!$F$8:$F$68,AA$4-$B143+1)</f>
        <v/>
      </c>
      <c r="AB143" s="56">
        <f>$C143*INDEX(Curves!$F$8:$F$68,AB$4-$B143+1)</f>
        <v/>
      </c>
      <c r="AC143" s="56">
        <f>$C143*INDEX(Curves!$F$8:$F$68,AC$4-$B143+1)</f>
        <v/>
      </c>
      <c r="AD143" s="56">
        <f>$C143*INDEX(Curves!$F$8:$F$68,AD$4-$B143+1)</f>
        <v/>
      </c>
      <c r="AE143" s="56">
        <f>$C143*INDEX(Curves!$F$8:$F$68,AE$4-$B143+1)</f>
        <v/>
      </c>
      <c r="AF143" s="56">
        <f>$C143*INDEX(Curves!$F$8:$F$68,AF$4-$B143+1)</f>
        <v/>
      </c>
      <c r="AG143" s="56">
        <f>$C143*INDEX(Curves!$F$8:$F$68,AG$4-$B143+1)</f>
        <v/>
      </c>
      <c r="AH143" s="56">
        <f>$C143*INDEX(Curves!$F$8:$F$68,AH$4-$B143+1)</f>
        <v/>
      </c>
      <c r="AI143" s="56">
        <f>$C143*INDEX(Curves!$F$8:$F$68,AI$4-$B143+1)</f>
        <v/>
      </c>
      <c r="AJ143" s="56">
        <f>$C143*INDEX(Curves!$F$8:$F$68,AJ$4-$B143+1)</f>
        <v/>
      </c>
      <c r="AK143" s="56">
        <f>$C143*INDEX(Curves!$F$8:$F$68,AK$4-$B143+1)</f>
        <v/>
      </c>
      <c r="AL143" s="56">
        <f>$C143*INDEX(Curves!$F$8:$F$68,AL$4-$B143+1)</f>
        <v/>
      </c>
      <c r="AM143" s="56">
        <f>$C143*INDEX(Curves!$F$8:$F$68,AM$4-$B143+1)</f>
        <v/>
      </c>
      <c r="AN143" s="56">
        <f>$C143*INDEX(Curves!$F$8:$F$68,AN$4-$B143+1)</f>
        <v/>
      </c>
      <c r="AO143" s="56">
        <f>$C143*INDEX(Curves!$F$8:$F$68,AO$4-$B143+1)</f>
        <v/>
      </c>
      <c r="AP143" s="56">
        <f>$C143*INDEX(Curves!$F$8:$F$68,AP$4-$B143+1)</f>
        <v/>
      </c>
      <c r="AQ143" s="56">
        <f>$C143*INDEX(Curves!$F$8:$F$68,AQ$4-$B143+1)</f>
        <v/>
      </c>
      <c r="AR143" s="56">
        <f>$C143*INDEX(Curves!$F$8:$F$68,AR$4-$B143+1)</f>
        <v/>
      </c>
      <c r="AS143" s="56">
        <f>$C143*INDEX(Curves!$F$8:$F$68,AS$4-$B143+1)</f>
        <v/>
      </c>
      <c r="AT143" s="56">
        <f>$C143*INDEX(Curves!$F$8:$F$68,AT$4-$B143+1)</f>
        <v/>
      </c>
      <c r="AU143" s="56">
        <f>$C143*INDEX(Curves!$F$8:$F$68,AU$4-$B143+1)</f>
        <v/>
      </c>
      <c r="AV143" s="56">
        <f>$C143*INDEX(Curves!$F$8:$F$68,AV$4-$B143+1)</f>
        <v/>
      </c>
      <c r="AW143" s="56">
        <f>$C143*INDEX(Curves!$F$8:$F$68,AW$4-$B143+1)</f>
        <v/>
      </c>
      <c r="AX143" s="56">
        <f>$C143*INDEX(Curves!$F$8:$F$68,AX$4-$B143+1)</f>
        <v/>
      </c>
      <c r="AY143" s="56">
        <f>$C143*INDEX(Curves!$F$8:$F$68,AY$4-$B143+1)</f>
        <v/>
      </c>
      <c r="AZ143" s="56">
        <f>$C143*INDEX(Curves!$F$8:$F$68,AZ$4-$B143+1)</f>
        <v/>
      </c>
      <c r="BA143" s="56">
        <f>$C143*INDEX(Curves!$F$8:$F$68,BA$4-$B143+1)</f>
        <v/>
      </c>
      <c r="BB143" s="56">
        <f>$C143*INDEX(Curves!$F$8:$F$68,BB$4-$B143+1)</f>
        <v/>
      </c>
      <c r="BC143" s="56">
        <f>$C143*INDEX(Curves!$F$8:$F$68,BC$4-$B143+1)</f>
        <v/>
      </c>
      <c r="BD143" s="56">
        <f>$C143*INDEX(Curves!$F$8:$F$68,BD$4-$B143+1)</f>
        <v/>
      </c>
      <c r="BE143" s="56">
        <f>$C143*INDEX(Curves!$F$8:$F$68,BE$4-$B143+1)</f>
        <v/>
      </c>
      <c r="BF143" s="56">
        <f>$C143*INDEX(Curves!$F$8:$F$68,BF$4-$B143+1)</f>
        <v/>
      </c>
      <c r="BG143" s="56">
        <f>$C143*INDEX(Curves!$F$8:$F$68,BG$4-$B143+1)</f>
        <v/>
      </c>
      <c r="BH143" s="56">
        <f>$C143*INDEX(Curves!$F$8:$F$68,BH$4-$B143+1)</f>
        <v/>
      </c>
      <c r="BI143" s="56">
        <f>$C143*INDEX(Curves!$F$8:$F$68,BI$4-$B143+1)</f>
        <v/>
      </c>
      <c r="BJ143" s="56">
        <f>$C143*INDEX(Curves!$F$8:$F$68,BJ$4-$B143+1)</f>
        <v/>
      </c>
      <c r="BK143" s="56">
        <f>$C143*INDEX(Curves!$F$8:$F$68,BK$4-$B143+1)</f>
        <v/>
      </c>
      <c r="BL143" s="56">
        <f>$C143*INDEX(Curves!$F$8:$F$68,BL$4-$B143+1)</f>
        <v/>
      </c>
    </row>
    <row r="144">
      <c r="A144" s="55" t="inlineStr">
        <is>
          <t>Cohort month 9</t>
        </is>
      </c>
      <c r="B144" s="55" t="n">
        <v>9</v>
      </c>
      <c r="C144" s="46">
        <f>INDEX(Ops!$E$10:$BL$10,1,$B144)</f>
        <v/>
      </c>
      <c r="N144" s="56">
        <f>$C144*INDEX(Curves!$F$8:$F$68,N$4-$B144+1)</f>
        <v/>
      </c>
      <c r="O144" s="56">
        <f>$C144*INDEX(Curves!$F$8:$F$68,O$4-$B144+1)</f>
        <v/>
      </c>
      <c r="P144" s="56">
        <f>$C144*INDEX(Curves!$F$8:$F$68,P$4-$B144+1)</f>
        <v/>
      </c>
      <c r="Q144" s="56">
        <f>$C144*INDEX(Curves!$F$8:$F$68,Q$4-$B144+1)</f>
        <v/>
      </c>
      <c r="R144" s="56">
        <f>$C144*INDEX(Curves!$F$8:$F$68,R$4-$B144+1)</f>
        <v/>
      </c>
      <c r="S144" s="56">
        <f>$C144*INDEX(Curves!$F$8:$F$68,S$4-$B144+1)</f>
        <v/>
      </c>
      <c r="T144" s="56">
        <f>$C144*INDEX(Curves!$F$8:$F$68,T$4-$B144+1)</f>
        <v/>
      </c>
      <c r="U144" s="56">
        <f>$C144*INDEX(Curves!$F$8:$F$68,U$4-$B144+1)</f>
        <v/>
      </c>
      <c r="V144" s="56">
        <f>$C144*INDEX(Curves!$F$8:$F$68,V$4-$B144+1)</f>
        <v/>
      </c>
      <c r="W144" s="56">
        <f>$C144*INDEX(Curves!$F$8:$F$68,W$4-$B144+1)</f>
        <v/>
      </c>
      <c r="X144" s="56">
        <f>$C144*INDEX(Curves!$F$8:$F$68,X$4-$B144+1)</f>
        <v/>
      </c>
      <c r="Y144" s="56">
        <f>$C144*INDEX(Curves!$F$8:$F$68,Y$4-$B144+1)</f>
        <v/>
      </c>
      <c r="Z144" s="56">
        <f>$C144*INDEX(Curves!$F$8:$F$68,Z$4-$B144+1)</f>
        <v/>
      </c>
      <c r="AA144" s="56">
        <f>$C144*INDEX(Curves!$F$8:$F$68,AA$4-$B144+1)</f>
        <v/>
      </c>
      <c r="AB144" s="56">
        <f>$C144*INDEX(Curves!$F$8:$F$68,AB$4-$B144+1)</f>
        <v/>
      </c>
      <c r="AC144" s="56">
        <f>$C144*INDEX(Curves!$F$8:$F$68,AC$4-$B144+1)</f>
        <v/>
      </c>
      <c r="AD144" s="56">
        <f>$C144*INDEX(Curves!$F$8:$F$68,AD$4-$B144+1)</f>
        <v/>
      </c>
      <c r="AE144" s="56">
        <f>$C144*INDEX(Curves!$F$8:$F$68,AE$4-$B144+1)</f>
        <v/>
      </c>
      <c r="AF144" s="56">
        <f>$C144*INDEX(Curves!$F$8:$F$68,AF$4-$B144+1)</f>
        <v/>
      </c>
      <c r="AG144" s="56">
        <f>$C144*INDEX(Curves!$F$8:$F$68,AG$4-$B144+1)</f>
        <v/>
      </c>
      <c r="AH144" s="56">
        <f>$C144*INDEX(Curves!$F$8:$F$68,AH$4-$B144+1)</f>
        <v/>
      </c>
      <c r="AI144" s="56">
        <f>$C144*INDEX(Curves!$F$8:$F$68,AI$4-$B144+1)</f>
        <v/>
      </c>
      <c r="AJ144" s="56">
        <f>$C144*INDEX(Curves!$F$8:$F$68,AJ$4-$B144+1)</f>
        <v/>
      </c>
      <c r="AK144" s="56">
        <f>$C144*INDEX(Curves!$F$8:$F$68,AK$4-$B144+1)</f>
        <v/>
      </c>
      <c r="AL144" s="56">
        <f>$C144*INDEX(Curves!$F$8:$F$68,AL$4-$B144+1)</f>
        <v/>
      </c>
      <c r="AM144" s="56">
        <f>$C144*INDEX(Curves!$F$8:$F$68,AM$4-$B144+1)</f>
        <v/>
      </c>
      <c r="AN144" s="56">
        <f>$C144*INDEX(Curves!$F$8:$F$68,AN$4-$B144+1)</f>
        <v/>
      </c>
      <c r="AO144" s="56">
        <f>$C144*INDEX(Curves!$F$8:$F$68,AO$4-$B144+1)</f>
        <v/>
      </c>
      <c r="AP144" s="56">
        <f>$C144*INDEX(Curves!$F$8:$F$68,AP$4-$B144+1)</f>
        <v/>
      </c>
      <c r="AQ144" s="56">
        <f>$C144*INDEX(Curves!$F$8:$F$68,AQ$4-$B144+1)</f>
        <v/>
      </c>
      <c r="AR144" s="56">
        <f>$C144*INDEX(Curves!$F$8:$F$68,AR$4-$B144+1)</f>
        <v/>
      </c>
      <c r="AS144" s="56">
        <f>$C144*INDEX(Curves!$F$8:$F$68,AS$4-$B144+1)</f>
        <v/>
      </c>
      <c r="AT144" s="56">
        <f>$C144*INDEX(Curves!$F$8:$F$68,AT$4-$B144+1)</f>
        <v/>
      </c>
      <c r="AU144" s="56">
        <f>$C144*INDEX(Curves!$F$8:$F$68,AU$4-$B144+1)</f>
        <v/>
      </c>
      <c r="AV144" s="56">
        <f>$C144*INDEX(Curves!$F$8:$F$68,AV$4-$B144+1)</f>
        <v/>
      </c>
      <c r="AW144" s="56">
        <f>$C144*INDEX(Curves!$F$8:$F$68,AW$4-$B144+1)</f>
        <v/>
      </c>
      <c r="AX144" s="56">
        <f>$C144*INDEX(Curves!$F$8:$F$68,AX$4-$B144+1)</f>
        <v/>
      </c>
      <c r="AY144" s="56">
        <f>$C144*INDEX(Curves!$F$8:$F$68,AY$4-$B144+1)</f>
        <v/>
      </c>
      <c r="AZ144" s="56">
        <f>$C144*INDEX(Curves!$F$8:$F$68,AZ$4-$B144+1)</f>
        <v/>
      </c>
      <c r="BA144" s="56">
        <f>$C144*INDEX(Curves!$F$8:$F$68,BA$4-$B144+1)</f>
        <v/>
      </c>
      <c r="BB144" s="56">
        <f>$C144*INDEX(Curves!$F$8:$F$68,BB$4-$B144+1)</f>
        <v/>
      </c>
      <c r="BC144" s="56">
        <f>$C144*INDEX(Curves!$F$8:$F$68,BC$4-$B144+1)</f>
        <v/>
      </c>
      <c r="BD144" s="56">
        <f>$C144*INDEX(Curves!$F$8:$F$68,BD$4-$B144+1)</f>
        <v/>
      </c>
      <c r="BE144" s="56">
        <f>$C144*INDEX(Curves!$F$8:$F$68,BE$4-$B144+1)</f>
        <v/>
      </c>
      <c r="BF144" s="56">
        <f>$C144*INDEX(Curves!$F$8:$F$68,BF$4-$B144+1)</f>
        <v/>
      </c>
      <c r="BG144" s="56">
        <f>$C144*INDEX(Curves!$F$8:$F$68,BG$4-$B144+1)</f>
        <v/>
      </c>
      <c r="BH144" s="56">
        <f>$C144*INDEX(Curves!$F$8:$F$68,BH$4-$B144+1)</f>
        <v/>
      </c>
      <c r="BI144" s="56">
        <f>$C144*INDEX(Curves!$F$8:$F$68,BI$4-$B144+1)</f>
        <v/>
      </c>
      <c r="BJ144" s="56">
        <f>$C144*INDEX(Curves!$F$8:$F$68,BJ$4-$B144+1)</f>
        <v/>
      </c>
      <c r="BK144" s="56">
        <f>$C144*INDEX(Curves!$F$8:$F$68,BK$4-$B144+1)</f>
        <v/>
      </c>
      <c r="BL144" s="56">
        <f>$C144*INDEX(Curves!$F$8:$F$68,BL$4-$B144+1)</f>
        <v/>
      </c>
    </row>
    <row r="145">
      <c r="A145" s="55" t="inlineStr">
        <is>
          <t>Cohort month 10</t>
        </is>
      </c>
      <c r="B145" s="55" t="n">
        <v>10</v>
      </c>
      <c r="C145" s="46">
        <f>INDEX(Ops!$E$10:$BL$10,1,$B145)</f>
        <v/>
      </c>
      <c r="O145" s="56">
        <f>$C145*INDEX(Curves!$F$8:$F$68,O$4-$B145+1)</f>
        <v/>
      </c>
      <c r="P145" s="56">
        <f>$C145*INDEX(Curves!$F$8:$F$68,P$4-$B145+1)</f>
        <v/>
      </c>
      <c r="Q145" s="56">
        <f>$C145*INDEX(Curves!$F$8:$F$68,Q$4-$B145+1)</f>
        <v/>
      </c>
      <c r="R145" s="56">
        <f>$C145*INDEX(Curves!$F$8:$F$68,R$4-$B145+1)</f>
        <v/>
      </c>
      <c r="S145" s="56">
        <f>$C145*INDEX(Curves!$F$8:$F$68,S$4-$B145+1)</f>
        <v/>
      </c>
      <c r="T145" s="56">
        <f>$C145*INDEX(Curves!$F$8:$F$68,T$4-$B145+1)</f>
        <v/>
      </c>
      <c r="U145" s="56">
        <f>$C145*INDEX(Curves!$F$8:$F$68,U$4-$B145+1)</f>
        <v/>
      </c>
      <c r="V145" s="56">
        <f>$C145*INDEX(Curves!$F$8:$F$68,V$4-$B145+1)</f>
        <v/>
      </c>
      <c r="W145" s="56">
        <f>$C145*INDEX(Curves!$F$8:$F$68,W$4-$B145+1)</f>
        <v/>
      </c>
      <c r="X145" s="56">
        <f>$C145*INDEX(Curves!$F$8:$F$68,X$4-$B145+1)</f>
        <v/>
      </c>
      <c r="Y145" s="56">
        <f>$C145*INDEX(Curves!$F$8:$F$68,Y$4-$B145+1)</f>
        <v/>
      </c>
      <c r="Z145" s="56">
        <f>$C145*INDEX(Curves!$F$8:$F$68,Z$4-$B145+1)</f>
        <v/>
      </c>
      <c r="AA145" s="56">
        <f>$C145*INDEX(Curves!$F$8:$F$68,AA$4-$B145+1)</f>
        <v/>
      </c>
      <c r="AB145" s="56">
        <f>$C145*INDEX(Curves!$F$8:$F$68,AB$4-$B145+1)</f>
        <v/>
      </c>
      <c r="AC145" s="56">
        <f>$C145*INDEX(Curves!$F$8:$F$68,AC$4-$B145+1)</f>
        <v/>
      </c>
      <c r="AD145" s="56">
        <f>$C145*INDEX(Curves!$F$8:$F$68,AD$4-$B145+1)</f>
        <v/>
      </c>
      <c r="AE145" s="56">
        <f>$C145*INDEX(Curves!$F$8:$F$68,AE$4-$B145+1)</f>
        <v/>
      </c>
      <c r="AF145" s="56">
        <f>$C145*INDEX(Curves!$F$8:$F$68,AF$4-$B145+1)</f>
        <v/>
      </c>
      <c r="AG145" s="56">
        <f>$C145*INDEX(Curves!$F$8:$F$68,AG$4-$B145+1)</f>
        <v/>
      </c>
      <c r="AH145" s="56">
        <f>$C145*INDEX(Curves!$F$8:$F$68,AH$4-$B145+1)</f>
        <v/>
      </c>
      <c r="AI145" s="56">
        <f>$C145*INDEX(Curves!$F$8:$F$68,AI$4-$B145+1)</f>
        <v/>
      </c>
      <c r="AJ145" s="56">
        <f>$C145*INDEX(Curves!$F$8:$F$68,AJ$4-$B145+1)</f>
        <v/>
      </c>
      <c r="AK145" s="56">
        <f>$C145*INDEX(Curves!$F$8:$F$68,AK$4-$B145+1)</f>
        <v/>
      </c>
      <c r="AL145" s="56">
        <f>$C145*INDEX(Curves!$F$8:$F$68,AL$4-$B145+1)</f>
        <v/>
      </c>
      <c r="AM145" s="56">
        <f>$C145*INDEX(Curves!$F$8:$F$68,AM$4-$B145+1)</f>
        <v/>
      </c>
      <c r="AN145" s="56">
        <f>$C145*INDEX(Curves!$F$8:$F$68,AN$4-$B145+1)</f>
        <v/>
      </c>
      <c r="AO145" s="56">
        <f>$C145*INDEX(Curves!$F$8:$F$68,AO$4-$B145+1)</f>
        <v/>
      </c>
      <c r="AP145" s="56">
        <f>$C145*INDEX(Curves!$F$8:$F$68,AP$4-$B145+1)</f>
        <v/>
      </c>
      <c r="AQ145" s="56">
        <f>$C145*INDEX(Curves!$F$8:$F$68,AQ$4-$B145+1)</f>
        <v/>
      </c>
      <c r="AR145" s="56">
        <f>$C145*INDEX(Curves!$F$8:$F$68,AR$4-$B145+1)</f>
        <v/>
      </c>
      <c r="AS145" s="56">
        <f>$C145*INDEX(Curves!$F$8:$F$68,AS$4-$B145+1)</f>
        <v/>
      </c>
      <c r="AT145" s="56">
        <f>$C145*INDEX(Curves!$F$8:$F$68,AT$4-$B145+1)</f>
        <v/>
      </c>
      <c r="AU145" s="56">
        <f>$C145*INDEX(Curves!$F$8:$F$68,AU$4-$B145+1)</f>
        <v/>
      </c>
      <c r="AV145" s="56">
        <f>$C145*INDEX(Curves!$F$8:$F$68,AV$4-$B145+1)</f>
        <v/>
      </c>
      <c r="AW145" s="56">
        <f>$C145*INDEX(Curves!$F$8:$F$68,AW$4-$B145+1)</f>
        <v/>
      </c>
      <c r="AX145" s="56">
        <f>$C145*INDEX(Curves!$F$8:$F$68,AX$4-$B145+1)</f>
        <v/>
      </c>
      <c r="AY145" s="56">
        <f>$C145*INDEX(Curves!$F$8:$F$68,AY$4-$B145+1)</f>
        <v/>
      </c>
      <c r="AZ145" s="56">
        <f>$C145*INDEX(Curves!$F$8:$F$68,AZ$4-$B145+1)</f>
        <v/>
      </c>
      <c r="BA145" s="56">
        <f>$C145*INDEX(Curves!$F$8:$F$68,BA$4-$B145+1)</f>
        <v/>
      </c>
      <c r="BB145" s="56">
        <f>$C145*INDEX(Curves!$F$8:$F$68,BB$4-$B145+1)</f>
        <v/>
      </c>
      <c r="BC145" s="56">
        <f>$C145*INDEX(Curves!$F$8:$F$68,BC$4-$B145+1)</f>
        <v/>
      </c>
      <c r="BD145" s="56">
        <f>$C145*INDEX(Curves!$F$8:$F$68,BD$4-$B145+1)</f>
        <v/>
      </c>
      <c r="BE145" s="56">
        <f>$C145*INDEX(Curves!$F$8:$F$68,BE$4-$B145+1)</f>
        <v/>
      </c>
      <c r="BF145" s="56">
        <f>$C145*INDEX(Curves!$F$8:$F$68,BF$4-$B145+1)</f>
        <v/>
      </c>
      <c r="BG145" s="56">
        <f>$C145*INDEX(Curves!$F$8:$F$68,BG$4-$B145+1)</f>
        <v/>
      </c>
      <c r="BH145" s="56">
        <f>$C145*INDEX(Curves!$F$8:$F$68,BH$4-$B145+1)</f>
        <v/>
      </c>
      <c r="BI145" s="56">
        <f>$C145*INDEX(Curves!$F$8:$F$68,BI$4-$B145+1)</f>
        <v/>
      </c>
      <c r="BJ145" s="56">
        <f>$C145*INDEX(Curves!$F$8:$F$68,BJ$4-$B145+1)</f>
        <v/>
      </c>
      <c r="BK145" s="56">
        <f>$C145*INDEX(Curves!$F$8:$F$68,BK$4-$B145+1)</f>
        <v/>
      </c>
      <c r="BL145" s="56">
        <f>$C145*INDEX(Curves!$F$8:$F$68,BL$4-$B145+1)</f>
        <v/>
      </c>
    </row>
    <row r="146">
      <c r="A146" s="55" t="inlineStr">
        <is>
          <t>Cohort month 11</t>
        </is>
      </c>
      <c r="B146" s="55" t="n">
        <v>11</v>
      </c>
      <c r="C146" s="46">
        <f>INDEX(Ops!$E$10:$BL$10,1,$B146)</f>
        <v/>
      </c>
      <c r="P146" s="56">
        <f>$C146*INDEX(Curves!$F$8:$F$68,P$4-$B146+1)</f>
        <v/>
      </c>
      <c r="Q146" s="56">
        <f>$C146*INDEX(Curves!$F$8:$F$68,Q$4-$B146+1)</f>
        <v/>
      </c>
      <c r="R146" s="56">
        <f>$C146*INDEX(Curves!$F$8:$F$68,R$4-$B146+1)</f>
        <v/>
      </c>
      <c r="S146" s="56">
        <f>$C146*INDEX(Curves!$F$8:$F$68,S$4-$B146+1)</f>
        <v/>
      </c>
      <c r="T146" s="56">
        <f>$C146*INDEX(Curves!$F$8:$F$68,T$4-$B146+1)</f>
        <v/>
      </c>
      <c r="U146" s="56">
        <f>$C146*INDEX(Curves!$F$8:$F$68,U$4-$B146+1)</f>
        <v/>
      </c>
      <c r="V146" s="56">
        <f>$C146*INDEX(Curves!$F$8:$F$68,V$4-$B146+1)</f>
        <v/>
      </c>
      <c r="W146" s="56">
        <f>$C146*INDEX(Curves!$F$8:$F$68,W$4-$B146+1)</f>
        <v/>
      </c>
      <c r="X146" s="56">
        <f>$C146*INDEX(Curves!$F$8:$F$68,X$4-$B146+1)</f>
        <v/>
      </c>
      <c r="Y146" s="56">
        <f>$C146*INDEX(Curves!$F$8:$F$68,Y$4-$B146+1)</f>
        <v/>
      </c>
      <c r="Z146" s="56">
        <f>$C146*INDEX(Curves!$F$8:$F$68,Z$4-$B146+1)</f>
        <v/>
      </c>
      <c r="AA146" s="56">
        <f>$C146*INDEX(Curves!$F$8:$F$68,AA$4-$B146+1)</f>
        <v/>
      </c>
      <c r="AB146" s="56">
        <f>$C146*INDEX(Curves!$F$8:$F$68,AB$4-$B146+1)</f>
        <v/>
      </c>
      <c r="AC146" s="56">
        <f>$C146*INDEX(Curves!$F$8:$F$68,AC$4-$B146+1)</f>
        <v/>
      </c>
      <c r="AD146" s="56">
        <f>$C146*INDEX(Curves!$F$8:$F$68,AD$4-$B146+1)</f>
        <v/>
      </c>
      <c r="AE146" s="56">
        <f>$C146*INDEX(Curves!$F$8:$F$68,AE$4-$B146+1)</f>
        <v/>
      </c>
      <c r="AF146" s="56">
        <f>$C146*INDEX(Curves!$F$8:$F$68,AF$4-$B146+1)</f>
        <v/>
      </c>
      <c r="AG146" s="56">
        <f>$C146*INDEX(Curves!$F$8:$F$68,AG$4-$B146+1)</f>
        <v/>
      </c>
      <c r="AH146" s="56">
        <f>$C146*INDEX(Curves!$F$8:$F$68,AH$4-$B146+1)</f>
        <v/>
      </c>
      <c r="AI146" s="56">
        <f>$C146*INDEX(Curves!$F$8:$F$68,AI$4-$B146+1)</f>
        <v/>
      </c>
      <c r="AJ146" s="56">
        <f>$C146*INDEX(Curves!$F$8:$F$68,AJ$4-$B146+1)</f>
        <v/>
      </c>
      <c r="AK146" s="56">
        <f>$C146*INDEX(Curves!$F$8:$F$68,AK$4-$B146+1)</f>
        <v/>
      </c>
      <c r="AL146" s="56">
        <f>$C146*INDEX(Curves!$F$8:$F$68,AL$4-$B146+1)</f>
        <v/>
      </c>
      <c r="AM146" s="56">
        <f>$C146*INDEX(Curves!$F$8:$F$68,AM$4-$B146+1)</f>
        <v/>
      </c>
      <c r="AN146" s="56">
        <f>$C146*INDEX(Curves!$F$8:$F$68,AN$4-$B146+1)</f>
        <v/>
      </c>
      <c r="AO146" s="56">
        <f>$C146*INDEX(Curves!$F$8:$F$68,AO$4-$B146+1)</f>
        <v/>
      </c>
      <c r="AP146" s="56">
        <f>$C146*INDEX(Curves!$F$8:$F$68,AP$4-$B146+1)</f>
        <v/>
      </c>
      <c r="AQ146" s="56">
        <f>$C146*INDEX(Curves!$F$8:$F$68,AQ$4-$B146+1)</f>
        <v/>
      </c>
      <c r="AR146" s="56">
        <f>$C146*INDEX(Curves!$F$8:$F$68,AR$4-$B146+1)</f>
        <v/>
      </c>
      <c r="AS146" s="56">
        <f>$C146*INDEX(Curves!$F$8:$F$68,AS$4-$B146+1)</f>
        <v/>
      </c>
      <c r="AT146" s="56">
        <f>$C146*INDEX(Curves!$F$8:$F$68,AT$4-$B146+1)</f>
        <v/>
      </c>
      <c r="AU146" s="56">
        <f>$C146*INDEX(Curves!$F$8:$F$68,AU$4-$B146+1)</f>
        <v/>
      </c>
      <c r="AV146" s="56">
        <f>$C146*INDEX(Curves!$F$8:$F$68,AV$4-$B146+1)</f>
        <v/>
      </c>
      <c r="AW146" s="56">
        <f>$C146*INDEX(Curves!$F$8:$F$68,AW$4-$B146+1)</f>
        <v/>
      </c>
      <c r="AX146" s="56">
        <f>$C146*INDEX(Curves!$F$8:$F$68,AX$4-$B146+1)</f>
        <v/>
      </c>
      <c r="AY146" s="56">
        <f>$C146*INDEX(Curves!$F$8:$F$68,AY$4-$B146+1)</f>
        <v/>
      </c>
      <c r="AZ146" s="56">
        <f>$C146*INDEX(Curves!$F$8:$F$68,AZ$4-$B146+1)</f>
        <v/>
      </c>
      <c r="BA146" s="56">
        <f>$C146*INDEX(Curves!$F$8:$F$68,BA$4-$B146+1)</f>
        <v/>
      </c>
      <c r="BB146" s="56">
        <f>$C146*INDEX(Curves!$F$8:$F$68,BB$4-$B146+1)</f>
        <v/>
      </c>
      <c r="BC146" s="56">
        <f>$C146*INDEX(Curves!$F$8:$F$68,BC$4-$B146+1)</f>
        <v/>
      </c>
      <c r="BD146" s="56">
        <f>$C146*INDEX(Curves!$F$8:$F$68,BD$4-$B146+1)</f>
        <v/>
      </c>
      <c r="BE146" s="56">
        <f>$C146*INDEX(Curves!$F$8:$F$68,BE$4-$B146+1)</f>
        <v/>
      </c>
      <c r="BF146" s="56">
        <f>$C146*INDEX(Curves!$F$8:$F$68,BF$4-$B146+1)</f>
        <v/>
      </c>
      <c r="BG146" s="56">
        <f>$C146*INDEX(Curves!$F$8:$F$68,BG$4-$B146+1)</f>
        <v/>
      </c>
      <c r="BH146" s="56">
        <f>$C146*INDEX(Curves!$F$8:$F$68,BH$4-$B146+1)</f>
        <v/>
      </c>
      <c r="BI146" s="56">
        <f>$C146*INDEX(Curves!$F$8:$F$68,BI$4-$B146+1)</f>
        <v/>
      </c>
      <c r="BJ146" s="56">
        <f>$C146*INDEX(Curves!$F$8:$F$68,BJ$4-$B146+1)</f>
        <v/>
      </c>
      <c r="BK146" s="56">
        <f>$C146*INDEX(Curves!$F$8:$F$68,BK$4-$B146+1)</f>
        <v/>
      </c>
      <c r="BL146" s="56">
        <f>$C146*INDEX(Curves!$F$8:$F$68,BL$4-$B146+1)</f>
        <v/>
      </c>
    </row>
    <row r="147">
      <c r="A147" s="55" t="inlineStr">
        <is>
          <t>Cohort month 12</t>
        </is>
      </c>
      <c r="B147" s="55" t="n">
        <v>12</v>
      </c>
      <c r="C147" s="46">
        <f>INDEX(Ops!$E$10:$BL$10,1,$B147)</f>
        <v/>
      </c>
      <c r="Q147" s="56">
        <f>$C147*INDEX(Curves!$F$8:$F$68,Q$4-$B147+1)</f>
        <v/>
      </c>
      <c r="R147" s="56">
        <f>$C147*INDEX(Curves!$F$8:$F$68,R$4-$B147+1)</f>
        <v/>
      </c>
      <c r="S147" s="56">
        <f>$C147*INDEX(Curves!$F$8:$F$68,S$4-$B147+1)</f>
        <v/>
      </c>
      <c r="T147" s="56">
        <f>$C147*INDEX(Curves!$F$8:$F$68,T$4-$B147+1)</f>
        <v/>
      </c>
      <c r="U147" s="56">
        <f>$C147*INDEX(Curves!$F$8:$F$68,U$4-$B147+1)</f>
        <v/>
      </c>
      <c r="V147" s="56">
        <f>$C147*INDEX(Curves!$F$8:$F$68,V$4-$B147+1)</f>
        <v/>
      </c>
      <c r="W147" s="56">
        <f>$C147*INDEX(Curves!$F$8:$F$68,W$4-$B147+1)</f>
        <v/>
      </c>
      <c r="X147" s="56">
        <f>$C147*INDEX(Curves!$F$8:$F$68,X$4-$B147+1)</f>
        <v/>
      </c>
      <c r="Y147" s="56">
        <f>$C147*INDEX(Curves!$F$8:$F$68,Y$4-$B147+1)</f>
        <v/>
      </c>
      <c r="Z147" s="56">
        <f>$C147*INDEX(Curves!$F$8:$F$68,Z$4-$B147+1)</f>
        <v/>
      </c>
      <c r="AA147" s="56">
        <f>$C147*INDEX(Curves!$F$8:$F$68,AA$4-$B147+1)</f>
        <v/>
      </c>
      <c r="AB147" s="56">
        <f>$C147*INDEX(Curves!$F$8:$F$68,AB$4-$B147+1)</f>
        <v/>
      </c>
      <c r="AC147" s="56">
        <f>$C147*INDEX(Curves!$F$8:$F$68,AC$4-$B147+1)</f>
        <v/>
      </c>
      <c r="AD147" s="56">
        <f>$C147*INDEX(Curves!$F$8:$F$68,AD$4-$B147+1)</f>
        <v/>
      </c>
      <c r="AE147" s="56">
        <f>$C147*INDEX(Curves!$F$8:$F$68,AE$4-$B147+1)</f>
        <v/>
      </c>
      <c r="AF147" s="56">
        <f>$C147*INDEX(Curves!$F$8:$F$68,AF$4-$B147+1)</f>
        <v/>
      </c>
      <c r="AG147" s="56">
        <f>$C147*INDEX(Curves!$F$8:$F$68,AG$4-$B147+1)</f>
        <v/>
      </c>
      <c r="AH147" s="56">
        <f>$C147*INDEX(Curves!$F$8:$F$68,AH$4-$B147+1)</f>
        <v/>
      </c>
      <c r="AI147" s="56">
        <f>$C147*INDEX(Curves!$F$8:$F$68,AI$4-$B147+1)</f>
        <v/>
      </c>
      <c r="AJ147" s="56">
        <f>$C147*INDEX(Curves!$F$8:$F$68,AJ$4-$B147+1)</f>
        <v/>
      </c>
      <c r="AK147" s="56">
        <f>$C147*INDEX(Curves!$F$8:$F$68,AK$4-$B147+1)</f>
        <v/>
      </c>
      <c r="AL147" s="56">
        <f>$C147*INDEX(Curves!$F$8:$F$68,AL$4-$B147+1)</f>
        <v/>
      </c>
      <c r="AM147" s="56">
        <f>$C147*INDEX(Curves!$F$8:$F$68,AM$4-$B147+1)</f>
        <v/>
      </c>
      <c r="AN147" s="56">
        <f>$C147*INDEX(Curves!$F$8:$F$68,AN$4-$B147+1)</f>
        <v/>
      </c>
      <c r="AO147" s="56">
        <f>$C147*INDEX(Curves!$F$8:$F$68,AO$4-$B147+1)</f>
        <v/>
      </c>
      <c r="AP147" s="56">
        <f>$C147*INDEX(Curves!$F$8:$F$68,AP$4-$B147+1)</f>
        <v/>
      </c>
      <c r="AQ147" s="56">
        <f>$C147*INDEX(Curves!$F$8:$F$68,AQ$4-$B147+1)</f>
        <v/>
      </c>
      <c r="AR147" s="56">
        <f>$C147*INDEX(Curves!$F$8:$F$68,AR$4-$B147+1)</f>
        <v/>
      </c>
      <c r="AS147" s="56">
        <f>$C147*INDEX(Curves!$F$8:$F$68,AS$4-$B147+1)</f>
        <v/>
      </c>
      <c r="AT147" s="56">
        <f>$C147*INDEX(Curves!$F$8:$F$68,AT$4-$B147+1)</f>
        <v/>
      </c>
      <c r="AU147" s="56">
        <f>$C147*INDEX(Curves!$F$8:$F$68,AU$4-$B147+1)</f>
        <v/>
      </c>
      <c r="AV147" s="56">
        <f>$C147*INDEX(Curves!$F$8:$F$68,AV$4-$B147+1)</f>
        <v/>
      </c>
      <c r="AW147" s="56">
        <f>$C147*INDEX(Curves!$F$8:$F$68,AW$4-$B147+1)</f>
        <v/>
      </c>
      <c r="AX147" s="56">
        <f>$C147*INDEX(Curves!$F$8:$F$68,AX$4-$B147+1)</f>
        <v/>
      </c>
      <c r="AY147" s="56">
        <f>$C147*INDEX(Curves!$F$8:$F$68,AY$4-$B147+1)</f>
        <v/>
      </c>
      <c r="AZ147" s="56">
        <f>$C147*INDEX(Curves!$F$8:$F$68,AZ$4-$B147+1)</f>
        <v/>
      </c>
      <c r="BA147" s="56">
        <f>$C147*INDEX(Curves!$F$8:$F$68,BA$4-$B147+1)</f>
        <v/>
      </c>
      <c r="BB147" s="56">
        <f>$C147*INDEX(Curves!$F$8:$F$68,BB$4-$B147+1)</f>
        <v/>
      </c>
      <c r="BC147" s="56">
        <f>$C147*INDEX(Curves!$F$8:$F$68,BC$4-$B147+1)</f>
        <v/>
      </c>
      <c r="BD147" s="56">
        <f>$C147*INDEX(Curves!$F$8:$F$68,BD$4-$B147+1)</f>
        <v/>
      </c>
      <c r="BE147" s="56">
        <f>$C147*INDEX(Curves!$F$8:$F$68,BE$4-$B147+1)</f>
        <v/>
      </c>
      <c r="BF147" s="56">
        <f>$C147*INDEX(Curves!$F$8:$F$68,BF$4-$B147+1)</f>
        <v/>
      </c>
      <c r="BG147" s="56">
        <f>$C147*INDEX(Curves!$F$8:$F$68,BG$4-$B147+1)</f>
        <v/>
      </c>
      <c r="BH147" s="56">
        <f>$C147*INDEX(Curves!$F$8:$F$68,BH$4-$B147+1)</f>
        <v/>
      </c>
      <c r="BI147" s="56">
        <f>$C147*INDEX(Curves!$F$8:$F$68,BI$4-$B147+1)</f>
        <v/>
      </c>
      <c r="BJ147" s="56">
        <f>$C147*INDEX(Curves!$F$8:$F$68,BJ$4-$B147+1)</f>
        <v/>
      </c>
      <c r="BK147" s="56">
        <f>$C147*INDEX(Curves!$F$8:$F$68,BK$4-$B147+1)</f>
        <v/>
      </c>
      <c r="BL147" s="56">
        <f>$C147*INDEX(Curves!$F$8:$F$68,BL$4-$B147+1)</f>
        <v/>
      </c>
    </row>
    <row r="148">
      <c r="A148" s="55" t="inlineStr">
        <is>
          <t>Cohort month 13</t>
        </is>
      </c>
      <c r="B148" s="55" t="n">
        <v>13</v>
      </c>
      <c r="C148" s="46">
        <f>INDEX(Ops!$E$10:$BL$10,1,$B148)</f>
        <v/>
      </c>
      <c r="R148" s="56">
        <f>$C148*INDEX(Curves!$F$8:$F$68,R$4-$B148+1)</f>
        <v/>
      </c>
      <c r="S148" s="56">
        <f>$C148*INDEX(Curves!$F$8:$F$68,S$4-$B148+1)</f>
        <v/>
      </c>
      <c r="T148" s="56">
        <f>$C148*INDEX(Curves!$F$8:$F$68,T$4-$B148+1)</f>
        <v/>
      </c>
      <c r="U148" s="56">
        <f>$C148*INDEX(Curves!$F$8:$F$68,U$4-$B148+1)</f>
        <v/>
      </c>
      <c r="V148" s="56">
        <f>$C148*INDEX(Curves!$F$8:$F$68,V$4-$B148+1)</f>
        <v/>
      </c>
      <c r="W148" s="56">
        <f>$C148*INDEX(Curves!$F$8:$F$68,W$4-$B148+1)</f>
        <v/>
      </c>
      <c r="X148" s="56">
        <f>$C148*INDEX(Curves!$F$8:$F$68,X$4-$B148+1)</f>
        <v/>
      </c>
      <c r="Y148" s="56">
        <f>$C148*INDEX(Curves!$F$8:$F$68,Y$4-$B148+1)</f>
        <v/>
      </c>
      <c r="Z148" s="56">
        <f>$C148*INDEX(Curves!$F$8:$F$68,Z$4-$B148+1)</f>
        <v/>
      </c>
      <c r="AA148" s="56">
        <f>$C148*INDEX(Curves!$F$8:$F$68,AA$4-$B148+1)</f>
        <v/>
      </c>
      <c r="AB148" s="56">
        <f>$C148*INDEX(Curves!$F$8:$F$68,AB$4-$B148+1)</f>
        <v/>
      </c>
      <c r="AC148" s="56">
        <f>$C148*INDEX(Curves!$F$8:$F$68,AC$4-$B148+1)</f>
        <v/>
      </c>
      <c r="AD148" s="56">
        <f>$C148*INDEX(Curves!$F$8:$F$68,AD$4-$B148+1)</f>
        <v/>
      </c>
      <c r="AE148" s="56">
        <f>$C148*INDEX(Curves!$F$8:$F$68,AE$4-$B148+1)</f>
        <v/>
      </c>
      <c r="AF148" s="56">
        <f>$C148*INDEX(Curves!$F$8:$F$68,AF$4-$B148+1)</f>
        <v/>
      </c>
      <c r="AG148" s="56">
        <f>$C148*INDEX(Curves!$F$8:$F$68,AG$4-$B148+1)</f>
        <v/>
      </c>
      <c r="AH148" s="56">
        <f>$C148*INDEX(Curves!$F$8:$F$68,AH$4-$B148+1)</f>
        <v/>
      </c>
      <c r="AI148" s="56">
        <f>$C148*INDEX(Curves!$F$8:$F$68,AI$4-$B148+1)</f>
        <v/>
      </c>
      <c r="AJ148" s="56">
        <f>$C148*INDEX(Curves!$F$8:$F$68,AJ$4-$B148+1)</f>
        <v/>
      </c>
      <c r="AK148" s="56">
        <f>$C148*INDEX(Curves!$F$8:$F$68,AK$4-$B148+1)</f>
        <v/>
      </c>
      <c r="AL148" s="56">
        <f>$C148*INDEX(Curves!$F$8:$F$68,AL$4-$B148+1)</f>
        <v/>
      </c>
      <c r="AM148" s="56">
        <f>$C148*INDEX(Curves!$F$8:$F$68,AM$4-$B148+1)</f>
        <v/>
      </c>
      <c r="AN148" s="56">
        <f>$C148*INDEX(Curves!$F$8:$F$68,AN$4-$B148+1)</f>
        <v/>
      </c>
      <c r="AO148" s="56">
        <f>$C148*INDEX(Curves!$F$8:$F$68,AO$4-$B148+1)</f>
        <v/>
      </c>
      <c r="AP148" s="56">
        <f>$C148*INDEX(Curves!$F$8:$F$68,AP$4-$B148+1)</f>
        <v/>
      </c>
      <c r="AQ148" s="56">
        <f>$C148*INDEX(Curves!$F$8:$F$68,AQ$4-$B148+1)</f>
        <v/>
      </c>
      <c r="AR148" s="56">
        <f>$C148*INDEX(Curves!$F$8:$F$68,AR$4-$B148+1)</f>
        <v/>
      </c>
      <c r="AS148" s="56">
        <f>$C148*INDEX(Curves!$F$8:$F$68,AS$4-$B148+1)</f>
        <v/>
      </c>
      <c r="AT148" s="56">
        <f>$C148*INDEX(Curves!$F$8:$F$68,AT$4-$B148+1)</f>
        <v/>
      </c>
      <c r="AU148" s="56">
        <f>$C148*INDEX(Curves!$F$8:$F$68,AU$4-$B148+1)</f>
        <v/>
      </c>
      <c r="AV148" s="56">
        <f>$C148*INDEX(Curves!$F$8:$F$68,AV$4-$B148+1)</f>
        <v/>
      </c>
      <c r="AW148" s="56">
        <f>$C148*INDEX(Curves!$F$8:$F$68,AW$4-$B148+1)</f>
        <v/>
      </c>
      <c r="AX148" s="56">
        <f>$C148*INDEX(Curves!$F$8:$F$68,AX$4-$B148+1)</f>
        <v/>
      </c>
      <c r="AY148" s="56">
        <f>$C148*INDEX(Curves!$F$8:$F$68,AY$4-$B148+1)</f>
        <v/>
      </c>
      <c r="AZ148" s="56">
        <f>$C148*INDEX(Curves!$F$8:$F$68,AZ$4-$B148+1)</f>
        <v/>
      </c>
      <c r="BA148" s="56">
        <f>$C148*INDEX(Curves!$F$8:$F$68,BA$4-$B148+1)</f>
        <v/>
      </c>
      <c r="BB148" s="56">
        <f>$C148*INDEX(Curves!$F$8:$F$68,BB$4-$B148+1)</f>
        <v/>
      </c>
      <c r="BC148" s="56">
        <f>$C148*INDEX(Curves!$F$8:$F$68,BC$4-$B148+1)</f>
        <v/>
      </c>
      <c r="BD148" s="56">
        <f>$C148*INDEX(Curves!$F$8:$F$68,BD$4-$B148+1)</f>
        <v/>
      </c>
      <c r="BE148" s="56">
        <f>$C148*INDEX(Curves!$F$8:$F$68,BE$4-$B148+1)</f>
        <v/>
      </c>
      <c r="BF148" s="56">
        <f>$C148*INDEX(Curves!$F$8:$F$68,BF$4-$B148+1)</f>
        <v/>
      </c>
      <c r="BG148" s="56">
        <f>$C148*INDEX(Curves!$F$8:$F$68,BG$4-$B148+1)</f>
        <v/>
      </c>
      <c r="BH148" s="56">
        <f>$C148*INDEX(Curves!$F$8:$F$68,BH$4-$B148+1)</f>
        <v/>
      </c>
      <c r="BI148" s="56">
        <f>$C148*INDEX(Curves!$F$8:$F$68,BI$4-$B148+1)</f>
        <v/>
      </c>
      <c r="BJ148" s="56">
        <f>$C148*INDEX(Curves!$F$8:$F$68,BJ$4-$B148+1)</f>
        <v/>
      </c>
      <c r="BK148" s="56">
        <f>$C148*INDEX(Curves!$F$8:$F$68,BK$4-$B148+1)</f>
        <v/>
      </c>
      <c r="BL148" s="56">
        <f>$C148*INDEX(Curves!$F$8:$F$68,BL$4-$B148+1)</f>
        <v/>
      </c>
    </row>
    <row r="149">
      <c r="A149" s="55" t="inlineStr">
        <is>
          <t>Cohort month 14</t>
        </is>
      </c>
      <c r="B149" s="55" t="n">
        <v>14</v>
      </c>
      <c r="C149" s="46">
        <f>INDEX(Ops!$E$10:$BL$10,1,$B149)</f>
        <v/>
      </c>
      <c r="S149" s="56">
        <f>$C149*INDEX(Curves!$F$8:$F$68,S$4-$B149+1)</f>
        <v/>
      </c>
      <c r="T149" s="56">
        <f>$C149*INDEX(Curves!$F$8:$F$68,T$4-$B149+1)</f>
        <v/>
      </c>
      <c r="U149" s="56">
        <f>$C149*INDEX(Curves!$F$8:$F$68,U$4-$B149+1)</f>
        <v/>
      </c>
      <c r="V149" s="56">
        <f>$C149*INDEX(Curves!$F$8:$F$68,V$4-$B149+1)</f>
        <v/>
      </c>
      <c r="W149" s="56">
        <f>$C149*INDEX(Curves!$F$8:$F$68,W$4-$B149+1)</f>
        <v/>
      </c>
      <c r="X149" s="56">
        <f>$C149*INDEX(Curves!$F$8:$F$68,X$4-$B149+1)</f>
        <v/>
      </c>
      <c r="Y149" s="56">
        <f>$C149*INDEX(Curves!$F$8:$F$68,Y$4-$B149+1)</f>
        <v/>
      </c>
      <c r="Z149" s="56">
        <f>$C149*INDEX(Curves!$F$8:$F$68,Z$4-$B149+1)</f>
        <v/>
      </c>
      <c r="AA149" s="56">
        <f>$C149*INDEX(Curves!$F$8:$F$68,AA$4-$B149+1)</f>
        <v/>
      </c>
      <c r="AB149" s="56">
        <f>$C149*INDEX(Curves!$F$8:$F$68,AB$4-$B149+1)</f>
        <v/>
      </c>
      <c r="AC149" s="56">
        <f>$C149*INDEX(Curves!$F$8:$F$68,AC$4-$B149+1)</f>
        <v/>
      </c>
      <c r="AD149" s="56">
        <f>$C149*INDEX(Curves!$F$8:$F$68,AD$4-$B149+1)</f>
        <v/>
      </c>
      <c r="AE149" s="56">
        <f>$C149*INDEX(Curves!$F$8:$F$68,AE$4-$B149+1)</f>
        <v/>
      </c>
      <c r="AF149" s="56">
        <f>$C149*INDEX(Curves!$F$8:$F$68,AF$4-$B149+1)</f>
        <v/>
      </c>
      <c r="AG149" s="56">
        <f>$C149*INDEX(Curves!$F$8:$F$68,AG$4-$B149+1)</f>
        <v/>
      </c>
      <c r="AH149" s="56">
        <f>$C149*INDEX(Curves!$F$8:$F$68,AH$4-$B149+1)</f>
        <v/>
      </c>
      <c r="AI149" s="56">
        <f>$C149*INDEX(Curves!$F$8:$F$68,AI$4-$B149+1)</f>
        <v/>
      </c>
      <c r="AJ149" s="56">
        <f>$C149*INDEX(Curves!$F$8:$F$68,AJ$4-$B149+1)</f>
        <v/>
      </c>
      <c r="AK149" s="56">
        <f>$C149*INDEX(Curves!$F$8:$F$68,AK$4-$B149+1)</f>
        <v/>
      </c>
      <c r="AL149" s="56">
        <f>$C149*INDEX(Curves!$F$8:$F$68,AL$4-$B149+1)</f>
        <v/>
      </c>
      <c r="AM149" s="56">
        <f>$C149*INDEX(Curves!$F$8:$F$68,AM$4-$B149+1)</f>
        <v/>
      </c>
      <c r="AN149" s="56">
        <f>$C149*INDEX(Curves!$F$8:$F$68,AN$4-$B149+1)</f>
        <v/>
      </c>
      <c r="AO149" s="56">
        <f>$C149*INDEX(Curves!$F$8:$F$68,AO$4-$B149+1)</f>
        <v/>
      </c>
      <c r="AP149" s="56">
        <f>$C149*INDEX(Curves!$F$8:$F$68,AP$4-$B149+1)</f>
        <v/>
      </c>
      <c r="AQ149" s="56">
        <f>$C149*INDEX(Curves!$F$8:$F$68,AQ$4-$B149+1)</f>
        <v/>
      </c>
      <c r="AR149" s="56">
        <f>$C149*INDEX(Curves!$F$8:$F$68,AR$4-$B149+1)</f>
        <v/>
      </c>
      <c r="AS149" s="56">
        <f>$C149*INDEX(Curves!$F$8:$F$68,AS$4-$B149+1)</f>
        <v/>
      </c>
      <c r="AT149" s="56">
        <f>$C149*INDEX(Curves!$F$8:$F$68,AT$4-$B149+1)</f>
        <v/>
      </c>
      <c r="AU149" s="56">
        <f>$C149*INDEX(Curves!$F$8:$F$68,AU$4-$B149+1)</f>
        <v/>
      </c>
      <c r="AV149" s="56">
        <f>$C149*INDEX(Curves!$F$8:$F$68,AV$4-$B149+1)</f>
        <v/>
      </c>
      <c r="AW149" s="56">
        <f>$C149*INDEX(Curves!$F$8:$F$68,AW$4-$B149+1)</f>
        <v/>
      </c>
      <c r="AX149" s="56">
        <f>$C149*INDEX(Curves!$F$8:$F$68,AX$4-$B149+1)</f>
        <v/>
      </c>
      <c r="AY149" s="56">
        <f>$C149*INDEX(Curves!$F$8:$F$68,AY$4-$B149+1)</f>
        <v/>
      </c>
      <c r="AZ149" s="56">
        <f>$C149*INDEX(Curves!$F$8:$F$68,AZ$4-$B149+1)</f>
        <v/>
      </c>
      <c r="BA149" s="56">
        <f>$C149*INDEX(Curves!$F$8:$F$68,BA$4-$B149+1)</f>
        <v/>
      </c>
      <c r="BB149" s="56">
        <f>$C149*INDEX(Curves!$F$8:$F$68,BB$4-$B149+1)</f>
        <v/>
      </c>
      <c r="BC149" s="56">
        <f>$C149*INDEX(Curves!$F$8:$F$68,BC$4-$B149+1)</f>
        <v/>
      </c>
      <c r="BD149" s="56">
        <f>$C149*INDEX(Curves!$F$8:$F$68,BD$4-$B149+1)</f>
        <v/>
      </c>
      <c r="BE149" s="56">
        <f>$C149*INDEX(Curves!$F$8:$F$68,BE$4-$B149+1)</f>
        <v/>
      </c>
      <c r="BF149" s="56">
        <f>$C149*INDEX(Curves!$F$8:$F$68,BF$4-$B149+1)</f>
        <v/>
      </c>
      <c r="BG149" s="56">
        <f>$C149*INDEX(Curves!$F$8:$F$68,BG$4-$B149+1)</f>
        <v/>
      </c>
      <c r="BH149" s="56">
        <f>$C149*INDEX(Curves!$F$8:$F$68,BH$4-$B149+1)</f>
        <v/>
      </c>
      <c r="BI149" s="56">
        <f>$C149*INDEX(Curves!$F$8:$F$68,BI$4-$B149+1)</f>
        <v/>
      </c>
      <c r="BJ149" s="56">
        <f>$C149*INDEX(Curves!$F$8:$F$68,BJ$4-$B149+1)</f>
        <v/>
      </c>
      <c r="BK149" s="56">
        <f>$C149*INDEX(Curves!$F$8:$F$68,BK$4-$B149+1)</f>
        <v/>
      </c>
      <c r="BL149" s="56">
        <f>$C149*INDEX(Curves!$F$8:$F$68,BL$4-$B149+1)</f>
        <v/>
      </c>
    </row>
    <row r="150">
      <c r="A150" s="55" t="inlineStr">
        <is>
          <t>Cohort month 15</t>
        </is>
      </c>
      <c r="B150" s="55" t="n">
        <v>15</v>
      </c>
      <c r="C150" s="46">
        <f>INDEX(Ops!$E$10:$BL$10,1,$B150)</f>
        <v/>
      </c>
      <c r="T150" s="56">
        <f>$C150*INDEX(Curves!$F$8:$F$68,T$4-$B150+1)</f>
        <v/>
      </c>
      <c r="U150" s="56">
        <f>$C150*INDEX(Curves!$F$8:$F$68,U$4-$B150+1)</f>
        <v/>
      </c>
      <c r="V150" s="56">
        <f>$C150*INDEX(Curves!$F$8:$F$68,V$4-$B150+1)</f>
        <v/>
      </c>
      <c r="W150" s="56">
        <f>$C150*INDEX(Curves!$F$8:$F$68,W$4-$B150+1)</f>
        <v/>
      </c>
      <c r="X150" s="56">
        <f>$C150*INDEX(Curves!$F$8:$F$68,X$4-$B150+1)</f>
        <v/>
      </c>
      <c r="Y150" s="56">
        <f>$C150*INDEX(Curves!$F$8:$F$68,Y$4-$B150+1)</f>
        <v/>
      </c>
      <c r="Z150" s="56">
        <f>$C150*INDEX(Curves!$F$8:$F$68,Z$4-$B150+1)</f>
        <v/>
      </c>
      <c r="AA150" s="56">
        <f>$C150*INDEX(Curves!$F$8:$F$68,AA$4-$B150+1)</f>
        <v/>
      </c>
      <c r="AB150" s="56">
        <f>$C150*INDEX(Curves!$F$8:$F$68,AB$4-$B150+1)</f>
        <v/>
      </c>
      <c r="AC150" s="56">
        <f>$C150*INDEX(Curves!$F$8:$F$68,AC$4-$B150+1)</f>
        <v/>
      </c>
      <c r="AD150" s="56">
        <f>$C150*INDEX(Curves!$F$8:$F$68,AD$4-$B150+1)</f>
        <v/>
      </c>
      <c r="AE150" s="56">
        <f>$C150*INDEX(Curves!$F$8:$F$68,AE$4-$B150+1)</f>
        <v/>
      </c>
      <c r="AF150" s="56">
        <f>$C150*INDEX(Curves!$F$8:$F$68,AF$4-$B150+1)</f>
        <v/>
      </c>
      <c r="AG150" s="56">
        <f>$C150*INDEX(Curves!$F$8:$F$68,AG$4-$B150+1)</f>
        <v/>
      </c>
      <c r="AH150" s="56">
        <f>$C150*INDEX(Curves!$F$8:$F$68,AH$4-$B150+1)</f>
        <v/>
      </c>
      <c r="AI150" s="56">
        <f>$C150*INDEX(Curves!$F$8:$F$68,AI$4-$B150+1)</f>
        <v/>
      </c>
      <c r="AJ150" s="56">
        <f>$C150*INDEX(Curves!$F$8:$F$68,AJ$4-$B150+1)</f>
        <v/>
      </c>
      <c r="AK150" s="56">
        <f>$C150*INDEX(Curves!$F$8:$F$68,AK$4-$B150+1)</f>
        <v/>
      </c>
      <c r="AL150" s="56">
        <f>$C150*INDEX(Curves!$F$8:$F$68,AL$4-$B150+1)</f>
        <v/>
      </c>
      <c r="AM150" s="56">
        <f>$C150*INDEX(Curves!$F$8:$F$68,AM$4-$B150+1)</f>
        <v/>
      </c>
      <c r="AN150" s="56">
        <f>$C150*INDEX(Curves!$F$8:$F$68,AN$4-$B150+1)</f>
        <v/>
      </c>
      <c r="AO150" s="56">
        <f>$C150*INDEX(Curves!$F$8:$F$68,AO$4-$B150+1)</f>
        <v/>
      </c>
      <c r="AP150" s="56">
        <f>$C150*INDEX(Curves!$F$8:$F$68,AP$4-$B150+1)</f>
        <v/>
      </c>
      <c r="AQ150" s="56">
        <f>$C150*INDEX(Curves!$F$8:$F$68,AQ$4-$B150+1)</f>
        <v/>
      </c>
      <c r="AR150" s="56">
        <f>$C150*INDEX(Curves!$F$8:$F$68,AR$4-$B150+1)</f>
        <v/>
      </c>
      <c r="AS150" s="56">
        <f>$C150*INDEX(Curves!$F$8:$F$68,AS$4-$B150+1)</f>
        <v/>
      </c>
      <c r="AT150" s="56">
        <f>$C150*INDEX(Curves!$F$8:$F$68,AT$4-$B150+1)</f>
        <v/>
      </c>
      <c r="AU150" s="56">
        <f>$C150*INDEX(Curves!$F$8:$F$68,AU$4-$B150+1)</f>
        <v/>
      </c>
      <c r="AV150" s="56">
        <f>$C150*INDEX(Curves!$F$8:$F$68,AV$4-$B150+1)</f>
        <v/>
      </c>
      <c r="AW150" s="56">
        <f>$C150*INDEX(Curves!$F$8:$F$68,AW$4-$B150+1)</f>
        <v/>
      </c>
      <c r="AX150" s="56">
        <f>$C150*INDEX(Curves!$F$8:$F$68,AX$4-$B150+1)</f>
        <v/>
      </c>
      <c r="AY150" s="56">
        <f>$C150*INDEX(Curves!$F$8:$F$68,AY$4-$B150+1)</f>
        <v/>
      </c>
      <c r="AZ150" s="56">
        <f>$C150*INDEX(Curves!$F$8:$F$68,AZ$4-$B150+1)</f>
        <v/>
      </c>
      <c r="BA150" s="56">
        <f>$C150*INDEX(Curves!$F$8:$F$68,BA$4-$B150+1)</f>
        <v/>
      </c>
      <c r="BB150" s="56">
        <f>$C150*INDEX(Curves!$F$8:$F$68,BB$4-$B150+1)</f>
        <v/>
      </c>
      <c r="BC150" s="56">
        <f>$C150*INDEX(Curves!$F$8:$F$68,BC$4-$B150+1)</f>
        <v/>
      </c>
      <c r="BD150" s="56">
        <f>$C150*INDEX(Curves!$F$8:$F$68,BD$4-$B150+1)</f>
        <v/>
      </c>
      <c r="BE150" s="56">
        <f>$C150*INDEX(Curves!$F$8:$F$68,BE$4-$B150+1)</f>
        <v/>
      </c>
      <c r="BF150" s="56">
        <f>$C150*INDEX(Curves!$F$8:$F$68,BF$4-$B150+1)</f>
        <v/>
      </c>
      <c r="BG150" s="56">
        <f>$C150*INDEX(Curves!$F$8:$F$68,BG$4-$B150+1)</f>
        <v/>
      </c>
      <c r="BH150" s="56">
        <f>$C150*INDEX(Curves!$F$8:$F$68,BH$4-$B150+1)</f>
        <v/>
      </c>
      <c r="BI150" s="56">
        <f>$C150*INDEX(Curves!$F$8:$F$68,BI$4-$B150+1)</f>
        <v/>
      </c>
      <c r="BJ150" s="56">
        <f>$C150*INDEX(Curves!$F$8:$F$68,BJ$4-$B150+1)</f>
        <v/>
      </c>
      <c r="BK150" s="56">
        <f>$C150*INDEX(Curves!$F$8:$F$68,BK$4-$B150+1)</f>
        <v/>
      </c>
      <c r="BL150" s="56">
        <f>$C150*INDEX(Curves!$F$8:$F$68,BL$4-$B150+1)</f>
        <v/>
      </c>
    </row>
    <row r="151">
      <c r="A151" s="55" t="inlineStr">
        <is>
          <t>Cohort month 16</t>
        </is>
      </c>
      <c r="B151" s="55" t="n">
        <v>16</v>
      </c>
      <c r="C151" s="46">
        <f>INDEX(Ops!$E$10:$BL$10,1,$B151)</f>
        <v/>
      </c>
      <c r="U151" s="56">
        <f>$C151*INDEX(Curves!$F$8:$F$68,U$4-$B151+1)</f>
        <v/>
      </c>
      <c r="V151" s="56">
        <f>$C151*INDEX(Curves!$F$8:$F$68,V$4-$B151+1)</f>
        <v/>
      </c>
      <c r="W151" s="56">
        <f>$C151*INDEX(Curves!$F$8:$F$68,W$4-$B151+1)</f>
        <v/>
      </c>
      <c r="X151" s="56">
        <f>$C151*INDEX(Curves!$F$8:$F$68,X$4-$B151+1)</f>
        <v/>
      </c>
      <c r="Y151" s="56">
        <f>$C151*INDEX(Curves!$F$8:$F$68,Y$4-$B151+1)</f>
        <v/>
      </c>
      <c r="Z151" s="56">
        <f>$C151*INDEX(Curves!$F$8:$F$68,Z$4-$B151+1)</f>
        <v/>
      </c>
      <c r="AA151" s="56">
        <f>$C151*INDEX(Curves!$F$8:$F$68,AA$4-$B151+1)</f>
        <v/>
      </c>
      <c r="AB151" s="56">
        <f>$C151*INDEX(Curves!$F$8:$F$68,AB$4-$B151+1)</f>
        <v/>
      </c>
      <c r="AC151" s="56">
        <f>$C151*INDEX(Curves!$F$8:$F$68,AC$4-$B151+1)</f>
        <v/>
      </c>
      <c r="AD151" s="56">
        <f>$C151*INDEX(Curves!$F$8:$F$68,AD$4-$B151+1)</f>
        <v/>
      </c>
      <c r="AE151" s="56">
        <f>$C151*INDEX(Curves!$F$8:$F$68,AE$4-$B151+1)</f>
        <v/>
      </c>
      <c r="AF151" s="56">
        <f>$C151*INDEX(Curves!$F$8:$F$68,AF$4-$B151+1)</f>
        <v/>
      </c>
      <c r="AG151" s="56">
        <f>$C151*INDEX(Curves!$F$8:$F$68,AG$4-$B151+1)</f>
        <v/>
      </c>
      <c r="AH151" s="56">
        <f>$C151*INDEX(Curves!$F$8:$F$68,AH$4-$B151+1)</f>
        <v/>
      </c>
      <c r="AI151" s="56">
        <f>$C151*INDEX(Curves!$F$8:$F$68,AI$4-$B151+1)</f>
        <v/>
      </c>
      <c r="AJ151" s="56">
        <f>$C151*INDEX(Curves!$F$8:$F$68,AJ$4-$B151+1)</f>
        <v/>
      </c>
      <c r="AK151" s="56">
        <f>$C151*INDEX(Curves!$F$8:$F$68,AK$4-$B151+1)</f>
        <v/>
      </c>
      <c r="AL151" s="56">
        <f>$C151*INDEX(Curves!$F$8:$F$68,AL$4-$B151+1)</f>
        <v/>
      </c>
      <c r="AM151" s="56">
        <f>$C151*INDEX(Curves!$F$8:$F$68,AM$4-$B151+1)</f>
        <v/>
      </c>
      <c r="AN151" s="56">
        <f>$C151*INDEX(Curves!$F$8:$F$68,AN$4-$B151+1)</f>
        <v/>
      </c>
      <c r="AO151" s="56">
        <f>$C151*INDEX(Curves!$F$8:$F$68,AO$4-$B151+1)</f>
        <v/>
      </c>
      <c r="AP151" s="56">
        <f>$C151*INDEX(Curves!$F$8:$F$68,AP$4-$B151+1)</f>
        <v/>
      </c>
      <c r="AQ151" s="56">
        <f>$C151*INDEX(Curves!$F$8:$F$68,AQ$4-$B151+1)</f>
        <v/>
      </c>
      <c r="AR151" s="56">
        <f>$C151*INDEX(Curves!$F$8:$F$68,AR$4-$B151+1)</f>
        <v/>
      </c>
      <c r="AS151" s="56">
        <f>$C151*INDEX(Curves!$F$8:$F$68,AS$4-$B151+1)</f>
        <v/>
      </c>
      <c r="AT151" s="56">
        <f>$C151*INDEX(Curves!$F$8:$F$68,AT$4-$B151+1)</f>
        <v/>
      </c>
      <c r="AU151" s="56">
        <f>$C151*INDEX(Curves!$F$8:$F$68,AU$4-$B151+1)</f>
        <v/>
      </c>
      <c r="AV151" s="56">
        <f>$C151*INDEX(Curves!$F$8:$F$68,AV$4-$B151+1)</f>
        <v/>
      </c>
      <c r="AW151" s="56">
        <f>$C151*INDEX(Curves!$F$8:$F$68,AW$4-$B151+1)</f>
        <v/>
      </c>
      <c r="AX151" s="56">
        <f>$C151*INDEX(Curves!$F$8:$F$68,AX$4-$B151+1)</f>
        <v/>
      </c>
      <c r="AY151" s="56">
        <f>$C151*INDEX(Curves!$F$8:$F$68,AY$4-$B151+1)</f>
        <v/>
      </c>
      <c r="AZ151" s="56">
        <f>$C151*INDEX(Curves!$F$8:$F$68,AZ$4-$B151+1)</f>
        <v/>
      </c>
      <c r="BA151" s="56">
        <f>$C151*INDEX(Curves!$F$8:$F$68,BA$4-$B151+1)</f>
        <v/>
      </c>
      <c r="BB151" s="56">
        <f>$C151*INDEX(Curves!$F$8:$F$68,BB$4-$B151+1)</f>
        <v/>
      </c>
      <c r="BC151" s="56">
        <f>$C151*INDEX(Curves!$F$8:$F$68,BC$4-$B151+1)</f>
        <v/>
      </c>
      <c r="BD151" s="56">
        <f>$C151*INDEX(Curves!$F$8:$F$68,BD$4-$B151+1)</f>
        <v/>
      </c>
      <c r="BE151" s="56">
        <f>$C151*INDEX(Curves!$F$8:$F$68,BE$4-$B151+1)</f>
        <v/>
      </c>
      <c r="BF151" s="56">
        <f>$C151*INDEX(Curves!$F$8:$F$68,BF$4-$B151+1)</f>
        <v/>
      </c>
      <c r="BG151" s="56">
        <f>$C151*INDEX(Curves!$F$8:$F$68,BG$4-$B151+1)</f>
        <v/>
      </c>
      <c r="BH151" s="56">
        <f>$C151*INDEX(Curves!$F$8:$F$68,BH$4-$B151+1)</f>
        <v/>
      </c>
      <c r="BI151" s="56">
        <f>$C151*INDEX(Curves!$F$8:$F$68,BI$4-$B151+1)</f>
        <v/>
      </c>
      <c r="BJ151" s="56">
        <f>$C151*INDEX(Curves!$F$8:$F$68,BJ$4-$B151+1)</f>
        <v/>
      </c>
      <c r="BK151" s="56">
        <f>$C151*INDEX(Curves!$F$8:$F$68,BK$4-$B151+1)</f>
        <v/>
      </c>
      <c r="BL151" s="56">
        <f>$C151*INDEX(Curves!$F$8:$F$68,BL$4-$B151+1)</f>
        <v/>
      </c>
    </row>
    <row r="152">
      <c r="A152" s="55" t="inlineStr">
        <is>
          <t>Cohort month 17</t>
        </is>
      </c>
      <c r="B152" s="55" t="n">
        <v>17</v>
      </c>
      <c r="C152" s="46">
        <f>INDEX(Ops!$E$10:$BL$10,1,$B152)</f>
        <v/>
      </c>
      <c r="V152" s="56">
        <f>$C152*INDEX(Curves!$F$8:$F$68,V$4-$B152+1)</f>
        <v/>
      </c>
      <c r="W152" s="56">
        <f>$C152*INDEX(Curves!$F$8:$F$68,W$4-$B152+1)</f>
        <v/>
      </c>
      <c r="X152" s="56">
        <f>$C152*INDEX(Curves!$F$8:$F$68,X$4-$B152+1)</f>
        <v/>
      </c>
      <c r="Y152" s="56">
        <f>$C152*INDEX(Curves!$F$8:$F$68,Y$4-$B152+1)</f>
        <v/>
      </c>
      <c r="Z152" s="56">
        <f>$C152*INDEX(Curves!$F$8:$F$68,Z$4-$B152+1)</f>
        <v/>
      </c>
      <c r="AA152" s="56">
        <f>$C152*INDEX(Curves!$F$8:$F$68,AA$4-$B152+1)</f>
        <v/>
      </c>
      <c r="AB152" s="56">
        <f>$C152*INDEX(Curves!$F$8:$F$68,AB$4-$B152+1)</f>
        <v/>
      </c>
      <c r="AC152" s="56">
        <f>$C152*INDEX(Curves!$F$8:$F$68,AC$4-$B152+1)</f>
        <v/>
      </c>
      <c r="AD152" s="56">
        <f>$C152*INDEX(Curves!$F$8:$F$68,AD$4-$B152+1)</f>
        <v/>
      </c>
      <c r="AE152" s="56">
        <f>$C152*INDEX(Curves!$F$8:$F$68,AE$4-$B152+1)</f>
        <v/>
      </c>
      <c r="AF152" s="56">
        <f>$C152*INDEX(Curves!$F$8:$F$68,AF$4-$B152+1)</f>
        <v/>
      </c>
      <c r="AG152" s="56">
        <f>$C152*INDEX(Curves!$F$8:$F$68,AG$4-$B152+1)</f>
        <v/>
      </c>
      <c r="AH152" s="56">
        <f>$C152*INDEX(Curves!$F$8:$F$68,AH$4-$B152+1)</f>
        <v/>
      </c>
      <c r="AI152" s="56">
        <f>$C152*INDEX(Curves!$F$8:$F$68,AI$4-$B152+1)</f>
        <v/>
      </c>
      <c r="AJ152" s="56">
        <f>$C152*INDEX(Curves!$F$8:$F$68,AJ$4-$B152+1)</f>
        <v/>
      </c>
      <c r="AK152" s="56">
        <f>$C152*INDEX(Curves!$F$8:$F$68,AK$4-$B152+1)</f>
        <v/>
      </c>
      <c r="AL152" s="56">
        <f>$C152*INDEX(Curves!$F$8:$F$68,AL$4-$B152+1)</f>
        <v/>
      </c>
      <c r="AM152" s="56">
        <f>$C152*INDEX(Curves!$F$8:$F$68,AM$4-$B152+1)</f>
        <v/>
      </c>
      <c r="AN152" s="56">
        <f>$C152*INDEX(Curves!$F$8:$F$68,AN$4-$B152+1)</f>
        <v/>
      </c>
      <c r="AO152" s="56">
        <f>$C152*INDEX(Curves!$F$8:$F$68,AO$4-$B152+1)</f>
        <v/>
      </c>
      <c r="AP152" s="56">
        <f>$C152*INDEX(Curves!$F$8:$F$68,AP$4-$B152+1)</f>
        <v/>
      </c>
      <c r="AQ152" s="56">
        <f>$C152*INDEX(Curves!$F$8:$F$68,AQ$4-$B152+1)</f>
        <v/>
      </c>
      <c r="AR152" s="56">
        <f>$C152*INDEX(Curves!$F$8:$F$68,AR$4-$B152+1)</f>
        <v/>
      </c>
      <c r="AS152" s="56">
        <f>$C152*INDEX(Curves!$F$8:$F$68,AS$4-$B152+1)</f>
        <v/>
      </c>
      <c r="AT152" s="56">
        <f>$C152*INDEX(Curves!$F$8:$F$68,AT$4-$B152+1)</f>
        <v/>
      </c>
      <c r="AU152" s="56">
        <f>$C152*INDEX(Curves!$F$8:$F$68,AU$4-$B152+1)</f>
        <v/>
      </c>
      <c r="AV152" s="56">
        <f>$C152*INDEX(Curves!$F$8:$F$68,AV$4-$B152+1)</f>
        <v/>
      </c>
      <c r="AW152" s="56">
        <f>$C152*INDEX(Curves!$F$8:$F$68,AW$4-$B152+1)</f>
        <v/>
      </c>
      <c r="AX152" s="56">
        <f>$C152*INDEX(Curves!$F$8:$F$68,AX$4-$B152+1)</f>
        <v/>
      </c>
      <c r="AY152" s="56">
        <f>$C152*INDEX(Curves!$F$8:$F$68,AY$4-$B152+1)</f>
        <v/>
      </c>
      <c r="AZ152" s="56">
        <f>$C152*INDEX(Curves!$F$8:$F$68,AZ$4-$B152+1)</f>
        <v/>
      </c>
      <c r="BA152" s="56">
        <f>$C152*INDEX(Curves!$F$8:$F$68,BA$4-$B152+1)</f>
        <v/>
      </c>
      <c r="BB152" s="56">
        <f>$C152*INDEX(Curves!$F$8:$F$68,BB$4-$B152+1)</f>
        <v/>
      </c>
      <c r="BC152" s="56">
        <f>$C152*INDEX(Curves!$F$8:$F$68,BC$4-$B152+1)</f>
        <v/>
      </c>
      <c r="BD152" s="56">
        <f>$C152*INDEX(Curves!$F$8:$F$68,BD$4-$B152+1)</f>
        <v/>
      </c>
      <c r="BE152" s="56">
        <f>$C152*INDEX(Curves!$F$8:$F$68,BE$4-$B152+1)</f>
        <v/>
      </c>
      <c r="BF152" s="56">
        <f>$C152*INDEX(Curves!$F$8:$F$68,BF$4-$B152+1)</f>
        <v/>
      </c>
      <c r="BG152" s="56">
        <f>$C152*INDEX(Curves!$F$8:$F$68,BG$4-$B152+1)</f>
        <v/>
      </c>
      <c r="BH152" s="56">
        <f>$C152*INDEX(Curves!$F$8:$F$68,BH$4-$B152+1)</f>
        <v/>
      </c>
      <c r="BI152" s="56">
        <f>$C152*INDEX(Curves!$F$8:$F$68,BI$4-$B152+1)</f>
        <v/>
      </c>
      <c r="BJ152" s="56">
        <f>$C152*INDEX(Curves!$F$8:$F$68,BJ$4-$B152+1)</f>
        <v/>
      </c>
      <c r="BK152" s="56">
        <f>$C152*INDEX(Curves!$F$8:$F$68,BK$4-$B152+1)</f>
        <v/>
      </c>
      <c r="BL152" s="56">
        <f>$C152*INDEX(Curves!$F$8:$F$68,BL$4-$B152+1)</f>
        <v/>
      </c>
    </row>
    <row r="153">
      <c r="A153" s="55" t="inlineStr">
        <is>
          <t>Cohort month 18</t>
        </is>
      </c>
      <c r="B153" s="55" t="n">
        <v>18</v>
      </c>
      <c r="C153" s="46">
        <f>INDEX(Ops!$E$10:$BL$10,1,$B153)</f>
        <v/>
      </c>
      <c r="W153" s="56">
        <f>$C153*INDEX(Curves!$F$8:$F$68,W$4-$B153+1)</f>
        <v/>
      </c>
      <c r="X153" s="56">
        <f>$C153*INDEX(Curves!$F$8:$F$68,X$4-$B153+1)</f>
        <v/>
      </c>
      <c r="Y153" s="56">
        <f>$C153*INDEX(Curves!$F$8:$F$68,Y$4-$B153+1)</f>
        <v/>
      </c>
      <c r="Z153" s="56">
        <f>$C153*INDEX(Curves!$F$8:$F$68,Z$4-$B153+1)</f>
        <v/>
      </c>
      <c r="AA153" s="56">
        <f>$C153*INDEX(Curves!$F$8:$F$68,AA$4-$B153+1)</f>
        <v/>
      </c>
      <c r="AB153" s="56">
        <f>$C153*INDEX(Curves!$F$8:$F$68,AB$4-$B153+1)</f>
        <v/>
      </c>
      <c r="AC153" s="56">
        <f>$C153*INDEX(Curves!$F$8:$F$68,AC$4-$B153+1)</f>
        <v/>
      </c>
      <c r="AD153" s="56">
        <f>$C153*INDEX(Curves!$F$8:$F$68,AD$4-$B153+1)</f>
        <v/>
      </c>
      <c r="AE153" s="56">
        <f>$C153*INDEX(Curves!$F$8:$F$68,AE$4-$B153+1)</f>
        <v/>
      </c>
      <c r="AF153" s="56">
        <f>$C153*INDEX(Curves!$F$8:$F$68,AF$4-$B153+1)</f>
        <v/>
      </c>
      <c r="AG153" s="56">
        <f>$C153*INDEX(Curves!$F$8:$F$68,AG$4-$B153+1)</f>
        <v/>
      </c>
      <c r="AH153" s="56">
        <f>$C153*INDEX(Curves!$F$8:$F$68,AH$4-$B153+1)</f>
        <v/>
      </c>
      <c r="AI153" s="56">
        <f>$C153*INDEX(Curves!$F$8:$F$68,AI$4-$B153+1)</f>
        <v/>
      </c>
      <c r="AJ153" s="56">
        <f>$C153*INDEX(Curves!$F$8:$F$68,AJ$4-$B153+1)</f>
        <v/>
      </c>
      <c r="AK153" s="56">
        <f>$C153*INDEX(Curves!$F$8:$F$68,AK$4-$B153+1)</f>
        <v/>
      </c>
      <c r="AL153" s="56">
        <f>$C153*INDEX(Curves!$F$8:$F$68,AL$4-$B153+1)</f>
        <v/>
      </c>
      <c r="AM153" s="56">
        <f>$C153*INDEX(Curves!$F$8:$F$68,AM$4-$B153+1)</f>
        <v/>
      </c>
      <c r="AN153" s="56">
        <f>$C153*INDEX(Curves!$F$8:$F$68,AN$4-$B153+1)</f>
        <v/>
      </c>
      <c r="AO153" s="56">
        <f>$C153*INDEX(Curves!$F$8:$F$68,AO$4-$B153+1)</f>
        <v/>
      </c>
      <c r="AP153" s="56">
        <f>$C153*INDEX(Curves!$F$8:$F$68,AP$4-$B153+1)</f>
        <v/>
      </c>
      <c r="AQ153" s="56">
        <f>$C153*INDEX(Curves!$F$8:$F$68,AQ$4-$B153+1)</f>
        <v/>
      </c>
      <c r="AR153" s="56">
        <f>$C153*INDEX(Curves!$F$8:$F$68,AR$4-$B153+1)</f>
        <v/>
      </c>
      <c r="AS153" s="56">
        <f>$C153*INDEX(Curves!$F$8:$F$68,AS$4-$B153+1)</f>
        <v/>
      </c>
      <c r="AT153" s="56">
        <f>$C153*INDEX(Curves!$F$8:$F$68,AT$4-$B153+1)</f>
        <v/>
      </c>
      <c r="AU153" s="56">
        <f>$C153*INDEX(Curves!$F$8:$F$68,AU$4-$B153+1)</f>
        <v/>
      </c>
      <c r="AV153" s="56">
        <f>$C153*INDEX(Curves!$F$8:$F$68,AV$4-$B153+1)</f>
        <v/>
      </c>
      <c r="AW153" s="56">
        <f>$C153*INDEX(Curves!$F$8:$F$68,AW$4-$B153+1)</f>
        <v/>
      </c>
      <c r="AX153" s="56">
        <f>$C153*INDEX(Curves!$F$8:$F$68,AX$4-$B153+1)</f>
        <v/>
      </c>
      <c r="AY153" s="56">
        <f>$C153*INDEX(Curves!$F$8:$F$68,AY$4-$B153+1)</f>
        <v/>
      </c>
      <c r="AZ153" s="56">
        <f>$C153*INDEX(Curves!$F$8:$F$68,AZ$4-$B153+1)</f>
        <v/>
      </c>
      <c r="BA153" s="56">
        <f>$C153*INDEX(Curves!$F$8:$F$68,BA$4-$B153+1)</f>
        <v/>
      </c>
      <c r="BB153" s="56">
        <f>$C153*INDEX(Curves!$F$8:$F$68,BB$4-$B153+1)</f>
        <v/>
      </c>
      <c r="BC153" s="56">
        <f>$C153*INDEX(Curves!$F$8:$F$68,BC$4-$B153+1)</f>
        <v/>
      </c>
      <c r="BD153" s="56">
        <f>$C153*INDEX(Curves!$F$8:$F$68,BD$4-$B153+1)</f>
        <v/>
      </c>
      <c r="BE153" s="56">
        <f>$C153*INDEX(Curves!$F$8:$F$68,BE$4-$B153+1)</f>
        <v/>
      </c>
      <c r="BF153" s="56">
        <f>$C153*INDEX(Curves!$F$8:$F$68,BF$4-$B153+1)</f>
        <v/>
      </c>
      <c r="BG153" s="56">
        <f>$C153*INDEX(Curves!$F$8:$F$68,BG$4-$B153+1)</f>
        <v/>
      </c>
      <c r="BH153" s="56">
        <f>$C153*INDEX(Curves!$F$8:$F$68,BH$4-$B153+1)</f>
        <v/>
      </c>
      <c r="BI153" s="56">
        <f>$C153*INDEX(Curves!$F$8:$F$68,BI$4-$B153+1)</f>
        <v/>
      </c>
      <c r="BJ153" s="56">
        <f>$C153*INDEX(Curves!$F$8:$F$68,BJ$4-$B153+1)</f>
        <v/>
      </c>
      <c r="BK153" s="56">
        <f>$C153*INDEX(Curves!$F$8:$F$68,BK$4-$B153+1)</f>
        <v/>
      </c>
      <c r="BL153" s="56">
        <f>$C153*INDEX(Curves!$F$8:$F$68,BL$4-$B153+1)</f>
        <v/>
      </c>
    </row>
    <row r="154">
      <c r="A154" s="55" t="inlineStr">
        <is>
          <t>Cohort month 19</t>
        </is>
      </c>
      <c r="B154" s="55" t="n">
        <v>19</v>
      </c>
      <c r="C154" s="46">
        <f>INDEX(Ops!$E$10:$BL$10,1,$B154)</f>
        <v/>
      </c>
      <c r="X154" s="56">
        <f>$C154*INDEX(Curves!$F$8:$F$68,X$4-$B154+1)</f>
        <v/>
      </c>
      <c r="Y154" s="56">
        <f>$C154*INDEX(Curves!$F$8:$F$68,Y$4-$B154+1)</f>
        <v/>
      </c>
      <c r="Z154" s="56">
        <f>$C154*INDEX(Curves!$F$8:$F$68,Z$4-$B154+1)</f>
        <v/>
      </c>
      <c r="AA154" s="56">
        <f>$C154*INDEX(Curves!$F$8:$F$68,AA$4-$B154+1)</f>
        <v/>
      </c>
      <c r="AB154" s="56">
        <f>$C154*INDEX(Curves!$F$8:$F$68,AB$4-$B154+1)</f>
        <v/>
      </c>
      <c r="AC154" s="56">
        <f>$C154*INDEX(Curves!$F$8:$F$68,AC$4-$B154+1)</f>
        <v/>
      </c>
      <c r="AD154" s="56">
        <f>$C154*INDEX(Curves!$F$8:$F$68,AD$4-$B154+1)</f>
        <v/>
      </c>
      <c r="AE154" s="56">
        <f>$C154*INDEX(Curves!$F$8:$F$68,AE$4-$B154+1)</f>
        <v/>
      </c>
      <c r="AF154" s="56">
        <f>$C154*INDEX(Curves!$F$8:$F$68,AF$4-$B154+1)</f>
        <v/>
      </c>
      <c r="AG154" s="56">
        <f>$C154*INDEX(Curves!$F$8:$F$68,AG$4-$B154+1)</f>
        <v/>
      </c>
      <c r="AH154" s="56">
        <f>$C154*INDEX(Curves!$F$8:$F$68,AH$4-$B154+1)</f>
        <v/>
      </c>
      <c r="AI154" s="56">
        <f>$C154*INDEX(Curves!$F$8:$F$68,AI$4-$B154+1)</f>
        <v/>
      </c>
      <c r="AJ154" s="56">
        <f>$C154*INDEX(Curves!$F$8:$F$68,AJ$4-$B154+1)</f>
        <v/>
      </c>
      <c r="AK154" s="56">
        <f>$C154*INDEX(Curves!$F$8:$F$68,AK$4-$B154+1)</f>
        <v/>
      </c>
      <c r="AL154" s="56">
        <f>$C154*INDEX(Curves!$F$8:$F$68,AL$4-$B154+1)</f>
        <v/>
      </c>
      <c r="AM154" s="56">
        <f>$C154*INDEX(Curves!$F$8:$F$68,AM$4-$B154+1)</f>
        <v/>
      </c>
      <c r="AN154" s="56">
        <f>$C154*INDEX(Curves!$F$8:$F$68,AN$4-$B154+1)</f>
        <v/>
      </c>
      <c r="AO154" s="56">
        <f>$C154*INDEX(Curves!$F$8:$F$68,AO$4-$B154+1)</f>
        <v/>
      </c>
      <c r="AP154" s="56">
        <f>$C154*INDEX(Curves!$F$8:$F$68,AP$4-$B154+1)</f>
        <v/>
      </c>
      <c r="AQ154" s="56">
        <f>$C154*INDEX(Curves!$F$8:$F$68,AQ$4-$B154+1)</f>
        <v/>
      </c>
      <c r="AR154" s="56">
        <f>$C154*INDEX(Curves!$F$8:$F$68,AR$4-$B154+1)</f>
        <v/>
      </c>
      <c r="AS154" s="56">
        <f>$C154*INDEX(Curves!$F$8:$F$68,AS$4-$B154+1)</f>
        <v/>
      </c>
      <c r="AT154" s="56">
        <f>$C154*INDEX(Curves!$F$8:$F$68,AT$4-$B154+1)</f>
        <v/>
      </c>
      <c r="AU154" s="56">
        <f>$C154*INDEX(Curves!$F$8:$F$68,AU$4-$B154+1)</f>
        <v/>
      </c>
      <c r="AV154" s="56">
        <f>$C154*INDEX(Curves!$F$8:$F$68,AV$4-$B154+1)</f>
        <v/>
      </c>
      <c r="AW154" s="56">
        <f>$C154*INDEX(Curves!$F$8:$F$68,AW$4-$B154+1)</f>
        <v/>
      </c>
      <c r="AX154" s="56">
        <f>$C154*INDEX(Curves!$F$8:$F$68,AX$4-$B154+1)</f>
        <v/>
      </c>
      <c r="AY154" s="56">
        <f>$C154*INDEX(Curves!$F$8:$F$68,AY$4-$B154+1)</f>
        <v/>
      </c>
      <c r="AZ154" s="56">
        <f>$C154*INDEX(Curves!$F$8:$F$68,AZ$4-$B154+1)</f>
        <v/>
      </c>
      <c r="BA154" s="56">
        <f>$C154*INDEX(Curves!$F$8:$F$68,BA$4-$B154+1)</f>
        <v/>
      </c>
      <c r="BB154" s="56">
        <f>$C154*INDEX(Curves!$F$8:$F$68,BB$4-$B154+1)</f>
        <v/>
      </c>
      <c r="BC154" s="56">
        <f>$C154*INDEX(Curves!$F$8:$F$68,BC$4-$B154+1)</f>
        <v/>
      </c>
      <c r="BD154" s="56">
        <f>$C154*INDEX(Curves!$F$8:$F$68,BD$4-$B154+1)</f>
        <v/>
      </c>
      <c r="BE154" s="56">
        <f>$C154*INDEX(Curves!$F$8:$F$68,BE$4-$B154+1)</f>
        <v/>
      </c>
      <c r="BF154" s="56">
        <f>$C154*INDEX(Curves!$F$8:$F$68,BF$4-$B154+1)</f>
        <v/>
      </c>
      <c r="BG154" s="56">
        <f>$C154*INDEX(Curves!$F$8:$F$68,BG$4-$B154+1)</f>
        <v/>
      </c>
      <c r="BH154" s="56">
        <f>$C154*INDEX(Curves!$F$8:$F$68,BH$4-$B154+1)</f>
        <v/>
      </c>
      <c r="BI154" s="56">
        <f>$C154*INDEX(Curves!$F$8:$F$68,BI$4-$B154+1)</f>
        <v/>
      </c>
      <c r="BJ154" s="56">
        <f>$C154*INDEX(Curves!$F$8:$F$68,BJ$4-$B154+1)</f>
        <v/>
      </c>
      <c r="BK154" s="56">
        <f>$C154*INDEX(Curves!$F$8:$F$68,BK$4-$B154+1)</f>
        <v/>
      </c>
      <c r="BL154" s="56">
        <f>$C154*INDEX(Curves!$F$8:$F$68,BL$4-$B154+1)</f>
        <v/>
      </c>
    </row>
    <row r="155">
      <c r="A155" s="55" t="inlineStr">
        <is>
          <t>Cohort month 20</t>
        </is>
      </c>
      <c r="B155" s="55" t="n">
        <v>20</v>
      </c>
      <c r="C155" s="46">
        <f>INDEX(Ops!$E$10:$BL$10,1,$B155)</f>
        <v/>
      </c>
      <c r="Y155" s="56">
        <f>$C155*INDEX(Curves!$F$8:$F$68,Y$4-$B155+1)</f>
        <v/>
      </c>
      <c r="Z155" s="56">
        <f>$C155*INDEX(Curves!$F$8:$F$68,Z$4-$B155+1)</f>
        <v/>
      </c>
      <c r="AA155" s="56">
        <f>$C155*INDEX(Curves!$F$8:$F$68,AA$4-$B155+1)</f>
        <v/>
      </c>
      <c r="AB155" s="56">
        <f>$C155*INDEX(Curves!$F$8:$F$68,AB$4-$B155+1)</f>
        <v/>
      </c>
      <c r="AC155" s="56">
        <f>$C155*INDEX(Curves!$F$8:$F$68,AC$4-$B155+1)</f>
        <v/>
      </c>
      <c r="AD155" s="56">
        <f>$C155*INDEX(Curves!$F$8:$F$68,AD$4-$B155+1)</f>
        <v/>
      </c>
      <c r="AE155" s="56">
        <f>$C155*INDEX(Curves!$F$8:$F$68,AE$4-$B155+1)</f>
        <v/>
      </c>
      <c r="AF155" s="56">
        <f>$C155*INDEX(Curves!$F$8:$F$68,AF$4-$B155+1)</f>
        <v/>
      </c>
      <c r="AG155" s="56">
        <f>$C155*INDEX(Curves!$F$8:$F$68,AG$4-$B155+1)</f>
        <v/>
      </c>
      <c r="AH155" s="56">
        <f>$C155*INDEX(Curves!$F$8:$F$68,AH$4-$B155+1)</f>
        <v/>
      </c>
      <c r="AI155" s="56">
        <f>$C155*INDEX(Curves!$F$8:$F$68,AI$4-$B155+1)</f>
        <v/>
      </c>
      <c r="AJ155" s="56">
        <f>$C155*INDEX(Curves!$F$8:$F$68,AJ$4-$B155+1)</f>
        <v/>
      </c>
      <c r="AK155" s="56">
        <f>$C155*INDEX(Curves!$F$8:$F$68,AK$4-$B155+1)</f>
        <v/>
      </c>
      <c r="AL155" s="56">
        <f>$C155*INDEX(Curves!$F$8:$F$68,AL$4-$B155+1)</f>
        <v/>
      </c>
      <c r="AM155" s="56">
        <f>$C155*INDEX(Curves!$F$8:$F$68,AM$4-$B155+1)</f>
        <v/>
      </c>
      <c r="AN155" s="56">
        <f>$C155*INDEX(Curves!$F$8:$F$68,AN$4-$B155+1)</f>
        <v/>
      </c>
      <c r="AO155" s="56">
        <f>$C155*INDEX(Curves!$F$8:$F$68,AO$4-$B155+1)</f>
        <v/>
      </c>
      <c r="AP155" s="56">
        <f>$C155*INDEX(Curves!$F$8:$F$68,AP$4-$B155+1)</f>
        <v/>
      </c>
      <c r="AQ155" s="56">
        <f>$C155*INDEX(Curves!$F$8:$F$68,AQ$4-$B155+1)</f>
        <v/>
      </c>
      <c r="AR155" s="56">
        <f>$C155*INDEX(Curves!$F$8:$F$68,AR$4-$B155+1)</f>
        <v/>
      </c>
      <c r="AS155" s="56">
        <f>$C155*INDEX(Curves!$F$8:$F$68,AS$4-$B155+1)</f>
        <v/>
      </c>
      <c r="AT155" s="56">
        <f>$C155*INDEX(Curves!$F$8:$F$68,AT$4-$B155+1)</f>
        <v/>
      </c>
      <c r="AU155" s="56">
        <f>$C155*INDEX(Curves!$F$8:$F$68,AU$4-$B155+1)</f>
        <v/>
      </c>
      <c r="AV155" s="56">
        <f>$C155*INDEX(Curves!$F$8:$F$68,AV$4-$B155+1)</f>
        <v/>
      </c>
      <c r="AW155" s="56">
        <f>$C155*INDEX(Curves!$F$8:$F$68,AW$4-$B155+1)</f>
        <v/>
      </c>
      <c r="AX155" s="56">
        <f>$C155*INDEX(Curves!$F$8:$F$68,AX$4-$B155+1)</f>
        <v/>
      </c>
      <c r="AY155" s="56">
        <f>$C155*INDEX(Curves!$F$8:$F$68,AY$4-$B155+1)</f>
        <v/>
      </c>
      <c r="AZ155" s="56">
        <f>$C155*INDEX(Curves!$F$8:$F$68,AZ$4-$B155+1)</f>
        <v/>
      </c>
      <c r="BA155" s="56">
        <f>$C155*INDEX(Curves!$F$8:$F$68,BA$4-$B155+1)</f>
        <v/>
      </c>
      <c r="BB155" s="56">
        <f>$C155*INDEX(Curves!$F$8:$F$68,BB$4-$B155+1)</f>
        <v/>
      </c>
      <c r="BC155" s="56">
        <f>$C155*INDEX(Curves!$F$8:$F$68,BC$4-$B155+1)</f>
        <v/>
      </c>
      <c r="BD155" s="56">
        <f>$C155*INDEX(Curves!$F$8:$F$68,BD$4-$B155+1)</f>
        <v/>
      </c>
      <c r="BE155" s="56">
        <f>$C155*INDEX(Curves!$F$8:$F$68,BE$4-$B155+1)</f>
        <v/>
      </c>
      <c r="BF155" s="56">
        <f>$C155*INDEX(Curves!$F$8:$F$68,BF$4-$B155+1)</f>
        <v/>
      </c>
      <c r="BG155" s="56">
        <f>$C155*INDEX(Curves!$F$8:$F$68,BG$4-$B155+1)</f>
        <v/>
      </c>
      <c r="BH155" s="56">
        <f>$C155*INDEX(Curves!$F$8:$F$68,BH$4-$B155+1)</f>
        <v/>
      </c>
      <c r="BI155" s="56">
        <f>$C155*INDEX(Curves!$F$8:$F$68,BI$4-$B155+1)</f>
        <v/>
      </c>
      <c r="BJ155" s="56">
        <f>$C155*INDEX(Curves!$F$8:$F$68,BJ$4-$B155+1)</f>
        <v/>
      </c>
      <c r="BK155" s="56">
        <f>$C155*INDEX(Curves!$F$8:$F$68,BK$4-$B155+1)</f>
        <v/>
      </c>
      <c r="BL155" s="56">
        <f>$C155*INDEX(Curves!$F$8:$F$68,BL$4-$B155+1)</f>
        <v/>
      </c>
    </row>
    <row r="156">
      <c r="A156" s="55" t="inlineStr">
        <is>
          <t>Cohort month 21</t>
        </is>
      </c>
      <c r="B156" s="55" t="n">
        <v>21</v>
      </c>
      <c r="C156" s="46">
        <f>INDEX(Ops!$E$10:$BL$10,1,$B156)</f>
        <v/>
      </c>
      <c r="Z156" s="56">
        <f>$C156*INDEX(Curves!$F$8:$F$68,Z$4-$B156+1)</f>
        <v/>
      </c>
      <c r="AA156" s="56">
        <f>$C156*INDEX(Curves!$F$8:$F$68,AA$4-$B156+1)</f>
        <v/>
      </c>
      <c r="AB156" s="56">
        <f>$C156*INDEX(Curves!$F$8:$F$68,AB$4-$B156+1)</f>
        <v/>
      </c>
      <c r="AC156" s="56">
        <f>$C156*INDEX(Curves!$F$8:$F$68,AC$4-$B156+1)</f>
        <v/>
      </c>
      <c r="AD156" s="56">
        <f>$C156*INDEX(Curves!$F$8:$F$68,AD$4-$B156+1)</f>
        <v/>
      </c>
      <c r="AE156" s="56">
        <f>$C156*INDEX(Curves!$F$8:$F$68,AE$4-$B156+1)</f>
        <v/>
      </c>
      <c r="AF156" s="56">
        <f>$C156*INDEX(Curves!$F$8:$F$68,AF$4-$B156+1)</f>
        <v/>
      </c>
      <c r="AG156" s="56">
        <f>$C156*INDEX(Curves!$F$8:$F$68,AG$4-$B156+1)</f>
        <v/>
      </c>
      <c r="AH156" s="56">
        <f>$C156*INDEX(Curves!$F$8:$F$68,AH$4-$B156+1)</f>
        <v/>
      </c>
      <c r="AI156" s="56">
        <f>$C156*INDEX(Curves!$F$8:$F$68,AI$4-$B156+1)</f>
        <v/>
      </c>
      <c r="AJ156" s="56">
        <f>$C156*INDEX(Curves!$F$8:$F$68,AJ$4-$B156+1)</f>
        <v/>
      </c>
      <c r="AK156" s="56">
        <f>$C156*INDEX(Curves!$F$8:$F$68,AK$4-$B156+1)</f>
        <v/>
      </c>
      <c r="AL156" s="56">
        <f>$C156*INDEX(Curves!$F$8:$F$68,AL$4-$B156+1)</f>
        <v/>
      </c>
      <c r="AM156" s="56">
        <f>$C156*INDEX(Curves!$F$8:$F$68,AM$4-$B156+1)</f>
        <v/>
      </c>
      <c r="AN156" s="56">
        <f>$C156*INDEX(Curves!$F$8:$F$68,AN$4-$B156+1)</f>
        <v/>
      </c>
      <c r="AO156" s="56">
        <f>$C156*INDEX(Curves!$F$8:$F$68,AO$4-$B156+1)</f>
        <v/>
      </c>
      <c r="AP156" s="56">
        <f>$C156*INDEX(Curves!$F$8:$F$68,AP$4-$B156+1)</f>
        <v/>
      </c>
      <c r="AQ156" s="56">
        <f>$C156*INDEX(Curves!$F$8:$F$68,AQ$4-$B156+1)</f>
        <v/>
      </c>
      <c r="AR156" s="56">
        <f>$C156*INDEX(Curves!$F$8:$F$68,AR$4-$B156+1)</f>
        <v/>
      </c>
      <c r="AS156" s="56">
        <f>$C156*INDEX(Curves!$F$8:$F$68,AS$4-$B156+1)</f>
        <v/>
      </c>
      <c r="AT156" s="56">
        <f>$C156*INDEX(Curves!$F$8:$F$68,AT$4-$B156+1)</f>
        <v/>
      </c>
      <c r="AU156" s="56">
        <f>$C156*INDEX(Curves!$F$8:$F$68,AU$4-$B156+1)</f>
        <v/>
      </c>
      <c r="AV156" s="56">
        <f>$C156*INDEX(Curves!$F$8:$F$68,AV$4-$B156+1)</f>
        <v/>
      </c>
      <c r="AW156" s="56">
        <f>$C156*INDEX(Curves!$F$8:$F$68,AW$4-$B156+1)</f>
        <v/>
      </c>
      <c r="AX156" s="56">
        <f>$C156*INDEX(Curves!$F$8:$F$68,AX$4-$B156+1)</f>
        <v/>
      </c>
      <c r="AY156" s="56">
        <f>$C156*INDEX(Curves!$F$8:$F$68,AY$4-$B156+1)</f>
        <v/>
      </c>
      <c r="AZ156" s="56">
        <f>$C156*INDEX(Curves!$F$8:$F$68,AZ$4-$B156+1)</f>
        <v/>
      </c>
      <c r="BA156" s="56">
        <f>$C156*INDEX(Curves!$F$8:$F$68,BA$4-$B156+1)</f>
        <v/>
      </c>
      <c r="BB156" s="56">
        <f>$C156*INDEX(Curves!$F$8:$F$68,BB$4-$B156+1)</f>
        <v/>
      </c>
      <c r="BC156" s="56">
        <f>$C156*INDEX(Curves!$F$8:$F$68,BC$4-$B156+1)</f>
        <v/>
      </c>
      <c r="BD156" s="56">
        <f>$C156*INDEX(Curves!$F$8:$F$68,BD$4-$B156+1)</f>
        <v/>
      </c>
      <c r="BE156" s="56">
        <f>$C156*INDEX(Curves!$F$8:$F$68,BE$4-$B156+1)</f>
        <v/>
      </c>
      <c r="BF156" s="56">
        <f>$C156*INDEX(Curves!$F$8:$F$68,BF$4-$B156+1)</f>
        <v/>
      </c>
      <c r="BG156" s="56">
        <f>$C156*INDEX(Curves!$F$8:$F$68,BG$4-$B156+1)</f>
        <v/>
      </c>
      <c r="BH156" s="56">
        <f>$C156*INDEX(Curves!$F$8:$F$68,BH$4-$B156+1)</f>
        <v/>
      </c>
      <c r="BI156" s="56">
        <f>$C156*INDEX(Curves!$F$8:$F$68,BI$4-$B156+1)</f>
        <v/>
      </c>
      <c r="BJ156" s="56">
        <f>$C156*INDEX(Curves!$F$8:$F$68,BJ$4-$B156+1)</f>
        <v/>
      </c>
      <c r="BK156" s="56">
        <f>$C156*INDEX(Curves!$F$8:$F$68,BK$4-$B156+1)</f>
        <v/>
      </c>
      <c r="BL156" s="56">
        <f>$C156*INDEX(Curves!$F$8:$F$68,BL$4-$B156+1)</f>
        <v/>
      </c>
    </row>
    <row r="157">
      <c r="A157" s="55" t="inlineStr">
        <is>
          <t>Cohort month 22</t>
        </is>
      </c>
      <c r="B157" s="55" t="n">
        <v>22</v>
      </c>
      <c r="C157" s="46">
        <f>INDEX(Ops!$E$10:$BL$10,1,$B157)</f>
        <v/>
      </c>
      <c r="AA157" s="56">
        <f>$C157*INDEX(Curves!$F$8:$F$68,AA$4-$B157+1)</f>
        <v/>
      </c>
      <c r="AB157" s="56">
        <f>$C157*INDEX(Curves!$F$8:$F$68,AB$4-$B157+1)</f>
        <v/>
      </c>
      <c r="AC157" s="56">
        <f>$C157*INDEX(Curves!$F$8:$F$68,AC$4-$B157+1)</f>
        <v/>
      </c>
      <c r="AD157" s="56">
        <f>$C157*INDEX(Curves!$F$8:$F$68,AD$4-$B157+1)</f>
        <v/>
      </c>
      <c r="AE157" s="56">
        <f>$C157*INDEX(Curves!$F$8:$F$68,AE$4-$B157+1)</f>
        <v/>
      </c>
      <c r="AF157" s="56">
        <f>$C157*INDEX(Curves!$F$8:$F$68,AF$4-$B157+1)</f>
        <v/>
      </c>
      <c r="AG157" s="56">
        <f>$C157*INDEX(Curves!$F$8:$F$68,AG$4-$B157+1)</f>
        <v/>
      </c>
      <c r="AH157" s="56">
        <f>$C157*INDEX(Curves!$F$8:$F$68,AH$4-$B157+1)</f>
        <v/>
      </c>
      <c r="AI157" s="56">
        <f>$C157*INDEX(Curves!$F$8:$F$68,AI$4-$B157+1)</f>
        <v/>
      </c>
      <c r="AJ157" s="56">
        <f>$C157*INDEX(Curves!$F$8:$F$68,AJ$4-$B157+1)</f>
        <v/>
      </c>
      <c r="AK157" s="56">
        <f>$C157*INDEX(Curves!$F$8:$F$68,AK$4-$B157+1)</f>
        <v/>
      </c>
      <c r="AL157" s="56">
        <f>$C157*INDEX(Curves!$F$8:$F$68,AL$4-$B157+1)</f>
        <v/>
      </c>
      <c r="AM157" s="56">
        <f>$C157*INDEX(Curves!$F$8:$F$68,AM$4-$B157+1)</f>
        <v/>
      </c>
      <c r="AN157" s="56">
        <f>$C157*INDEX(Curves!$F$8:$F$68,AN$4-$B157+1)</f>
        <v/>
      </c>
      <c r="AO157" s="56">
        <f>$C157*INDEX(Curves!$F$8:$F$68,AO$4-$B157+1)</f>
        <v/>
      </c>
      <c r="AP157" s="56">
        <f>$C157*INDEX(Curves!$F$8:$F$68,AP$4-$B157+1)</f>
        <v/>
      </c>
      <c r="AQ157" s="56">
        <f>$C157*INDEX(Curves!$F$8:$F$68,AQ$4-$B157+1)</f>
        <v/>
      </c>
      <c r="AR157" s="56">
        <f>$C157*INDEX(Curves!$F$8:$F$68,AR$4-$B157+1)</f>
        <v/>
      </c>
      <c r="AS157" s="56">
        <f>$C157*INDEX(Curves!$F$8:$F$68,AS$4-$B157+1)</f>
        <v/>
      </c>
      <c r="AT157" s="56">
        <f>$C157*INDEX(Curves!$F$8:$F$68,AT$4-$B157+1)</f>
        <v/>
      </c>
      <c r="AU157" s="56">
        <f>$C157*INDEX(Curves!$F$8:$F$68,AU$4-$B157+1)</f>
        <v/>
      </c>
      <c r="AV157" s="56">
        <f>$C157*INDEX(Curves!$F$8:$F$68,AV$4-$B157+1)</f>
        <v/>
      </c>
      <c r="AW157" s="56">
        <f>$C157*INDEX(Curves!$F$8:$F$68,AW$4-$B157+1)</f>
        <v/>
      </c>
      <c r="AX157" s="56">
        <f>$C157*INDEX(Curves!$F$8:$F$68,AX$4-$B157+1)</f>
        <v/>
      </c>
      <c r="AY157" s="56">
        <f>$C157*INDEX(Curves!$F$8:$F$68,AY$4-$B157+1)</f>
        <v/>
      </c>
      <c r="AZ157" s="56">
        <f>$C157*INDEX(Curves!$F$8:$F$68,AZ$4-$B157+1)</f>
        <v/>
      </c>
      <c r="BA157" s="56">
        <f>$C157*INDEX(Curves!$F$8:$F$68,BA$4-$B157+1)</f>
        <v/>
      </c>
      <c r="BB157" s="56">
        <f>$C157*INDEX(Curves!$F$8:$F$68,BB$4-$B157+1)</f>
        <v/>
      </c>
      <c r="BC157" s="56">
        <f>$C157*INDEX(Curves!$F$8:$F$68,BC$4-$B157+1)</f>
        <v/>
      </c>
      <c r="BD157" s="56">
        <f>$C157*INDEX(Curves!$F$8:$F$68,BD$4-$B157+1)</f>
        <v/>
      </c>
      <c r="BE157" s="56">
        <f>$C157*INDEX(Curves!$F$8:$F$68,BE$4-$B157+1)</f>
        <v/>
      </c>
      <c r="BF157" s="56">
        <f>$C157*INDEX(Curves!$F$8:$F$68,BF$4-$B157+1)</f>
        <v/>
      </c>
      <c r="BG157" s="56">
        <f>$C157*INDEX(Curves!$F$8:$F$68,BG$4-$B157+1)</f>
        <v/>
      </c>
      <c r="BH157" s="56">
        <f>$C157*INDEX(Curves!$F$8:$F$68,BH$4-$B157+1)</f>
        <v/>
      </c>
      <c r="BI157" s="56">
        <f>$C157*INDEX(Curves!$F$8:$F$68,BI$4-$B157+1)</f>
        <v/>
      </c>
      <c r="BJ157" s="56">
        <f>$C157*INDEX(Curves!$F$8:$F$68,BJ$4-$B157+1)</f>
        <v/>
      </c>
      <c r="BK157" s="56">
        <f>$C157*INDEX(Curves!$F$8:$F$68,BK$4-$B157+1)</f>
        <v/>
      </c>
      <c r="BL157" s="56">
        <f>$C157*INDEX(Curves!$F$8:$F$68,BL$4-$B157+1)</f>
        <v/>
      </c>
    </row>
    <row r="158">
      <c r="A158" s="55" t="inlineStr">
        <is>
          <t>Cohort month 23</t>
        </is>
      </c>
      <c r="B158" s="55" t="n">
        <v>23</v>
      </c>
      <c r="C158" s="46">
        <f>INDEX(Ops!$E$10:$BL$10,1,$B158)</f>
        <v/>
      </c>
      <c r="AB158" s="56">
        <f>$C158*INDEX(Curves!$F$8:$F$68,AB$4-$B158+1)</f>
        <v/>
      </c>
      <c r="AC158" s="56">
        <f>$C158*INDEX(Curves!$F$8:$F$68,AC$4-$B158+1)</f>
        <v/>
      </c>
      <c r="AD158" s="56">
        <f>$C158*INDEX(Curves!$F$8:$F$68,AD$4-$B158+1)</f>
        <v/>
      </c>
      <c r="AE158" s="56">
        <f>$C158*INDEX(Curves!$F$8:$F$68,AE$4-$B158+1)</f>
        <v/>
      </c>
      <c r="AF158" s="56">
        <f>$C158*INDEX(Curves!$F$8:$F$68,AF$4-$B158+1)</f>
        <v/>
      </c>
      <c r="AG158" s="56">
        <f>$C158*INDEX(Curves!$F$8:$F$68,AG$4-$B158+1)</f>
        <v/>
      </c>
      <c r="AH158" s="56">
        <f>$C158*INDEX(Curves!$F$8:$F$68,AH$4-$B158+1)</f>
        <v/>
      </c>
      <c r="AI158" s="56">
        <f>$C158*INDEX(Curves!$F$8:$F$68,AI$4-$B158+1)</f>
        <v/>
      </c>
      <c r="AJ158" s="56">
        <f>$C158*INDEX(Curves!$F$8:$F$68,AJ$4-$B158+1)</f>
        <v/>
      </c>
      <c r="AK158" s="56">
        <f>$C158*INDEX(Curves!$F$8:$F$68,AK$4-$B158+1)</f>
        <v/>
      </c>
      <c r="AL158" s="56">
        <f>$C158*INDEX(Curves!$F$8:$F$68,AL$4-$B158+1)</f>
        <v/>
      </c>
      <c r="AM158" s="56">
        <f>$C158*INDEX(Curves!$F$8:$F$68,AM$4-$B158+1)</f>
        <v/>
      </c>
      <c r="AN158" s="56">
        <f>$C158*INDEX(Curves!$F$8:$F$68,AN$4-$B158+1)</f>
        <v/>
      </c>
      <c r="AO158" s="56">
        <f>$C158*INDEX(Curves!$F$8:$F$68,AO$4-$B158+1)</f>
        <v/>
      </c>
      <c r="AP158" s="56">
        <f>$C158*INDEX(Curves!$F$8:$F$68,AP$4-$B158+1)</f>
        <v/>
      </c>
      <c r="AQ158" s="56">
        <f>$C158*INDEX(Curves!$F$8:$F$68,AQ$4-$B158+1)</f>
        <v/>
      </c>
      <c r="AR158" s="56">
        <f>$C158*INDEX(Curves!$F$8:$F$68,AR$4-$B158+1)</f>
        <v/>
      </c>
      <c r="AS158" s="56">
        <f>$C158*INDEX(Curves!$F$8:$F$68,AS$4-$B158+1)</f>
        <v/>
      </c>
      <c r="AT158" s="56">
        <f>$C158*INDEX(Curves!$F$8:$F$68,AT$4-$B158+1)</f>
        <v/>
      </c>
      <c r="AU158" s="56">
        <f>$C158*INDEX(Curves!$F$8:$F$68,AU$4-$B158+1)</f>
        <v/>
      </c>
      <c r="AV158" s="56">
        <f>$C158*INDEX(Curves!$F$8:$F$68,AV$4-$B158+1)</f>
        <v/>
      </c>
      <c r="AW158" s="56">
        <f>$C158*INDEX(Curves!$F$8:$F$68,AW$4-$B158+1)</f>
        <v/>
      </c>
      <c r="AX158" s="56">
        <f>$C158*INDEX(Curves!$F$8:$F$68,AX$4-$B158+1)</f>
        <v/>
      </c>
      <c r="AY158" s="56">
        <f>$C158*INDEX(Curves!$F$8:$F$68,AY$4-$B158+1)</f>
        <v/>
      </c>
      <c r="AZ158" s="56">
        <f>$C158*INDEX(Curves!$F$8:$F$68,AZ$4-$B158+1)</f>
        <v/>
      </c>
      <c r="BA158" s="56">
        <f>$C158*INDEX(Curves!$F$8:$F$68,BA$4-$B158+1)</f>
        <v/>
      </c>
      <c r="BB158" s="56">
        <f>$C158*INDEX(Curves!$F$8:$F$68,BB$4-$B158+1)</f>
        <v/>
      </c>
      <c r="BC158" s="56">
        <f>$C158*INDEX(Curves!$F$8:$F$68,BC$4-$B158+1)</f>
        <v/>
      </c>
      <c r="BD158" s="56">
        <f>$C158*INDEX(Curves!$F$8:$F$68,BD$4-$B158+1)</f>
        <v/>
      </c>
      <c r="BE158" s="56">
        <f>$C158*INDEX(Curves!$F$8:$F$68,BE$4-$B158+1)</f>
        <v/>
      </c>
      <c r="BF158" s="56">
        <f>$C158*INDEX(Curves!$F$8:$F$68,BF$4-$B158+1)</f>
        <v/>
      </c>
      <c r="BG158" s="56">
        <f>$C158*INDEX(Curves!$F$8:$F$68,BG$4-$B158+1)</f>
        <v/>
      </c>
      <c r="BH158" s="56">
        <f>$C158*INDEX(Curves!$F$8:$F$68,BH$4-$B158+1)</f>
        <v/>
      </c>
      <c r="BI158" s="56">
        <f>$C158*INDEX(Curves!$F$8:$F$68,BI$4-$B158+1)</f>
        <v/>
      </c>
      <c r="BJ158" s="56">
        <f>$C158*INDEX(Curves!$F$8:$F$68,BJ$4-$B158+1)</f>
        <v/>
      </c>
      <c r="BK158" s="56">
        <f>$C158*INDEX(Curves!$F$8:$F$68,BK$4-$B158+1)</f>
        <v/>
      </c>
      <c r="BL158" s="56">
        <f>$C158*INDEX(Curves!$F$8:$F$68,BL$4-$B158+1)</f>
        <v/>
      </c>
    </row>
    <row r="159">
      <c r="A159" s="55" t="inlineStr">
        <is>
          <t>Cohort month 24</t>
        </is>
      </c>
      <c r="B159" s="55" t="n">
        <v>24</v>
      </c>
      <c r="C159" s="46">
        <f>INDEX(Ops!$E$10:$BL$10,1,$B159)</f>
        <v/>
      </c>
      <c r="AC159" s="56">
        <f>$C159*INDEX(Curves!$F$8:$F$68,AC$4-$B159+1)</f>
        <v/>
      </c>
      <c r="AD159" s="56">
        <f>$C159*INDEX(Curves!$F$8:$F$68,AD$4-$B159+1)</f>
        <v/>
      </c>
      <c r="AE159" s="56">
        <f>$C159*INDEX(Curves!$F$8:$F$68,AE$4-$B159+1)</f>
        <v/>
      </c>
      <c r="AF159" s="56">
        <f>$C159*INDEX(Curves!$F$8:$F$68,AF$4-$B159+1)</f>
        <v/>
      </c>
      <c r="AG159" s="56">
        <f>$C159*INDEX(Curves!$F$8:$F$68,AG$4-$B159+1)</f>
        <v/>
      </c>
      <c r="AH159" s="56">
        <f>$C159*INDEX(Curves!$F$8:$F$68,AH$4-$B159+1)</f>
        <v/>
      </c>
      <c r="AI159" s="56">
        <f>$C159*INDEX(Curves!$F$8:$F$68,AI$4-$B159+1)</f>
        <v/>
      </c>
      <c r="AJ159" s="56">
        <f>$C159*INDEX(Curves!$F$8:$F$68,AJ$4-$B159+1)</f>
        <v/>
      </c>
      <c r="AK159" s="56">
        <f>$C159*INDEX(Curves!$F$8:$F$68,AK$4-$B159+1)</f>
        <v/>
      </c>
      <c r="AL159" s="56">
        <f>$C159*INDEX(Curves!$F$8:$F$68,AL$4-$B159+1)</f>
        <v/>
      </c>
      <c r="AM159" s="56">
        <f>$C159*INDEX(Curves!$F$8:$F$68,AM$4-$B159+1)</f>
        <v/>
      </c>
      <c r="AN159" s="56">
        <f>$C159*INDEX(Curves!$F$8:$F$68,AN$4-$B159+1)</f>
        <v/>
      </c>
      <c r="AO159" s="56">
        <f>$C159*INDEX(Curves!$F$8:$F$68,AO$4-$B159+1)</f>
        <v/>
      </c>
      <c r="AP159" s="56">
        <f>$C159*INDEX(Curves!$F$8:$F$68,AP$4-$B159+1)</f>
        <v/>
      </c>
      <c r="AQ159" s="56">
        <f>$C159*INDEX(Curves!$F$8:$F$68,AQ$4-$B159+1)</f>
        <v/>
      </c>
      <c r="AR159" s="56">
        <f>$C159*INDEX(Curves!$F$8:$F$68,AR$4-$B159+1)</f>
        <v/>
      </c>
      <c r="AS159" s="56">
        <f>$C159*INDEX(Curves!$F$8:$F$68,AS$4-$B159+1)</f>
        <v/>
      </c>
      <c r="AT159" s="56">
        <f>$C159*INDEX(Curves!$F$8:$F$68,AT$4-$B159+1)</f>
        <v/>
      </c>
      <c r="AU159" s="56">
        <f>$C159*INDEX(Curves!$F$8:$F$68,AU$4-$B159+1)</f>
        <v/>
      </c>
      <c r="AV159" s="56">
        <f>$C159*INDEX(Curves!$F$8:$F$68,AV$4-$B159+1)</f>
        <v/>
      </c>
      <c r="AW159" s="56">
        <f>$C159*INDEX(Curves!$F$8:$F$68,AW$4-$B159+1)</f>
        <v/>
      </c>
      <c r="AX159" s="56">
        <f>$C159*INDEX(Curves!$F$8:$F$68,AX$4-$B159+1)</f>
        <v/>
      </c>
      <c r="AY159" s="56">
        <f>$C159*INDEX(Curves!$F$8:$F$68,AY$4-$B159+1)</f>
        <v/>
      </c>
      <c r="AZ159" s="56">
        <f>$C159*INDEX(Curves!$F$8:$F$68,AZ$4-$B159+1)</f>
        <v/>
      </c>
      <c r="BA159" s="56">
        <f>$C159*INDEX(Curves!$F$8:$F$68,BA$4-$B159+1)</f>
        <v/>
      </c>
      <c r="BB159" s="56">
        <f>$C159*INDEX(Curves!$F$8:$F$68,BB$4-$B159+1)</f>
        <v/>
      </c>
      <c r="BC159" s="56">
        <f>$C159*INDEX(Curves!$F$8:$F$68,BC$4-$B159+1)</f>
        <v/>
      </c>
      <c r="BD159" s="56">
        <f>$C159*INDEX(Curves!$F$8:$F$68,BD$4-$B159+1)</f>
        <v/>
      </c>
      <c r="BE159" s="56">
        <f>$C159*INDEX(Curves!$F$8:$F$68,BE$4-$B159+1)</f>
        <v/>
      </c>
      <c r="BF159" s="56">
        <f>$C159*INDEX(Curves!$F$8:$F$68,BF$4-$B159+1)</f>
        <v/>
      </c>
      <c r="BG159" s="56">
        <f>$C159*INDEX(Curves!$F$8:$F$68,BG$4-$B159+1)</f>
        <v/>
      </c>
      <c r="BH159" s="56">
        <f>$C159*INDEX(Curves!$F$8:$F$68,BH$4-$B159+1)</f>
        <v/>
      </c>
      <c r="BI159" s="56">
        <f>$C159*INDEX(Curves!$F$8:$F$68,BI$4-$B159+1)</f>
        <v/>
      </c>
      <c r="BJ159" s="56">
        <f>$C159*INDEX(Curves!$F$8:$F$68,BJ$4-$B159+1)</f>
        <v/>
      </c>
      <c r="BK159" s="56">
        <f>$C159*INDEX(Curves!$F$8:$F$68,BK$4-$B159+1)</f>
        <v/>
      </c>
      <c r="BL159" s="56">
        <f>$C159*INDEX(Curves!$F$8:$F$68,BL$4-$B159+1)</f>
        <v/>
      </c>
    </row>
    <row r="160">
      <c r="A160" s="55" t="inlineStr">
        <is>
          <t>Cohort month 25</t>
        </is>
      </c>
      <c r="B160" s="55" t="n">
        <v>25</v>
      </c>
      <c r="C160" s="46">
        <f>INDEX(Ops!$E$10:$BL$10,1,$B160)</f>
        <v/>
      </c>
      <c r="AD160" s="56">
        <f>$C160*INDEX(Curves!$F$8:$F$68,AD$4-$B160+1)</f>
        <v/>
      </c>
      <c r="AE160" s="56">
        <f>$C160*INDEX(Curves!$F$8:$F$68,AE$4-$B160+1)</f>
        <v/>
      </c>
      <c r="AF160" s="56">
        <f>$C160*INDEX(Curves!$F$8:$F$68,AF$4-$B160+1)</f>
        <v/>
      </c>
      <c r="AG160" s="56">
        <f>$C160*INDEX(Curves!$F$8:$F$68,AG$4-$B160+1)</f>
        <v/>
      </c>
      <c r="AH160" s="56">
        <f>$C160*INDEX(Curves!$F$8:$F$68,AH$4-$B160+1)</f>
        <v/>
      </c>
      <c r="AI160" s="56">
        <f>$C160*INDEX(Curves!$F$8:$F$68,AI$4-$B160+1)</f>
        <v/>
      </c>
      <c r="AJ160" s="56">
        <f>$C160*INDEX(Curves!$F$8:$F$68,AJ$4-$B160+1)</f>
        <v/>
      </c>
      <c r="AK160" s="56">
        <f>$C160*INDEX(Curves!$F$8:$F$68,AK$4-$B160+1)</f>
        <v/>
      </c>
      <c r="AL160" s="56">
        <f>$C160*INDEX(Curves!$F$8:$F$68,AL$4-$B160+1)</f>
        <v/>
      </c>
      <c r="AM160" s="56">
        <f>$C160*INDEX(Curves!$F$8:$F$68,AM$4-$B160+1)</f>
        <v/>
      </c>
      <c r="AN160" s="56">
        <f>$C160*INDEX(Curves!$F$8:$F$68,AN$4-$B160+1)</f>
        <v/>
      </c>
      <c r="AO160" s="56">
        <f>$C160*INDEX(Curves!$F$8:$F$68,AO$4-$B160+1)</f>
        <v/>
      </c>
      <c r="AP160" s="56">
        <f>$C160*INDEX(Curves!$F$8:$F$68,AP$4-$B160+1)</f>
        <v/>
      </c>
      <c r="AQ160" s="56">
        <f>$C160*INDEX(Curves!$F$8:$F$68,AQ$4-$B160+1)</f>
        <v/>
      </c>
      <c r="AR160" s="56">
        <f>$C160*INDEX(Curves!$F$8:$F$68,AR$4-$B160+1)</f>
        <v/>
      </c>
      <c r="AS160" s="56">
        <f>$C160*INDEX(Curves!$F$8:$F$68,AS$4-$B160+1)</f>
        <v/>
      </c>
      <c r="AT160" s="56">
        <f>$C160*INDEX(Curves!$F$8:$F$68,AT$4-$B160+1)</f>
        <v/>
      </c>
      <c r="AU160" s="56">
        <f>$C160*INDEX(Curves!$F$8:$F$68,AU$4-$B160+1)</f>
        <v/>
      </c>
      <c r="AV160" s="56">
        <f>$C160*INDEX(Curves!$F$8:$F$68,AV$4-$B160+1)</f>
        <v/>
      </c>
      <c r="AW160" s="56">
        <f>$C160*INDEX(Curves!$F$8:$F$68,AW$4-$B160+1)</f>
        <v/>
      </c>
      <c r="AX160" s="56">
        <f>$C160*INDEX(Curves!$F$8:$F$68,AX$4-$B160+1)</f>
        <v/>
      </c>
      <c r="AY160" s="56">
        <f>$C160*INDEX(Curves!$F$8:$F$68,AY$4-$B160+1)</f>
        <v/>
      </c>
      <c r="AZ160" s="56">
        <f>$C160*INDEX(Curves!$F$8:$F$68,AZ$4-$B160+1)</f>
        <v/>
      </c>
      <c r="BA160" s="56">
        <f>$C160*INDEX(Curves!$F$8:$F$68,BA$4-$B160+1)</f>
        <v/>
      </c>
      <c r="BB160" s="56">
        <f>$C160*INDEX(Curves!$F$8:$F$68,BB$4-$B160+1)</f>
        <v/>
      </c>
      <c r="BC160" s="56">
        <f>$C160*INDEX(Curves!$F$8:$F$68,BC$4-$B160+1)</f>
        <v/>
      </c>
      <c r="BD160" s="56">
        <f>$C160*INDEX(Curves!$F$8:$F$68,BD$4-$B160+1)</f>
        <v/>
      </c>
      <c r="BE160" s="56">
        <f>$C160*INDEX(Curves!$F$8:$F$68,BE$4-$B160+1)</f>
        <v/>
      </c>
      <c r="BF160" s="56">
        <f>$C160*INDEX(Curves!$F$8:$F$68,BF$4-$B160+1)</f>
        <v/>
      </c>
      <c r="BG160" s="56">
        <f>$C160*INDEX(Curves!$F$8:$F$68,BG$4-$B160+1)</f>
        <v/>
      </c>
      <c r="BH160" s="56">
        <f>$C160*INDEX(Curves!$F$8:$F$68,BH$4-$B160+1)</f>
        <v/>
      </c>
      <c r="BI160" s="56">
        <f>$C160*INDEX(Curves!$F$8:$F$68,BI$4-$B160+1)</f>
        <v/>
      </c>
      <c r="BJ160" s="56">
        <f>$C160*INDEX(Curves!$F$8:$F$68,BJ$4-$B160+1)</f>
        <v/>
      </c>
      <c r="BK160" s="56">
        <f>$C160*INDEX(Curves!$F$8:$F$68,BK$4-$B160+1)</f>
        <v/>
      </c>
      <c r="BL160" s="56">
        <f>$C160*INDEX(Curves!$F$8:$F$68,BL$4-$B160+1)</f>
        <v/>
      </c>
    </row>
    <row r="161">
      <c r="A161" s="55" t="inlineStr">
        <is>
          <t>Cohort month 26</t>
        </is>
      </c>
      <c r="B161" s="55" t="n">
        <v>26</v>
      </c>
      <c r="C161" s="46">
        <f>INDEX(Ops!$E$10:$BL$10,1,$B161)</f>
        <v/>
      </c>
      <c r="AE161" s="56">
        <f>$C161*INDEX(Curves!$F$8:$F$68,AE$4-$B161+1)</f>
        <v/>
      </c>
      <c r="AF161" s="56">
        <f>$C161*INDEX(Curves!$F$8:$F$68,AF$4-$B161+1)</f>
        <v/>
      </c>
      <c r="AG161" s="56">
        <f>$C161*INDEX(Curves!$F$8:$F$68,AG$4-$B161+1)</f>
        <v/>
      </c>
      <c r="AH161" s="56">
        <f>$C161*INDEX(Curves!$F$8:$F$68,AH$4-$B161+1)</f>
        <v/>
      </c>
      <c r="AI161" s="56">
        <f>$C161*INDEX(Curves!$F$8:$F$68,AI$4-$B161+1)</f>
        <v/>
      </c>
      <c r="AJ161" s="56">
        <f>$C161*INDEX(Curves!$F$8:$F$68,AJ$4-$B161+1)</f>
        <v/>
      </c>
      <c r="AK161" s="56">
        <f>$C161*INDEX(Curves!$F$8:$F$68,AK$4-$B161+1)</f>
        <v/>
      </c>
      <c r="AL161" s="56">
        <f>$C161*INDEX(Curves!$F$8:$F$68,AL$4-$B161+1)</f>
        <v/>
      </c>
      <c r="AM161" s="56">
        <f>$C161*INDEX(Curves!$F$8:$F$68,AM$4-$B161+1)</f>
        <v/>
      </c>
      <c r="AN161" s="56">
        <f>$C161*INDEX(Curves!$F$8:$F$68,AN$4-$B161+1)</f>
        <v/>
      </c>
      <c r="AO161" s="56">
        <f>$C161*INDEX(Curves!$F$8:$F$68,AO$4-$B161+1)</f>
        <v/>
      </c>
      <c r="AP161" s="56">
        <f>$C161*INDEX(Curves!$F$8:$F$68,AP$4-$B161+1)</f>
        <v/>
      </c>
      <c r="AQ161" s="56">
        <f>$C161*INDEX(Curves!$F$8:$F$68,AQ$4-$B161+1)</f>
        <v/>
      </c>
      <c r="AR161" s="56">
        <f>$C161*INDEX(Curves!$F$8:$F$68,AR$4-$B161+1)</f>
        <v/>
      </c>
      <c r="AS161" s="56">
        <f>$C161*INDEX(Curves!$F$8:$F$68,AS$4-$B161+1)</f>
        <v/>
      </c>
      <c r="AT161" s="56">
        <f>$C161*INDEX(Curves!$F$8:$F$68,AT$4-$B161+1)</f>
        <v/>
      </c>
      <c r="AU161" s="56">
        <f>$C161*INDEX(Curves!$F$8:$F$68,AU$4-$B161+1)</f>
        <v/>
      </c>
      <c r="AV161" s="56">
        <f>$C161*INDEX(Curves!$F$8:$F$68,AV$4-$B161+1)</f>
        <v/>
      </c>
      <c r="AW161" s="56">
        <f>$C161*INDEX(Curves!$F$8:$F$68,AW$4-$B161+1)</f>
        <v/>
      </c>
      <c r="AX161" s="56">
        <f>$C161*INDEX(Curves!$F$8:$F$68,AX$4-$B161+1)</f>
        <v/>
      </c>
      <c r="AY161" s="56">
        <f>$C161*INDEX(Curves!$F$8:$F$68,AY$4-$B161+1)</f>
        <v/>
      </c>
      <c r="AZ161" s="56">
        <f>$C161*INDEX(Curves!$F$8:$F$68,AZ$4-$B161+1)</f>
        <v/>
      </c>
      <c r="BA161" s="56">
        <f>$C161*INDEX(Curves!$F$8:$F$68,BA$4-$B161+1)</f>
        <v/>
      </c>
      <c r="BB161" s="56">
        <f>$C161*INDEX(Curves!$F$8:$F$68,BB$4-$B161+1)</f>
        <v/>
      </c>
      <c r="BC161" s="56">
        <f>$C161*INDEX(Curves!$F$8:$F$68,BC$4-$B161+1)</f>
        <v/>
      </c>
      <c r="BD161" s="56">
        <f>$C161*INDEX(Curves!$F$8:$F$68,BD$4-$B161+1)</f>
        <v/>
      </c>
      <c r="BE161" s="56">
        <f>$C161*INDEX(Curves!$F$8:$F$68,BE$4-$B161+1)</f>
        <v/>
      </c>
      <c r="BF161" s="56">
        <f>$C161*INDEX(Curves!$F$8:$F$68,BF$4-$B161+1)</f>
        <v/>
      </c>
      <c r="BG161" s="56">
        <f>$C161*INDEX(Curves!$F$8:$F$68,BG$4-$B161+1)</f>
        <v/>
      </c>
      <c r="BH161" s="56">
        <f>$C161*INDEX(Curves!$F$8:$F$68,BH$4-$B161+1)</f>
        <v/>
      </c>
      <c r="BI161" s="56">
        <f>$C161*INDEX(Curves!$F$8:$F$68,BI$4-$B161+1)</f>
        <v/>
      </c>
      <c r="BJ161" s="56">
        <f>$C161*INDEX(Curves!$F$8:$F$68,BJ$4-$B161+1)</f>
        <v/>
      </c>
      <c r="BK161" s="56">
        <f>$C161*INDEX(Curves!$F$8:$F$68,BK$4-$B161+1)</f>
        <v/>
      </c>
      <c r="BL161" s="56">
        <f>$C161*INDEX(Curves!$F$8:$F$68,BL$4-$B161+1)</f>
        <v/>
      </c>
    </row>
    <row r="162">
      <c r="A162" s="55" t="inlineStr">
        <is>
          <t>Cohort month 27</t>
        </is>
      </c>
      <c r="B162" s="55" t="n">
        <v>27</v>
      </c>
      <c r="C162" s="46">
        <f>INDEX(Ops!$E$10:$BL$10,1,$B162)</f>
        <v/>
      </c>
      <c r="AF162" s="56">
        <f>$C162*INDEX(Curves!$F$8:$F$68,AF$4-$B162+1)</f>
        <v/>
      </c>
      <c r="AG162" s="56">
        <f>$C162*INDEX(Curves!$F$8:$F$68,AG$4-$B162+1)</f>
        <v/>
      </c>
      <c r="AH162" s="56">
        <f>$C162*INDEX(Curves!$F$8:$F$68,AH$4-$B162+1)</f>
        <v/>
      </c>
      <c r="AI162" s="56">
        <f>$C162*INDEX(Curves!$F$8:$F$68,AI$4-$B162+1)</f>
        <v/>
      </c>
      <c r="AJ162" s="56">
        <f>$C162*INDEX(Curves!$F$8:$F$68,AJ$4-$B162+1)</f>
        <v/>
      </c>
      <c r="AK162" s="56">
        <f>$C162*INDEX(Curves!$F$8:$F$68,AK$4-$B162+1)</f>
        <v/>
      </c>
      <c r="AL162" s="56">
        <f>$C162*INDEX(Curves!$F$8:$F$68,AL$4-$B162+1)</f>
        <v/>
      </c>
      <c r="AM162" s="56">
        <f>$C162*INDEX(Curves!$F$8:$F$68,AM$4-$B162+1)</f>
        <v/>
      </c>
      <c r="AN162" s="56">
        <f>$C162*INDEX(Curves!$F$8:$F$68,AN$4-$B162+1)</f>
        <v/>
      </c>
      <c r="AO162" s="56">
        <f>$C162*INDEX(Curves!$F$8:$F$68,AO$4-$B162+1)</f>
        <v/>
      </c>
      <c r="AP162" s="56">
        <f>$C162*INDEX(Curves!$F$8:$F$68,AP$4-$B162+1)</f>
        <v/>
      </c>
      <c r="AQ162" s="56">
        <f>$C162*INDEX(Curves!$F$8:$F$68,AQ$4-$B162+1)</f>
        <v/>
      </c>
      <c r="AR162" s="56">
        <f>$C162*INDEX(Curves!$F$8:$F$68,AR$4-$B162+1)</f>
        <v/>
      </c>
      <c r="AS162" s="56">
        <f>$C162*INDEX(Curves!$F$8:$F$68,AS$4-$B162+1)</f>
        <v/>
      </c>
      <c r="AT162" s="56">
        <f>$C162*INDEX(Curves!$F$8:$F$68,AT$4-$B162+1)</f>
        <v/>
      </c>
      <c r="AU162" s="56">
        <f>$C162*INDEX(Curves!$F$8:$F$68,AU$4-$B162+1)</f>
        <v/>
      </c>
      <c r="AV162" s="56">
        <f>$C162*INDEX(Curves!$F$8:$F$68,AV$4-$B162+1)</f>
        <v/>
      </c>
      <c r="AW162" s="56">
        <f>$C162*INDEX(Curves!$F$8:$F$68,AW$4-$B162+1)</f>
        <v/>
      </c>
      <c r="AX162" s="56">
        <f>$C162*INDEX(Curves!$F$8:$F$68,AX$4-$B162+1)</f>
        <v/>
      </c>
      <c r="AY162" s="56">
        <f>$C162*INDEX(Curves!$F$8:$F$68,AY$4-$B162+1)</f>
        <v/>
      </c>
      <c r="AZ162" s="56">
        <f>$C162*INDEX(Curves!$F$8:$F$68,AZ$4-$B162+1)</f>
        <v/>
      </c>
      <c r="BA162" s="56">
        <f>$C162*INDEX(Curves!$F$8:$F$68,BA$4-$B162+1)</f>
        <v/>
      </c>
      <c r="BB162" s="56">
        <f>$C162*INDEX(Curves!$F$8:$F$68,BB$4-$B162+1)</f>
        <v/>
      </c>
      <c r="BC162" s="56">
        <f>$C162*INDEX(Curves!$F$8:$F$68,BC$4-$B162+1)</f>
        <v/>
      </c>
      <c r="BD162" s="56">
        <f>$C162*INDEX(Curves!$F$8:$F$68,BD$4-$B162+1)</f>
        <v/>
      </c>
      <c r="BE162" s="56">
        <f>$C162*INDEX(Curves!$F$8:$F$68,BE$4-$B162+1)</f>
        <v/>
      </c>
      <c r="BF162" s="56">
        <f>$C162*INDEX(Curves!$F$8:$F$68,BF$4-$B162+1)</f>
        <v/>
      </c>
      <c r="BG162" s="56">
        <f>$C162*INDEX(Curves!$F$8:$F$68,BG$4-$B162+1)</f>
        <v/>
      </c>
      <c r="BH162" s="56">
        <f>$C162*INDEX(Curves!$F$8:$F$68,BH$4-$B162+1)</f>
        <v/>
      </c>
      <c r="BI162" s="56">
        <f>$C162*INDEX(Curves!$F$8:$F$68,BI$4-$B162+1)</f>
        <v/>
      </c>
      <c r="BJ162" s="56">
        <f>$C162*INDEX(Curves!$F$8:$F$68,BJ$4-$B162+1)</f>
        <v/>
      </c>
      <c r="BK162" s="56">
        <f>$C162*INDEX(Curves!$F$8:$F$68,BK$4-$B162+1)</f>
        <v/>
      </c>
      <c r="BL162" s="56">
        <f>$C162*INDEX(Curves!$F$8:$F$68,BL$4-$B162+1)</f>
        <v/>
      </c>
    </row>
    <row r="163">
      <c r="A163" s="55" t="inlineStr">
        <is>
          <t>Cohort month 28</t>
        </is>
      </c>
      <c r="B163" s="55" t="n">
        <v>28</v>
      </c>
      <c r="C163" s="46">
        <f>INDEX(Ops!$E$10:$BL$10,1,$B163)</f>
        <v/>
      </c>
      <c r="AG163" s="56">
        <f>$C163*INDEX(Curves!$F$8:$F$68,AG$4-$B163+1)</f>
        <v/>
      </c>
      <c r="AH163" s="56">
        <f>$C163*INDEX(Curves!$F$8:$F$68,AH$4-$B163+1)</f>
        <v/>
      </c>
      <c r="AI163" s="56">
        <f>$C163*INDEX(Curves!$F$8:$F$68,AI$4-$B163+1)</f>
        <v/>
      </c>
      <c r="AJ163" s="56">
        <f>$C163*INDEX(Curves!$F$8:$F$68,AJ$4-$B163+1)</f>
        <v/>
      </c>
      <c r="AK163" s="56">
        <f>$C163*INDEX(Curves!$F$8:$F$68,AK$4-$B163+1)</f>
        <v/>
      </c>
      <c r="AL163" s="56">
        <f>$C163*INDEX(Curves!$F$8:$F$68,AL$4-$B163+1)</f>
        <v/>
      </c>
      <c r="AM163" s="56">
        <f>$C163*INDEX(Curves!$F$8:$F$68,AM$4-$B163+1)</f>
        <v/>
      </c>
      <c r="AN163" s="56">
        <f>$C163*INDEX(Curves!$F$8:$F$68,AN$4-$B163+1)</f>
        <v/>
      </c>
      <c r="AO163" s="56">
        <f>$C163*INDEX(Curves!$F$8:$F$68,AO$4-$B163+1)</f>
        <v/>
      </c>
      <c r="AP163" s="56">
        <f>$C163*INDEX(Curves!$F$8:$F$68,AP$4-$B163+1)</f>
        <v/>
      </c>
      <c r="AQ163" s="56">
        <f>$C163*INDEX(Curves!$F$8:$F$68,AQ$4-$B163+1)</f>
        <v/>
      </c>
      <c r="AR163" s="56">
        <f>$C163*INDEX(Curves!$F$8:$F$68,AR$4-$B163+1)</f>
        <v/>
      </c>
      <c r="AS163" s="56">
        <f>$C163*INDEX(Curves!$F$8:$F$68,AS$4-$B163+1)</f>
        <v/>
      </c>
      <c r="AT163" s="56">
        <f>$C163*INDEX(Curves!$F$8:$F$68,AT$4-$B163+1)</f>
        <v/>
      </c>
      <c r="AU163" s="56">
        <f>$C163*INDEX(Curves!$F$8:$F$68,AU$4-$B163+1)</f>
        <v/>
      </c>
      <c r="AV163" s="56">
        <f>$C163*INDEX(Curves!$F$8:$F$68,AV$4-$B163+1)</f>
        <v/>
      </c>
      <c r="AW163" s="56">
        <f>$C163*INDEX(Curves!$F$8:$F$68,AW$4-$B163+1)</f>
        <v/>
      </c>
      <c r="AX163" s="56">
        <f>$C163*INDEX(Curves!$F$8:$F$68,AX$4-$B163+1)</f>
        <v/>
      </c>
      <c r="AY163" s="56">
        <f>$C163*INDEX(Curves!$F$8:$F$68,AY$4-$B163+1)</f>
        <v/>
      </c>
      <c r="AZ163" s="56">
        <f>$C163*INDEX(Curves!$F$8:$F$68,AZ$4-$B163+1)</f>
        <v/>
      </c>
      <c r="BA163" s="56">
        <f>$C163*INDEX(Curves!$F$8:$F$68,BA$4-$B163+1)</f>
        <v/>
      </c>
      <c r="BB163" s="56">
        <f>$C163*INDEX(Curves!$F$8:$F$68,BB$4-$B163+1)</f>
        <v/>
      </c>
      <c r="BC163" s="56">
        <f>$C163*INDEX(Curves!$F$8:$F$68,BC$4-$B163+1)</f>
        <v/>
      </c>
      <c r="BD163" s="56">
        <f>$C163*INDEX(Curves!$F$8:$F$68,BD$4-$B163+1)</f>
        <v/>
      </c>
      <c r="BE163" s="56">
        <f>$C163*INDEX(Curves!$F$8:$F$68,BE$4-$B163+1)</f>
        <v/>
      </c>
      <c r="BF163" s="56">
        <f>$C163*INDEX(Curves!$F$8:$F$68,BF$4-$B163+1)</f>
        <v/>
      </c>
      <c r="BG163" s="56">
        <f>$C163*INDEX(Curves!$F$8:$F$68,BG$4-$B163+1)</f>
        <v/>
      </c>
      <c r="BH163" s="56">
        <f>$C163*INDEX(Curves!$F$8:$F$68,BH$4-$B163+1)</f>
        <v/>
      </c>
      <c r="BI163" s="56">
        <f>$C163*INDEX(Curves!$F$8:$F$68,BI$4-$B163+1)</f>
        <v/>
      </c>
      <c r="BJ163" s="56">
        <f>$C163*INDEX(Curves!$F$8:$F$68,BJ$4-$B163+1)</f>
        <v/>
      </c>
      <c r="BK163" s="56">
        <f>$C163*INDEX(Curves!$F$8:$F$68,BK$4-$B163+1)</f>
        <v/>
      </c>
      <c r="BL163" s="56">
        <f>$C163*INDEX(Curves!$F$8:$F$68,BL$4-$B163+1)</f>
        <v/>
      </c>
    </row>
    <row r="164">
      <c r="A164" s="55" t="inlineStr">
        <is>
          <t>Cohort month 29</t>
        </is>
      </c>
      <c r="B164" s="55" t="n">
        <v>29</v>
      </c>
      <c r="C164" s="46">
        <f>INDEX(Ops!$E$10:$BL$10,1,$B164)</f>
        <v/>
      </c>
      <c r="AH164" s="56">
        <f>$C164*INDEX(Curves!$F$8:$F$68,AH$4-$B164+1)</f>
        <v/>
      </c>
      <c r="AI164" s="56">
        <f>$C164*INDEX(Curves!$F$8:$F$68,AI$4-$B164+1)</f>
        <v/>
      </c>
      <c r="AJ164" s="56">
        <f>$C164*INDEX(Curves!$F$8:$F$68,AJ$4-$B164+1)</f>
        <v/>
      </c>
      <c r="AK164" s="56">
        <f>$C164*INDEX(Curves!$F$8:$F$68,AK$4-$B164+1)</f>
        <v/>
      </c>
      <c r="AL164" s="56">
        <f>$C164*INDEX(Curves!$F$8:$F$68,AL$4-$B164+1)</f>
        <v/>
      </c>
      <c r="AM164" s="56">
        <f>$C164*INDEX(Curves!$F$8:$F$68,AM$4-$B164+1)</f>
        <v/>
      </c>
      <c r="AN164" s="56">
        <f>$C164*INDEX(Curves!$F$8:$F$68,AN$4-$B164+1)</f>
        <v/>
      </c>
      <c r="AO164" s="56">
        <f>$C164*INDEX(Curves!$F$8:$F$68,AO$4-$B164+1)</f>
        <v/>
      </c>
      <c r="AP164" s="56">
        <f>$C164*INDEX(Curves!$F$8:$F$68,AP$4-$B164+1)</f>
        <v/>
      </c>
      <c r="AQ164" s="56">
        <f>$C164*INDEX(Curves!$F$8:$F$68,AQ$4-$B164+1)</f>
        <v/>
      </c>
      <c r="AR164" s="56">
        <f>$C164*INDEX(Curves!$F$8:$F$68,AR$4-$B164+1)</f>
        <v/>
      </c>
      <c r="AS164" s="56">
        <f>$C164*INDEX(Curves!$F$8:$F$68,AS$4-$B164+1)</f>
        <v/>
      </c>
      <c r="AT164" s="56">
        <f>$C164*INDEX(Curves!$F$8:$F$68,AT$4-$B164+1)</f>
        <v/>
      </c>
      <c r="AU164" s="56">
        <f>$C164*INDEX(Curves!$F$8:$F$68,AU$4-$B164+1)</f>
        <v/>
      </c>
      <c r="AV164" s="56">
        <f>$C164*INDEX(Curves!$F$8:$F$68,AV$4-$B164+1)</f>
        <v/>
      </c>
      <c r="AW164" s="56">
        <f>$C164*INDEX(Curves!$F$8:$F$68,AW$4-$B164+1)</f>
        <v/>
      </c>
      <c r="AX164" s="56">
        <f>$C164*INDEX(Curves!$F$8:$F$68,AX$4-$B164+1)</f>
        <v/>
      </c>
      <c r="AY164" s="56">
        <f>$C164*INDEX(Curves!$F$8:$F$68,AY$4-$B164+1)</f>
        <v/>
      </c>
      <c r="AZ164" s="56">
        <f>$C164*INDEX(Curves!$F$8:$F$68,AZ$4-$B164+1)</f>
        <v/>
      </c>
      <c r="BA164" s="56">
        <f>$C164*INDEX(Curves!$F$8:$F$68,BA$4-$B164+1)</f>
        <v/>
      </c>
      <c r="BB164" s="56">
        <f>$C164*INDEX(Curves!$F$8:$F$68,BB$4-$B164+1)</f>
        <v/>
      </c>
      <c r="BC164" s="56">
        <f>$C164*INDEX(Curves!$F$8:$F$68,BC$4-$B164+1)</f>
        <v/>
      </c>
      <c r="BD164" s="56">
        <f>$C164*INDEX(Curves!$F$8:$F$68,BD$4-$B164+1)</f>
        <v/>
      </c>
      <c r="BE164" s="56">
        <f>$C164*INDEX(Curves!$F$8:$F$68,BE$4-$B164+1)</f>
        <v/>
      </c>
      <c r="BF164" s="56">
        <f>$C164*INDEX(Curves!$F$8:$F$68,BF$4-$B164+1)</f>
        <v/>
      </c>
      <c r="BG164" s="56">
        <f>$C164*INDEX(Curves!$F$8:$F$68,BG$4-$B164+1)</f>
        <v/>
      </c>
      <c r="BH164" s="56">
        <f>$C164*INDEX(Curves!$F$8:$F$68,BH$4-$B164+1)</f>
        <v/>
      </c>
      <c r="BI164" s="56">
        <f>$C164*INDEX(Curves!$F$8:$F$68,BI$4-$B164+1)</f>
        <v/>
      </c>
      <c r="BJ164" s="56">
        <f>$C164*INDEX(Curves!$F$8:$F$68,BJ$4-$B164+1)</f>
        <v/>
      </c>
      <c r="BK164" s="56">
        <f>$C164*INDEX(Curves!$F$8:$F$68,BK$4-$B164+1)</f>
        <v/>
      </c>
      <c r="BL164" s="56">
        <f>$C164*INDEX(Curves!$F$8:$F$68,BL$4-$B164+1)</f>
        <v/>
      </c>
    </row>
    <row r="165">
      <c r="A165" s="55" t="inlineStr">
        <is>
          <t>Cohort month 30</t>
        </is>
      </c>
      <c r="B165" s="55" t="n">
        <v>30</v>
      </c>
      <c r="C165" s="46">
        <f>INDEX(Ops!$E$10:$BL$10,1,$B165)</f>
        <v/>
      </c>
      <c r="AI165" s="56">
        <f>$C165*INDEX(Curves!$F$8:$F$68,AI$4-$B165+1)</f>
        <v/>
      </c>
      <c r="AJ165" s="56">
        <f>$C165*INDEX(Curves!$F$8:$F$68,AJ$4-$B165+1)</f>
        <v/>
      </c>
      <c r="AK165" s="56">
        <f>$C165*INDEX(Curves!$F$8:$F$68,AK$4-$B165+1)</f>
        <v/>
      </c>
      <c r="AL165" s="56">
        <f>$C165*INDEX(Curves!$F$8:$F$68,AL$4-$B165+1)</f>
        <v/>
      </c>
      <c r="AM165" s="56">
        <f>$C165*INDEX(Curves!$F$8:$F$68,AM$4-$B165+1)</f>
        <v/>
      </c>
      <c r="AN165" s="56">
        <f>$C165*INDEX(Curves!$F$8:$F$68,AN$4-$B165+1)</f>
        <v/>
      </c>
      <c r="AO165" s="56">
        <f>$C165*INDEX(Curves!$F$8:$F$68,AO$4-$B165+1)</f>
        <v/>
      </c>
      <c r="AP165" s="56">
        <f>$C165*INDEX(Curves!$F$8:$F$68,AP$4-$B165+1)</f>
        <v/>
      </c>
      <c r="AQ165" s="56">
        <f>$C165*INDEX(Curves!$F$8:$F$68,AQ$4-$B165+1)</f>
        <v/>
      </c>
      <c r="AR165" s="56">
        <f>$C165*INDEX(Curves!$F$8:$F$68,AR$4-$B165+1)</f>
        <v/>
      </c>
      <c r="AS165" s="56">
        <f>$C165*INDEX(Curves!$F$8:$F$68,AS$4-$B165+1)</f>
        <v/>
      </c>
      <c r="AT165" s="56">
        <f>$C165*INDEX(Curves!$F$8:$F$68,AT$4-$B165+1)</f>
        <v/>
      </c>
      <c r="AU165" s="56">
        <f>$C165*INDEX(Curves!$F$8:$F$68,AU$4-$B165+1)</f>
        <v/>
      </c>
      <c r="AV165" s="56">
        <f>$C165*INDEX(Curves!$F$8:$F$68,AV$4-$B165+1)</f>
        <v/>
      </c>
      <c r="AW165" s="56">
        <f>$C165*INDEX(Curves!$F$8:$F$68,AW$4-$B165+1)</f>
        <v/>
      </c>
      <c r="AX165" s="56">
        <f>$C165*INDEX(Curves!$F$8:$F$68,AX$4-$B165+1)</f>
        <v/>
      </c>
      <c r="AY165" s="56">
        <f>$C165*INDEX(Curves!$F$8:$F$68,AY$4-$B165+1)</f>
        <v/>
      </c>
      <c r="AZ165" s="56">
        <f>$C165*INDEX(Curves!$F$8:$F$68,AZ$4-$B165+1)</f>
        <v/>
      </c>
      <c r="BA165" s="56">
        <f>$C165*INDEX(Curves!$F$8:$F$68,BA$4-$B165+1)</f>
        <v/>
      </c>
      <c r="BB165" s="56">
        <f>$C165*INDEX(Curves!$F$8:$F$68,BB$4-$B165+1)</f>
        <v/>
      </c>
      <c r="BC165" s="56">
        <f>$C165*INDEX(Curves!$F$8:$F$68,BC$4-$B165+1)</f>
        <v/>
      </c>
      <c r="BD165" s="56">
        <f>$C165*INDEX(Curves!$F$8:$F$68,BD$4-$B165+1)</f>
        <v/>
      </c>
      <c r="BE165" s="56">
        <f>$C165*INDEX(Curves!$F$8:$F$68,BE$4-$B165+1)</f>
        <v/>
      </c>
      <c r="BF165" s="56">
        <f>$C165*INDEX(Curves!$F$8:$F$68,BF$4-$B165+1)</f>
        <v/>
      </c>
      <c r="BG165" s="56">
        <f>$C165*INDEX(Curves!$F$8:$F$68,BG$4-$B165+1)</f>
        <v/>
      </c>
      <c r="BH165" s="56">
        <f>$C165*INDEX(Curves!$F$8:$F$68,BH$4-$B165+1)</f>
        <v/>
      </c>
      <c r="BI165" s="56">
        <f>$C165*INDEX(Curves!$F$8:$F$68,BI$4-$B165+1)</f>
        <v/>
      </c>
      <c r="BJ165" s="56">
        <f>$C165*INDEX(Curves!$F$8:$F$68,BJ$4-$B165+1)</f>
        <v/>
      </c>
      <c r="BK165" s="56">
        <f>$C165*INDEX(Curves!$F$8:$F$68,BK$4-$B165+1)</f>
        <v/>
      </c>
      <c r="BL165" s="56">
        <f>$C165*INDEX(Curves!$F$8:$F$68,BL$4-$B165+1)</f>
        <v/>
      </c>
    </row>
    <row r="166">
      <c r="A166" s="55" t="inlineStr">
        <is>
          <t>Cohort month 31</t>
        </is>
      </c>
      <c r="B166" s="55" t="n">
        <v>31</v>
      </c>
      <c r="C166" s="46">
        <f>INDEX(Ops!$E$10:$BL$10,1,$B166)</f>
        <v/>
      </c>
      <c r="AJ166" s="56">
        <f>$C166*INDEX(Curves!$F$8:$F$68,AJ$4-$B166+1)</f>
        <v/>
      </c>
      <c r="AK166" s="56">
        <f>$C166*INDEX(Curves!$F$8:$F$68,AK$4-$B166+1)</f>
        <v/>
      </c>
      <c r="AL166" s="56">
        <f>$C166*INDEX(Curves!$F$8:$F$68,AL$4-$B166+1)</f>
        <v/>
      </c>
      <c r="AM166" s="56">
        <f>$C166*INDEX(Curves!$F$8:$F$68,AM$4-$B166+1)</f>
        <v/>
      </c>
      <c r="AN166" s="56">
        <f>$C166*INDEX(Curves!$F$8:$F$68,AN$4-$B166+1)</f>
        <v/>
      </c>
      <c r="AO166" s="56">
        <f>$C166*INDEX(Curves!$F$8:$F$68,AO$4-$B166+1)</f>
        <v/>
      </c>
      <c r="AP166" s="56">
        <f>$C166*INDEX(Curves!$F$8:$F$68,AP$4-$B166+1)</f>
        <v/>
      </c>
      <c r="AQ166" s="56">
        <f>$C166*INDEX(Curves!$F$8:$F$68,AQ$4-$B166+1)</f>
        <v/>
      </c>
      <c r="AR166" s="56">
        <f>$C166*INDEX(Curves!$F$8:$F$68,AR$4-$B166+1)</f>
        <v/>
      </c>
      <c r="AS166" s="56">
        <f>$C166*INDEX(Curves!$F$8:$F$68,AS$4-$B166+1)</f>
        <v/>
      </c>
      <c r="AT166" s="56">
        <f>$C166*INDEX(Curves!$F$8:$F$68,AT$4-$B166+1)</f>
        <v/>
      </c>
      <c r="AU166" s="56">
        <f>$C166*INDEX(Curves!$F$8:$F$68,AU$4-$B166+1)</f>
        <v/>
      </c>
      <c r="AV166" s="56">
        <f>$C166*INDEX(Curves!$F$8:$F$68,AV$4-$B166+1)</f>
        <v/>
      </c>
      <c r="AW166" s="56">
        <f>$C166*INDEX(Curves!$F$8:$F$68,AW$4-$B166+1)</f>
        <v/>
      </c>
      <c r="AX166" s="56">
        <f>$C166*INDEX(Curves!$F$8:$F$68,AX$4-$B166+1)</f>
        <v/>
      </c>
      <c r="AY166" s="56">
        <f>$C166*INDEX(Curves!$F$8:$F$68,AY$4-$B166+1)</f>
        <v/>
      </c>
      <c r="AZ166" s="56">
        <f>$C166*INDEX(Curves!$F$8:$F$68,AZ$4-$B166+1)</f>
        <v/>
      </c>
      <c r="BA166" s="56">
        <f>$C166*INDEX(Curves!$F$8:$F$68,BA$4-$B166+1)</f>
        <v/>
      </c>
      <c r="BB166" s="56">
        <f>$C166*INDEX(Curves!$F$8:$F$68,BB$4-$B166+1)</f>
        <v/>
      </c>
      <c r="BC166" s="56">
        <f>$C166*INDEX(Curves!$F$8:$F$68,BC$4-$B166+1)</f>
        <v/>
      </c>
      <c r="BD166" s="56">
        <f>$C166*INDEX(Curves!$F$8:$F$68,BD$4-$B166+1)</f>
        <v/>
      </c>
      <c r="BE166" s="56">
        <f>$C166*INDEX(Curves!$F$8:$F$68,BE$4-$B166+1)</f>
        <v/>
      </c>
      <c r="BF166" s="56">
        <f>$C166*INDEX(Curves!$F$8:$F$68,BF$4-$B166+1)</f>
        <v/>
      </c>
      <c r="BG166" s="56">
        <f>$C166*INDEX(Curves!$F$8:$F$68,BG$4-$B166+1)</f>
        <v/>
      </c>
      <c r="BH166" s="56">
        <f>$C166*INDEX(Curves!$F$8:$F$68,BH$4-$B166+1)</f>
        <v/>
      </c>
      <c r="BI166" s="56">
        <f>$C166*INDEX(Curves!$F$8:$F$68,BI$4-$B166+1)</f>
        <v/>
      </c>
      <c r="BJ166" s="56">
        <f>$C166*INDEX(Curves!$F$8:$F$68,BJ$4-$B166+1)</f>
        <v/>
      </c>
      <c r="BK166" s="56">
        <f>$C166*INDEX(Curves!$F$8:$F$68,BK$4-$B166+1)</f>
        <v/>
      </c>
      <c r="BL166" s="56">
        <f>$C166*INDEX(Curves!$F$8:$F$68,BL$4-$B166+1)</f>
        <v/>
      </c>
    </row>
    <row r="167">
      <c r="A167" s="55" t="inlineStr">
        <is>
          <t>Cohort month 32</t>
        </is>
      </c>
      <c r="B167" s="55" t="n">
        <v>32</v>
      </c>
      <c r="C167" s="46">
        <f>INDEX(Ops!$E$10:$BL$10,1,$B167)</f>
        <v/>
      </c>
      <c r="AK167" s="56">
        <f>$C167*INDEX(Curves!$F$8:$F$68,AK$4-$B167+1)</f>
        <v/>
      </c>
      <c r="AL167" s="56">
        <f>$C167*INDEX(Curves!$F$8:$F$68,AL$4-$B167+1)</f>
        <v/>
      </c>
      <c r="AM167" s="56">
        <f>$C167*INDEX(Curves!$F$8:$F$68,AM$4-$B167+1)</f>
        <v/>
      </c>
      <c r="AN167" s="56">
        <f>$C167*INDEX(Curves!$F$8:$F$68,AN$4-$B167+1)</f>
        <v/>
      </c>
      <c r="AO167" s="56">
        <f>$C167*INDEX(Curves!$F$8:$F$68,AO$4-$B167+1)</f>
        <v/>
      </c>
      <c r="AP167" s="56">
        <f>$C167*INDEX(Curves!$F$8:$F$68,AP$4-$B167+1)</f>
        <v/>
      </c>
      <c r="AQ167" s="56">
        <f>$C167*INDEX(Curves!$F$8:$F$68,AQ$4-$B167+1)</f>
        <v/>
      </c>
      <c r="AR167" s="56">
        <f>$C167*INDEX(Curves!$F$8:$F$68,AR$4-$B167+1)</f>
        <v/>
      </c>
      <c r="AS167" s="56">
        <f>$C167*INDEX(Curves!$F$8:$F$68,AS$4-$B167+1)</f>
        <v/>
      </c>
      <c r="AT167" s="56">
        <f>$C167*INDEX(Curves!$F$8:$F$68,AT$4-$B167+1)</f>
        <v/>
      </c>
      <c r="AU167" s="56">
        <f>$C167*INDEX(Curves!$F$8:$F$68,AU$4-$B167+1)</f>
        <v/>
      </c>
      <c r="AV167" s="56">
        <f>$C167*INDEX(Curves!$F$8:$F$68,AV$4-$B167+1)</f>
        <v/>
      </c>
      <c r="AW167" s="56">
        <f>$C167*INDEX(Curves!$F$8:$F$68,AW$4-$B167+1)</f>
        <v/>
      </c>
      <c r="AX167" s="56">
        <f>$C167*INDEX(Curves!$F$8:$F$68,AX$4-$B167+1)</f>
        <v/>
      </c>
      <c r="AY167" s="56">
        <f>$C167*INDEX(Curves!$F$8:$F$68,AY$4-$B167+1)</f>
        <v/>
      </c>
      <c r="AZ167" s="56">
        <f>$C167*INDEX(Curves!$F$8:$F$68,AZ$4-$B167+1)</f>
        <v/>
      </c>
      <c r="BA167" s="56">
        <f>$C167*INDEX(Curves!$F$8:$F$68,BA$4-$B167+1)</f>
        <v/>
      </c>
      <c r="BB167" s="56">
        <f>$C167*INDEX(Curves!$F$8:$F$68,BB$4-$B167+1)</f>
        <v/>
      </c>
      <c r="BC167" s="56">
        <f>$C167*INDEX(Curves!$F$8:$F$68,BC$4-$B167+1)</f>
        <v/>
      </c>
      <c r="BD167" s="56">
        <f>$C167*INDEX(Curves!$F$8:$F$68,BD$4-$B167+1)</f>
        <v/>
      </c>
      <c r="BE167" s="56">
        <f>$C167*INDEX(Curves!$F$8:$F$68,BE$4-$B167+1)</f>
        <v/>
      </c>
      <c r="BF167" s="56">
        <f>$C167*INDEX(Curves!$F$8:$F$68,BF$4-$B167+1)</f>
        <v/>
      </c>
      <c r="BG167" s="56">
        <f>$C167*INDEX(Curves!$F$8:$F$68,BG$4-$B167+1)</f>
        <v/>
      </c>
      <c r="BH167" s="56">
        <f>$C167*INDEX(Curves!$F$8:$F$68,BH$4-$B167+1)</f>
        <v/>
      </c>
      <c r="BI167" s="56">
        <f>$C167*INDEX(Curves!$F$8:$F$68,BI$4-$B167+1)</f>
        <v/>
      </c>
      <c r="BJ167" s="56">
        <f>$C167*INDEX(Curves!$F$8:$F$68,BJ$4-$B167+1)</f>
        <v/>
      </c>
      <c r="BK167" s="56">
        <f>$C167*INDEX(Curves!$F$8:$F$68,BK$4-$B167+1)</f>
        <v/>
      </c>
      <c r="BL167" s="56">
        <f>$C167*INDEX(Curves!$F$8:$F$68,BL$4-$B167+1)</f>
        <v/>
      </c>
    </row>
    <row r="168">
      <c r="A168" s="55" t="inlineStr">
        <is>
          <t>Cohort month 33</t>
        </is>
      </c>
      <c r="B168" s="55" t="n">
        <v>33</v>
      </c>
      <c r="C168" s="46">
        <f>INDEX(Ops!$E$10:$BL$10,1,$B168)</f>
        <v/>
      </c>
      <c r="AL168" s="56">
        <f>$C168*INDEX(Curves!$F$8:$F$68,AL$4-$B168+1)</f>
        <v/>
      </c>
      <c r="AM168" s="56">
        <f>$C168*INDEX(Curves!$F$8:$F$68,AM$4-$B168+1)</f>
        <v/>
      </c>
      <c r="AN168" s="56">
        <f>$C168*INDEX(Curves!$F$8:$F$68,AN$4-$B168+1)</f>
        <v/>
      </c>
      <c r="AO168" s="56">
        <f>$C168*INDEX(Curves!$F$8:$F$68,AO$4-$B168+1)</f>
        <v/>
      </c>
      <c r="AP168" s="56">
        <f>$C168*INDEX(Curves!$F$8:$F$68,AP$4-$B168+1)</f>
        <v/>
      </c>
      <c r="AQ168" s="56">
        <f>$C168*INDEX(Curves!$F$8:$F$68,AQ$4-$B168+1)</f>
        <v/>
      </c>
      <c r="AR168" s="56">
        <f>$C168*INDEX(Curves!$F$8:$F$68,AR$4-$B168+1)</f>
        <v/>
      </c>
      <c r="AS168" s="56">
        <f>$C168*INDEX(Curves!$F$8:$F$68,AS$4-$B168+1)</f>
        <v/>
      </c>
      <c r="AT168" s="56">
        <f>$C168*INDEX(Curves!$F$8:$F$68,AT$4-$B168+1)</f>
        <v/>
      </c>
      <c r="AU168" s="56">
        <f>$C168*INDEX(Curves!$F$8:$F$68,AU$4-$B168+1)</f>
        <v/>
      </c>
      <c r="AV168" s="56">
        <f>$C168*INDEX(Curves!$F$8:$F$68,AV$4-$B168+1)</f>
        <v/>
      </c>
      <c r="AW168" s="56">
        <f>$C168*INDEX(Curves!$F$8:$F$68,AW$4-$B168+1)</f>
        <v/>
      </c>
      <c r="AX168" s="56">
        <f>$C168*INDEX(Curves!$F$8:$F$68,AX$4-$B168+1)</f>
        <v/>
      </c>
      <c r="AY168" s="56">
        <f>$C168*INDEX(Curves!$F$8:$F$68,AY$4-$B168+1)</f>
        <v/>
      </c>
      <c r="AZ168" s="56">
        <f>$C168*INDEX(Curves!$F$8:$F$68,AZ$4-$B168+1)</f>
        <v/>
      </c>
      <c r="BA168" s="56">
        <f>$C168*INDEX(Curves!$F$8:$F$68,BA$4-$B168+1)</f>
        <v/>
      </c>
      <c r="BB168" s="56">
        <f>$C168*INDEX(Curves!$F$8:$F$68,BB$4-$B168+1)</f>
        <v/>
      </c>
      <c r="BC168" s="56">
        <f>$C168*INDEX(Curves!$F$8:$F$68,BC$4-$B168+1)</f>
        <v/>
      </c>
      <c r="BD168" s="56">
        <f>$C168*INDEX(Curves!$F$8:$F$68,BD$4-$B168+1)</f>
        <v/>
      </c>
      <c r="BE168" s="56">
        <f>$C168*INDEX(Curves!$F$8:$F$68,BE$4-$B168+1)</f>
        <v/>
      </c>
      <c r="BF168" s="56">
        <f>$C168*INDEX(Curves!$F$8:$F$68,BF$4-$B168+1)</f>
        <v/>
      </c>
      <c r="BG168" s="56">
        <f>$C168*INDEX(Curves!$F$8:$F$68,BG$4-$B168+1)</f>
        <v/>
      </c>
      <c r="BH168" s="56">
        <f>$C168*INDEX(Curves!$F$8:$F$68,BH$4-$B168+1)</f>
        <v/>
      </c>
      <c r="BI168" s="56">
        <f>$C168*INDEX(Curves!$F$8:$F$68,BI$4-$B168+1)</f>
        <v/>
      </c>
      <c r="BJ168" s="56">
        <f>$C168*INDEX(Curves!$F$8:$F$68,BJ$4-$B168+1)</f>
        <v/>
      </c>
      <c r="BK168" s="56">
        <f>$C168*INDEX(Curves!$F$8:$F$68,BK$4-$B168+1)</f>
        <v/>
      </c>
      <c r="BL168" s="56">
        <f>$C168*INDEX(Curves!$F$8:$F$68,BL$4-$B168+1)</f>
        <v/>
      </c>
    </row>
    <row r="169">
      <c r="A169" s="55" t="inlineStr">
        <is>
          <t>Cohort month 34</t>
        </is>
      </c>
      <c r="B169" s="55" t="n">
        <v>34</v>
      </c>
      <c r="C169" s="46">
        <f>INDEX(Ops!$E$10:$BL$10,1,$B169)</f>
        <v/>
      </c>
      <c r="AM169" s="56">
        <f>$C169*INDEX(Curves!$F$8:$F$68,AM$4-$B169+1)</f>
        <v/>
      </c>
      <c r="AN169" s="56">
        <f>$C169*INDEX(Curves!$F$8:$F$68,AN$4-$B169+1)</f>
        <v/>
      </c>
      <c r="AO169" s="56">
        <f>$C169*INDEX(Curves!$F$8:$F$68,AO$4-$B169+1)</f>
        <v/>
      </c>
      <c r="AP169" s="56">
        <f>$C169*INDEX(Curves!$F$8:$F$68,AP$4-$B169+1)</f>
        <v/>
      </c>
      <c r="AQ169" s="56">
        <f>$C169*INDEX(Curves!$F$8:$F$68,AQ$4-$B169+1)</f>
        <v/>
      </c>
      <c r="AR169" s="56">
        <f>$C169*INDEX(Curves!$F$8:$F$68,AR$4-$B169+1)</f>
        <v/>
      </c>
      <c r="AS169" s="56">
        <f>$C169*INDEX(Curves!$F$8:$F$68,AS$4-$B169+1)</f>
        <v/>
      </c>
      <c r="AT169" s="56">
        <f>$C169*INDEX(Curves!$F$8:$F$68,AT$4-$B169+1)</f>
        <v/>
      </c>
      <c r="AU169" s="56">
        <f>$C169*INDEX(Curves!$F$8:$F$68,AU$4-$B169+1)</f>
        <v/>
      </c>
      <c r="AV169" s="56">
        <f>$C169*INDEX(Curves!$F$8:$F$68,AV$4-$B169+1)</f>
        <v/>
      </c>
      <c r="AW169" s="56">
        <f>$C169*INDEX(Curves!$F$8:$F$68,AW$4-$B169+1)</f>
        <v/>
      </c>
      <c r="AX169" s="56">
        <f>$C169*INDEX(Curves!$F$8:$F$68,AX$4-$B169+1)</f>
        <v/>
      </c>
      <c r="AY169" s="56">
        <f>$C169*INDEX(Curves!$F$8:$F$68,AY$4-$B169+1)</f>
        <v/>
      </c>
      <c r="AZ169" s="56">
        <f>$C169*INDEX(Curves!$F$8:$F$68,AZ$4-$B169+1)</f>
        <v/>
      </c>
      <c r="BA169" s="56">
        <f>$C169*INDEX(Curves!$F$8:$F$68,BA$4-$B169+1)</f>
        <v/>
      </c>
      <c r="BB169" s="56">
        <f>$C169*INDEX(Curves!$F$8:$F$68,BB$4-$B169+1)</f>
        <v/>
      </c>
      <c r="BC169" s="56">
        <f>$C169*INDEX(Curves!$F$8:$F$68,BC$4-$B169+1)</f>
        <v/>
      </c>
      <c r="BD169" s="56">
        <f>$C169*INDEX(Curves!$F$8:$F$68,BD$4-$B169+1)</f>
        <v/>
      </c>
      <c r="BE169" s="56">
        <f>$C169*INDEX(Curves!$F$8:$F$68,BE$4-$B169+1)</f>
        <v/>
      </c>
      <c r="BF169" s="56">
        <f>$C169*INDEX(Curves!$F$8:$F$68,BF$4-$B169+1)</f>
        <v/>
      </c>
      <c r="BG169" s="56">
        <f>$C169*INDEX(Curves!$F$8:$F$68,BG$4-$B169+1)</f>
        <v/>
      </c>
      <c r="BH169" s="56">
        <f>$C169*INDEX(Curves!$F$8:$F$68,BH$4-$B169+1)</f>
        <v/>
      </c>
      <c r="BI169" s="56">
        <f>$C169*INDEX(Curves!$F$8:$F$68,BI$4-$B169+1)</f>
        <v/>
      </c>
      <c r="BJ169" s="56">
        <f>$C169*INDEX(Curves!$F$8:$F$68,BJ$4-$B169+1)</f>
        <v/>
      </c>
      <c r="BK169" s="56">
        <f>$C169*INDEX(Curves!$F$8:$F$68,BK$4-$B169+1)</f>
        <v/>
      </c>
      <c r="BL169" s="56">
        <f>$C169*INDEX(Curves!$F$8:$F$68,BL$4-$B169+1)</f>
        <v/>
      </c>
    </row>
    <row r="170">
      <c r="A170" s="55" t="inlineStr">
        <is>
          <t>Cohort month 35</t>
        </is>
      </c>
      <c r="B170" s="55" t="n">
        <v>35</v>
      </c>
      <c r="C170" s="46">
        <f>INDEX(Ops!$E$10:$BL$10,1,$B170)</f>
        <v/>
      </c>
      <c r="AN170" s="56">
        <f>$C170*INDEX(Curves!$F$8:$F$68,AN$4-$B170+1)</f>
        <v/>
      </c>
      <c r="AO170" s="56">
        <f>$C170*INDEX(Curves!$F$8:$F$68,AO$4-$B170+1)</f>
        <v/>
      </c>
      <c r="AP170" s="56">
        <f>$C170*INDEX(Curves!$F$8:$F$68,AP$4-$B170+1)</f>
        <v/>
      </c>
      <c r="AQ170" s="56">
        <f>$C170*INDEX(Curves!$F$8:$F$68,AQ$4-$B170+1)</f>
        <v/>
      </c>
      <c r="AR170" s="56">
        <f>$C170*INDEX(Curves!$F$8:$F$68,AR$4-$B170+1)</f>
        <v/>
      </c>
      <c r="AS170" s="56">
        <f>$C170*INDEX(Curves!$F$8:$F$68,AS$4-$B170+1)</f>
        <v/>
      </c>
      <c r="AT170" s="56">
        <f>$C170*INDEX(Curves!$F$8:$F$68,AT$4-$B170+1)</f>
        <v/>
      </c>
      <c r="AU170" s="56">
        <f>$C170*INDEX(Curves!$F$8:$F$68,AU$4-$B170+1)</f>
        <v/>
      </c>
      <c r="AV170" s="56">
        <f>$C170*INDEX(Curves!$F$8:$F$68,AV$4-$B170+1)</f>
        <v/>
      </c>
      <c r="AW170" s="56">
        <f>$C170*INDEX(Curves!$F$8:$F$68,AW$4-$B170+1)</f>
        <v/>
      </c>
      <c r="AX170" s="56">
        <f>$C170*INDEX(Curves!$F$8:$F$68,AX$4-$B170+1)</f>
        <v/>
      </c>
      <c r="AY170" s="56">
        <f>$C170*INDEX(Curves!$F$8:$F$68,AY$4-$B170+1)</f>
        <v/>
      </c>
      <c r="AZ170" s="56">
        <f>$C170*INDEX(Curves!$F$8:$F$68,AZ$4-$B170+1)</f>
        <v/>
      </c>
      <c r="BA170" s="56">
        <f>$C170*INDEX(Curves!$F$8:$F$68,BA$4-$B170+1)</f>
        <v/>
      </c>
      <c r="BB170" s="56">
        <f>$C170*INDEX(Curves!$F$8:$F$68,BB$4-$B170+1)</f>
        <v/>
      </c>
      <c r="BC170" s="56">
        <f>$C170*INDEX(Curves!$F$8:$F$68,BC$4-$B170+1)</f>
        <v/>
      </c>
      <c r="BD170" s="56">
        <f>$C170*INDEX(Curves!$F$8:$F$68,BD$4-$B170+1)</f>
        <v/>
      </c>
      <c r="BE170" s="56">
        <f>$C170*INDEX(Curves!$F$8:$F$68,BE$4-$B170+1)</f>
        <v/>
      </c>
      <c r="BF170" s="56">
        <f>$C170*INDEX(Curves!$F$8:$F$68,BF$4-$B170+1)</f>
        <v/>
      </c>
      <c r="BG170" s="56">
        <f>$C170*INDEX(Curves!$F$8:$F$68,BG$4-$B170+1)</f>
        <v/>
      </c>
      <c r="BH170" s="56">
        <f>$C170*INDEX(Curves!$F$8:$F$68,BH$4-$B170+1)</f>
        <v/>
      </c>
      <c r="BI170" s="56">
        <f>$C170*INDEX(Curves!$F$8:$F$68,BI$4-$B170+1)</f>
        <v/>
      </c>
      <c r="BJ170" s="56">
        <f>$C170*INDEX(Curves!$F$8:$F$68,BJ$4-$B170+1)</f>
        <v/>
      </c>
      <c r="BK170" s="56">
        <f>$C170*INDEX(Curves!$F$8:$F$68,BK$4-$B170+1)</f>
        <v/>
      </c>
      <c r="BL170" s="56">
        <f>$C170*INDEX(Curves!$F$8:$F$68,BL$4-$B170+1)</f>
        <v/>
      </c>
    </row>
    <row r="171">
      <c r="A171" s="55" t="inlineStr">
        <is>
          <t>Cohort month 36</t>
        </is>
      </c>
      <c r="B171" s="55" t="n">
        <v>36</v>
      </c>
      <c r="C171" s="46">
        <f>INDEX(Ops!$E$10:$BL$10,1,$B171)</f>
        <v/>
      </c>
      <c r="AO171" s="56">
        <f>$C171*INDEX(Curves!$F$8:$F$68,AO$4-$B171+1)</f>
        <v/>
      </c>
      <c r="AP171" s="56">
        <f>$C171*INDEX(Curves!$F$8:$F$68,AP$4-$B171+1)</f>
        <v/>
      </c>
      <c r="AQ171" s="56">
        <f>$C171*INDEX(Curves!$F$8:$F$68,AQ$4-$B171+1)</f>
        <v/>
      </c>
      <c r="AR171" s="56">
        <f>$C171*INDEX(Curves!$F$8:$F$68,AR$4-$B171+1)</f>
        <v/>
      </c>
      <c r="AS171" s="56">
        <f>$C171*INDEX(Curves!$F$8:$F$68,AS$4-$B171+1)</f>
        <v/>
      </c>
      <c r="AT171" s="56">
        <f>$C171*INDEX(Curves!$F$8:$F$68,AT$4-$B171+1)</f>
        <v/>
      </c>
      <c r="AU171" s="56">
        <f>$C171*INDEX(Curves!$F$8:$F$68,AU$4-$B171+1)</f>
        <v/>
      </c>
      <c r="AV171" s="56">
        <f>$C171*INDEX(Curves!$F$8:$F$68,AV$4-$B171+1)</f>
        <v/>
      </c>
      <c r="AW171" s="56">
        <f>$C171*INDEX(Curves!$F$8:$F$68,AW$4-$B171+1)</f>
        <v/>
      </c>
      <c r="AX171" s="56">
        <f>$C171*INDEX(Curves!$F$8:$F$68,AX$4-$B171+1)</f>
        <v/>
      </c>
      <c r="AY171" s="56">
        <f>$C171*INDEX(Curves!$F$8:$F$68,AY$4-$B171+1)</f>
        <v/>
      </c>
      <c r="AZ171" s="56">
        <f>$C171*INDEX(Curves!$F$8:$F$68,AZ$4-$B171+1)</f>
        <v/>
      </c>
      <c r="BA171" s="56">
        <f>$C171*INDEX(Curves!$F$8:$F$68,BA$4-$B171+1)</f>
        <v/>
      </c>
      <c r="BB171" s="56">
        <f>$C171*INDEX(Curves!$F$8:$F$68,BB$4-$B171+1)</f>
        <v/>
      </c>
      <c r="BC171" s="56">
        <f>$C171*INDEX(Curves!$F$8:$F$68,BC$4-$B171+1)</f>
        <v/>
      </c>
      <c r="BD171" s="56">
        <f>$C171*INDEX(Curves!$F$8:$F$68,BD$4-$B171+1)</f>
        <v/>
      </c>
      <c r="BE171" s="56">
        <f>$C171*INDEX(Curves!$F$8:$F$68,BE$4-$B171+1)</f>
        <v/>
      </c>
      <c r="BF171" s="56">
        <f>$C171*INDEX(Curves!$F$8:$F$68,BF$4-$B171+1)</f>
        <v/>
      </c>
      <c r="BG171" s="56">
        <f>$C171*INDEX(Curves!$F$8:$F$68,BG$4-$B171+1)</f>
        <v/>
      </c>
      <c r="BH171" s="56">
        <f>$C171*INDEX(Curves!$F$8:$F$68,BH$4-$B171+1)</f>
        <v/>
      </c>
      <c r="BI171" s="56">
        <f>$C171*INDEX(Curves!$F$8:$F$68,BI$4-$B171+1)</f>
        <v/>
      </c>
      <c r="BJ171" s="56">
        <f>$C171*INDEX(Curves!$F$8:$F$68,BJ$4-$B171+1)</f>
        <v/>
      </c>
      <c r="BK171" s="56">
        <f>$C171*INDEX(Curves!$F$8:$F$68,BK$4-$B171+1)</f>
        <v/>
      </c>
      <c r="BL171" s="56">
        <f>$C171*INDEX(Curves!$F$8:$F$68,BL$4-$B171+1)</f>
        <v/>
      </c>
    </row>
    <row r="172">
      <c r="A172" s="55" t="inlineStr">
        <is>
          <t>Cohort month 37</t>
        </is>
      </c>
      <c r="B172" s="55" t="n">
        <v>37</v>
      </c>
      <c r="C172" s="46">
        <f>INDEX(Ops!$E$10:$BL$10,1,$B172)</f>
        <v/>
      </c>
      <c r="AP172" s="56">
        <f>$C172*INDEX(Curves!$F$8:$F$68,AP$4-$B172+1)</f>
        <v/>
      </c>
      <c r="AQ172" s="56">
        <f>$C172*INDEX(Curves!$F$8:$F$68,AQ$4-$B172+1)</f>
        <v/>
      </c>
      <c r="AR172" s="56">
        <f>$C172*INDEX(Curves!$F$8:$F$68,AR$4-$B172+1)</f>
        <v/>
      </c>
      <c r="AS172" s="56">
        <f>$C172*INDEX(Curves!$F$8:$F$68,AS$4-$B172+1)</f>
        <v/>
      </c>
      <c r="AT172" s="56">
        <f>$C172*INDEX(Curves!$F$8:$F$68,AT$4-$B172+1)</f>
        <v/>
      </c>
      <c r="AU172" s="56">
        <f>$C172*INDEX(Curves!$F$8:$F$68,AU$4-$B172+1)</f>
        <v/>
      </c>
      <c r="AV172" s="56">
        <f>$C172*INDEX(Curves!$F$8:$F$68,AV$4-$B172+1)</f>
        <v/>
      </c>
      <c r="AW172" s="56">
        <f>$C172*INDEX(Curves!$F$8:$F$68,AW$4-$B172+1)</f>
        <v/>
      </c>
      <c r="AX172" s="56">
        <f>$C172*INDEX(Curves!$F$8:$F$68,AX$4-$B172+1)</f>
        <v/>
      </c>
      <c r="AY172" s="56">
        <f>$C172*INDEX(Curves!$F$8:$F$68,AY$4-$B172+1)</f>
        <v/>
      </c>
      <c r="AZ172" s="56">
        <f>$C172*INDEX(Curves!$F$8:$F$68,AZ$4-$B172+1)</f>
        <v/>
      </c>
      <c r="BA172" s="56">
        <f>$C172*INDEX(Curves!$F$8:$F$68,BA$4-$B172+1)</f>
        <v/>
      </c>
      <c r="BB172" s="56">
        <f>$C172*INDEX(Curves!$F$8:$F$68,BB$4-$B172+1)</f>
        <v/>
      </c>
      <c r="BC172" s="56">
        <f>$C172*INDEX(Curves!$F$8:$F$68,BC$4-$B172+1)</f>
        <v/>
      </c>
      <c r="BD172" s="56">
        <f>$C172*INDEX(Curves!$F$8:$F$68,BD$4-$B172+1)</f>
        <v/>
      </c>
      <c r="BE172" s="56">
        <f>$C172*INDEX(Curves!$F$8:$F$68,BE$4-$B172+1)</f>
        <v/>
      </c>
      <c r="BF172" s="56">
        <f>$C172*INDEX(Curves!$F$8:$F$68,BF$4-$B172+1)</f>
        <v/>
      </c>
      <c r="BG172" s="56">
        <f>$C172*INDEX(Curves!$F$8:$F$68,BG$4-$B172+1)</f>
        <v/>
      </c>
      <c r="BH172" s="56">
        <f>$C172*INDEX(Curves!$F$8:$F$68,BH$4-$B172+1)</f>
        <v/>
      </c>
      <c r="BI172" s="56">
        <f>$C172*INDEX(Curves!$F$8:$F$68,BI$4-$B172+1)</f>
        <v/>
      </c>
      <c r="BJ172" s="56">
        <f>$C172*INDEX(Curves!$F$8:$F$68,BJ$4-$B172+1)</f>
        <v/>
      </c>
      <c r="BK172" s="56">
        <f>$C172*INDEX(Curves!$F$8:$F$68,BK$4-$B172+1)</f>
        <v/>
      </c>
      <c r="BL172" s="56">
        <f>$C172*INDEX(Curves!$F$8:$F$68,BL$4-$B172+1)</f>
        <v/>
      </c>
    </row>
    <row r="173">
      <c r="A173" s="55" t="inlineStr">
        <is>
          <t>Cohort month 38</t>
        </is>
      </c>
      <c r="B173" s="55" t="n">
        <v>38</v>
      </c>
      <c r="C173" s="46">
        <f>INDEX(Ops!$E$10:$BL$10,1,$B173)</f>
        <v/>
      </c>
      <c r="AQ173" s="56">
        <f>$C173*INDEX(Curves!$F$8:$F$68,AQ$4-$B173+1)</f>
        <v/>
      </c>
      <c r="AR173" s="56">
        <f>$C173*INDEX(Curves!$F$8:$F$68,AR$4-$B173+1)</f>
        <v/>
      </c>
      <c r="AS173" s="56">
        <f>$C173*INDEX(Curves!$F$8:$F$68,AS$4-$B173+1)</f>
        <v/>
      </c>
      <c r="AT173" s="56">
        <f>$C173*INDEX(Curves!$F$8:$F$68,AT$4-$B173+1)</f>
        <v/>
      </c>
      <c r="AU173" s="56">
        <f>$C173*INDEX(Curves!$F$8:$F$68,AU$4-$B173+1)</f>
        <v/>
      </c>
      <c r="AV173" s="56">
        <f>$C173*INDEX(Curves!$F$8:$F$68,AV$4-$B173+1)</f>
        <v/>
      </c>
      <c r="AW173" s="56">
        <f>$C173*INDEX(Curves!$F$8:$F$68,AW$4-$B173+1)</f>
        <v/>
      </c>
      <c r="AX173" s="56">
        <f>$C173*INDEX(Curves!$F$8:$F$68,AX$4-$B173+1)</f>
        <v/>
      </c>
      <c r="AY173" s="56">
        <f>$C173*INDEX(Curves!$F$8:$F$68,AY$4-$B173+1)</f>
        <v/>
      </c>
      <c r="AZ173" s="56">
        <f>$C173*INDEX(Curves!$F$8:$F$68,AZ$4-$B173+1)</f>
        <v/>
      </c>
      <c r="BA173" s="56">
        <f>$C173*INDEX(Curves!$F$8:$F$68,BA$4-$B173+1)</f>
        <v/>
      </c>
      <c r="BB173" s="56">
        <f>$C173*INDEX(Curves!$F$8:$F$68,BB$4-$B173+1)</f>
        <v/>
      </c>
      <c r="BC173" s="56">
        <f>$C173*INDEX(Curves!$F$8:$F$68,BC$4-$B173+1)</f>
        <v/>
      </c>
      <c r="BD173" s="56">
        <f>$C173*INDEX(Curves!$F$8:$F$68,BD$4-$B173+1)</f>
        <v/>
      </c>
      <c r="BE173" s="56">
        <f>$C173*INDEX(Curves!$F$8:$F$68,BE$4-$B173+1)</f>
        <v/>
      </c>
      <c r="BF173" s="56">
        <f>$C173*INDEX(Curves!$F$8:$F$68,BF$4-$B173+1)</f>
        <v/>
      </c>
      <c r="BG173" s="56">
        <f>$C173*INDEX(Curves!$F$8:$F$68,BG$4-$B173+1)</f>
        <v/>
      </c>
      <c r="BH173" s="56">
        <f>$C173*INDEX(Curves!$F$8:$F$68,BH$4-$B173+1)</f>
        <v/>
      </c>
      <c r="BI173" s="56">
        <f>$C173*INDEX(Curves!$F$8:$F$68,BI$4-$B173+1)</f>
        <v/>
      </c>
      <c r="BJ173" s="56">
        <f>$C173*INDEX(Curves!$F$8:$F$68,BJ$4-$B173+1)</f>
        <v/>
      </c>
      <c r="BK173" s="56">
        <f>$C173*INDEX(Curves!$F$8:$F$68,BK$4-$B173+1)</f>
        <v/>
      </c>
      <c r="BL173" s="56">
        <f>$C173*INDEX(Curves!$F$8:$F$68,BL$4-$B173+1)</f>
        <v/>
      </c>
    </row>
    <row r="174">
      <c r="A174" s="55" t="inlineStr">
        <is>
          <t>Cohort month 39</t>
        </is>
      </c>
      <c r="B174" s="55" t="n">
        <v>39</v>
      </c>
      <c r="C174" s="46">
        <f>INDEX(Ops!$E$10:$BL$10,1,$B174)</f>
        <v/>
      </c>
      <c r="AR174" s="56">
        <f>$C174*INDEX(Curves!$F$8:$F$68,AR$4-$B174+1)</f>
        <v/>
      </c>
      <c r="AS174" s="56">
        <f>$C174*INDEX(Curves!$F$8:$F$68,AS$4-$B174+1)</f>
        <v/>
      </c>
      <c r="AT174" s="56">
        <f>$C174*INDEX(Curves!$F$8:$F$68,AT$4-$B174+1)</f>
        <v/>
      </c>
      <c r="AU174" s="56">
        <f>$C174*INDEX(Curves!$F$8:$F$68,AU$4-$B174+1)</f>
        <v/>
      </c>
      <c r="AV174" s="56">
        <f>$C174*INDEX(Curves!$F$8:$F$68,AV$4-$B174+1)</f>
        <v/>
      </c>
      <c r="AW174" s="56">
        <f>$C174*INDEX(Curves!$F$8:$F$68,AW$4-$B174+1)</f>
        <v/>
      </c>
      <c r="AX174" s="56">
        <f>$C174*INDEX(Curves!$F$8:$F$68,AX$4-$B174+1)</f>
        <v/>
      </c>
      <c r="AY174" s="56">
        <f>$C174*INDEX(Curves!$F$8:$F$68,AY$4-$B174+1)</f>
        <v/>
      </c>
      <c r="AZ174" s="56">
        <f>$C174*INDEX(Curves!$F$8:$F$68,AZ$4-$B174+1)</f>
        <v/>
      </c>
      <c r="BA174" s="56">
        <f>$C174*INDEX(Curves!$F$8:$F$68,BA$4-$B174+1)</f>
        <v/>
      </c>
      <c r="BB174" s="56">
        <f>$C174*INDEX(Curves!$F$8:$F$68,BB$4-$B174+1)</f>
        <v/>
      </c>
      <c r="BC174" s="56">
        <f>$C174*INDEX(Curves!$F$8:$F$68,BC$4-$B174+1)</f>
        <v/>
      </c>
      <c r="BD174" s="56">
        <f>$C174*INDEX(Curves!$F$8:$F$68,BD$4-$B174+1)</f>
        <v/>
      </c>
      <c r="BE174" s="56">
        <f>$C174*INDEX(Curves!$F$8:$F$68,BE$4-$B174+1)</f>
        <v/>
      </c>
      <c r="BF174" s="56">
        <f>$C174*INDEX(Curves!$F$8:$F$68,BF$4-$B174+1)</f>
        <v/>
      </c>
      <c r="BG174" s="56">
        <f>$C174*INDEX(Curves!$F$8:$F$68,BG$4-$B174+1)</f>
        <v/>
      </c>
      <c r="BH174" s="56">
        <f>$C174*INDEX(Curves!$F$8:$F$68,BH$4-$B174+1)</f>
        <v/>
      </c>
      <c r="BI174" s="56">
        <f>$C174*INDEX(Curves!$F$8:$F$68,BI$4-$B174+1)</f>
        <v/>
      </c>
      <c r="BJ174" s="56">
        <f>$C174*INDEX(Curves!$F$8:$F$68,BJ$4-$B174+1)</f>
        <v/>
      </c>
      <c r="BK174" s="56">
        <f>$C174*INDEX(Curves!$F$8:$F$68,BK$4-$B174+1)</f>
        <v/>
      </c>
      <c r="BL174" s="56">
        <f>$C174*INDEX(Curves!$F$8:$F$68,BL$4-$B174+1)</f>
        <v/>
      </c>
    </row>
    <row r="175">
      <c r="A175" s="55" t="inlineStr">
        <is>
          <t>Cohort month 40</t>
        </is>
      </c>
      <c r="B175" s="55" t="n">
        <v>40</v>
      </c>
      <c r="C175" s="46">
        <f>INDEX(Ops!$E$10:$BL$10,1,$B175)</f>
        <v/>
      </c>
      <c r="AS175" s="56">
        <f>$C175*INDEX(Curves!$F$8:$F$68,AS$4-$B175+1)</f>
        <v/>
      </c>
      <c r="AT175" s="56">
        <f>$C175*INDEX(Curves!$F$8:$F$68,AT$4-$B175+1)</f>
        <v/>
      </c>
      <c r="AU175" s="56">
        <f>$C175*INDEX(Curves!$F$8:$F$68,AU$4-$B175+1)</f>
        <v/>
      </c>
      <c r="AV175" s="56">
        <f>$C175*INDEX(Curves!$F$8:$F$68,AV$4-$B175+1)</f>
        <v/>
      </c>
      <c r="AW175" s="56">
        <f>$C175*INDEX(Curves!$F$8:$F$68,AW$4-$B175+1)</f>
        <v/>
      </c>
      <c r="AX175" s="56">
        <f>$C175*INDEX(Curves!$F$8:$F$68,AX$4-$B175+1)</f>
        <v/>
      </c>
      <c r="AY175" s="56">
        <f>$C175*INDEX(Curves!$F$8:$F$68,AY$4-$B175+1)</f>
        <v/>
      </c>
      <c r="AZ175" s="56">
        <f>$C175*INDEX(Curves!$F$8:$F$68,AZ$4-$B175+1)</f>
        <v/>
      </c>
      <c r="BA175" s="56">
        <f>$C175*INDEX(Curves!$F$8:$F$68,BA$4-$B175+1)</f>
        <v/>
      </c>
      <c r="BB175" s="56">
        <f>$C175*INDEX(Curves!$F$8:$F$68,BB$4-$B175+1)</f>
        <v/>
      </c>
      <c r="BC175" s="56">
        <f>$C175*INDEX(Curves!$F$8:$F$68,BC$4-$B175+1)</f>
        <v/>
      </c>
      <c r="BD175" s="56">
        <f>$C175*INDEX(Curves!$F$8:$F$68,BD$4-$B175+1)</f>
        <v/>
      </c>
      <c r="BE175" s="56">
        <f>$C175*INDEX(Curves!$F$8:$F$68,BE$4-$B175+1)</f>
        <v/>
      </c>
      <c r="BF175" s="56">
        <f>$C175*INDEX(Curves!$F$8:$F$68,BF$4-$B175+1)</f>
        <v/>
      </c>
      <c r="BG175" s="56">
        <f>$C175*INDEX(Curves!$F$8:$F$68,BG$4-$B175+1)</f>
        <v/>
      </c>
      <c r="BH175" s="56">
        <f>$C175*INDEX(Curves!$F$8:$F$68,BH$4-$B175+1)</f>
        <v/>
      </c>
      <c r="BI175" s="56">
        <f>$C175*INDEX(Curves!$F$8:$F$68,BI$4-$B175+1)</f>
        <v/>
      </c>
      <c r="BJ175" s="56">
        <f>$C175*INDEX(Curves!$F$8:$F$68,BJ$4-$B175+1)</f>
        <v/>
      </c>
      <c r="BK175" s="56">
        <f>$C175*INDEX(Curves!$F$8:$F$68,BK$4-$B175+1)</f>
        <v/>
      </c>
      <c r="BL175" s="56">
        <f>$C175*INDEX(Curves!$F$8:$F$68,BL$4-$B175+1)</f>
        <v/>
      </c>
    </row>
    <row r="176">
      <c r="A176" s="55" t="inlineStr">
        <is>
          <t>Cohort month 41</t>
        </is>
      </c>
      <c r="B176" s="55" t="n">
        <v>41</v>
      </c>
      <c r="C176" s="46">
        <f>INDEX(Ops!$E$10:$BL$10,1,$B176)</f>
        <v/>
      </c>
      <c r="AT176" s="56">
        <f>$C176*INDEX(Curves!$F$8:$F$68,AT$4-$B176+1)</f>
        <v/>
      </c>
      <c r="AU176" s="56">
        <f>$C176*INDEX(Curves!$F$8:$F$68,AU$4-$B176+1)</f>
        <v/>
      </c>
      <c r="AV176" s="56">
        <f>$C176*INDEX(Curves!$F$8:$F$68,AV$4-$B176+1)</f>
        <v/>
      </c>
      <c r="AW176" s="56">
        <f>$C176*INDEX(Curves!$F$8:$F$68,AW$4-$B176+1)</f>
        <v/>
      </c>
      <c r="AX176" s="56">
        <f>$C176*INDEX(Curves!$F$8:$F$68,AX$4-$B176+1)</f>
        <v/>
      </c>
      <c r="AY176" s="56">
        <f>$C176*INDEX(Curves!$F$8:$F$68,AY$4-$B176+1)</f>
        <v/>
      </c>
      <c r="AZ176" s="56">
        <f>$C176*INDEX(Curves!$F$8:$F$68,AZ$4-$B176+1)</f>
        <v/>
      </c>
      <c r="BA176" s="56">
        <f>$C176*INDEX(Curves!$F$8:$F$68,BA$4-$B176+1)</f>
        <v/>
      </c>
      <c r="BB176" s="56">
        <f>$C176*INDEX(Curves!$F$8:$F$68,BB$4-$B176+1)</f>
        <v/>
      </c>
      <c r="BC176" s="56">
        <f>$C176*INDEX(Curves!$F$8:$F$68,BC$4-$B176+1)</f>
        <v/>
      </c>
      <c r="BD176" s="56">
        <f>$C176*INDEX(Curves!$F$8:$F$68,BD$4-$B176+1)</f>
        <v/>
      </c>
      <c r="BE176" s="56">
        <f>$C176*INDEX(Curves!$F$8:$F$68,BE$4-$B176+1)</f>
        <v/>
      </c>
      <c r="BF176" s="56">
        <f>$C176*INDEX(Curves!$F$8:$F$68,BF$4-$B176+1)</f>
        <v/>
      </c>
      <c r="BG176" s="56">
        <f>$C176*INDEX(Curves!$F$8:$F$68,BG$4-$B176+1)</f>
        <v/>
      </c>
      <c r="BH176" s="56">
        <f>$C176*INDEX(Curves!$F$8:$F$68,BH$4-$B176+1)</f>
        <v/>
      </c>
      <c r="BI176" s="56">
        <f>$C176*INDEX(Curves!$F$8:$F$68,BI$4-$B176+1)</f>
        <v/>
      </c>
      <c r="BJ176" s="56">
        <f>$C176*INDEX(Curves!$F$8:$F$68,BJ$4-$B176+1)</f>
        <v/>
      </c>
      <c r="BK176" s="56">
        <f>$C176*INDEX(Curves!$F$8:$F$68,BK$4-$B176+1)</f>
        <v/>
      </c>
      <c r="BL176" s="56">
        <f>$C176*INDEX(Curves!$F$8:$F$68,BL$4-$B176+1)</f>
        <v/>
      </c>
    </row>
    <row r="177">
      <c r="A177" s="55" t="inlineStr">
        <is>
          <t>Cohort month 42</t>
        </is>
      </c>
      <c r="B177" s="55" t="n">
        <v>42</v>
      </c>
      <c r="C177" s="46">
        <f>INDEX(Ops!$E$10:$BL$10,1,$B177)</f>
        <v/>
      </c>
      <c r="AU177" s="56">
        <f>$C177*INDEX(Curves!$F$8:$F$68,AU$4-$B177+1)</f>
        <v/>
      </c>
      <c r="AV177" s="56">
        <f>$C177*INDEX(Curves!$F$8:$F$68,AV$4-$B177+1)</f>
        <v/>
      </c>
      <c r="AW177" s="56">
        <f>$C177*INDEX(Curves!$F$8:$F$68,AW$4-$B177+1)</f>
        <v/>
      </c>
      <c r="AX177" s="56">
        <f>$C177*INDEX(Curves!$F$8:$F$68,AX$4-$B177+1)</f>
        <v/>
      </c>
      <c r="AY177" s="56">
        <f>$C177*INDEX(Curves!$F$8:$F$68,AY$4-$B177+1)</f>
        <v/>
      </c>
      <c r="AZ177" s="56">
        <f>$C177*INDEX(Curves!$F$8:$F$68,AZ$4-$B177+1)</f>
        <v/>
      </c>
      <c r="BA177" s="56">
        <f>$C177*INDEX(Curves!$F$8:$F$68,BA$4-$B177+1)</f>
        <v/>
      </c>
      <c r="BB177" s="56">
        <f>$C177*INDEX(Curves!$F$8:$F$68,BB$4-$B177+1)</f>
        <v/>
      </c>
      <c r="BC177" s="56">
        <f>$C177*INDEX(Curves!$F$8:$F$68,BC$4-$B177+1)</f>
        <v/>
      </c>
      <c r="BD177" s="56">
        <f>$C177*INDEX(Curves!$F$8:$F$68,BD$4-$B177+1)</f>
        <v/>
      </c>
      <c r="BE177" s="56">
        <f>$C177*INDEX(Curves!$F$8:$F$68,BE$4-$B177+1)</f>
        <v/>
      </c>
      <c r="BF177" s="56">
        <f>$C177*INDEX(Curves!$F$8:$F$68,BF$4-$B177+1)</f>
        <v/>
      </c>
      <c r="BG177" s="56">
        <f>$C177*INDEX(Curves!$F$8:$F$68,BG$4-$B177+1)</f>
        <v/>
      </c>
      <c r="BH177" s="56">
        <f>$C177*INDEX(Curves!$F$8:$F$68,BH$4-$B177+1)</f>
        <v/>
      </c>
      <c r="BI177" s="56">
        <f>$C177*INDEX(Curves!$F$8:$F$68,BI$4-$B177+1)</f>
        <v/>
      </c>
      <c r="BJ177" s="56">
        <f>$C177*INDEX(Curves!$F$8:$F$68,BJ$4-$B177+1)</f>
        <v/>
      </c>
      <c r="BK177" s="56">
        <f>$C177*INDEX(Curves!$F$8:$F$68,BK$4-$B177+1)</f>
        <v/>
      </c>
      <c r="BL177" s="56">
        <f>$C177*INDEX(Curves!$F$8:$F$68,BL$4-$B177+1)</f>
        <v/>
      </c>
    </row>
    <row r="178">
      <c r="A178" s="55" t="inlineStr">
        <is>
          <t>Cohort month 43</t>
        </is>
      </c>
      <c r="B178" s="55" t="n">
        <v>43</v>
      </c>
      <c r="C178" s="46">
        <f>INDEX(Ops!$E$10:$BL$10,1,$B178)</f>
        <v/>
      </c>
      <c r="AV178" s="56">
        <f>$C178*INDEX(Curves!$F$8:$F$68,AV$4-$B178+1)</f>
        <v/>
      </c>
      <c r="AW178" s="56">
        <f>$C178*INDEX(Curves!$F$8:$F$68,AW$4-$B178+1)</f>
        <v/>
      </c>
      <c r="AX178" s="56">
        <f>$C178*INDEX(Curves!$F$8:$F$68,AX$4-$B178+1)</f>
        <v/>
      </c>
      <c r="AY178" s="56">
        <f>$C178*INDEX(Curves!$F$8:$F$68,AY$4-$B178+1)</f>
        <v/>
      </c>
      <c r="AZ178" s="56">
        <f>$C178*INDEX(Curves!$F$8:$F$68,AZ$4-$B178+1)</f>
        <v/>
      </c>
      <c r="BA178" s="56">
        <f>$C178*INDEX(Curves!$F$8:$F$68,BA$4-$B178+1)</f>
        <v/>
      </c>
      <c r="BB178" s="56">
        <f>$C178*INDEX(Curves!$F$8:$F$68,BB$4-$B178+1)</f>
        <v/>
      </c>
      <c r="BC178" s="56">
        <f>$C178*INDEX(Curves!$F$8:$F$68,BC$4-$B178+1)</f>
        <v/>
      </c>
      <c r="BD178" s="56">
        <f>$C178*INDEX(Curves!$F$8:$F$68,BD$4-$B178+1)</f>
        <v/>
      </c>
      <c r="BE178" s="56">
        <f>$C178*INDEX(Curves!$F$8:$F$68,BE$4-$B178+1)</f>
        <v/>
      </c>
      <c r="BF178" s="56">
        <f>$C178*INDEX(Curves!$F$8:$F$68,BF$4-$B178+1)</f>
        <v/>
      </c>
      <c r="BG178" s="56">
        <f>$C178*INDEX(Curves!$F$8:$F$68,BG$4-$B178+1)</f>
        <v/>
      </c>
      <c r="BH178" s="56">
        <f>$C178*INDEX(Curves!$F$8:$F$68,BH$4-$B178+1)</f>
        <v/>
      </c>
      <c r="BI178" s="56">
        <f>$C178*INDEX(Curves!$F$8:$F$68,BI$4-$B178+1)</f>
        <v/>
      </c>
      <c r="BJ178" s="56">
        <f>$C178*INDEX(Curves!$F$8:$F$68,BJ$4-$B178+1)</f>
        <v/>
      </c>
      <c r="BK178" s="56">
        <f>$C178*INDEX(Curves!$F$8:$F$68,BK$4-$B178+1)</f>
        <v/>
      </c>
      <c r="BL178" s="56">
        <f>$C178*INDEX(Curves!$F$8:$F$68,BL$4-$B178+1)</f>
        <v/>
      </c>
    </row>
    <row r="179">
      <c r="A179" s="55" t="inlineStr">
        <is>
          <t>Cohort month 44</t>
        </is>
      </c>
      <c r="B179" s="55" t="n">
        <v>44</v>
      </c>
      <c r="C179" s="46">
        <f>INDEX(Ops!$E$10:$BL$10,1,$B179)</f>
        <v/>
      </c>
      <c r="AW179" s="56">
        <f>$C179*INDEX(Curves!$F$8:$F$68,AW$4-$B179+1)</f>
        <v/>
      </c>
      <c r="AX179" s="56">
        <f>$C179*INDEX(Curves!$F$8:$F$68,AX$4-$B179+1)</f>
        <v/>
      </c>
      <c r="AY179" s="56">
        <f>$C179*INDEX(Curves!$F$8:$F$68,AY$4-$B179+1)</f>
        <v/>
      </c>
      <c r="AZ179" s="56">
        <f>$C179*INDEX(Curves!$F$8:$F$68,AZ$4-$B179+1)</f>
        <v/>
      </c>
      <c r="BA179" s="56">
        <f>$C179*INDEX(Curves!$F$8:$F$68,BA$4-$B179+1)</f>
        <v/>
      </c>
      <c r="BB179" s="56">
        <f>$C179*INDEX(Curves!$F$8:$F$68,BB$4-$B179+1)</f>
        <v/>
      </c>
      <c r="BC179" s="56">
        <f>$C179*INDEX(Curves!$F$8:$F$68,BC$4-$B179+1)</f>
        <v/>
      </c>
      <c r="BD179" s="56">
        <f>$C179*INDEX(Curves!$F$8:$F$68,BD$4-$B179+1)</f>
        <v/>
      </c>
      <c r="BE179" s="56">
        <f>$C179*INDEX(Curves!$F$8:$F$68,BE$4-$B179+1)</f>
        <v/>
      </c>
      <c r="BF179" s="56">
        <f>$C179*INDEX(Curves!$F$8:$F$68,BF$4-$B179+1)</f>
        <v/>
      </c>
      <c r="BG179" s="56">
        <f>$C179*INDEX(Curves!$F$8:$F$68,BG$4-$B179+1)</f>
        <v/>
      </c>
      <c r="BH179" s="56">
        <f>$C179*INDEX(Curves!$F$8:$F$68,BH$4-$B179+1)</f>
        <v/>
      </c>
      <c r="BI179" s="56">
        <f>$C179*INDEX(Curves!$F$8:$F$68,BI$4-$B179+1)</f>
        <v/>
      </c>
      <c r="BJ179" s="56">
        <f>$C179*INDEX(Curves!$F$8:$F$68,BJ$4-$B179+1)</f>
        <v/>
      </c>
      <c r="BK179" s="56">
        <f>$C179*INDEX(Curves!$F$8:$F$68,BK$4-$B179+1)</f>
        <v/>
      </c>
      <c r="BL179" s="56">
        <f>$C179*INDEX(Curves!$F$8:$F$68,BL$4-$B179+1)</f>
        <v/>
      </c>
    </row>
    <row r="180">
      <c r="A180" s="55" t="inlineStr">
        <is>
          <t>Cohort month 45</t>
        </is>
      </c>
      <c r="B180" s="55" t="n">
        <v>45</v>
      </c>
      <c r="C180" s="46">
        <f>INDEX(Ops!$E$10:$BL$10,1,$B180)</f>
        <v/>
      </c>
      <c r="AX180" s="56">
        <f>$C180*INDEX(Curves!$F$8:$F$68,AX$4-$B180+1)</f>
        <v/>
      </c>
      <c r="AY180" s="56">
        <f>$C180*INDEX(Curves!$F$8:$F$68,AY$4-$B180+1)</f>
        <v/>
      </c>
      <c r="AZ180" s="56">
        <f>$C180*INDEX(Curves!$F$8:$F$68,AZ$4-$B180+1)</f>
        <v/>
      </c>
      <c r="BA180" s="56">
        <f>$C180*INDEX(Curves!$F$8:$F$68,BA$4-$B180+1)</f>
        <v/>
      </c>
      <c r="BB180" s="56">
        <f>$C180*INDEX(Curves!$F$8:$F$68,BB$4-$B180+1)</f>
        <v/>
      </c>
      <c r="BC180" s="56">
        <f>$C180*INDEX(Curves!$F$8:$F$68,BC$4-$B180+1)</f>
        <v/>
      </c>
      <c r="BD180" s="56">
        <f>$C180*INDEX(Curves!$F$8:$F$68,BD$4-$B180+1)</f>
        <v/>
      </c>
      <c r="BE180" s="56">
        <f>$C180*INDEX(Curves!$F$8:$F$68,BE$4-$B180+1)</f>
        <v/>
      </c>
      <c r="BF180" s="56">
        <f>$C180*INDEX(Curves!$F$8:$F$68,BF$4-$B180+1)</f>
        <v/>
      </c>
      <c r="BG180" s="56">
        <f>$C180*INDEX(Curves!$F$8:$F$68,BG$4-$B180+1)</f>
        <v/>
      </c>
      <c r="BH180" s="56">
        <f>$C180*INDEX(Curves!$F$8:$F$68,BH$4-$B180+1)</f>
        <v/>
      </c>
      <c r="BI180" s="56">
        <f>$C180*INDEX(Curves!$F$8:$F$68,BI$4-$B180+1)</f>
        <v/>
      </c>
      <c r="BJ180" s="56">
        <f>$C180*INDEX(Curves!$F$8:$F$68,BJ$4-$B180+1)</f>
        <v/>
      </c>
      <c r="BK180" s="56">
        <f>$C180*INDEX(Curves!$F$8:$F$68,BK$4-$B180+1)</f>
        <v/>
      </c>
      <c r="BL180" s="56">
        <f>$C180*INDEX(Curves!$F$8:$F$68,BL$4-$B180+1)</f>
        <v/>
      </c>
    </row>
    <row r="181">
      <c r="A181" s="55" t="inlineStr">
        <is>
          <t>Cohort month 46</t>
        </is>
      </c>
      <c r="B181" s="55" t="n">
        <v>46</v>
      </c>
      <c r="C181" s="46">
        <f>INDEX(Ops!$E$10:$BL$10,1,$B181)</f>
        <v/>
      </c>
      <c r="AY181" s="56">
        <f>$C181*INDEX(Curves!$F$8:$F$68,AY$4-$B181+1)</f>
        <v/>
      </c>
      <c r="AZ181" s="56">
        <f>$C181*INDEX(Curves!$F$8:$F$68,AZ$4-$B181+1)</f>
        <v/>
      </c>
      <c r="BA181" s="56">
        <f>$C181*INDEX(Curves!$F$8:$F$68,BA$4-$B181+1)</f>
        <v/>
      </c>
      <c r="BB181" s="56">
        <f>$C181*INDEX(Curves!$F$8:$F$68,BB$4-$B181+1)</f>
        <v/>
      </c>
      <c r="BC181" s="56">
        <f>$C181*INDEX(Curves!$F$8:$F$68,BC$4-$B181+1)</f>
        <v/>
      </c>
      <c r="BD181" s="56">
        <f>$C181*INDEX(Curves!$F$8:$F$68,BD$4-$B181+1)</f>
        <v/>
      </c>
      <c r="BE181" s="56">
        <f>$C181*INDEX(Curves!$F$8:$F$68,BE$4-$B181+1)</f>
        <v/>
      </c>
      <c r="BF181" s="56">
        <f>$C181*INDEX(Curves!$F$8:$F$68,BF$4-$B181+1)</f>
        <v/>
      </c>
      <c r="BG181" s="56">
        <f>$C181*INDEX(Curves!$F$8:$F$68,BG$4-$B181+1)</f>
        <v/>
      </c>
      <c r="BH181" s="56">
        <f>$C181*INDEX(Curves!$F$8:$F$68,BH$4-$B181+1)</f>
        <v/>
      </c>
      <c r="BI181" s="56">
        <f>$C181*INDEX(Curves!$F$8:$F$68,BI$4-$B181+1)</f>
        <v/>
      </c>
      <c r="BJ181" s="56">
        <f>$C181*INDEX(Curves!$F$8:$F$68,BJ$4-$B181+1)</f>
        <v/>
      </c>
      <c r="BK181" s="56">
        <f>$C181*INDEX(Curves!$F$8:$F$68,BK$4-$B181+1)</f>
        <v/>
      </c>
      <c r="BL181" s="56">
        <f>$C181*INDEX(Curves!$F$8:$F$68,BL$4-$B181+1)</f>
        <v/>
      </c>
    </row>
    <row r="182">
      <c r="A182" s="55" t="inlineStr">
        <is>
          <t>Cohort month 47</t>
        </is>
      </c>
      <c r="B182" s="55" t="n">
        <v>47</v>
      </c>
      <c r="C182" s="46">
        <f>INDEX(Ops!$E$10:$BL$10,1,$B182)</f>
        <v/>
      </c>
      <c r="AZ182" s="56">
        <f>$C182*INDEX(Curves!$F$8:$F$68,AZ$4-$B182+1)</f>
        <v/>
      </c>
      <c r="BA182" s="56">
        <f>$C182*INDEX(Curves!$F$8:$F$68,BA$4-$B182+1)</f>
        <v/>
      </c>
      <c r="BB182" s="56">
        <f>$C182*INDEX(Curves!$F$8:$F$68,BB$4-$B182+1)</f>
        <v/>
      </c>
      <c r="BC182" s="56">
        <f>$C182*INDEX(Curves!$F$8:$F$68,BC$4-$B182+1)</f>
        <v/>
      </c>
      <c r="BD182" s="56">
        <f>$C182*INDEX(Curves!$F$8:$F$68,BD$4-$B182+1)</f>
        <v/>
      </c>
      <c r="BE182" s="56">
        <f>$C182*INDEX(Curves!$F$8:$F$68,BE$4-$B182+1)</f>
        <v/>
      </c>
      <c r="BF182" s="56">
        <f>$C182*INDEX(Curves!$F$8:$F$68,BF$4-$B182+1)</f>
        <v/>
      </c>
      <c r="BG182" s="56">
        <f>$C182*INDEX(Curves!$F$8:$F$68,BG$4-$B182+1)</f>
        <v/>
      </c>
      <c r="BH182" s="56">
        <f>$C182*INDEX(Curves!$F$8:$F$68,BH$4-$B182+1)</f>
        <v/>
      </c>
      <c r="BI182" s="56">
        <f>$C182*INDEX(Curves!$F$8:$F$68,BI$4-$B182+1)</f>
        <v/>
      </c>
      <c r="BJ182" s="56">
        <f>$C182*INDEX(Curves!$F$8:$F$68,BJ$4-$B182+1)</f>
        <v/>
      </c>
      <c r="BK182" s="56">
        <f>$C182*INDEX(Curves!$F$8:$F$68,BK$4-$B182+1)</f>
        <v/>
      </c>
      <c r="BL182" s="56">
        <f>$C182*INDEX(Curves!$F$8:$F$68,BL$4-$B182+1)</f>
        <v/>
      </c>
    </row>
    <row r="183">
      <c r="A183" s="55" t="inlineStr">
        <is>
          <t>Cohort month 48</t>
        </is>
      </c>
      <c r="B183" s="55" t="n">
        <v>48</v>
      </c>
      <c r="C183" s="46">
        <f>INDEX(Ops!$E$10:$BL$10,1,$B183)</f>
        <v/>
      </c>
      <c r="BA183" s="56">
        <f>$C183*INDEX(Curves!$F$8:$F$68,BA$4-$B183+1)</f>
        <v/>
      </c>
      <c r="BB183" s="56">
        <f>$C183*INDEX(Curves!$F$8:$F$68,BB$4-$B183+1)</f>
        <v/>
      </c>
      <c r="BC183" s="56">
        <f>$C183*INDEX(Curves!$F$8:$F$68,BC$4-$B183+1)</f>
        <v/>
      </c>
      <c r="BD183" s="56">
        <f>$C183*INDEX(Curves!$F$8:$F$68,BD$4-$B183+1)</f>
        <v/>
      </c>
      <c r="BE183" s="56">
        <f>$C183*INDEX(Curves!$F$8:$F$68,BE$4-$B183+1)</f>
        <v/>
      </c>
      <c r="BF183" s="56">
        <f>$C183*INDEX(Curves!$F$8:$F$68,BF$4-$B183+1)</f>
        <v/>
      </c>
      <c r="BG183" s="56">
        <f>$C183*INDEX(Curves!$F$8:$F$68,BG$4-$B183+1)</f>
        <v/>
      </c>
      <c r="BH183" s="56">
        <f>$C183*INDEX(Curves!$F$8:$F$68,BH$4-$B183+1)</f>
        <v/>
      </c>
      <c r="BI183" s="56">
        <f>$C183*INDEX(Curves!$F$8:$F$68,BI$4-$B183+1)</f>
        <v/>
      </c>
      <c r="BJ183" s="56">
        <f>$C183*INDEX(Curves!$F$8:$F$68,BJ$4-$B183+1)</f>
        <v/>
      </c>
      <c r="BK183" s="56">
        <f>$C183*INDEX(Curves!$F$8:$F$68,BK$4-$B183+1)</f>
        <v/>
      </c>
      <c r="BL183" s="56">
        <f>$C183*INDEX(Curves!$F$8:$F$68,BL$4-$B183+1)</f>
        <v/>
      </c>
    </row>
    <row r="184">
      <c r="A184" s="55" t="inlineStr">
        <is>
          <t>Cohort month 49</t>
        </is>
      </c>
      <c r="B184" s="55" t="n">
        <v>49</v>
      </c>
      <c r="C184" s="46">
        <f>INDEX(Ops!$E$10:$BL$10,1,$B184)</f>
        <v/>
      </c>
      <c r="BB184" s="56">
        <f>$C184*INDEX(Curves!$F$8:$F$68,BB$4-$B184+1)</f>
        <v/>
      </c>
      <c r="BC184" s="56">
        <f>$C184*INDEX(Curves!$F$8:$F$68,BC$4-$B184+1)</f>
        <v/>
      </c>
      <c r="BD184" s="56">
        <f>$C184*INDEX(Curves!$F$8:$F$68,BD$4-$B184+1)</f>
        <v/>
      </c>
      <c r="BE184" s="56">
        <f>$C184*INDEX(Curves!$F$8:$F$68,BE$4-$B184+1)</f>
        <v/>
      </c>
      <c r="BF184" s="56">
        <f>$C184*INDEX(Curves!$F$8:$F$68,BF$4-$B184+1)</f>
        <v/>
      </c>
      <c r="BG184" s="56">
        <f>$C184*INDEX(Curves!$F$8:$F$68,BG$4-$B184+1)</f>
        <v/>
      </c>
      <c r="BH184" s="56">
        <f>$C184*INDEX(Curves!$F$8:$F$68,BH$4-$B184+1)</f>
        <v/>
      </c>
      <c r="BI184" s="56">
        <f>$C184*INDEX(Curves!$F$8:$F$68,BI$4-$B184+1)</f>
        <v/>
      </c>
      <c r="BJ184" s="56">
        <f>$C184*INDEX(Curves!$F$8:$F$68,BJ$4-$B184+1)</f>
        <v/>
      </c>
      <c r="BK184" s="56">
        <f>$C184*INDEX(Curves!$F$8:$F$68,BK$4-$B184+1)</f>
        <v/>
      </c>
      <c r="BL184" s="56">
        <f>$C184*INDEX(Curves!$F$8:$F$68,BL$4-$B184+1)</f>
        <v/>
      </c>
    </row>
    <row r="185">
      <c r="A185" s="55" t="inlineStr">
        <is>
          <t>Cohort month 50</t>
        </is>
      </c>
      <c r="B185" s="55" t="n">
        <v>50</v>
      </c>
      <c r="C185" s="46">
        <f>INDEX(Ops!$E$10:$BL$10,1,$B185)</f>
        <v/>
      </c>
      <c r="BC185" s="56">
        <f>$C185*INDEX(Curves!$F$8:$F$68,BC$4-$B185+1)</f>
        <v/>
      </c>
      <c r="BD185" s="56">
        <f>$C185*INDEX(Curves!$F$8:$F$68,BD$4-$B185+1)</f>
        <v/>
      </c>
      <c r="BE185" s="56">
        <f>$C185*INDEX(Curves!$F$8:$F$68,BE$4-$B185+1)</f>
        <v/>
      </c>
      <c r="BF185" s="56">
        <f>$C185*INDEX(Curves!$F$8:$F$68,BF$4-$B185+1)</f>
        <v/>
      </c>
      <c r="BG185" s="56">
        <f>$C185*INDEX(Curves!$F$8:$F$68,BG$4-$B185+1)</f>
        <v/>
      </c>
      <c r="BH185" s="56">
        <f>$C185*INDEX(Curves!$F$8:$F$68,BH$4-$B185+1)</f>
        <v/>
      </c>
      <c r="BI185" s="56">
        <f>$C185*INDEX(Curves!$F$8:$F$68,BI$4-$B185+1)</f>
        <v/>
      </c>
      <c r="BJ185" s="56">
        <f>$C185*INDEX(Curves!$F$8:$F$68,BJ$4-$B185+1)</f>
        <v/>
      </c>
      <c r="BK185" s="56">
        <f>$C185*INDEX(Curves!$F$8:$F$68,BK$4-$B185+1)</f>
        <v/>
      </c>
      <c r="BL185" s="56">
        <f>$C185*INDEX(Curves!$F$8:$F$68,BL$4-$B185+1)</f>
        <v/>
      </c>
    </row>
    <row r="186">
      <c r="A186" s="55" t="inlineStr">
        <is>
          <t>Cohort month 51</t>
        </is>
      </c>
      <c r="B186" s="55" t="n">
        <v>51</v>
      </c>
      <c r="C186" s="46">
        <f>INDEX(Ops!$E$10:$BL$10,1,$B186)</f>
        <v/>
      </c>
      <c r="BD186" s="56">
        <f>$C186*INDEX(Curves!$F$8:$F$68,BD$4-$B186+1)</f>
        <v/>
      </c>
      <c r="BE186" s="56">
        <f>$C186*INDEX(Curves!$F$8:$F$68,BE$4-$B186+1)</f>
        <v/>
      </c>
      <c r="BF186" s="56">
        <f>$C186*INDEX(Curves!$F$8:$F$68,BF$4-$B186+1)</f>
        <v/>
      </c>
      <c r="BG186" s="56">
        <f>$C186*INDEX(Curves!$F$8:$F$68,BG$4-$B186+1)</f>
        <v/>
      </c>
      <c r="BH186" s="56">
        <f>$C186*INDEX(Curves!$F$8:$F$68,BH$4-$B186+1)</f>
        <v/>
      </c>
      <c r="BI186" s="56">
        <f>$C186*INDEX(Curves!$F$8:$F$68,BI$4-$B186+1)</f>
        <v/>
      </c>
      <c r="BJ186" s="56">
        <f>$C186*INDEX(Curves!$F$8:$F$68,BJ$4-$B186+1)</f>
        <v/>
      </c>
      <c r="BK186" s="56">
        <f>$C186*INDEX(Curves!$F$8:$F$68,BK$4-$B186+1)</f>
        <v/>
      </c>
      <c r="BL186" s="56">
        <f>$C186*INDEX(Curves!$F$8:$F$68,BL$4-$B186+1)</f>
        <v/>
      </c>
    </row>
    <row r="187">
      <c r="A187" s="55" t="inlineStr">
        <is>
          <t>Cohort month 52</t>
        </is>
      </c>
      <c r="B187" s="55" t="n">
        <v>52</v>
      </c>
      <c r="C187" s="46">
        <f>INDEX(Ops!$E$10:$BL$10,1,$B187)</f>
        <v/>
      </c>
      <c r="BE187" s="56">
        <f>$C187*INDEX(Curves!$F$8:$F$68,BE$4-$B187+1)</f>
        <v/>
      </c>
      <c r="BF187" s="56">
        <f>$C187*INDEX(Curves!$F$8:$F$68,BF$4-$B187+1)</f>
        <v/>
      </c>
      <c r="BG187" s="56">
        <f>$C187*INDEX(Curves!$F$8:$F$68,BG$4-$B187+1)</f>
        <v/>
      </c>
      <c r="BH187" s="56">
        <f>$C187*INDEX(Curves!$F$8:$F$68,BH$4-$B187+1)</f>
        <v/>
      </c>
      <c r="BI187" s="56">
        <f>$C187*INDEX(Curves!$F$8:$F$68,BI$4-$B187+1)</f>
        <v/>
      </c>
      <c r="BJ187" s="56">
        <f>$C187*INDEX(Curves!$F$8:$F$68,BJ$4-$B187+1)</f>
        <v/>
      </c>
      <c r="BK187" s="56">
        <f>$C187*INDEX(Curves!$F$8:$F$68,BK$4-$B187+1)</f>
        <v/>
      </c>
      <c r="BL187" s="56">
        <f>$C187*INDEX(Curves!$F$8:$F$68,BL$4-$B187+1)</f>
        <v/>
      </c>
    </row>
    <row r="188">
      <c r="A188" s="55" t="inlineStr">
        <is>
          <t>Cohort month 53</t>
        </is>
      </c>
      <c r="B188" s="55" t="n">
        <v>53</v>
      </c>
      <c r="C188" s="46">
        <f>INDEX(Ops!$E$10:$BL$10,1,$B188)</f>
        <v/>
      </c>
      <c r="BF188" s="56">
        <f>$C188*INDEX(Curves!$F$8:$F$68,BF$4-$B188+1)</f>
        <v/>
      </c>
      <c r="BG188" s="56">
        <f>$C188*INDEX(Curves!$F$8:$F$68,BG$4-$B188+1)</f>
        <v/>
      </c>
      <c r="BH188" s="56">
        <f>$C188*INDEX(Curves!$F$8:$F$68,BH$4-$B188+1)</f>
        <v/>
      </c>
      <c r="BI188" s="56">
        <f>$C188*INDEX(Curves!$F$8:$F$68,BI$4-$B188+1)</f>
        <v/>
      </c>
      <c r="BJ188" s="56">
        <f>$C188*INDEX(Curves!$F$8:$F$68,BJ$4-$B188+1)</f>
        <v/>
      </c>
      <c r="BK188" s="56">
        <f>$C188*INDEX(Curves!$F$8:$F$68,BK$4-$B188+1)</f>
        <v/>
      </c>
      <c r="BL188" s="56">
        <f>$C188*INDEX(Curves!$F$8:$F$68,BL$4-$B188+1)</f>
        <v/>
      </c>
    </row>
    <row r="189">
      <c r="A189" s="55" t="inlineStr">
        <is>
          <t>Cohort month 54</t>
        </is>
      </c>
      <c r="B189" s="55" t="n">
        <v>54</v>
      </c>
      <c r="C189" s="46">
        <f>INDEX(Ops!$E$10:$BL$10,1,$B189)</f>
        <v/>
      </c>
      <c r="BG189" s="56">
        <f>$C189*INDEX(Curves!$F$8:$F$68,BG$4-$B189+1)</f>
        <v/>
      </c>
      <c r="BH189" s="56">
        <f>$C189*INDEX(Curves!$F$8:$F$68,BH$4-$B189+1)</f>
        <v/>
      </c>
      <c r="BI189" s="56">
        <f>$C189*INDEX(Curves!$F$8:$F$68,BI$4-$B189+1)</f>
        <v/>
      </c>
      <c r="BJ189" s="56">
        <f>$C189*INDEX(Curves!$F$8:$F$68,BJ$4-$B189+1)</f>
        <v/>
      </c>
      <c r="BK189" s="56">
        <f>$C189*INDEX(Curves!$F$8:$F$68,BK$4-$B189+1)</f>
        <v/>
      </c>
      <c r="BL189" s="56">
        <f>$C189*INDEX(Curves!$F$8:$F$68,BL$4-$B189+1)</f>
        <v/>
      </c>
    </row>
    <row r="190">
      <c r="A190" s="55" t="inlineStr">
        <is>
          <t>Cohort month 55</t>
        </is>
      </c>
      <c r="B190" s="55" t="n">
        <v>55</v>
      </c>
      <c r="C190" s="46">
        <f>INDEX(Ops!$E$10:$BL$10,1,$B190)</f>
        <v/>
      </c>
      <c r="BH190" s="56">
        <f>$C190*INDEX(Curves!$F$8:$F$68,BH$4-$B190+1)</f>
        <v/>
      </c>
      <c r="BI190" s="56">
        <f>$C190*INDEX(Curves!$F$8:$F$68,BI$4-$B190+1)</f>
        <v/>
      </c>
      <c r="BJ190" s="56">
        <f>$C190*INDEX(Curves!$F$8:$F$68,BJ$4-$B190+1)</f>
        <v/>
      </c>
      <c r="BK190" s="56">
        <f>$C190*INDEX(Curves!$F$8:$F$68,BK$4-$B190+1)</f>
        <v/>
      </c>
      <c r="BL190" s="56">
        <f>$C190*INDEX(Curves!$F$8:$F$68,BL$4-$B190+1)</f>
        <v/>
      </c>
    </row>
    <row r="191">
      <c r="A191" s="55" t="inlineStr">
        <is>
          <t>Cohort month 56</t>
        </is>
      </c>
      <c r="B191" s="55" t="n">
        <v>56</v>
      </c>
      <c r="C191" s="46">
        <f>INDEX(Ops!$E$10:$BL$10,1,$B191)</f>
        <v/>
      </c>
      <c r="BI191" s="56">
        <f>$C191*INDEX(Curves!$F$8:$F$68,BI$4-$B191+1)</f>
        <v/>
      </c>
      <c r="BJ191" s="56">
        <f>$C191*INDEX(Curves!$F$8:$F$68,BJ$4-$B191+1)</f>
        <v/>
      </c>
      <c r="BK191" s="56">
        <f>$C191*INDEX(Curves!$F$8:$F$68,BK$4-$B191+1)</f>
        <v/>
      </c>
      <c r="BL191" s="56">
        <f>$C191*INDEX(Curves!$F$8:$F$68,BL$4-$B191+1)</f>
        <v/>
      </c>
    </row>
    <row r="192">
      <c r="A192" s="55" t="inlineStr">
        <is>
          <t>Cohort month 57</t>
        </is>
      </c>
      <c r="B192" s="55" t="n">
        <v>57</v>
      </c>
      <c r="C192" s="46">
        <f>INDEX(Ops!$E$10:$BL$10,1,$B192)</f>
        <v/>
      </c>
      <c r="BJ192" s="56">
        <f>$C192*INDEX(Curves!$F$8:$F$68,BJ$4-$B192+1)</f>
        <v/>
      </c>
      <c r="BK192" s="56">
        <f>$C192*INDEX(Curves!$F$8:$F$68,BK$4-$B192+1)</f>
        <v/>
      </c>
      <c r="BL192" s="56">
        <f>$C192*INDEX(Curves!$F$8:$F$68,BL$4-$B192+1)</f>
        <v/>
      </c>
    </row>
    <row r="193">
      <c r="A193" s="55" t="inlineStr">
        <is>
          <t>Cohort month 58</t>
        </is>
      </c>
      <c r="B193" s="55" t="n">
        <v>58</v>
      </c>
      <c r="C193" s="46">
        <f>INDEX(Ops!$E$10:$BL$10,1,$B193)</f>
        <v/>
      </c>
      <c r="BK193" s="56">
        <f>$C193*INDEX(Curves!$F$8:$F$68,BK$4-$B193+1)</f>
        <v/>
      </c>
      <c r="BL193" s="56">
        <f>$C193*INDEX(Curves!$F$8:$F$68,BL$4-$B193+1)</f>
        <v/>
      </c>
    </row>
    <row r="194">
      <c r="A194" s="55" t="inlineStr">
        <is>
          <t>Cohort month 59</t>
        </is>
      </c>
      <c r="B194" s="55" t="n">
        <v>59</v>
      </c>
      <c r="C194" s="46">
        <f>INDEX(Ops!$E$10:$BL$10,1,$B194)</f>
        <v/>
      </c>
      <c r="BL194" s="56">
        <f>$C194*INDEX(Curves!$F$8:$F$68,BL$4-$B194+1)</f>
        <v/>
      </c>
    </row>
    <row r="195">
      <c r="A195" s="55" t="inlineStr">
        <is>
          <t>Cohort month 60</t>
        </is>
      </c>
      <c r="B195" s="55" t="n">
        <v>60</v>
      </c>
      <c r="C195" s="46">
        <f>INDEX(Ops!$E$10:$BL$10,1,$B195)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L195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</cols>
  <sheetData>
    <row r="1">
      <c r="A1" s="1" t="inlineStr">
        <is>
          <t>Cohort (vintage) matrix - P2 SHS lights+radio (Tier 2)</t>
        </is>
      </c>
    </row>
    <row r="2">
      <c r="A2" s="2" t="inlineStr">
        <is>
          <t>Rows = sales cohort (month of sale); columns = calendar month. Cohort size in column C.</t>
        </is>
      </c>
    </row>
    <row r="3"/>
    <row r="4">
      <c r="A4" s="40" t="inlineStr">
        <is>
          <t>Month #</t>
        </is>
      </c>
      <c r="B4" s="41" t="n"/>
      <c r="C4" s="41" t="n"/>
      <c r="D4" s="40" t="inlineStr">
        <is>
          <t>Opening</t>
        </is>
      </c>
      <c r="E4" s="42">
        <f>Timeline!E4</f>
        <v/>
      </c>
      <c r="F4" s="42">
        <f>Timeline!F4</f>
        <v/>
      </c>
      <c r="G4" s="42">
        <f>Timeline!G4</f>
        <v/>
      </c>
      <c r="H4" s="42">
        <f>Timeline!H4</f>
        <v/>
      </c>
      <c r="I4" s="42">
        <f>Timeline!I4</f>
        <v/>
      </c>
      <c r="J4" s="42">
        <f>Timeline!J4</f>
        <v/>
      </c>
      <c r="K4" s="42">
        <f>Timeline!K4</f>
        <v/>
      </c>
      <c r="L4" s="42">
        <f>Timeline!L4</f>
        <v/>
      </c>
      <c r="M4" s="42">
        <f>Timeline!M4</f>
        <v/>
      </c>
      <c r="N4" s="42">
        <f>Timeline!N4</f>
        <v/>
      </c>
      <c r="O4" s="42">
        <f>Timeline!O4</f>
        <v/>
      </c>
      <c r="P4" s="42">
        <f>Timeline!P4</f>
        <v/>
      </c>
      <c r="Q4" s="42">
        <f>Timeline!Q4</f>
        <v/>
      </c>
      <c r="R4" s="42">
        <f>Timeline!R4</f>
        <v/>
      </c>
      <c r="S4" s="42">
        <f>Timeline!S4</f>
        <v/>
      </c>
      <c r="T4" s="42">
        <f>Timeline!T4</f>
        <v/>
      </c>
      <c r="U4" s="42">
        <f>Timeline!U4</f>
        <v/>
      </c>
      <c r="V4" s="42">
        <f>Timeline!V4</f>
        <v/>
      </c>
      <c r="W4" s="42">
        <f>Timeline!W4</f>
        <v/>
      </c>
      <c r="X4" s="42">
        <f>Timeline!X4</f>
        <v/>
      </c>
      <c r="Y4" s="42">
        <f>Timeline!Y4</f>
        <v/>
      </c>
      <c r="Z4" s="42">
        <f>Timeline!Z4</f>
        <v/>
      </c>
      <c r="AA4" s="42">
        <f>Timeline!AA4</f>
        <v/>
      </c>
      <c r="AB4" s="42">
        <f>Timeline!AB4</f>
        <v/>
      </c>
      <c r="AC4" s="42">
        <f>Timeline!AC4</f>
        <v/>
      </c>
      <c r="AD4" s="42">
        <f>Timeline!AD4</f>
        <v/>
      </c>
      <c r="AE4" s="42">
        <f>Timeline!AE4</f>
        <v/>
      </c>
      <c r="AF4" s="42">
        <f>Timeline!AF4</f>
        <v/>
      </c>
      <c r="AG4" s="42">
        <f>Timeline!AG4</f>
        <v/>
      </c>
      <c r="AH4" s="42">
        <f>Timeline!AH4</f>
        <v/>
      </c>
      <c r="AI4" s="42">
        <f>Timeline!AI4</f>
        <v/>
      </c>
      <c r="AJ4" s="42">
        <f>Timeline!AJ4</f>
        <v/>
      </c>
      <c r="AK4" s="42">
        <f>Timeline!AK4</f>
        <v/>
      </c>
      <c r="AL4" s="42">
        <f>Timeline!AL4</f>
        <v/>
      </c>
      <c r="AM4" s="42">
        <f>Timeline!AM4</f>
        <v/>
      </c>
      <c r="AN4" s="42">
        <f>Timeline!AN4</f>
        <v/>
      </c>
      <c r="AO4" s="42">
        <f>Timeline!AO4</f>
        <v/>
      </c>
      <c r="AP4" s="42">
        <f>Timeline!AP4</f>
        <v/>
      </c>
      <c r="AQ4" s="42">
        <f>Timeline!AQ4</f>
        <v/>
      </c>
      <c r="AR4" s="42">
        <f>Timeline!AR4</f>
        <v/>
      </c>
      <c r="AS4" s="42">
        <f>Timeline!AS4</f>
        <v/>
      </c>
      <c r="AT4" s="42">
        <f>Timeline!AT4</f>
        <v/>
      </c>
      <c r="AU4" s="42">
        <f>Timeline!AU4</f>
        <v/>
      </c>
      <c r="AV4" s="42">
        <f>Timeline!AV4</f>
        <v/>
      </c>
      <c r="AW4" s="42">
        <f>Timeline!AW4</f>
        <v/>
      </c>
      <c r="AX4" s="42">
        <f>Timeline!AX4</f>
        <v/>
      </c>
      <c r="AY4" s="42">
        <f>Timeline!AY4</f>
        <v/>
      </c>
      <c r="AZ4" s="42">
        <f>Timeline!AZ4</f>
        <v/>
      </c>
      <c r="BA4" s="42">
        <f>Timeline!BA4</f>
        <v/>
      </c>
      <c r="BB4" s="42">
        <f>Timeline!BB4</f>
        <v/>
      </c>
      <c r="BC4" s="42">
        <f>Timeline!BC4</f>
        <v/>
      </c>
      <c r="BD4" s="42">
        <f>Timeline!BD4</f>
        <v/>
      </c>
      <c r="BE4" s="42">
        <f>Timeline!BE4</f>
        <v/>
      </c>
      <c r="BF4" s="42">
        <f>Timeline!BF4</f>
        <v/>
      </c>
      <c r="BG4" s="42">
        <f>Timeline!BG4</f>
        <v/>
      </c>
      <c r="BH4" s="42">
        <f>Timeline!BH4</f>
        <v/>
      </c>
      <c r="BI4" s="42">
        <f>Timeline!BI4</f>
        <v/>
      </c>
      <c r="BJ4" s="42">
        <f>Timeline!BJ4</f>
        <v/>
      </c>
      <c r="BK4" s="42">
        <f>Timeline!BK4</f>
        <v/>
      </c>
      <c r="BL4" s="42">
        <f>Timeline!BL4</f>
        <v/>
      </c>
    </row>
    <row r="5">
      <c r="A5" s="40" t="inlineStr">
        <is>
          <t>Period end</t>
        </is>
      </c>
      <c r="B5" s="41" t="n"/>
      <c r="C5" s="41" t="n"/>
      <c r="D5" s="40" t="n"/>
      <c r="E5" s="43">
        <f>Timeline!E5</f>
        <v/>
      </c>
      <c r="F5" s="43">
        <f>Timeline!F5</f>
        <v/>
      </c>
      <c r="G5" s="43">
        <f>Timeline!G5</f>
        <v/>
      </c>
      <c r="H5" s="43">
        <f>Timeline!H5</f>
        <v/>
      </c>
      <c r="I5" s="43">
        <f>Timeline!I5</f>
        <v/>
      </c>
      <c r="J5" s="43">
        <f>Timeline!J5</f>
        <v/>
      </c>
      <c r="K5" s="43">
        <f>Timeline!K5</f>
        <v/>
      </c>
      <c r="L5" s="43">
        <f>Timeline!L5</f>
        <v/>
      </c>
      <c r="M5" s="43">
        <f>Timeline!M5</f>
        <v/>
      </c>
      <c r="N5" s="43">
        <f>Timeline!N5</f>
        <v/>
      </c>
      <c r="O5" s="43">
        <f>Timeline!O5</f>
        <v/>
      </c>
      <c r="P5" s="43">
        <f>Timeline!P5</f>
        <v/>
      </c>
      <c r="Q5" s="43">
        <f>Timeline!Q5</f>
        <v/>
      </c>
      <c r="R5" s="43">
        <f>Timeline!R5</f>
        <v/>
      </c>
      <c r="S5" s="43">
        <f>Timeline!S5</f>
        <v/>
      </c>
      <c r="T5" s="43">
        <f>Timeline!T5</f>
        <v/>
      </c>
      <c r="U5" s="43">
        <f>Timeline!U5</f>
        <v/>
      </c>
      <c r="V5" s="43">
        <f>Timeline!V5</f>
        <v/>
      </c>
      <c r="W5" s="43">
        <f>Timeline!W5</f>
        <v/>
      </c>
      <c r="X5" s="43">
        <f>Timeline!X5</f>
        <v/>
      </c>
      <c r="Y5" s="43">
        <f>Timeline!Y5</f>
        <v/>
      </c>
      <c r="Z5" s="43">
        <f>Timeline!Z5</f>
        <v/>
      </c>
      <c r="AA5" s="43">
        <f>Timeline!AA5</f>
        <v/>
      </c>
      <c r="AB5" s="43">
        <f>Timeline!AB5</f>
        <v/>
      </c>
      <c r="AC5" s="43">
        <f>Timeline!AC5</f>
        <v/>
      </c>
      <c r="AD5" s="43">
        <f>Timeline!AD5</f>
        <v/>
      </c>
      <c r="AE5" s="43">
        <f>Timeline!AE5</f>
        <v/>
      </c>
      <c r="AF5" s="43">
        <f>Timeline!AF5</f>
        <v/>
      </c>
      <c r="AG5" s="43">
        <f>Timeline!AG5</f>
        <v/>
      </c>
      <c r="AH5" s="43">
        <f>Timeline!AH5</f>
        <v/>
      </c>
      <c r="AI5" s="43">
        <f>Timeline!AI5</f>
        <v/>
      </c>
      <c r="AJ5" s="43">
        <f>Timeline!AJ5</f>
        <v/>
      </c>
      <c r="AK5" s="43">
        <f>Timeline!AK5</f>
        <v/>
      </c>
      <c r="AL5" s="43">
        <f>Timeline!AL5</f>
        <v/>
      </c>
      <c r="AM5" s="43">
        <f>Timeline!AM5</f>
        <v/>
      </c>
      <c r="AN5" s="43">
        <f>Timeline!AN5</f>
        <v/>
      </c>
      <c r="AO5" s="43">
        <f>Timeline!AO5</f>
        <v/>
      </c>
      <c r="AP5" s="43">
        <f>Timeline!AP5</f>
        <v/>
      </c>
      <c r="AQ5" s="43">
        <f>Timeline!AQ5</f>
        <v/>
      </c>
      <c r="AR5" s="43">
        <f>Timeline!AR5</f>
        <v/>
      </c>
      <c r="AS5" s="43">
        <f>Timeline!AS5</f>
        <v/>
      </c>
      <c r="AT5" s="43">
        <f>Timeline!AT5</f>
        <v/>
      </c>
      <c r="AU5" s="43">
        <f>Timeline!AU5</f>
        <v/>
      </c>
      <c r="AV5" s="43">
        <f>Timeline!AV5</f>
        <v/>
      </c>
      <c r="AW5" s="43">
        <f>Timeline!AW5</f>
        <v/>
      </c>
      <c r="AX5" s="43">
        <f>Timeline!AX5</f>
        <v/>
      </c>
      <c r="AY5" s="43">
        <f>Timeline!AY5</f>
        <v/>
      </c>
      <c r="AZ5" s="43">
        <f>Timeline!AZ5</f>
        <v/>
      </c>
      <c r="BA5" s="43">
        <f>Timeline!BA5</f>
        <v/>
      </c>
      <c r="BB5" s="43">
        <f>Timeline!BB5</f>
        <v/>
      </c>
      <c r="BC5" s="43">
        <f>Timeline!BC5</f>
        <v/>
      </c>
      <c r="BD5" s="43">
        <f>Timeline!BD5</f>
        <v/>
      </c>
      <c r="BE5" s="43">
        <f>Timeline!BE5</f>
        <v/>
      </c>
      <c r="BF5" s="43">
        <f>Timeline!BF5</f>
        <v/>
      </c>
      <c r="BG5" s="43">
        <f>Timeline!BG5</f>
        <v/>
      </c>
      <c r="BH5" s="43">
        <f>Timeline!BH5</f>
        <v/>
      </c>
      <c r="BI5" s="43">
        <f>Timeline!BI5</f>
        <v/>
      </c>
      <c r="BJ5" s="43">
        <f>Timeline!BJ5</f>
        <v/>
      </c>
      <c r="BK5" s="43">
        <f>Timeline!BK5</f>
        <v/>
      </c>
      <c r="BL5" s="43">
        <f>Timeline!BL5</f>
        <v/>
      </c>
    </row>
    <row r="6">
      <c r="A6" s="40" t="inlineStr">
        <is>
          <t>Year #</t>
        </is>
      </c>
      <c r="B6" s="41" t="n"/>
      <c r="C6" s="41" t="n"/>
      <c r="D6" s="40" t="n"/>
      <c r="E6" s="42">
        <f>Timeline!E6</f>
        <v/>
      </c>
      <c r="F6" s="42">
        <f>Timeline!F6</f>
        <v/>
      </c>
      <c r="G6" s="42">
        <f>Timeline!G6</f>
        <v/>
      </c>
      <c r="H6" s="42">
        <f>Timeline!H6</f>
        <v/>
      </c>
      <c r="I6" s="42">
        <f>Timeline!I6</f>
        <v/>
      </c>
      <c r="J6" s="42">
        <f>Timeline!J6</f>
        <v/>
      </c>
      <c r="K6" s="42">
        <f>Timeline!K6</f>
        <v/>
      </c>
      <c r="L6" s="42">
        <f>Timeline!L6</f>
        <v/>
      </c>
      <c r="M6" s="42">
        <f>Timeline!M6</f>
        <v/>
      </c>
      <c r="N6" s="42">
        <f>Timeline!N6</f>
        <v/>
      </c>
      <c r="O6" s="42">
        <f>Timeline!O6</f>
        <v/>
      </c>
      <c r="P6" s="42">
        <f>Timeline!P6</f>
        <v/>
      </c>
      <c r="Q6" s="42">
        <f>Timeline!Q6</f>
        <v/>
      </c>
      <c r="R6" s="42">
        <f>Timeline!R6</f>
        <v/>
      </c>
      <c r="S6" s="42">
        <f>Timeline!S6</f>
        <v/>
      </c>
      <c r="T6" s="42">
        <f>Timeline!T6</f>
        <v/>
      </c>
      <c r="U6" s="42">
        <f>Timeline!U6</f>
        <v/>
      </c>
      <c r="V6" s="42">
        <f>Timeline!V6</f>
        <v/>
      </c>
      <c r="W6" s="42">
        <f>Timeline!W6</f>
        <v/>
      </c>
      <c r="X6" s="42">
        <f>Timeline!X6</f>
        <v/>
      </c>
      <c r="Y6" s="42">
        <f>Timeline!Y6</f>
        <v/>
      </c>
      <c r="Z6" s="42">
        <f>Timeline!Z6</f>
        <v/>
      </c>
      <c r="AA6" s="42">
        <f>Timeline!AA6</f>
        <v/>
      </c>
      <c r="AB6" s="42">
        <f>Timeline!AB6</f>
        <v/>
      </c>
      <c r="AC6" s="42">
        <f>Timeline!AC6</f>
        <v/>
      </c>
      <c r="AD6" s="42">
        <f>Timeline!AD6</f>
        <v/>
      </c>
      <c r="AE6" s="42">
        <f>Timeline!AE6</f>
        <v/>
      </c>
      <c r="AF6" s="42">
        <f>Timeline!AF6</f>
        <v/>
      </c>
      <c r="AG6" s="42">
        <f>Timeline!AG6</f>
        <v/>
      </c>
      <c r="AH6" s="42">
        <f>Timeline!AH6</f>
        <v/>
      </c>
      <c r="AI6" s="42">
        <f>Timeline!AI6</f>
        <v/>
      </c>
      <c r="AJ6" s="42">
        <f>Timeline!AJ6</f>
        <v/>
      </c>
      <c r="AK6" s="42">
        <f>Timeline!AK6</f>
        <v/>
      </c>
      <c r="AL6" s="42">
        <f>Timeline!AL6</f>
        <v/>
      </c>
      <c r="AM6" s="42">
        <f>Timeline!AM6</f>
        <v/>
      </c>
      <c r="AN6" s="42">
        <f>Timeline!AN6</f>
        <v/>
      </c>
      <c r="AO6" s="42">
        <f>Timeline!AO6</f>
        <v/>
      </c>
      <c r="AP6" s="42">
        <f>Timeline!AP6</f>
        <v/>
      </c>
      <c r="AQ6" s="42">
        <f>Timeline!AQ6</f>
        <v/>
      </c>
      <c r="AR6" s="42">
        <f>Timeline!AR6</f>
        <v/>
      </c>
      <c r="AS6" s="42">
        <f>Timeline!AS6</f>
        <v/>
      </c>
      <c r="AT6" s="42">
        <f>Timeline!AT6</f>
        <v/>
      </c>
      <c r="AU6" s="42">
        <f>Timeline!AU6</f>
        <v/>
      </c>
      <c r="AV6" s="42">
        <f>Timeline!AV6</f>
        <v/>
      </c>
      <c r="AW6" s="42">
        <f>Timeline!AW6</f>
        <v/>
      </c>
      <c r="AX6" s="42">
        <f>Timeline!AX6</f>
        <v/>
      </c>
      <c r="AY6" s="42">
        <f>Timeline!AY6</f>
        <v/>
      </c>
      <c r="AZ6" s="42">
        <f>Timeline!AZ6</f>
        <v/>
      </c>
      <c r="BA6" s="42">
        <f>Timeline!BA6</f>
        <v/>
      </c>
      <c r="BB6" s="42">
        <f>Timeline!BB6</f>
        <v/>
      </c>
      <c r="BC6" s="42">
        <f>Timeline!BC6</f>
        <v/>
      </c>
      <c r="BD6" s="42">
        <f>Timeline!BD6</f>
        <v/>
      </c>
      <c r="BE6" s="42">
        <f>Timeline!BE6</f>
        <v/>
      </c>
      <c r="BF6" s="42">
        <f>Timeline!BF6</f>
        <v/>
      </c>
      <c r="BG6" s="42">
        <f>Timeline!BG6</f>
        <v/>
      </c>
      <c r="BH6" s="42">
        <f>Timeline!BH6</f>
        <v/>
      </c>
      <c r="BI6" s="42">
        <f>Timeline!BI6</f>
        <v/>
      </c>
      <c r="BJ6" s="42">
        <f>Timeline!BJ6</f>
        <v/>
      </c>
      <c r="BK6" s="42">
        <f>Timeline!BK6</f>
        <v/>
      </c>
      <c r="BL6" s="42">
        <f>Timeline!BL6</f>
        <v/>
      </c>
    </row>
    <row r="7"/>
    <row r="8">
      <c r="A8" s="11" t="inlineStr">
        <is>
          <t>Instalments collected by cohort (LCY)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  <c r="BJ8" s="12" t="n"/>
      <c r="BK8" s="12" t="n"/>
      <c r="BL8" s="12" t="n"/>
    </row>
    <row r="9">
      <c r="A9" s="47" t="inlineStr">
        <is>
          <t>Total</t>
        </is>
      </c>
      <c r="B9" s="48" t="inlineStr"/>
      <c r="C9" s="50" t="n"/>
      <c r="D9" s="50" t="n"/>
      <c r="E9" s="51">
        <f>SUM(E10:E69)</f>
        <v/>
      </c>
      <c r="F9" s="51">
        <f>SUM(F10:F69)</f>
        <v/>
      </c>
      <c r="G9" s="51">
        <f>SUM(G10:G69)</f>
        <v/>
      </c>
      <c r="H9" s="51">
        <f>SUM(H10:H69)</f>
        <v/>
      </c>
      <c r="I9" s="51">
        <f>SUM(I10:I69)</f>
        <v/>
      </c>
      <c r="J9" s="51">
        <f>SUM(J10:J69)</f>
        <v/>
      </c>
      <c r="K9" s="51">
        <f>SUM(K10:K69)</f>
        <v/>
      </c>
      <c r="L9" s="51">
        <f>SUM(L10:L69)</f>
        <v/>
      </c>
      <c r="M9" s="51">
        <f>SUM(M10:M69)</f>
        <v/>
      </c>
      <c r="N9" s="51">
        <f>SUM(N10:N69)</f>
        <v/>
      </c>
      <c r="O9" s="51">
        <f>SUM(O10:O69)</f>
        <v/>
      </c>
      <c r="P9" s="51">
        <f>SUM(P10:P69)</f>
        <v/>
      </c>
      <c r="Q9" s="51">
        <f>SUM(Q10:Q69)</f>
        <v/>
      </c>
      <c r="R9" s="51">
        <f>SUM(R10:R69)</f>
        <v/>
      </c>
      <c r="S9" s="51">
        <f>SUM(S10:S69)</f>
        <v/>
      </c>
      <c r="T9" s="51">
        <f>SUM(T10:T69)</f>
        <v/>
      </c>
      <c r="U9" s="51">
        <f>SUM(U10:U69)</f>
        <v/>
      </c>
      <c r="V9" s="51">
        <f>SUM(V10:V69)</f>
        <v/>
      </c>
      <c r="W9" s="51">
        <f>SUM(W10:W69)</f>
        <v/>
      </c>
      <c r="X9" s="51">
        <f>SUM(X10:X69)</f>
        <v/>
      </c>
      <c r="Y9" s="51">
        <f>SUM(Y10:Y69)</f>
        <v/>
      </c>
      <c r="Z9" s="51">
        <f>SUM(Z10:Z69)</f>
        <v/>
      </c>
      <c r="AA9" s="51">
        <f>SUM(AA10:AA69)</f>
        <v/>
      </c>
      <c r="AB9" s="51">
        <f>SUM(AB10:AB69)</f>
        <v/>
      </c>
      <c r="AC9" s="51">
        <f>SUM(AC10:AC69)</f>
        <v/>
      </c>
      <c r="AD9" s="51">
        <f>SUM(AD10:AD69)</f>
        <v/>
      </c>
      <c r="AE9" s="51">
        <f>SUM(AE10:AE69)</f>
        <v/>
      </c>
      <c r="AF9" s="51">
        <f>SUM(AF10:AF69)</f>
        <v/>
      </c>
      <c r="AG9" s="51">
        <f>SUM(AG10:AG69)</f>
        <v/>
      </c>
      <c r="AH9" s="51">
        <f>SUM(AH10:AH69)</f>
        <v/>
      </c>
      <c r="AI9" s="51">
        <f>SUM(AI10:AI69)</f>
        <v/>
      </c>
      <c r="AJ9" s="51">
        <f>SUM(AJ10:AJ69)</f>
        <v/>
      </c>
      <c r="AK9" s="51">
        <f>SUM(AK10:AK69)</f>
        <v/>
      </c>
      <c r="AL9" s="51">
        <f>SUM(AL10:AL69)</f>
        <v/>
      </c>
      <c r="AM9" s="51">
        <f>SUM(AM10:AM69)</f>
        <v/>
      </c>
      <c r="AN9" s="51">
        <f>SUM(AN10:AN69)</f>
        <v/>
      </c>
      <c r="AO9" s="51">
        <f>SUM(AO10:AO69)</f>
        <v/>
      </c>
      <c r="AP9" s="51">
        <f>SUM(AP10:AP69)</f>
        <v/>
      </c>
      <c r="AQ9" s="51">
        <f>SUM(AQ10:AQ69)</f>
        <v/>
      </c>
      <c r="AR9" s="51">
        <f>SUM(AR10:AR69)</f>
        <v/>
      </c>
      <c r="AS9" s="51">
        <f>SUM(AS10:AS69)</f>
        <v/>
      </c>
      <c r="AT9" s="51">
        <f>SUM(AT10:AT69)</f>
        <v/>
      </c>
      <c r="AU9" s="51">
        <f>SUM(AU10:AU69)</f>
        <v/>
      </c>
      <c r="AV9" s="51">
        <f>SUM(AV10:AV69)</f>
        <v/>
      </c>
      <c r="AW9" s="51">
        <f>SUM(AW10:AW69)</f>
        <v/>
      </c>
      <c r="AX9" s="51">
        <f>SUM(AX10:AX69)</f>
        <v/>
      </c>
      <c r="AY9" s="51">
        <f>SUM(AY10:AY69)</f>
        <v/>
      </c>
      <c r="AZ9" s="51">
        <f>SUM(AZ10:AZ69)</f>
        <v/>
      </c>
      <c r="BA9" s="51">
        <f>SUM(BA10:BA69)</f>
        <v/>
      </c>
      <c r="BB9" s="51">
        <f>SUM(BB10:BB69)</f>
        <v/>
      </c>
      <c r="BC9" s="51">
        <f>SUM(BC10:BC69)</f>
        <v/>
      </c>
      <c r="BD9" s="51">
        <f>SUM(BD10:BD69)</f>
        <v/>
      </c>
      <c r="BE9" s="51">
        <f>SUM(BE10:BE69)</f>
        <v/>
      </c>
      <c r="BF9" s="51">
        <f>SUM(BF10:BF69)</f>
        <v/>
      </c>
      <c r="BG9" s="51">
        <f>SUM(BG10:BG69)</f>
        <v/>
      </c>
      <c r="BH9" s="51">
        <f>SUM(BH10:BH69)</f>
        <v/>
      </c>
      <c r="BI9" s="51">
        <f>SUM(BI10:BI69)</f>
        <v/>
      </c>
      <c r="BJ9" s="51">
        <f>SUM(BJ10:BJ69)</f>
        <v/>
      </c>
      <c r="BK9" s="51">
        <f>SUM(BK10:BK69)</f>
        <v/>
      </c>
      <c r="BL9" s="51">
        <f>SUM(BL10:BL69)</f>
        <v/>
      </c>
    </row>
    <row r="10">
      <c r="A10" s="55" t="inlineStr">
        <is>
          <t>Cohort month 1</t>
        </is>
      </c>
      <c r="B10" s="55" t="n">
        <v>1</v>
      </c>
      <c r="C10" s="46">
        <f>INDEX(Ops!$E$25:$BL$25,1,$B10)</f>
        <v/>
      </c>
      <c r="F10" s="56">
        <f>$C10*INDEX(Curves!$M$8:$M$68,F$4-$B10+1)</f>
        <v/>
      </c>
      <c r="G10" s="56">
        <f>$C10*INDEX(Curves!$M$8:$M$68,G$4-$B10+1)</f>
        <v/>
      </c>
      <c r="H10" s="56">
        <f>$C10*INDEX(Curves!$M$8:$M$68,H$4-$B10+1)</f>
        <v/>
      </c>
      <c r="I10" s="56">
        <f>$C10*INDEX(Curves!$M$8:$M$68,I$4-$B10+1)</f>
        <v/>
      </c>
      <c r="J10" s="56">
        <f>$C10*INDEX(Curves!$M$8:$M$68,J$4-$B10+1)</f>
        <v/>
      </c>
      <c r="K10" s="56">
        <f>$C10*INDEX(Curves!$M$8:$M$68,K$4-$B10+1)</f>
        <v/>
      </c>
      <c r="L10" s="56">
        <f>$C10*INDEX(Curves!$M$8:$M$68,L$4-$B10+1)</f>
        <v/>
      </c>
      <c r="M10" s="56">
        <f>$C10*INDEX(Curves!$M$8:$M$68,M$4-$B10+1)</f>
        <v/>
      </c>
      <c r="N10" s="56">
        <f>$C10*INDEX(Curves!$M$8:$M$68,N$4-$B10+1)</f>
        <v/>
      </c>
      <c r="O10" s="56">
        <f>$C10*INDEX(Curves!$M$8:$M$68,O$4-$B10+1)</f>
        <v/>
      </c>
      <c r="P10" s="56">
        <f>$C10*INDEX(Curves!$M$8:$M$68,P$4-$B10+1)</f>
        <v/>
      </c>
      <c r="Q10" s="56">
        <f>$C10*INDEX(Curves!$M$8:$M$68,Q$4-$B10+1)</f>
        <v/>
      </c>
      <c r="R10" s="56">
        <f>$C10*INDEX(Curves!$M$8:$M$68,R$4-$B10+1)</f>
        <v/>
      </c>
      <c r="S10" s="56">
        <f>$C10*INDEX(Curves!$M$8:$M$68,S$4-$B10+1)</f>
        <v/>
      </c>
      <c r="T10" s="56">
        <f>$C10*INDEX(Curves!$M$8:$M$68,T$4-$B10+1)</f>
        <v/>
      </c>
      <c r="U10" s="56">
        <f>$C10*INDEX(Curves!$M$8:$M$68,U$4-$B10+1)</f>
        <v/>
      </c>
      <c r="V10" s="56">
        <f>$C10*INDEX(Curves!$M$8:$M$68,V$4-$B10+1)</f>
        <v/>
      </c>
      <c r="W10" s="56">
        <f>$C10*INDEX(Curves!$M$8:$M$68,W$4-$B10+1)</f>
        <v/>
      </c>
      <c r="X10" s="56">
        <f>$C10*INDEX(Curves!$M$8:$M$68,X$4-$B10+1)</f>
        <v/>
      </c>
      <c r="Y10" s="56">
        <f>$C10*INDEX(Curves!$M$8:$M$68,Y$4-$B10+1)</f>
        <v/>
      </c>
      <c r="Z10" s="56">
        <f>$C10*INDEX(Curves!$M$8:$M$68,Z$4-$B10+1)</f>
        <v/>
      </c>
      <c r="AA10" s="56">
        <f>$C10*INDEX(Curves!$M$8:$M$68,AA$4-$B10+1)</f>
        <v/>
      </c>
      <c r="AB10" s="56">
        <f>$C10*INDEX(Curves!$M$8:$M$68,AB$4-$B10+1)</f>
        <v/>
      </c>
      <c r="AC10" s="56">
        <f>$C10*INDEX(Curves!$M$8:$M$68,AC$4-$B10+1)</f>
        <v/>
      </c>
      <c r="AD10" s="56">
        <f>$C10*INDEX(Curves!$M$8:$M$68,AD$4-$B10+1)</f>
        <v/>
      </c>
      <c r="AE10" s="56">
        <f>$C10*INDEX(Curves!$M$8:$M$68,AE$4-$B10+1)</f>
        <v/>
      </c>
      <c r="AF10" s="56">
        <f>$C10*INDEX(Curves!$M$8:$M$68,AF$4-$B10+1)</f>
        <v/>
      </c>
      <c r="AG10" s="56">
        <f>$C10*INDEX(Curves!$M$8:$M$68,AG$4-$B10+1)</f>
        <v/>
      </c>
      <c r="AH10" s="56">
        <f>$C10*INDEX(Curves!$M$8:$M$68,AH$4-$B10+1)</f>
        <v/>
      </c>
      <c r="AI10" s="56">
        <f>$C10*INDEX(Curves!$M$8:$M$68,AI$4-$B10+1)</f>
        <v/>
      </c>
      <c r="AJ10" s="56">
        <f>$C10*INDEX(Curves!$M$8:$M$68,AJ$4-$B10+1)</f>
        <v/>
      </c>
      <c r="AK10" s="56">
        <f>$C10*INDEX(Curves!$M$8:$M$68,AK$4-$B10+1)</f>
        <v/>
      </c>
      <c r="AL10" s="56">
        <f>$C10*INDEX(Curves!$M$8:$M$68,AL$4-$B10+1)</f>
        <v/>
      </c>
      <c r="AM10" s="56">
        <f>$C10*INDEX(Curves!$M$8:$M$68,AM$4-$B10+1)</f>
        <v/>
      </c>
      <c r="AN10" s="56">
        <f>$C10*INDEX(Curves!$M$8:$M$68,AN$4-$B10+1)</f>
        <v/>
      </c>
      <c r="AO10" s="56">
        <f>$C10*INDEX(Curves!$M$8:$M$68,AO$4-$B10+1)</f>
        <v/>
      </c>
      <c r="AP10" s="56">
        <f>$C10*INDEX(Curves!$M$8:$M$68,AP$4-$B10+1)</f>
        <v/>
      </c>
      <c r="AQ10" s="56">
        <f>$C10*INDEX(Curves!$M$8:$M$68,AQ$4-$B10+1)</f>
        <v/>
      </c>
      <c r="AR10" s="56">
        <f>$C10*INDEX(Curves!$M$8:$M$68,AR$4-$B10+1)</f>
        <v/>
      </c>
      <c r="AS10" s="56">
        <f>$C10*INDEX(Curves!$M$8:$M$68,AS$4-$B10+1)</f>
        <v/>
      </c>
      <c r="AT10" s="56">
        <f>$C10*INDEX(Curves!$M$8:$M$68,AT$4-$B10+1)</f>
        <v/>
      </c>
      <c r="AU10" s="56">
        <f>$C10*INDEX(Curves!$M$8:$M$68,AU$4-$B10+1)</f>
        <v/>
      </c>
      <c r="AV10" s="56">
        <f>$C10*INDEX(Curves!$M$8:$M$68,AV$4-$B10+1)</f>
        <v/>
      </c>
      <c r="AW10" s="56">
        <f>$C10*INDEX(Curves!$M$8:$M$68,AW$4-$B10+1)</f>
        <v/>
      </c>
      <c r="AX10" s="56">
        <f>$C10*INDEX(Curves!$M$8:$M$68,AX$4-$B10+1)</f>
        <v/>
      </c>
      <c r="AY10" s="56">
        <f>$C10*INDEX(Curves!$M$8:$M$68,AY$4-$B10+1)</f>
        <v/>
      </c>
      <c r="AZ10" s="56">
        <f>$C10*INDEX(Curves!$M$8:$M$68,AZ$4-$B10+1)</f>
        <v/>
      </c>
      <c r="BA10" s="56">
        <f>$C10*INDEX(Curves!$M$8:$M$68,BA$4-$B10+1)</f>
        <v/>
      </c>
      <c r="BB10" s="56">
        <f>$C10*INDEX(Curves!$M$8:$M$68,BB$4-$B10+1)</f>
        <v/>
      </c>
      <c r="BC10" s="56">
        <f>$C10*INDEX(Curves!$M$8:$M$68,BC$4-$B10+1)</f>
        <v/>
      </c>
      <c r="BD10" s="56">
        <f>$C10*INDEX(Curves!$M$8:$M$68,BD$4-$B10+1)</f>
        <v/>
      </c>
      <c r="BE10" s="56">
        <f>$C10*INDEX(Curves!$M$8:$M$68,BE$4-$B10+1)</f>
        <v/>
      </c>
      <c r="BF10" s="56">
        <f>$C10*INDEX(Curves!$M$8:$M$68,BF$4-$B10+1)</f>
        <v/>
      </c>
      <c r="BG10" s="56">
        <f>$C10*INDEX(Curves!$M$8:$M$68,BG$4-$B10+1)</f>
        <v/>
      </c>
      <c r="BH10" s="56">
        <f>$C10*INDEX(Curves!$M$8:$M$68,BH$4-$B10+1)</f>
        <v/>
      </c>
      <c r="BI10" s="56">
        <f>$C10*INDEX(Curves!$M$8:$M$68,BI$4-$B10+1)</f>
        <v/>
      </c>
      <c r="BJ10" s="56">
        <f>$C10*INDEX(Curves!$M$8:$M$68,BJ$4-$B10+1)</f>
        <v/>
      </c>
      <c r="BK10" s="56">
        <f>$C10*INDEX(Curves!$M$8:$M$68,BK$4-$B10+1)</f>
        <v/>
      </c>
      <c r="BL10" s="56">
        <f>$C10*INDEX(Curves!$M$8:$M$68,BL$4-$B10+1)</f>
        <v/>
      </c>
    </row>
    <row r="11">
      <c r="A11" s="55" t="inlineStr">
        <is>
          <t>Cohort month 2</t>
        </is>
      </c>
      <c r="B11" s="55" t="n">
        <v>2</v>
      </c>
      <c r="C11" s="46">
        <f>INDEX(Ops!$E$25:$BL$25,1,$B11)</f>
        <v/>
      </c>
      <c r="G11" s="56">
        <f>$C11*INDEX(Curves!$M$8:$M$68,G$4-$B11+1)</f>
        <v/>
      </c>
      <c r="H11" s="56">
        <f>$C11*INDEX(Curves!$M$8:$M$68,H$4-$B11+1)</f>
        <v/>
      </c>
      <c r="I11" s="56">
        <f>$C11*INDEX(Curves!$M$8:$M$68,I$4-$B11+1)</f>
        <v/>
      </c>
      <c r="J11" s="56">
        <f>$C11*INDEX(Curves!$M$8:$M$68,J$4-$B11+1)</f>
        <v/>
      </c>
      <c r="K11" s="56">
        <f>$C11*INDEX(Curves!$M$8:$M$68,K$4-$B11+1)</f>
        <v/>
      </c>
      <c r="L11" s="56">
        <f>$C11*INDEX(Curves!$M$8:$M$68,L$4-$B11+1)</f>
        <v/>
      </c>
      <c r="M11" s="56">
        <f>$C11*INDEX(Curves!$M$8:$M$68,M$4-$B11+1)</f>
        <v/>
      </c>
      <c r="N11" s="56">
        <f>$C11*INDEX(Curves!$M$8:$M$68,N$4-$B11+1)</f>
        <v/>
      </c>
      <c r="O11" s="56">
        <f>$C11*INDEX(Curves!$M$8:$M$68,O$4-$B11+1)</f>
        <v/>
      </c>
      <c r="P11" s="56">
        <f>$C11*INDEX(Curves!$M$8:$M$68,P$4-$B11+1)</f>
        <v/>
      </c>
      <c r="Q11" s="56">
        <f>$C11*INDEX(Curves!$M$8:$M$68,Q$4-$B11+1)</f>
        <v/>
      </c>
      <c r="R11" s="56">
        <f>$C11*INDEX(Curves!$M$8:$M$68,R$4-$B11+1)</f>
        <v/>
      </c>
      <c r="S11" s="56">
        <f>$C11*INDEX(Curves!$M$8:$M$68,S$4-$B11+1)</f>
        <v/>
      </c>
      <c r="T11" s="56">
        <f>$C11*INDEX(Curves!$M$8:$M$68,T$4-$B11+1)</f>
        <v/>
      </c>
      <c r="U11" s="56">
        <f>$C11*INDEX(Curves!$M$8:$M$68,U$4-$B11+1)</f>
        <v/>
      </c>
      <c r="V11" s="56">
        <f>$C11*INDEX(Curves!$M$8:$M$68,V$4-$B11+1)</f>
        <v/>
      </c>
      <c r="W11" s="56">
        <f>$C11*INDEX(Curves!$M$8:$M$68,W$4-$B11+1)</f>
        <v/>
      </c>
      <c r="X11" s="56">
        <f>$C11*INDEX(Curves!$M$8:$M$68,X$4-$B11+1)</f>
        <v/>
      </c>
      <c r="Y11" s="56">
        <f>$C11*INDEX(Curves!$M$8:$M$68,Y$4-$B11+1)</f>
        <v/>
      </c>
      <c r="Z11" s="56">
        <f>$C11*INDEX(Curves!$M$8:$M$68,Z$4-$B11+1)</f>
        <v/>
      </c>
      <c r="AA11" s="56">
        <f>$C11*INDEX(Curves!$M$8:$M$68,AA$4-$B11+1)</f>
        <v/>
      </c>
      <c r="AB11" s="56">
        <f>$C11*INDEX(Curves!$M$8:$M$68,AB$4-$B11+1)</f>
        <v/>
      </c>
      <c r="AC11" s="56">
        <f>$C11*INDEX(Curves!$M$8:$M$68,AC$4-$B11+1)</f>
        <v/>
      </c>
      <c r="AD11" s="56">
        <f>$C11*INDEX(Curves!$M$8:$M$68,AD$4-$B11+1)</f>
        <v/>
      </c>
      <c r="AE11" s="56">
        <f>$C11*INDEX(Curves!$M$8:$M$68,AE$4-$B11+1)</f>
        <v/>
      </c>
      <c r="AF11" s="56">
        <f>$C11*INDEX(Curves!$M$8:$M$68,AF$4-$B11+1)</f>
        <v/>
      </c>
      <c r="AG11" s="56">
        <f>$C11*INDEX(Curves!$M$8:$M$68,AG$4-$B11+1)</f>
        <v/>
      </c>
      <c r="AH11" s="56">
        <f>$C11*INDEX(Curves!$M$8:$M$68,AH$4-$B11+1)</f>
        <v/>
      </c>
      <c r="AI11" s="56">
        <f>$C11*INDEX(Curves!$M$8:$M$68,AI$4-$B11+1)</f>
        <v/>
      </c>
      <c r="AJ11" s="56">
        <f>$C11*INDEX(Curves!$M$8:$M$68,AJ$4-$B11+1)</f>
        <v/>
      </c>
      <c r="AK11" s="56">
        <f>$C11*INDEX(Curves!$M$8:$M$68,AK$4-$B11+1)</f>
        <v/>
      </c>
      <c r="AL11" s="56">
        <f>$C11*INDEX(Curves!$M$8:$M$68,AL$4-$B11+1)</f>
        <v/>
      </c>
      <c r="AM11" s="56">
        <f>$C11*INDEX(Curves!$M$8:$M$68,AM$4-$B11+1)</f>
        <v/>
      </c>
      <c r="AN11" s="56">
        <f>$C11*INDEX(Curves!$M$8:$M$68,AN$4-$B11+1)</f>
        <v/>
      </c>
      <c r="AO11" s="56">
        <f>$C11*INDEX(Curves!$M$8:$M$68,AO$4-$B11+1)</f>
        <v/>
      </c>
      <c r="AP11" s="56">
        <f>$C11*INDEX(Curves!$M$8:$M$68,AP$4-$B11+1)</f>
        <v/>
      </c>
      <c r="AQ11" s="56">
        <f>$C11*INDEX(Curves!$M$8:$M$68,AQ$4-$B11+1)</f>
        <v/>
      </c>
      <c r="AR11" s="56">
        <f>$C11*INDEX(Curves!$M$8:$M$68,AR$4-$B11+1)</f>
        <v/>
      </c>
      <c r="AS11" s="56">
        <f>$C11*INDEX(Curves!$M$8:$M$68,AS$4-$B11+1)</f>
        <v/>
      </c>
      <c r="AT11" s="56">
        <f>$C11*INDEX(Curves!$M$8:$M$68,AT$4-$B11+1)</f>
        <v/>
      </c>
      <c r="AU11" s="56">
        <f>$C11*INDEX(Curves!$M$8:$M$68,AU$4-$B11+1)</f>
        <v/>
      </c>
      <c r="AV11" s="56">
        <f>$C11*INDEX(Curves!$M$8:$M$68,AV$4-$B11+1)</f>
        <v/>
      </c>
      <c r="AW11" s="56">
        <f>$C11*INDEX(Curves!$M$8:$M$68,AW$4-$B11+1)</f>
        <v/>
      </c>
      <c r="AX11" s="56">
        <f>$C11*INDEX(Curves!$M$8:$M$68,AX$4-$B11+1)</f>
        <v/>
      </c>
      <c r="AY11" s="56">
        <f>$C11*INDEX(Curves!$M$8:$M$68,AY$4-$B11+1)</f>
        <v/>
      </c>
      <c r="AZ11" s="56">
        <f>$C11*INDEX(Curves!$M$8:$M$68,AZ$4-$B11+1)</f>
        <v/>
      </c>
      <c r="BA11" s="56">
        <f>$C11*INDEX(Curves!$M$8:$M$68,BA$4-$B11+1)</f>
        <v/>
      </c>
      <c r="BB11" s="56">
        <f>$C11*INDEX(Curves!$M$8:$M$68,BB$4-$B11+1)</f>
        <v/>
      </c>
      <c r="BC11" s="56">
        <f>$C11*INDEX(Curves!$M$8:$M$68,BC$4-$B11+1)</f>
        <v/>
      </c>
      <c r="BD11" s="56">
        <f>$C11*INDEX(Curves!$M$8:$M$68,BD$4-$B11+1)</f>
        <v/>
      </c>
      <c r="BE11" s="56">
        <f>$C11*INDEX(Curves!$M$8:$M$68,BE$4-$B11+1)</f>
        <v/>
      </c>
      <c r="BF11" s="56">
        <f>$C11*INDEX(Curves!$M$8:$M$68,BF$4-$B11+1)</f>
        <v/>
      </c>
      <c r="BG11" s="56">
        <f>$C11*INDEX(Curves!$M$8:$M$68,BG$4-$B11+1)</f>
        <v/>
      </c>
      <c r="BH11" s="56">
        <f>$C11*INDEX(Curves!$M$8:$M$68,BH$4-$B11+1)</f>
        <v/>
      </c>
      <c r="BI11" s="56">
        <f>$C11*INDEX(Curves!$M$8:$M$68,BI$4-$B11+1)</f>
        <v/>
      </c>
      <c r="BJ11" s="56">
        <f>$C11*INDEX(Curves!$M$8:$M$68,BJ$4-$B11+1)</f>
        <v/>
      </c>
      <c r="BK11" s="56">
        <f>$C11*INDEX(Curves!$M$8:$M$68,BK$4-$B11+1)</f>
        <v/>
      </c>
      <c r="BL11" s="56">
        <f>$C11*INDEX(Curves!$M$8:$M$68,BL$4-$B11+1)</f>
        <v/>
      </c>
    </row>
    <row r="12">
      <c r="A12" s="55" t="inlineStr">
        <is>
          <t>Cohort month 3</t>
        </is>
      </c>
      <c r="B12" s="55" t="n">
        <v>3</v>
      </c>
      <c r="C12" s="46">
        <f>INDEX(Ops!$E$25:$BL$25,1,$B12)</f>
        <v/>
      </c>
      <c r="H12" s="56">
        <f>$C12*INDEX(Curves!$M$8:$M$68,H$4-$B12+1)</f>
        <v/>
      </c>
      <c r="I12" s="56">
        <f>$C12*INDEX(Curves!$M$8:$M$68,I$4-$B12+1)</f>
        <v/>
      </c>
      <c r="J12" s="56">
        <f>$C12*INDEX(Curves!$M$8:$M$68,J$4-$B12+1)</f>
        <v/>
      </c>
      <c r="K12" s="56">
        <f>$C12*INDEX(Curves!$M$8:$M$68,K$4-$B12+1)</f>
        <v/>
      </c>
      <c r="L12" s="56">
        <f>$C12*INDEX(Curves!$M$8:$M$68,L$4-$B12+1)</f>
        <v/>
      </c>
      <c r="M12" s="56">
        <f>$C12*INDEX(Curves!$M$8:$M$68,M$4-$B12+1)</f>
        <v/>
      </c>
      <c r="N12" s="56">
        <f>$C12*INDEX(Curves!$M$8:$M$68,N$4-$B12+1)</f>
        <v/>
      </c>
      <c r="O12" s="56">
        <f>$C12*INDEX(Curves!$M$8:$M$68,O$4-$B12+1)</f>
        <v/>
      </c>
      <c r="P12" s="56">
        <f>$C12*INDEX(Curves!$M$8:$M$68,P$4-$B12+1)</f>
        <v/>
      </c>
      <c r="Q12" s="56">
        <f>$C12*INDEX(Curves!$M$8:$M$68,Q$4-$B12+1)</f>
        <v/>
      </c>
      <c r="R12" s="56">
        <f>$C12*INDEX(Curves!$M$8:$M$68,R$4-$B12+1)</f>
        <v/>
      </c>
      <c r="S12" s="56">
        <f>$C12*INDEX(Curves!$M$8:$M$68,S$4-$B12+1)</f>
        <v/>
      </c>
      <c r="T12" s="56">
        <f>$C12*INDEX(Curves!$M$8:$M$68,T$4-$B12+1)</f>
        <v/>
      </c>
      <c r="U12" s="56">
        <f>$C12*INDEX(Curves!$M$8:$M$68,U$4-$B12+1)</f>
        <v/>
      </c>
      <c r="V12" s="56">
        <f>$C12*INDEX(Curves!$M$8:$M$68,V$4-$B12+1)</f>
        <v/>
      </c>
      <c r="W12" s="56">
        <f>$C12*INDEX(Curves!$M$8:$M$68,W$4-$B12+1)</f>
        <v/>
      </c>
      <c r="X12" s="56">
        <f>$C12*INDEX(Curves!$M$8:$M$68,X$4-$B12+1)</f>
        <v/>
      </c>
      <c r="Y12" s="56">
        <f>$C12*INDEX(Curves!$M$8:$M$68,Y$4-$B12+1)</f>
        <v/>
      </c>
      <c r="Z12" s="56">
        <f>$C12*INDEX(Curves!$M$8:$M$68,Z$4-$B12+1)</f>
        <v/>
      </c>
      <c r="AA12" s="56">
        <f>$C12*INDEX(Curves!$M$8:$M$68,AA$4-$B12+1)</f>
        <v/>
      </c>
      <c r="AB12" s="56">
        <f>$C12*INDEX(Curves!$M$8:$M$68,AB$4-$B12+1)</f>
        <v/>
      </c>
      <c r="AC12" s="56">
        <f>$C12*INDEX(Curves!$M$8:$M$68,AC$4-$B12+1)</f>
        <v/>
      </c>
      <c r="AD12" s="56">
        <f>$C12*INDEX(Curves!$M$8:$M$68,AD$4-$B12+1)</f>
        <v/>
      </c>
      <c r="AE12" s="56">
        <f>$C12*INDEX(Curves!$M$8:$M$68,AE$4-$B12+1)</f>
        <v/>
      </c>
      <c r="AF12" s="56">
        <f>$C12*INDEX(Curves!$M$8:$M$68,AF$4-$B12+1)</f>
        <v/>
      </c>
      <c r="AG12" s="56">
        <f>$C12*INDEX(Curves!$M$8:$M$68,AG$4-$B12+1)</f>
        <v/>
      </c>
      <c r="AH12" s="56">
        <f>$C12*INDEX(Curves!$M$8:$M$68,AH$4-$B12+1)</f>
        <v/>
      </c>
      <c r="AI12" s="56">
        <f>$C12*INDEX(Curves!$M$8:$M$68,AI$4-$B12+1)</f>
        <v/>
      </c>
      <c r="AJ12" s="56">
        <f>$C12*INDEX(Curves!$M$8:$M$68,AJ$4-$B12+1)</f>
        <v/>
      </c>
      <c r="AK12" s="56">
        <f>$C12*INDEX(Curves!$M$8:$M$68,AK$4-$B12+1)</f>
        <v/>
      </c>
      <c r="AL12" s="56">
        <f>$C12*INDEX(Curves!$M$8:$M$68,AL$4-$B12+1)</f>
        <v/>
      </c>
      <c r="AM12" s="56">
        <f>$C12*INDEX(Curves!$M$8:$M$68,AM$4-$B12+1)</f>
        <v/>
      </c>
      <c r="AN12" s="56">
        <f>$C12*INDEX(Curves!$M$8:$M$68,AN$4-$B12+1)</f>
        <v/>
      </c>
      <c r="AO12" s="56">
        <f>$C12*INDEX(Curves!$M$8:$M$68,AO$4-$B12+1)</f>
        <v/>
      </c>
      <c r="AP12" s="56">
        <f>$C12*INDEX(Curves!$M$8:$M$68,AP$4-$B12+1)</f>
        <v/>
      </c>
      <c r="AQ12" s="56">
        <f>$C12*INDEX(Curves!$M$8:$M$68,AQ$4-$B12+1)</f>
        <v/>
      </c>
      <c r="AR12" s="56">
        <f>$C12*INDEX(Curves!$M$8:$M$68,AR$4-$B12+1)</f>
        <v/>
      </c>
      <c r="AS12" s="56">
        <f>$C12*INDEX(Curves!$M$8:$M$68,AS$4-$B12+1)</f>
        <v/>
      </c>
      <c r="AT12" s="56">
        <f>$C12*INDEX(Curves!$M$8:$M$68,AT$4-$B12+1)</f>
        <v/>
      </c>
      <c r="AU12" s="56">
        <f>$C12*INDEX(Curves!$M$8:$M$68,AU$4-$B12+1)</f>
        <v/>
      </c>
      <c r="AV12" s="56">
        <f>$C12*INDEX(Curves!$M$8:$M$68,AV$4-$B12+1)</f>
        <v/>
      </c>
      <c r="AW12" s="56">
        <f>$C12*INDEX(Curves!$M$8:$M$68,AW$4-$B12+1)</f>
        <v/>
      </c>
      <c r="AX12" s="56">
        <f>$C12*INDEX(Curves!$M$8:$M$68,AX$4-$B12+1)</f>
        <v/>
      </c>
      <c r="AY12" s="56">
        <f>$C12*INDEX(Curves!$M$8:$M$68,AY$4-$B12+1)</f>
        <v/>
      </c>
      <c r="AZ12" s="56">
        <f>$C12*INDEX(Curves!$M$8:$M$68,AZ$4-$B12+1)</f>
        <v/>
      </c>
      <c r="BA12" s="56">
        <f>$C12*INDEX(Curves!$M$8:$M$68,BA$4-$B12+1)</f>
        <v/>
      </c>
      <c r="BB12" s="56">
        <f>$C12*INDEX(Curves!$M$8:$M$68,BB$4-$B12+1)</f>
        <v/>
      </c>
      <c r="BC12" s="56">
        <f>$C12*INDEX(Curves!$M$8:$M$68,BC$4-$B12+1)</f>
        <v/>
      </c>
      <c r="BD12" s="56">
        <f>$C12*INDEX(Curves!$M$8:$M$68,BD$4-$B12+1)</f>
        <v/>
      </c>
      <c r="BE12" s="56">
        <f>$C12*INDEX(Curves!$M$8:$M$68,BE$4-$B12+1)</f>
        <v/>
      </c>
      <c r="BF12" s="56">
        <f>$C12*INDEX(Curves!$M$8:$M$68,BF$4-$B12+1)</f>
        <v/>
      </c>
      <c r="BG12" s="56">
        <f>$C12*INDEX(Curves!$M$8:$M$68,BG$4-$B12+1)</f>
        <v/>
      </c>
      <c r="BH12" s="56">
        <f>$C12*INDEX(Curves!$M$8:$M$68,BH$4-$B12+1)</f>
        <v/>
      </c>
      <c r="BI12" s="56">
        <f>$C12*INDEX(Curves!$M$8:$M$68,BI$4-$B12+1)</f>
        <v/>
      </c>
      <c r="BJ12" s="56">
        <f>$C12*INDEX(Curves!$M$8:$M$68,BJ$4-$B12+1)</f>
        <v/>
      </c>
      <c r="BK12" s="56">
        <f>$C12*INDEX(Curves!$M$8:$M$68,BK$4-$B12+1)</f>
        <v/>
      </c>
      <c r="BL12" s="56">
        <f>$C12*INDEX(Curves!$M$8:$M$68,BL$4-$B12+1)</f>
        <v/>
      </c>
    </row>
    <row r="13">
      <c r="A13" s="55" t="inlineStr">
        <is>
          <t>Cohort month 4</t>
        </is>
      </c>
      <c r="B13" s="55" t="n">
        <v>4</v>
      </c>
      <c r="C13" s="46">
        <f>INDEX(Ops!$E$25:$BL$25,1,$B13)</f>
        <v/>
      </c>
      <c r="I13" s="56">
        <f>$C13*INDEX(Curves!$M$8:$M$68,I$4-$B13+1)</f>
        <v/>
      </c>
      <c r="J13" s="56">
        <f>$C13*INDEX(Curves!$M$8:$M$68,J$4-$B13+1)</f>
        <v/>
      </c>
      <c r="K13" s="56">
        <f>$C13*INDEX(Curves!$M$8:$M$68,K$4-$B13+1)</f>
        <v/>
      </c>
      <c r="L13" s="56">
        <f>$C13*INDEX(Curves!$M$8:$M$68,L$4-$B13+1)</f>
        <v/>
      </c>
      <c r="M13" s="56">
        <f>$C13*INDEX(Curves!$M$8:$M$68,M$4-$B13+1)</f>
        <v/>
      </c>
      <c r="N13" s="56">
        <f>$C13*INDEX(Curves!$M$8:$M$68,N$4-$B13+1)</f>
        <v/>
      </c>
      <c r="O13" s="56">
        <f>$C13*INDEX(Curves!$M$8:$M$68,O$4-$B13+1)</f>
        <v/>
      </c>
      <c r="P13" s="56">
        <f>$C13*INDEX(Curves!$M$8:$M$68,P$4-$B13+1)</f>
        <v/>
      </c>
      <c r="Q13" s="56">
        <f>$C13*INDEX(Curves!$M$8:$M$68,Q$4-$B13+1)</f>
        <v/>
      </c>
      <c r="R13" s="56">
        <f>$C13*INDEX(Curves!$M$8:$M$68,R$4-$B13+1)</f>
        <v/>
      </c>
      <c r="S13" s="56">
        <f>$C13*INDEX(Curves!$M$8:$M$68,S$4-$B13+1)</f>
        <v/>
      </c>
      <c r="T13" s="56">
        <f>$C13*INDEX(Curves!$M$8:$M$68,T$4-$B13+1)</f>
        <v/>
      </c>
      <c r="U13" s="56">
        <f>$C13*INDEX(Curves!$M$8:$M$68,U$4-$B13+1)</f>
        <v/>
      </c>
      <c r="V13" s="56">
        <f>$C13*INDEX(Curves!$M$8:$M$68,V$4-$B13+1)</f>
        <v/>
      </c>
      <c r="W13" s="56">
        <f>$C13*INDEX(Curves!$M$8:$M$68,W$4-$B13+1)</f>
        <v/>
      </c>
      <c r="X13" s="56">
        <f>$C13*INDEX(Curves!$M$8:$M$68,X$4-$B13+1)</f>
        <v/>
      </c>
      <c r="Y13" s="56">
        <f>$C13*INDEX(Curves!$M$8:$M$68,Y$4-$B13+1)</f>
        <v/>
      </c>
      <c r="Z13" s="56">
        <f>$C13*INDEX(Curves!$M$8:$M$68,Z$4-$B13+1)</f>
        <v/>
      </c>
      <c r="AA13" s="56">
        <f>$C13*INDEX(Curves!$M$8:$M$68,AA$4-$B13+1)</f>
        <v/>
      </c>
      <c r="AB13" s="56">
        <f>$C13*INDEX(Curves!$M$8:$M$68,AB$4-$B13+1)</f>
        <v/>
      </c>
      <c r="AC13" s="56">
        <f>$C13*INDEX(Curves!$M$8:$M$68,AC$4-$B13+1)</f>
        <v/>
      </c>
      <c r="AD13" s="56">
        <f>$C13*INDEX(Curves!$M$8:$M$68,AD$4-$B13+1)</f>
        <v/>
      </c>
      <c r="AE13" s="56">
        <f>$C13*INDEX(Curves!$M$8:$M$68,AE$4-$B13+1)</f>
        <v/>
      </c>
      <c r="AF13" s="56">
        <f>$C13*INDEX(Curves!$M$8:$M$68,AF$4-$B13+1)</f>
        <v/>
      </c>
      <c r="AG13" s="56">
        <f>$C13*INDEX(Curves!$M$8:$M$68,AG$4-$B13+1)</f>
        <v/>
      </c>
      <c r="AH13" s="56">
        <f>$C13*INDEX(Curves!$M$8:$M$68,AH$4-$B13+1)</f>
        <v/>
      </c>
      <c r="AI13" s="56">
        <f>$C13*INDEX(Curves!$M$8:$M$68,AI$4-$B13+1)</f>
        <v/>
      </c>
      <c r="AJ13" s="56">
        <f>$C13*INDEX(Curves!$M$8:$M$68,AJ$4-$B13+1)</f>
        <v/>
      </c>
      <c r="AK13" s="56">
        <f>$C13*INDEX(Curves!$M$8:$M$68,AK$4-$B13+1)</f>
        <v/>
      </c>
      <c r="AL13" s="56">
        <f>$C13*INDEX(Curves!$M$8:$M$68,AL$4-$B13+1)</f>
        <v/>
      </c>
      <c r="AM13" s="56">
        <f>$C13*INDEX(Curves!$M$8:$M$68,AM$4-$B13+1)</f>
        <v/>
      </c>
      <c r="AN13" s="56">
        <f>$C13*INDEX(Curves!$M$8:$M$68,AN$4-$B13+1)</f>
        <v/>
      </c>
      <c r="AO13" s="56">
        <f>$C13*INDEX(Curves!$M$8:$M$68,AO$4-$B13+1)</f>
        <v/>
      </c>
      <c r="AP13" s="56">
        <f>$C13*INDEX(Curves!$M$8:$M$68,AP$4-$B13+1)</f>
        <v/>
      </c>
      <c r="AQ13" s="56">
        <f>$C13*INDEX(Curves!$M$8:$M$68,AQ$4-$B13+1)</f>
        <v/>
      </c>
      <c r="AR13" s="56">
        <f>$C13*INDEX(Curves!$M$8:$M$68,AR$4-$B13+1)</f>
        <v/>
      </c>
      <c r="AS13" s="56">
        <f>$C13*INDEX(Curves!$M$8:$M$68,AS$4-$B13+1)</f>
        <v/>
      </c>
      <c r="AT13" s="56">
        <f>$C13*INDEX(Curves!$M$8:$M$68,AT$4-$B13+1)</f>
        <v/>
      </c>
      <c r="AU13" s="56">
        <f>$C13*INDEX(Curves!$M$8:$M$68,AU$4-$B13+1)</f>
        <v/>
      </c>
      <c r="AV13" s="56">
        <f>$C13*INDEX(Curves!$M$8:$M$68,AV$4-$B13+1)</f>
        <v/>
      </c>
      <c r="AW13" s="56">
        <f>$C13*INDEX(Curves!$M$8:$M$68,AW$4-$B13+1)</f>
        <v/>
      </c>
      <c r="AX13" s="56">
        <f>$C13*INDEX(Curves!$M$8:$M$68,AX$4-$B13+1)</f>
        <v/>
      </c>
      <c r="AY13" s="56">
        <f>$C13*INDEX(Curves!$M$8:$M$68,AY$4-$B13+1)</f>
        <v/>
      </c>
      <c r="AZ13" s="56">
        <f>$C13*INDEX(Curves!$M$8:$M$68,AZ$4-$B13+1)</f>
        <v/>
      </c>
      <c r="BA13" s="56">
        <f>$C13*INDEX(Curves!$M$8:$M$68,BA$4-$B13+1)</f>
        <v/>
      </c>
      <c r="BB13" s="56">
        <f>$C13*INDEX(Curves!$M$8:$M$68,BB$4-$B13+1)</f>
        <v/>
      </c>
      <c r="BC13" s="56">
        <f>$C13*INDEX(Curves!$M$8:$M$68,BC$4-$B13+1)</f>
        <v/>
      </c>
      <c r="BD13" s="56">
        <f>$C13*INDEX(Curves!$M$8:$M$68,BD$4-$B13+1)</f>
        <v/>
      </c>
      <c r="BE13" s="56">
        <f>$C13*INDEX(Curves!$M$8:$M$68,BE$4-$B13+1)</f>
        <v/>
      </c>
      <c r="BF13" s="56">
        <f>$C13*INDEX(Curves!$M$8:$M$68,BF$4-$B13+1)</f>
        <v/>
      </c>
      <c r="BG13" s="56">
        <f>$C13*INDEX(Curves!$M$8:$M$68,BG$4-$B13+1)</f>
        <v/>
      </c>
      <c r="BH13" s="56">
        <f>$C13*INDEX(Curves!$M$8:$M$68,BH$4-$B13+1)</f>
        <v/>
      </c>
      <c r="BI13" s="56">
        <f>$C13*INDEX(Curves!$M$8:$M$68,BI$4-$B13+1)</f>
        <v/>
      </c>
      <c r="BJ13" s="56">
        <f>$C13*INDEX(Curves!$M$8:$M$68,BJ$4-$B13+1)</f>
        <v/>
      </c>
      <c r="BK13" s="56">
        <f>$C13*INDEX(Curves!$M$8:$M$68,BK$4-$B13+1)</f>
        <v/>
      </c>
      <c r="BL13" s="56">
        <f>$C13*INDEX(Curves!$M$8:$M$68,BL$4-$B13+1)</f>
        <v/>
      </c>
    </row>
    <row r="14">
      <c r="A14" s="55" t="inlineStr">
        <is>
          <t>Cohort month 5</t>
        </is>
      </c>
      <c r="B14" s="55" t="n">
        <v>5</v>
      </c>
      <c r="C14" s="46">
        <f>INDEX(Ops!$E$25:$BL$25,1,$B14)</f>
        <v/>
      </c>
      <c r="J14" s="56">
        <f>$C14*INDEX(Curves!$M$8:$M$68,J$4-$B14+1)</f>
        <v/>
      </c>
      <c r="K14" s="56">
        <f>$C14*INDEX(Curves!$M$8:$M$68,K$4-$B14+1)</f>
        <v/>
      </c>
      <c r="L14" s="56">
        <f>$C14*INDEX(Curves!$M$8:$M$68,L$4-$B14+1)</f>
        <v/>
      </c>
      <c r="M14" s="56">
        <f>$C14*INDEX(Curves!$M$8:$M$68,M$4-$B14+1)</f>
        <v/>
      </c>
      <c r="N14" s="56">
        <f>$C14*INDEX(Curves!$M$8:$M$68,N$4-$B14+1)</f>
        <v/>
      </c>
      <c r="O14" s="56">
        <f>$C14*INDEX(Curves!$M$8:$M$68,O$4-$B14+1)</f>
        <v/>
      </c>
      <c r="P14" s="56">
        <f>$C14*INDEX(Curves!$M$8:$M$68,P$4-$B14+1)</f>
        <v/>
      </c>
      <c r="Q14" s="56">
        <f>$C14*INDEX(Curves!$M$8:$M$68,Q$4-$B14+1)</f>
        <v/>
      </c>
      <c r="R14" s="56">
        <f>$C14*INDEX(Curves!$M$8:$M$68,R$4-$B14+1)</f>
        <v/>
      </c>
      <c r="S14" s="56">
        <f>$C14*INDEX(Curves!$M$8:$M$68,S$4-$B14+1)</f>
        <v/>
      </c>
      <c r="T14" s="56">
        <f>$C14*INDEX(Curves!$M$8:$M$68,T$4-$B14+1)</f>
        <v/>
      </c>
      <c r="U14" s="56">
        <f>$C14*INDEX(Curves!$M$8:$M$68,U$4-$B14+1)</f>
        <v/>
      </c>
      <c r="V14" s="56">
        <f>$C14*INDEX(Curves!$M$8:$M$68,V$4-$B14+1)</f>
        <v/>
      </c>
      <c r="W14" s="56">
        <f>$C14*INDEX(Curves!$M$8:$M$68,W$4-$B14+1)</f>
        <v/>
      </c>
      <c r="X14" s="56">
        <f>$C14*INDEX(Curves!$M$8:$M$68,X$4-$B14+1)</f>
        <v/>
      </c>
      <c r="Y14" s="56">
        <f>$C14*INDEX(Curves!$M$8:$M$68,Y$4-$B14+1)</f>
        <v/>
      </c>
      <c r="Z14" s="56">
        <f>$C14*INDEX(Curves!$M$8:$M$68,Z$4-$B14+1)</f>
        <v/>
      </c>
      <c r="AA14" s="56">
        <f>$C14*INDEX(Curves!$M$8:$M$68,AA$4-$B14+1)</f>
        <v/>
      </c>
      <c r="AB14" s="56">
        <f>$C14*INDEX(Curves!$M$8:$M$68,AB$4-$B14+1)</f>
        <v/>
      </c>
      <c r="AC14" s="56">
        <f>$C14*INDEX(Curves!$M$8:$M$68,AC$4-$B14+1)</f>
        <v/>
      </c>
      <c r="AD14" s="56">
        <f>$C14*INDEX(Curves!$M$8:$M$68,AD$4-$B14+1)</f>
        <v/>
      </c>
      <c r="AE14" s="56">
        <f>$C14*INDEX(Curves!$M$8:$M$68,AE$4-$B14+1)</f>
        <v/>
      </c>
      <c r="AF14" s="56">
        <f>$C14*INDEX(Curves!$M$8:$M$68,AF$4-$B14+1)</f>
        <v/>
      </c>
      <c r="AG14" s="56">
        <f>$C14*INDEX(Curves!$M$8:$M$68,AG$4-$B14+1)</f>
        <v/>
      </c>
      <c r="AH14" s="56">
        <f>$C14*INDEX(Curves!$M$8:$M$68,AH$4-$B14+1)</f>
        <v/>
      </c>
      <c r="AI14" s="56">
        <f>$C14*INDEX(Curves!$M$8:$M$68,AI$4-$B14+1)</f>
        <v/>
      </c>
      <c r="AJ14" s="56">
        <f>$C14*INDEX(Curves!$M$8:$M$68,AJ$4-$B14+1)</f>
        <v/>
      </c>
      <c r="AK14" s="56">
        <f>$C14*INDEX(Curves!$M$8:$M$68,AK$4-$B14+1)</f>
        <v/>
      </c>
      <c r="AL14" s="56">
        <f>$C14*INDEX(Curves!$M$8:$M$68,AL$4-$B14+1)</f>
        <v/>
      </c>
      <c r="AM14" s="56">
        <f>$C14*INDEX(Curves!$M$8:$M$68,AM$4-$B14+1)</f>
        <v/>
      </c>
      <c r="AN14" s="56">
        <f>$C14*INDEX(Curves!$M$8:$M$68,AN$4-$B14+1)</f>
        <v/>
      </c>
      <c r="AO14" s="56">
        <f>$C14*INDEX(Curves!$M$8:$M$68,AO$4-$B14+1)</f>
        <v/>
      </c>
      <c r="AP14" s="56">
        <f>$C14*INDEX(Curves!$M$8:$M$68,AP$4-$B14+1)</f>
        <v/>
      </c>
      <c r="AQ14" s="56">
        <f>$C14*INDEX(Curves!$M$8:$M$68,AQ$4-$B14+1)</f>
        <v/>
      </c>
      <c r="AR14" s="56">
        <f>$C14*INDEX(Curves!$M$8:$M$68,AR$4-$B14+1)</f>
        <v/>
      </c>
      <c r="AS14" s="56">
        <f>$C14*INDEX(Curves!$M$8:$M$68,AS$4-$B14+1)</f>
        <v/>
      </c>
      <c r="AT14" s="56">
        <f>$C14*INDEX(Curves!$M$8:$M$68,AT$4-$B14+1)</f>
        <v/>
      </c>
      <c r="AU14" s="56">
        <f>$C14*INDEX(Curves!$M$8:$M$68,AU$4-$B14+1)</f>
        <v/>
      </c>
      <c r="AV14" s="56">
        <f>$C14*INDEX(Curves!$M$8:$M$68,AV$4-$B14+1)</f>
        <v/>
      </c>
      <c r="AW14" s="56">
        <f>$C14*INDEX(Curves!$M$8:$M$68,AW$4-$B14+1)</f>
        <v/>
      </c>
      <c r="AX14" s="56">
        <f>$C14*INDEX(Curves!$M$8:$M$68,AX$4-$B14+1)</f>
        <v/>
      </c>
      <c r="AY14" s="56">
        <f>$C14*INDEX(Curves!$M$8:$M$68,AY$4-$B14+1)</f>
        <v/>
      </c>
      <c r="AZ14" s="56">
        <f>$C14*INDEX(Curves!$M$8:$M$68,AZ$4-$B14+1)</f>
        <v/>
      </c>
      <c r="BA14" s="56">
        <f>$C14*INDEX(Curves!$M$8:$M$68,BA$4-$B14+1)</f>
        <v/>
      </c>
      <c r="BB14" s="56">
        <f>$C14*INDEX(Curves!$M$8:$M$68,BB$4-$B14+1)</f>
        <v/>
      </c>
      <c r="BC14" s="56">
        <f>$C14*INDEX(Curves!$M$8:$M$68,BC$4-$B14+1)</f>
        <v/>
      </c>
      <c r="BD14" s="56">
        <f>$C14*INDEX(Curves!$M$8:$M$68,BD$4-$B14+1)</f>
        <v/>
      </c>
      <c r="BE14" s="56">
        <f>$C14*INDEX(Curves!$M$8:$M$68,BE$4-$B14+1)</f>
        <v/>
      </c>
      <c r="BF14" s="56">
        <f>$C14*INDEX(Curves!$M$8:$M$68,BF$4-$B14+1)</f>
        <v/>
      </c>
      <c r="BG14" s="56">
        <f>$C14*INDEX(Curves!$M$8:$M$68,BG$4-$B14+1)</f>
        <v/>
      </c>
      <c r="BH14" s="56">
        <f>$C14*INDEX(Curves!$M$8:$M$68,BH$4-$B14+1)</f>
        <v/>
      </c>
      <c r="BI14" s="56">
        <f>$C14*INDEX(Curves!$M$8:$M$68,BI$4-$B14+1)</f>
        <v/>
      </c>
      <c r="BJ14" s="56">
        <f>$C14*INDEX(Curves!$M$8:$M$68,BJ$4-$B14+1)</f>
        <v/>
      </c>
      <c r="BK14" s="56">
        <f>$C14*INDEX(Curves!$M$8:$M$68,BK$4-$B14+1)</f>
        <v/>
      </c>
      <c r="BL14" s="56">
        <f>$C14*INDEX(Curves!$M$8:$M$68,BL$4-$B14+1)</f>
        <v/>
      </c>
    </row>
    <row r="15">
      <c r="A15" s="55" t="inlineStr">
        <is>
          <t>Cohort month 6</t>
        </is>
      </c>
      <c r="B15" s="55" t="n">
        <v>6</v>
      </c>
      <c r="C15" s="46">
        <f>INDEX(Ops!$E$25:$BL$25,1,$B15)</f>
        <v/>
      </c>
      <c r="K15" s="56">
        <f>$C15*INDEX(Curves!$M$8:$M$68,K$4-$B15+1)</f>
        <v/>
      </c>
      <c r="L15" s="56">
        <f>$C15*INDEX(Curves!$M$8:$M$68,L$4-$B15+1)</f>
        <v/>
      </c>
      <c r="M15" s="56">
        <f>$C15*INDEX(Curves!$M$8:$M$68,M$4-$B15+1)</f>
        <v/>
      </c>
      <c r="N15" s="56">
        <f>$C15*INDEX(Curves!$M$8:$M$68,N$4-$B15+1)</f>
        <v/>
      </c>
      <c r="O15" s="56">
        <f>$C15*INDEX(Curves!$M$8:$M$68,O$4-$B15+1)</f>
        <v/>
      </c>
      <c r="P15" s="56">
        <f>$C15*INDEX(Curves!$M$8:$M$68,P$4-$B15+1)</f>
        <v/>
      </c>
      <c r="Q15" s="56">
        <f>$C15*INDEX(Curves!$M$8:$M$68,Q$4-$B15+1)</f>
        <v/>
      </c>
      <c r="R15" s="56">
        <f>$C15*INDEX(Curves!$M$8:$M$68,R$4-$B15+1)</f>
        <v/>
      </c>
      <c r="S15" s="56">
        <f>$C15*INDEX(Curves!$M$8:$M$68,S$4-$B15+1)</f>
        <v/>
      </c>
      <c r="T15" s="56">
        <f>$C15*INDEX(Curves!$M$8:$M$68,T$4-$B15+1)</f>
        <v/>
      </c>
      <c r="U15" s="56">
        <f>$C15*INDEX(Curves!$M$8:$M$68,U$4-$B15+1)</f>
        <v/>
      </c>
      <c r="V15" s="56">
        <f>$C15*INDEX(Curves!$M$8:$M$68,V$4-$B15+1)</f>
        <v/>
      </c>
      <c r="W15" s="56">
        <f>$C15*INDEX(Curves!$M$8:$M$68,W$4-$B15+1)</f>
        <v/>
      </c>
      <c r="X15" s="56">
        <f>$C15*INDEX(Curves!$M$8:$M$68,X$4-$B15+1)</f>
        <v/>
      </c>
      <c r="Y15" s="56">
        <f>$C15*INDEX(Curves!$M$8:$M$68,Y$4-$B15+1)</f>
        <v/>
      </c>
      <c r="Z15" s="56">
        <f>$C15*INDEX(Curves!$M$8:$M$68,Z$4-$B15+1)</f>
        <v/>
      </c>
      <c r="AA15" s="56">
        <f>$C15*INDEX(Curves!$M$8:$M$68,AA$4-$B15+1)</f>
        <v/>
      </c>
      <c r="AB15" s="56">
        <f>$C15*INDEX(Curves!$M$8:$M$68,AB$4-$B15+1)</f>
        <v/>
      </c>
      <c r="AC15" s="56">
        <f>$C15*INDEX(Curves!$M$8:$M$68,AC$4-$B15+1)</f>
        <v/>
      </c>
      <c r="AD15" s="56">
        <f>$C15*INDEX(Curves!$M$8:$M$68,AD$4-$B15+1)</f>
        <v/>
      </c>
      <c r="AE15" s="56">
        <f>$C15*INDEX(Curves!$M$8:$M$68,AE$4-$B15+1)</f>
        <v/>
      </c>
      <c r="AF15" s="56">
        <f>$C15*INDEX(Curves!$M$8:$M$68,AF$4-$B15+1)</f>
        <v/>
      </c>
      <c r="AG15" s="56">
        <f>$C15*INDEX(Curves!$M$8:$M$68,AG$4-$B15+1)</f>
        <v/>
      </c>
      <c r="AH15" s="56">
        <f>$C15*INDEX(Curves!$M$8:$M$68,AH$4-$B15+1)</f>
        <v/>
      </c>
      <c r="AI15" s="56">
        <f>$C15*INDEX(Curves!$M$8:$M$68,AI$4-$B15+1)</f>
        <v/>
      </c>
      <c r="AJ15" s="56">
        <f>$C15*INDEX(Curves!$M$8:$M$68,AJ$4-$B15+1)</f>
        <v/>
      </c>
      <c r="AK15" s="56">
        <f>$C15*INDEX(Curves!$M$8:$M$68,AK$4-$B15+1)</f>
        <v/>
      </c>
      <c r="AL15" s="56">
        <f>$C15*INDEX(Curves!$M$8:$M$68,AL$4-$B15+1)</f>
        <v/>
      </c>
      <c r="AM15" s="56">
        <f>$C15*INDEX(Curves!$M$8:$M$68,AM$4-$B15+1)</f>
        <v/>
      </c>
      <c r="AN15" s="56">
        <f>$C15*INDEX(Curves!$M$8:$M$68,AN$4-$B15+1)</f>
        <v/>
      </c>
      <c r="AO15" s="56">
        <f>$C15*INDEX(Curves!$M$8:$M$68,AO$4-$B15+1)</f>
        <v/>
      </c>
      <c r="AP15" s="56">
        <f>$C15*INDEX(Curves!$M$8:$M$68,AP$4-$B15+1)</f>
        <v/>
      </c>
      <c r="AQ15" s="56">
        <f>$C15*INDEX(Curves!$M$8:$M$68,AQ$4-$B15+1)</f>
        <v/>
      </c>
      <c r="AR15" s="56">
        <f>$C15*INDEX(Curves!$M$8:$M$68,AR$4-$B15+1)</f>
        <v/>
      </c>
      <c r="AS15" s="56">
        <f>$C15*INDEX(Curves!$M$8:$M$68,AS$4-$B15+1)</f>
        <v/>
      </c>
      <c r="AT15" s="56">
        <f>$C15*INDEX(Curves!$M$8:$M$68,AT$4-$B15+1)</f>
        <v/>
      </c>
      <c r="AU15" s="56">
        <f>$C15*INDEX(Curves!$M$8:$M$68,AU$4-$B15+1)</f>
        <v/>
      </c>
      <c r="AV15" s="56">
        <f>$C15*INDEX(Curves!$M$8:$M$68,AV$4-$B15+1)</f>
        <v/>
      </c>
      <c r="AW15" s="56">
        <f>$C15*INDEX(Curves!$M$8:$M$68,AW$4-$B15+1)</f>
        <v/>
      </c>
      <c r="AX15" s="56">
        <f>$C15*INDEX(Curves!$M$8:$M$68,AX$4-$B15+1)</f>
        <v/>
      </c>
      <c r="AY15" s="56">
        <f>$C15*INDEX(Curves!$M$8:$M$68,AY$4-$B15+1)</f>
        <v/>
      </c>
      <c r="AZ15" s="56">
        <f>$C15*INDEX(Curves!$M$8:$M$68,AZ$4-$B15+1)</f>
        <v/>
      </c>
      <c r="BA15" s="56">
        <f>$C15*INDEX(Curves!$M$8:$M$68,BA$4-$B15+1)</f>
        <v/>
      </c>
      <c r="BB15" s="56">
        <f>$C15*INDEX(Curves!$M$8:$M$68,BB$4-$B15+1)</f>
        <v/>
      </c>
      <c r="BC15" s="56">
        <f>$C15*INDEX(Curves!$M$8:$M$68,BC$4-$B15+1)</f>
        <v/>
      </c>
      <c r="BD15" s="56">
        <f>$C15*INDEX(Curves!$M$8:$M$68,BD$4-$B15+1)</f>
        <v/>
      </c>
      <c r="BE15" s="56">
        <f>$C15*INDEX(Curves!$M$8:$M$68,BE$4-$B15+1)</f>
        <v/>
      </c>
      <c r="BF15" s="56">
        <f>$C15*INDEX(Curves!$M$8:$M$68,BF$4-$B15+1)</f>
        <v/>
      </c>
      <c r="BG15" s="56">
        <f>$C15*INDEX(Curves!$M$8:$M$68,BG$4-$B15+1)</f>
        <v/>
      </c>
      <c r="BH15" s="56">
        <f>$C15*INDEX(Curves!$M$8:$M$68,BH$4-$B15+1)</f>
        <v/>
      </c>
      <c r="BI15" s="56">
        <f>$C15*INDEX(Curves!$M$8:$M$68,BI$4-$B15+1)</f>
        <v/>
      </c>
      <c r="BJ15" s="56">
        <f>$C15*INDEX(Curves!$M$8:$M$68,BJ$4-$B15+1)</f>
        <v/>
      </c>
      <c r="BK15" s="56">
        <f>$C15*INDEX(Curves!$M$8:$M$68,BK$4-$B15+1)</f>
        <v/>
      </c>
      <c r="BL15" s="56">
        <f>$C15*INDEX(Curves!$M$8:$M$68,BL$4-$B15+1)</f>
        <v/>
      </c>
    </row>
    <row r="16">
      <c r="A16" s="55" t="inlineStr">
        <is>
          <t>Cohort month 7</t>
        </is>
      </c>
      <c r="B16" s="55" t="n">
        <v>7</v>
      </c>
      <c r="C16" s="46">
        <f>INDEX(Ops!$E$25:$BL$25,1,$B16)</f>
        <v/>
      </c>
      <c r="L16" s="56">
        <f>$C16*INDEX(Curves!$M$8:$M$68,L$4-$B16+1)</f>
        <v/>
      </c>
      <c r="M16" s="56">
        <f>$C16*INDEX(Curves!$M$8:$M$68,M$4-$B16+1)</f>
        <v/>
      </c>
      <c r="N16" s="56">
        <f>$C16*INDEX(Curves!$M$8:$M$68,N$4-$B16+1)</f>
        <v/>
      </c>
      <c r="O16" s="56">
        <f>$C16*INDEX(Curves!$M$8:$M$68,O$4-$B16+1)</f>
        <v/>
      </c>
      <c r="P16" s="56">
        <f>$C16*INDEX(Curves!$M$8:$M$68,P$4-$B16+1)</f>
        <v/>
      </c>
      <c r="Q16" s="56">
        <f>$C16*INDEX(Curves!$M$8:$M$68,Q$4-$B16+1)</f>
        <v/>
      </c>
      <c r="R16" s="56">
        <f>$C16*INDEX(Curves!$M$8:$M$68,R$4-$B16+1)</f>
        <v/>
      </c>
      <c r="S16" s="56">
        <f>$C16*INDEX(Curves!$M$8:$M$68,S$4-$B16+1)</f>
        <v/>
      </c>
      <c r="T16" s="56">
        <f>$C16*INDEX(Curves!$M$8:$M$68,T$4-$B16+1)</f>
        <v/>
      </c>
      <c r="U16" s="56">
        <f>$C16*INDEX(Curves!$M$8:$M$68,U$4-$B16+1)</f>
        <v/>
      </c>
      <c r="V16" s="56">
        <f>$C16*INDEX(Curves!$M$8:$M$68,V$4-$B16+1)</f>
        <v/>
      </c>
      <c r="W16" s="56">
        <f>$C16*INDEX(Curves!$M$8:$M$68,W$4-$B16+1)</f>
        <v/>
      </c>
      <c r="X16" s="56">
        <f>$C16*INDEX(Curves!$M$8:$M$68,X$4-$B16+1)</f>
        <v/>
      </c>
      <c r="Y16" s="56">
        <f>$C16*INDEX(Curves!$M$8:$M$68,Y$4-$B16+1)</f>
        <v/>
      </c>
      <c r="Z16" s="56">
        <f>$C16*INDEX(Curves!$M$8:$M$68,Z$4-$B16+1)</f>
        <v/>
      </c>
      <c r="AA16" s="56">
        <f>$C16*INDEX(Curves!$M$8:$M$68,AA$4-$B16+1)</f>
        <v/>
      </c>
      <c r="AB16" s="56">
        <f>$C16*INDEX(Curves!$M$8:$M$68,AB$4-$B16+1)</f>
        <v/>
      </c>
      <c r="AC16" s="56">
        <f>$C16*INDEX(Curves!$M$8:$M$68,AC$4-$B16+1)</f>
        <v/>
      </c>
      <c r="AD16" s="56">
        <f>$C16*INDEX(Curves!$M$8:$M$68,AD$4-$B16+1)</f>
        <v/>
      </c>
      <c r="AE16" s="56">
        <f>$C16*INDEX(Curves!$M$8:$M$68,AE$4-$B16+1)</f>
        <v/>
      </c>
      <c r="AF16" s="56">
        <f>$C16*INDEX(Curves!$M$8:$M$68,AF$4-$B16+1)</f>
        <v/>
      </c>
      <c r="AG16" s="56">
        <f>$C16*INDEX(Curves!$M$8:$M$68,AG$4-$B16+1)</f>
        <v/>
      </c>
      <c r="AH16" s="56">
        <f>$C16*INDEX(Curves!$M$8:$M$68,AH$4-$B16+1)</f>
        <v/>
      </c>
      <c r="AI16" s="56">
        <f>$C16*INDEX(Curves!$M$8:$M$68,AI$4-$B16+1)</f>
        <v/>
      </c>
      <c r="AJ16" s="56">
        <f>$C16*INDEX(Curves!$M$8:$M$68,AJ$4-$B16+1)</f>
        <v/>
      </c>
      <c r="AK16" s="56">
        <f>$C16*INDEX(Curves!$M$8:$M$68,AK$4-$B16+1)</f>
        <v/>
      </c>
      <c r="AL16" s="56">
        <f>$C16*INDEX(Curves!$M$8:$M$68,AL$4-$B16+1)</f>
        <v/>
      </c>
      <c r="AM16" s="56">
        <f>$C16*INDEX(Curves!$M$8:$M$68,AM$4-$B16+1)</f>
        <v/>
      </c>
      <c r="AN16" s="56">
        <f>$C16*INDEX(Curves!$M$8:$M$68,AN$4-$B16+1)</f>
        <v/>
      </c>
      <c r="AO16" s="56">
        <f>$C16*INDEX(Curves!$M$8:$M$68,AO$4-$B16+1)</f>
        <v/>
      </c>
      <c r="AP16" s="56">
        <f>$C16*INDEX(Curves!$M$8:$M$68,AP$4-$B16+1)</f>
        <v/>
      </c>
      <c r="AQ16" s="56">
        <f>$C16*INDEX(Curves!$M$8:$M$68,AQ$4-$B16+1)</f>
        <v/>
      </c>
      <c r="AR16" s="56">
        <f>$C16*INDEX(Curves!$M$8:$M$68,AR$4-$B16+1)</f>
        <v/>
      </c>
      <c r="AS16" s="56">
        <f>$C16*INDEX(Curves!$M$8:$M$68,AS$4-$B16+1)</f>
        <v/>
      </c>
      <c r="AT16" s="56">
        <f>$C16*INDEX(Curves!$M$8:$M$68,AT$4-$B16+1)</f>
        <v/>
      </c>
      <c r="AU16" s="56">
        <f>$C16*INDEX(Curves!$M$8:$M$68,AU$4-$B16+1)</f>
        <v/>
      </c>
      <c r="AV16" s="56">
        <f>$C16*INDEX(Curves!$M$8:$M$68,AV$4-$B16+1)</f>
        <v/>
      </c>
      <c r="AW16" s="56">
        <f>$C16*INDEX(Curves!$M$8:$M$68,AW$4-$B16+1)</f>
        <v/>
      </c>
      <c r="AX16" s="56">
        <f>$C16*INDEX(Curves!$M$8:$M$68,AX$4-$B16+1)</f>
        <v/>
      </c>
      <c r="AY16" s="56">
        <f>$C16*INDEX(Curves!$M$8:$M$68,AY$4-$B16+1)</f>
        <v/>
      </c>
      <c r="AZ16" s="56">
        <f>$C16*INDEX(Curves!$M$8:$M$68,AZ$4-$B16+1)</f>
        <v/>
      </c>
      <c r="BA16" s="56">
        <f>$C16*INDEX(Curves!$M$8:$M$68,BA$4-$B16+1)</f>
        <v/>
      </c>
      <c r="BB16" s="56">
        <f>$C16*INDEX(Curves!$M$8:$M$68,BB$4-$B16+1)</f>
        <v/>
      </c>
      <c r="BC16" s="56">
        <f>$C16*INDEX(Curves!$M$8:$M$68,BC$4-$B16+1)</f>
        <v/>
      </c>
      <c r="BD16" s="56">
        <f>$C16*INDEX(Curves!$M$8:$M$68,BD$4-$B16+1)</f>
        <v/>
      </c>
      <c r="BE16" s="56">
        <f>$C16*INDEX(Curves!$M$8:$M$68,BE$4-$B16+1)</f>
        <v/>
      </c>
      <c r="BF16" s="56">
        <f>$C16*INDEX(Curves!$M$8:$M$68,BF$4-$B16+1)</f>
        <v/>
      </c>
      <c r="BG16" s="56">
        <f>$C16*INDEX(Curves!$M$8:$M$68,BG$4-$B16+1)</f>
        <v/>
      </c>
      <c r="BH16" s="56">
        <f>$C16*INDEX(Curves!$M$8:$M$68,BH$4-$B16+1)</f>
        <v/>
      </c>
      <c r="BI16" s="56">
        <f>$C16*INDEX(Curves!$M$8:$M$68,BI$4-$B16+1)</f>
        <v/>
      </c>
      <c r="BJ16" s="56">
        <f>$C16*INDEX(Curves!$M$8:$M$68,BJ$4-$B16+1)</f>
        <v/>
      </c>
      <c r="BK16" s="56">
        <f>$C16*INDEX(Curves!$M$8:$M$68,BK$4-$B16+1)</f>
        <v/>
      </c>
      <c r="BL16" s="56">
        <f>$C16*INDEX(Curves!$M$8:$M$68,BL$4-$B16+1)</f>
        <v/>
      </c>
    </row>
    <row r="17">
      <c r="A17" s="55" t="inlineStr">
        <is>
          <t>Cohort month 8</t>
        </is>
      </c>
      <c r="B17" s="55" t="n">
        <v>8</v>
      </c>
      <c r="C17" s="46">
        <f>INDEX(Ops!$E$25:$BL$25,1,$B17)</f>
        <v/>
      </c>
      <c r="M17" s="56">
        <f>$C17*INDEX(Curves!$M$8:$M$68,M$4-$B17+1)</f>
        <v/>
      </c>
      <c r="N17" s="56">
        <f>$C17*INDEX(Curves!$M$8:$M$68,N$4-$B17+1)</f>
        <v/>
      </c>
      <c r="O17" s="56">
        <f>$C17*INDEX(Curves!$M$8:$M$68,O$4-$B17+1)</f>
        <v/>
      </c>
      <c r="P17" s="56">
        <f>$C17*INDEX(Curves!$M$8:$M$68,P$4-$B17+1)</f>
        <v/>
      </c>
      <c r="Q17" s="56">
        <f>$C17*INDEX(Curves!$M$8:$M$68,Q$4-$B17+1)</f>
        <v/>
      </c>
      <c r="R17" s="56">
        <f>$C17*INDEX(Curves!$M$8:$M$68,R$4-$B17+1)</f>
        <v/>
      </c>
      <c r="S17" s="56">
        <f>$C17*INDEX(Curves!$M$8:$M$68,S$4-$B17+1)</f>
        <v/>
      </c>
      <c r="T17" s="56">
        <f>$C17*INDEX(Curves!$M$8:$M$68,T$4-$B17+1)</f>
        <v/>
      </c>
      <c r="U17" s="56">
        <f>$C17*INDEX(Curves!$M$8:$M$68,U$4-$B17+1)</f>
        <v/>
      </c>
      <c r="V17" s="56">
        <f>$C17*INDEX(Curves!$M$8:$M$68,V$4-$B17+1)</f>
        <v/>
      </c>
      <c r="W17" s="56">
        <f>$C17*INDEX(Curves!$M$8:$M$68,W$4-$B17+1)</f>
        <v/>
      </c>
      <c r="X17" s="56">
        <f>$C17*INDEX(Curves!$M$8:$M$68,X$4-$B17+1)</f>
        <v/>
      </c>
      <c r="Y17" s="56">
        <f>$C17*INDEX(Curves!$M$8:$M$68,Y$4-$B17+1)</f>
        <v/>
      </c>
      <c r="Z17" s="56">
        <f>$C17*INDEX(Curves!$M$8:$M$68,Z$4-$B17+1)</f>
        <v/>
      </c>
      <c r="AA17" s="56">
        <f>$C17*INDEX(Curves!$M$8:$M$68,AA$4-$B17+1)</f>
        <v/>
      </c>
      <c r="AB17" s="56">
        <f>$C17*INDEX(Curves!$M$8:$M$68,AB$4-$B17+1)</f>
        <v/>
      </c>
      <c r="AC17" s="56">
        <f>$C17*INDEX(Curves!$M$8:$M$68,AC$4-$B17+1)</f>
        <v/>
      </c>
      <c r="AD17" s="56">
        <f>$C17*INDEX(Curves!$M$8:$M$68,AD$4-$B17+1)</f>
        <v/>
      </c>
      <c r="AE17" s="56">
        <f>$C17*INDEX(Curves!$M$8:$M$68,AE$4-$B17+1)</f>
        <v/>
      </c>
      <c r="AF17" s="56">
        <f>$C17*INDEX(Curves!$M$8:$M$68,AF$4-$B17+1)</f>
        <v/>
      </c>
      <c r="AG17" s="56">
        <f>$C17*INDEX(Curves!$M$8:$M$68,AG$4-$B17+1)</f>
        <v/>
      </c>
      <c r="AH17" s="56">
        <f>$C17*INDEX(Curves!$M$8:$M$68,AH$4-$B17+1)</f>
        <v/>
      </c>
      <c r="AI17" s="56">
        <f>$C17*INDEX(Curves!$M$8:$M$68,AI$4-$B17+1)</f>
        <v/>
      </c>
      <c r="AJ17" s="56">
        <f>$C17*INDEX(Curves!$M$8:$M$68,AJ$4-$B17+1)</f>
        <v/>
      </c>
      <c r="AK17" s="56">
        <f>$C17*INDEX(Curves!$M$8:$M$68,AK$4-$B17+1)</f>
        <v/>
      </c>
      <c r="AL17" s="56">
        <f>$C17*INDEX(Curves!$M$8:$M$68,AL$4-$B17+1)</f>
        <v/>
      </c>
      <c r="AM17" s="56">
        <f>$C17*INDEX(Curves!$M$8:$M$68,AM$4-$B17+1)</f>
        <v/>
      </c>
      <c r="AN17" s="56">
        <f>$C17*INDEX(Curves!$M$8:$M$68,AN$4-$B17+1)</f>
        <v/>
      </c>
      <c r="AO17" s="56">
        <f>$C17*INDEX(Curves!$M$8:$M$68,AO$4-$B17+1)</f>
        <v/>
      </c>
      <c r="AP17" s="56">
        <f>$C17*INDEX(Curves!$M$8:$M$68,AP$4-$B17+1)</f>
        <v/>
      </c>
      <c r="AQ17" s="56">
        <f>$C17*INDEX(Curves!$M$8:$M$68,AQ$4-$B17+1)</f>
        <v/>
      </c>
      <c r="AR17" s="56">
        <f>$C17*INDEX(Curves!$M$8:$M$68,AR$4-$B17+1)</f>
        <v/>
      </c>
      <c r="AS17" s="56">
        <f>$C17*INDEX(Curves!$M$8:$M$68,AS$4-$B17+1)</f>
        <v/>
      </c>
      <c r="AT17" s="56">
        <f>$C17*INDEX(Curves!$M$8:$M$68,AT$4-$B17+1)</f>
        <v/>
      </c>
      <c r="AU17" s="56">
        <f>$C17*INDEX(Curves!$M$8:$M$68,AU$4-$B17+1)</f>
        <v/>
      </c>
      <c r="AV17" s="56">
        <f>$C17*INDEX(Curves!$M$8:$M$68,AV$4-$B17+1)</f>
        <v/>
      </c>
      <c r="AW17" s="56">
        <f>$C17*INDEX(Curves!$M$8:$M$68,AW$4-$B17+1)</f>
        <v/>
      </c>
      <c r="AX17" s="56">
        <f>$C17*INDEX(Curves!$M$8:$M$68,AX$4-$B17+1)</f>
        <v/>
      </c>
      <c r="AY17" s="56">
        <f>$C17*INDEX(Curves!$M$8:$M$68,AY$4-$B17+1)</f>
        <v/>
      </c>
      <c r="AZ17" s="56">
        <f>$C17*INDEX(Curves!$M$8:$M$68,AZ$4-$B17+1)</f>
        <v/>
      </c>
      <c r="BA17" s="56">
        <f>$C17*INDEX(Curves!$M$8:$M$68,BA$4-$B17+1)</f>
        <v/>
      </c>
      <c r="BB17" s="56">
        <f>$C17*INDEX(Curves!$M$8:$M$68,BB$4-$B17+1)</f>
        <v/>
      </c>
      <c r="BC17" s="56">
        <f>$C17*INDEX(Curves!$M$8:$M$68,BC$4-$B17+1)</f>
        <v/>
      </c>
      <c r="BD17" s="56">
        <f>$C17*INDEX(Curves!$M$8:$M$68,BD$4-$B17+1)</f>
        <v/>
      </c>
      <c r="BE17" s="56">
        <f>$C17*INDEX(Curves!$M$8:$M$68,BE$4-$B17+1)</f>
        <v/>
      </c>
      <c r="BF17" s="56">
        <f>$C17*INDEX(Curves!$M$8:$M$68,BF$4-$B17+1)</f>
        <v/>
      </c>
      <c r="BG17" s="56">
        <f>$C17*INDEX(Curves!$M$8:$M$68,BG$4-$B17+1)</f>
        <v/>
      </c>
      <c r="BH17" s="56">
        <f>$C17*INDEX(Curves!$M$8:$M$68,BH$4-$B17+1)</f>
        <v/>
      </c>
      <c r="BI17" s="56">
        <f>$C17*INDEX(Curves!$M$8:$M$68,BI$4-$B17+1)</f>
        <v/>
      </c>
      <c r="BJ17" s="56">
        <f>$C17*INDEX(Curves!$M$8:$M$68,BJ$4-$B17+1)</f>
        <v/>
      </c>
      <c r="BK17" s="56">
        <f>$C17*INDEX(Curves!$M$8:$M$68,BK$4-$B17+1)</f>
        <v/>
      </c>
      <c r="BL17" s="56">
        <f>$C17*INDEX(Curves!$M$8:$M$68,BL$4-$B17+1)</f>
        <v/>
      </c>
    </row>
    <row r="18">
      <c r="A18" s="55" t="inlineStr">
        <is>
          <t>Cohort month 9</t>
        </is>
      </c>
      <c r="B18" s="55" t="n">
        <v>9</v>
      </c>
      <c r="C18" s="46">
        <f>INDEX(Ops!$E$25:$BL$25,1,$B18)</f>
        <v/>
      </c>
      <c r="N18" s="56">
        <f>$C18*INDEX(Curves!$M$8:$M$68,N$4-$B18+1)</f>
        <v/>
      </c>
      <c r="O18" s="56">
        <f>$C18*INDEX(Curves!$M$8:$M$68,O$4-$B18+1)</f>
        <v/>
      </c>
      <c r="P18" s="56">
        <f>$C18*INDEX(Curves!$M$8:$M$68,P$4-$B18+1)</f>
        <v/>
      </c>
      <c r="Q18" s="56">
        <f>$C18*INDEX(Curves!$M$8:$M$68,Q$4-$B18+1)</f>
        <v/>
      </c>
      <c r="R18" s="56">
        <f>$C18*INDEX(Curves!$M$8:$M$68,R$4-$B18+1)</f>
        <v/>
      </c>
      <c r="S18" s="56">
        <f>$C18*INDEX(Curves!$M$8:$M$68,S$4-$B18+1)</f>
        <v/>
      </c>
      <c r="T18" s="56">
        <f>$C18*INDEX(Curves!$M$8:$M$68,T$4-$B18+1)</f>
        <v/>
      </c>
      <c r="U18" s="56">
        <f>$C18*INDEX(Curves!$M$8:$M$68,U$4-$B18+1)</f>
        <v/>
      </c>
      <c r="V18" s="56">
        <f>$C18*INDEX(Curves!$M$8:$M$68,V$4-$B18+1)</f>
        <v/>
      </c>
      <c r="W18" s="56">
        <f>$C18*INDEX(Curves!$M$8:$M$68,W$4-$B18+1)</f>
        <v/>
      </c>
      <c r="X18" s="56">
        <f>$C18*INDEX(Curves!$M$8:$M$68,X$4-$B18+1)</f>
        <v/>
      </c>
      <c r="Y18" s="56">
        <f>$C18*INDEX(Curves!$M$8:$M$68,Y$4-$B18+1)</f>
        <v/>
      </c>
      <c r="Z18" s="56">
        <f>$C18*INDEX(Curves!$M$8:$M$68,Z$4-$B18+1)</f>
        <v/>
      </c>
      <c r="AA18" s="56">
        <f>$C18*INDEX(Curves!$M$8:$M$68,AA$4-$B18+1)</f>
        <v/>
      </c>
      <c r="AB18" s="56">
        <f>$C18*INDEX(Curves!$M$8:$M$68,AB$4-$B18+1)</f>
        <v/>
      </c>
      <c r="AC18" s="56">
        <f>$C18*INDEX(Curves!$M$8:$M$68,AC$4-$B18+1)</f>
        <v/>
      </c>
      <c r="AD18" s="56">
        <f>$C18*INDEX(Curves!$M$8:$M$68,AD$4-$B18+1)</f>
        <v/>
      </c>
      <c r="AE18" s="56">
        <f>$C18*INDEX(Curves!$M$8:$M$68,AE$4-$B18+1)</f>
        <v/>
      </c>
      <c r="AF18" s="56">
        <f>$C18*INDEX(Curves!$M$8:$M$68,AF$4-$B18+1)</f>
        <v/>
      </c>
      <c r="AG18" s="56">
        <f>$C18*INDEX(Curves!$M$8:$M$68,AG$4-$B18+1)</f>
        <v/>
      </c>
      <c r="AH18" s="56">
        <f>$C18*INDEX(Curves!$M$8:$M$68,AH$4-$B18+1)</f>
        <v/>
      </c>
      <c r="AI18" s="56">
        <f>$C18*INDEX(Curves!$M$8:$M$68,AI$4-$B18+1)</f>
        <v/>
      </c>
      <c r="AJ18" s="56">
        <f>$C18*INDEX(Curves!$M$8:$M$68,AJ$4-$B18+1)</f>
        <v/>
      </c>
      <c r="AK18" s="56">
        <f>$C18*INDEX(Curves!$M$8:$M$68,AK$4-$B18+1)</f>
        <v/>
      </c>
      <c r="AL18" s="56">
        <f>$C18*INDEX(Curves!$M$8:$M$68,AL$4-$B18+1)</f>
        <v/>
      </c>
      <c r="AM18" s="56">
        <f>$C18*INDEX(Curves!$M$8:$M$68,AM$4-$B18+1)</f>
        <v/>
      </c>
      <c r="AN18" s="56">
        <f>$C18*INDEX(Curves!$M$8:$M$68,AN$4-$B18+1)</f>
        <v/>
      </c>
      <c r="AO18" s="56">
        <f>$C18*INDEX(Curves!$M$8:$M$68,AO$4-$B18+1)</f>
        <v/>
      </c>
      <c r="AP18" s="56">
        <f>$C18*INDEX(Curves!$M$8:$M$68,AP$4-$B18+1)</f>
        <v/>
      </c>
      <c r="AQ18" s="56">
        <f>$C18*INDEX(Curves!$M$8:$M$68,AQ$4-$B18+1)</f>
        <v/>
      </c>
      <c r="AR18" s="56">
        <f>$C18*INDEX(Curves!$M$8:$M$68,AR$4-$B18+1)</f>
        <v/>
      </c>
      <c r="AS18" s="56">
        <f>$C18*INDEX(Curves!$M$8:$M$68,AS$4-$B18+1)</f>
        <v/>
      </c>
      <c r="AT18" s="56">
        <f>$C18*INDEX(Curves!$M$8:$M$68,AT$4-$B18+1)</f>
        <v/>
      </c>
      <c r="AU18" s="56">
        <f>$C18*INDEX(Curves!$M$8:$M$68,AU$4-$B18+1)</f>
        <v/>
      </c>
      <c r="AV18" s="56">
        <f>$C18*INDEX(Curves!$M$8:$M$68,AV$4-$B18+1)</f>
        <v/>
      </c>
      <c r="AW18" s="56">
        <f>$C18*INDEX(Curves!$M$8:$M$68,AW$4-$B18+1)</f>
        <v/>
      </c>
      <c r="AX18" s="56">
        <f>$C18*INDEX(Curves!$M$8:$M$68,AX$4-$B18+1)</f>
        <v/>
      </c>
      <c r="AY18" s="56">
        <f>$C18*INDEX(Curves!$M$8:$M$68,AY$4-$B18+1)</f>
        <v/>
      </c>
      <c r="AZ18" s="56">
        <f>$C18*INDEX(Curves!$M$8:$M$68,AZ$4-$B18+1)</f>
        <v/>
      </c>
      <c r="BA18" s="56">
        <f>$C18*INDEX(Curves!$M$8:$M$68,BA$4-$B18+1)</f>
        <v/>
      </c>
      <c r="BB18" s="56">
        <f>$C18*INDEX(Curves!$M$8:$M$68,BB$4-$B18+1)</f>
        <v/>
      </c>
      <c r="BC18" s="56">
        <f>$C18*INDEX(Curves!$M$8:$M$68,BC$4-$B18+1)</f>
        <v/>
      </c>
      <c r="BD18" s="56">
        <f>$C18*INDEX(Curves!$M$8:$M$68,BD$4-$B18+1)</f>
        <v/>
      </c>
      <c r="BE18" s="56">
        <f>$C18*INDEX(Curves!$M$8:$M$68,BE$4-$B18+1)</f>
        <v/>
      </c>
      <c r="BF18" s="56">
        <f>$C18*INDEX(Curves!$M$8:$M$68,BF$4-$B18+1)</f>
        <v/>
      </c>
      <c r="BG18" s="56">
        <f>$C18*INDEX(Curves!$M$8:$M$68,BG$4-$B18+1)</f>
        <v/>
      </c>
      <c r="BH18" s="56">
        <f>$C18*INDEX(Curves!$M$8:$M$68,BH$4-$B18+1)</f>
        <v/>
      </c>
      <c r="BI18" s="56">
        <f>$C18*INDEX(Curves!$M$8:$M$68,BI$4-$B18+1)</f>
        <v/>
      </c>
      <c r="BJ18" s="56">
        <f>$C18*INDEX(Curves!$M$8:$M$68,BJ$4-$B18+1)</f>
        <v/>
      </c>
      <c r="BK18" s="56">
        <f>$C18*INDEX(Curves!$M$8:$M$68,BK$4-$B18+1)</f>
        <v/>
      </c>
      <c r="BL18" s="56">
        <f>$C18*INDEX(Curves!$M$8:$M$68,BL$4-$B18+1)</f>
        <v/>
      </c>
    </row>
    <row r="19">
      <c r="A19" s="55" t="inlineStr">
        <is>
          <t>Cohort month 10</t>
        </is>
      </c>
      <c r="B19" s="55" t="n">
        <v>10</v>
      </c>
      <c r="C19" s="46">
        <f>INDEX(Ops!$E$25:$BL$25,1,$B19)</f>
        <v/>
      </c>
      <c r="O19" s="56">
        <f>$C19*INDEX(Curves!$M$8:$M$68,O$4-$B19+1)</f>
        <v/>
      </c>
      <c r="P19" s="56">
        <f>$C19*INDEX(Curves!$M$8:$M$68,P$4-$B19+1)</f>
        <v/>
      </c>
      <c r="Q19" s="56">
        <f>$C19*INDEX(Curves!$M$8:$M$68,Q$4-$B19+1)</f>
        <v/>
      </c>
      <c r="R19" s="56">
        <f>$C19*INDEX(Curves!$M$8:$M$68,R$4-$B19+1)</f>
        <v/>
      </c>
      <c r="S19" s="56">
        <f>$C19*INDEX(Curves!$M$8:$M$68,S$4-$B19+1)</f>
        <v/>
      </c>
      <c r="T19" s="56">
        <f>$C19*INDEX(Curves!$M$8:$M$68,T$4-$B19+1)</f>
        <v/>
      </c>
      <c r="U19" s="56">
        <f>$C19*INDEX(Curves!$M$8:$M$68,U$4-$B19+1)</f>
        <v/>
      </c>
      <c r="V19" s="56">
        <f>$C19*INDEX(Curves!$M$8:$M$68,V$4-$B19+1)</f>
        <v/>
      </c>
      <c r="W19" s="56">
        <f>$C19*INDEX(Curves!$M$8:$M$68,W$4-$B19+1)</f>
        <v/>
      </c>
      <c r="X19" s="56">
        <f>$C19*INDEX(Curves!$M$8:$M$68,X$4-$B19+1)</f>
        <v/>
      </c>
      <c r="Y19" s="56">
        <f>$C19*INDEX(Curves!$M$8:$M$68,Y$4-$B19+1)</f>
        <v/>
      </c>
      <c r="Z19" s="56">
        <f>$C19*INDEX(Curves!$M$8:$M$68,Z$4-$B19+1)</f>
        <v/>
      </c>
      <c r="AA19" s="56">
        <f>$C19*INDEX(Curves!$M$8:$M$68,AA$4-$B19+1)</f>
        <v/>
      </c>
      <c r="AB19" s="56">
        <f>$C19*INDEX(Curves!$M$8:$M$68,AB$4-$B19+1)</f>
        <v/>
      </c>
      <c r="AC19" s="56">
        <f>$C19*INDEX(Curves!$M$8:$M$68,AC$4-$B19+1)</f>
        <v/>
      </c>
      <c r="AD19" s="56">
        <f>$C19*INDEX(Curves!$M$8:$M$68,AD$4-$B19+1)</f>
        <v/>
      </c>
      <c r="AE19" s="56">
        <f>$C19*INDEX(Curves!$M$8:$M$68,AE$4-$B19+1)</f>
        <v/>
      </c>
      <c r="AF19" s="56">
        <f>$C19*INDEX(Curves!$M$8:$M$68,AF$4-$B19+1)</f>
        <v/>
      </c>
      <c r="AG19" s="56">
        <f>$C19*INDEX(Curves!$M$8:$M$68,AG$4-$B19+1)</f>
        <v/>
      </c>
      <c r="AH19" s="56">
        <f>$C19*INDEX(Curves!$M$8:$M$68,AH$4-$B19+1)</f>
        <v/>
      </c>
      <c r="AI19" s="56">
        <f>$C19*INDEX(Curves!$M$8:$M$68,AI$4-$B19+1)</f>
        <v/>
      </c>
      <c r="AJ19" s="56">
        <f>$C19*INDEX(Curves!$M$8:$M$68,AJ$4-$B19+1)</f>
        <v/>
      </c>
      <c r="AK19" s="56">
        <f>$C19*INDEX(Curves!$M$8:$M$68,AK$4-$B19+1)</f>
        <v/>
      </c>
      <c r="AL19" s="56">
        <f>$C19*INDEX(Curves!$M$8:$M$68,AL$4-$B19+1)</f>
        <v/>
      </c>
      <c r="AM19" s="56">
        <f>$C19*INDEX(Curves!$M$8:$M$68,AM$4-$B19+1)</f>
        <v/>
      </c>
      <c r="AN19" s="56">
        <f>$C19*INDEX(Curves!$M$8:$M$68,AN$4-$B19+1)</f>
        <v/>
      </c>
      <c r="AO19" s="56">
        <f>$C19*INDEX(Curves!$M$8:$M$68,AO$4-$B19+1)</f>
        <v/>
      </c>
      <c r="AP19" s="56">
        <f>$C19*INDEX(Curves!$M$8:$M$68,AP$4-$B19+1)</f>
        <v/>
      </c>
      <c r="AQ19" s="56">
        <f>$C19*INDEX(Curves!$M$8:$M$68,AQ$4-$B19+1)</f>
        <v/>
      </c>
      <c r="AR19" s="56">
        <f>$C19*INDEX(Curves!$M$8:$M$68,AR$4-$B19+1)</f>
        <v/>
      </c>
      <c r="AS19" s="56">
        <f>$C19*INDEX(Curves!$M$8:$M$68,AS$4-$B19+1)</f>
        <v/>
      </c>
      <c r="AT19" s="56">
        <f>$C19*INDEX(Curves!$M$8:$M$68,AT$4-$B19+1)</f>
        <v/>
      </c>
      <c r="AU19" s="56">
        <f>$C19*INDEX(Curves!$M$8:$M$68,AU$4-$B19+1)</f>
        <v/>
      </c>
      <c r="AV19" s="56">
        <f>$C19*INDEX(Curves!$M$8:$M$68,AV$4-$B19+1)</f>
        <v/>
      </c>
      <c r="AW19" s="56">
        <f>$C19*INDEX(Curves!$M$8:$M$68,AW$4-$B19+1)</f>
        <v/>
      </c>
      <c r="AX19" s="56">
        <f>$C19*INDEX(Curves!$M$8:$M$68,AX$4-$B19+1)</f>
        <v/>
      </c>
      <c r="AY19" s="56">
        <f>$C19*INDEX(Curves!$M$8:$M$68,AY$4-$B19+1)</f>
        <v/>
      </c>
      <c r="AZ19" s="56">
        <f>$C19*INDEX(Curves!$M$8:$M$68,AZ$4-$B19+1)</f>
        <v/>
      </c>
      <c r="BA19" s="56">
        <f>$C19*INDEX(Curves!$M$8:$M$68,BA$4-$B19+1)</f>
        <v/>
      </c>
      <c r="BB19" s="56">
        <f>$C19*INDEX(Curves!$M$8:$M$68,BB$4-$B19+1)</f>
        <v/>
      </c>
      <c r="BC19" s="56">
        <f>$C19*INDEX(Curves!$M$8:$M$68,BC$4-$B19+1)</f>
        <v/>
      </c>
      <c r="BD19" s="56">
        <f>$C19*INDEX(Curves!$M$8:$M$68,BD$4-$B19+1)</f>
        <v/>
      </c>
      <c r="BE19" s="56">
        <f>$C19*INDEX(Curves!$M$8:$M$68,BE$4-$B19+1)</f>
        <v/>
      </c>
      <c r="BF19" s="56">
        <f>$C19*INDEX(Curves!$M$8:$M$68,BF$4-$B19+1)</f>
        <v/>
      </c>
      <c r="BG19" s="56">
        <f>$C19*INDEX(Curves!$M$8:$M$68,BG$4-$B19+1)</f>
        <v/>
      </c>
      <c r="BH19" s="56">
        <f>$C19*INDEX(Curves!$M$8:$M$68,BH$4-$B19+1)</f>
        <v/>
      </c>
      <c r="BI19" s="56">
        <f>$C19*INDEX(Curves!$M$8:$M$68,BI$4-$B19+1)</f>
        <v/>
      </c>
      <c r="BJ19" s="56">
        <f>$C19*INDEX(Curves!$M$8:$M$68,BJ$4-$B19+1)</f>
        <v/>
      </c>
      <c r="BK19" s="56">
        <f>$C19*INDEX(Curves!$M$8:$M$68,BK$4-$B19+1)</f>
        <v/>
      </c>
      <c r="BL19" s="56">
        <f>$C19*INDEX(Curves!$M$8:$M$68,BL$4-$B19+1)</f>
        <v/>
      </c>
    </row>
    <row r="20">
      <c r="A20" s="55" t="inlineStr">
        <is>
          <t>Cohort month 11</t>
        </is>
      </c>
      <c r="B20" s="55" t="n">
        <v>11</v>
      </c>
      <c r="C20" s="46">
        <f>INDEX(Ops!$E$25:$BL$25,1,$B20)</f>
        <v/>
      </c>
      <c r="P20" s="56">
        <f>$C20*INDEX(Curves!$M$8:$M$68,P$4-$B20+1)</f>
        <v/>
      </c>
      <c r="Q20" s="56">
        <f>$C20*INDEX(Curves!$M$8:$M$68,Q$4-$B20+1)</f>
        <v/>
      </c>
      <c r="R20" s="56">
        <f>$C20*INDEX(Curves!$M$8:$M$68,R$4-$B20+1)</f>
        <v/>
      </c>
      <c r="S20" s="56">
        <f>$C20*INDEX(Curves!$M$8:$M$68,S$4-$B20+1)</f>
        <v/>
      </c>
      <c r="T20" s="56">
        <f>$C20*INDEX(Curves!$M$8:$M$68,T$4-$B20+1)</f>
        <v/>
      </c>
      <c r="U20" s="56">
        <f>$C20*INDEX(Curves!$M$8:$M$68,U$4-$B20+1)</f>
        <v/>
      </c>
      <c r="V20" s="56">
        <f>$C20*INDEX(Curves!$M$8:$M$68,V$4-$B20+1)</f>
        <v/>
      </c>
      <c r="W20" s="56">
        <f>$C20*INDEX(Curves!$M$8:$M$68,W$4-$B20+1)</f>
        <v/>
      </c>
      <c r="X20" s="56">
        <f>$C20*INDEX(Curves!$M$8:$M$68,X$4-$B20+1)</f>
        <v/>
      </c>
      <c r="Y20" s="56">
        <f>$C20*INDEX(Curves!$M$8:$M$68,Y$4-$B20+1)</f>
        <v/>
      </c>
      <c r="Z20" s="56">
        <f>$C20*INDEX(Curves!$M$8:$M$68,Z$4-$B20+1)</f>
        <v/>
      </c>
      <c r="AA20" s="56">
        <f>$C20*INDEX(Curves!$M$8:$M$68,AA$4-$B20+1)</f>
        <v/>
      </c>
      <c r="AB20" s="56">
        <f>$C20*INDEX(Curves!$M$8:$M$68,AB$4-$B20+1)</f>
        <v/>
      </c>
      <c r="AC20" s="56">
        <f>$C20*INDEX(Curves!$M$8:$M$68,AC$4-$B20+1)</f>
        <v/>
      </c>
      <c r="AD20" s="56">
        <f>$C20*INDEX(Curves!$M$8:$M$68,AD$4-$B20+1)</f>
        <v/>
      </c>
      <c r="AE20" s="56">
        <f>$C20*INDEX(Curves!$M$8:$M$68,AE$4-$B20+1)</f>
        <v/>
      </c>
      <c r="AF20" s="56">
        <f>$C20*INDEX(Curves!$M$8:$M$68,AF$4-$B20+1)</f>
        <v/>
      </c>
      <c r="AG20" s="56">
        <f>$C20*INDEX(Curves!$M$8:$M$68,AG$4-$B20+1)</f>
        <v/>
      </c>
      <c r="AH20" s="56">
        <f>$C20*INDEX(Curves!$M$8:$M$68,AH$4-$B20+1)</f>
        <v/>
      </c>
      <c r="AI20" s="56">
        <f>$C20*INDEX(Curves!$M$8:$M$68,AI$4-$B20+1)</f>
        <v/>
      </c>
      <c r="AJ20" s="56">
        <f>$C20*INDEX(Curves!$M$8:$M$68,AJ$4-$B20+1)</f>
        <v/>
      </c>
      <c r="AK20" s="56">
        <f>$C20*INDEX(Curves!$M$8:$M$68,AK$4-$B20+1)</f>
        <v/>
      </c>
      <c r="AL20" s="56">
        <f>$C20*INDEX(Curves!$M$8:$M$68,AL$4-$B20+1)</f>
        <v/>
      </c>
      <c r="AM20" s="56">
        <f>$C20*INDEX(Curves!$M$8:$M$68,AM$4-$B20+1)</f>
        <v/>
      </c>
      <c r="AN20" s="56">
        <f>$C20*INDEX(Curves!$M$8:$M$68,AN$4-$B20+1)</f>
        <v/>
      </c>
      <c r="AO20" s="56">
        <f>$C20*INDEX(Curves!$M$8:$M$68,AO$4-$B20+1)</f>
        <v/>
      </c>
      <c r="AP20" s="56">
        <f>$C20*INDEX(Curves!$M$8:$M$68,AP$4-$B20+1)</f>
        <v/>
      </c>
      <c r="AQ20" s="56">
        <f>$C20*INDEX(Curves!$M$8:$M$68,AQ$4-$B20+1)</f>
        <v/>
      </c>
      <c r="AR20" s="56">
        <f>$C20*INDEX(Curves!$M$8:$M$68,AR$4-$B20+1)</f>
        <v/>
      </c>
      <c r="AS20" s="56">
        <f>$C20*INDEX(Curves!$M$8:$M$68,AS$4-$B20+1)</f>
        <v/>
      </c>
      <c r="AT20" s="56">
        <f>$C20*INDEX(Curves!$M$8:$M$68,AT$4-$B20+1)</f>
        <v/>
      </c>
      <c r="AU20" s="56">
        <f>$C20*INDEX(Curves!$M$8:$M$68,AU$4-$B20+1)</f>
        <v/>
      </c>
      <c r="AV20" s="56">
        <f>$C20*INDEX(Curves!$M$8:$M$68,AV$4-$B20+1)</f>
        <v/>
      </c>
      <c r="AW20" s="56">
        <f>$C20*INDEX(Curves!$M$8:$M$68,AW$4-$B20+1)</f>
        <v/>
      </c>
      <c r="AX20" s="56">
        <f>$C20*INDEX(Curves!$M$8:$M$68,AX$4-$B20+1)</f>
        <v/>
      </c>
      <c r="AY20" s="56">
        <f>$C20*INDEX(Curves!$M$8:$M$68,AY$4-$B20+1)</f>
        <v/>
      </c>
      <c r="AZ20" s="56">
        <f>$C20*INDEX(Curves!$M$8:$M$68,AZ$4-$B20+1)</f>
        <v/>
      </c>
      <c r="BA20" s="56">
        <f>$C20*INDEX(Curves!$M$8:$M$68,BA$4-$B20+1)</f>
        <v/>
      </c>
      <c r="BB20" s="56">
        <f>$C20*INDEX(Curves!$M$8:$M$68,BB$4-$B20+1)</f>
        <v/>
      </c>
      <c r="BC20" s="56">
        <f>$C20*INDEX(Curves!$M$8:$M$68,BC$4-$B20+1)</f>
        <v/>
      </c>
      <c r="BD20" s="56">
        <f>$C20*INDEX(Curves!$M$8:$M$68,BD$4-$B20+1)</f>
        <v/>
      </c>
      <c r="BE20" s="56">
        <f>$C20*INDEX(Curves!$M$8:$M$68,BE$4-$B20+1)</f>
        <v/>
      </c>
      <c r="BF20" s="56">
        <f>$C20*INDEX(Curves!$M$8:$M$68,BF$4-$B20+1)</f>
        <v/>
      </c>
      <c r="BG20" s="56">
        <f>$C20*INDEX(Curves!$M$8:$M$68,BG$4-$B20+1)</f>
        <v/>
      </c>
      <c r="BH20" s="56">
        <f>$C20*INDEX(Curves!$M$8:$M$68,BH$4-$B20+1)</f>
        <v/>
      </c>
      <c r="BI20" s="56">
        <f>$C20*INDEX(Curves!$M$8:$M$68,BI$4-$B20+1)</f>
        <v/>
      </c>
      <c r="BJ20" s="56">
        <f>$C20*INDEX(Curves!$M$8:$M$68,BJ$4-$B20+1)</f>
        <v/>
      </c>
      <c r="BK20" s="56">
        <f>$C20*INDEX(Curves!$M$8:$M$68,BK$4-$B20+1)</f>
        <v/>
      </c>
      <c r="BL20" s="56">
        <f>$C20*INDEX(Curves!$M$8:$M$68,BL$4-$B20+1)</f>
        <v/>
      </c>
    </row>
    <row r="21">
      <c r="A21" s="55" t="inlineStr">
        <is>
          <t>Cohort month 12</t>
        </is>
      </c>
      <c r="B21" s="55" t="n">
        <v>12</v>
      </c>
      <c r="C21" s="46">
        <f>INDEX(Ops!$E$25:$BL$25,1,$B21)</f>
        <v/>
      </c>
      <c r="Q21" s="56">
        <f>$C21*INDEX(Curves!$M$8:$M$68,Q$4-$B21+1)</f>
        <v/>
      </c>
      <c r="R21" s="56">
        <f>$C21*INDEX(Curves!$M$8:$M$68,R$4-$B21+1)</f>
        <v/>
      </c>
      <c r="S21" s="56">
        <f>$C21*INDEX(Curves!$M$8:$M$68,S$4-$B21+1)</f>
        <v/>
      </c>
      <c r="T21" s="56">
        <f>$C21*INDEX(Curves!$M$8:$M$68,T$4-$B21+1)</f>
        <v/>
      </c>
      <c r="U21" s="56">
        <f>$C21*INDEX(Curves!$M$8:$M$68,U$4-$B21+1)</f>
        <v/>
      </c>
      <c r="V21" s="56">
        <f>$C21*INDEX(Curves!$M$8:$M$68,V$4-$B21+1)</f>
        <v/>
      </c>
      <c r="W21" s="56">
        <f>$C21*INDEX(Curves!$M$8:$M$68,W$4-$B21+1)</f>
        <v/>
      </c>
      <c r="X21" s="56">
        <f>$C21*INDEX(Curves!$M$8:$M$68,X$4-$B21+1)</f>
        <v/>
      </c>
      <c r="Y21" s="56">
        <f>$C21*INDEX(Curves!$M$8:$M$68,Y$4-$B21+1)</f>
        <v/>
      </c>
      <c r="Z21" s="56">
        <f>$C21*INDEX(Curves!$M$8:$M$68,Z$4-$B21+1)</f>
        <v/>
      </c>
      <c r="AA21" s="56">
        <f>$C21*INDEX(Curves!$M$8:$M$68,AA$4-$B21+1)</f>
        <v/>
      </c>
      <c r="AB21" s="56">
        <f>$C21*INDEX(Curves!$M$8:$M$68,AB$4-$B21+1)</f>
        <v/>
      </c>
      <c r="AC21" s="56">
        <f>$C21*INDEX(Curves!$M$8:$M$68,AC$4-$B21+1)</f>
        <v/>
      </c>
      <c r="AD21" s="56">
        <f>$C21*INDEX(Curves!$M$8:$M$68,AD$4-$B21+1)</f>
        <v/>
      </c>
      <c r="AE21" s="56">
        <f>$C21*INDEX(Curves!$M$8:$M$68,AE$4-$B21+1)</f>
        <v/>
      </c>
      <c r="AF21" s="56">
        <f>$C21*INDEX(Curves!$M$8:$M$68,AF$4-$B21+1)</f>
        <v/>
      </c>
      <c r="AG21" s="56">
        <f>$C21*INDEX(Curves!$M$8:$M$68,AG$4-$B21+1)</f>
        <v/>
      </c>
      <c r="AH21" s="56">
        <f>$C21*INDEX(Curves!$M$8:$M$68,AH$4-$B21+1)</f>
        <v/>
      </c>
      <c r="AI21" s="56">
        <f>$C21*INDEX(Curves!$M$8:$M$68,AI$4-$B21+1)</f>
        <v/>
      </c>
      <c r="AJ21" s="56">
        <f>$C21*INDEX(Curves!$M$8:$M$68,AJ$4-$B21+1)</f>
        <v/>
      </c>
      <c r="AK21" s="56">
        <f>$C21*INDEX(Curves!$M$8:$M$68,AK$4-$B21+1)</f>
        <v/>
      </c>
      <c r="AL21" s="56">
        <f>$C21*INDEX(Curves!$M$8:$M$68,AL$4-$B21+1)</f>
        <v/>
      </c>
      <c r="AM21" s="56">
        <f>$C21*INDEX(Curves!$M$8:$M$68,AM$4-$B21+1)</f>
        <v/>
      </c>
      <c r="AN21" s="56">
        <f>$C21*INDEX(Curves!$M$8:$M$68,AN$4-$B21+1)</f>
        <v/>
      </c>
      <c r="AO21" s="56">
        <f>$C21*INDEX(Curves!$M$8:$M$68,AO$4-$B21+1)</f>
        <v/>
      </c>
      <c r="AP21" s="56">
        <f>$C21*INDEX(Curves!$M$8:$M$68,AP$4-$B21+1)</f>
        <v/>
      </c>
      <c r="AQ21" s="56">
        <f>$C21*INDEX(Curves!$M$8:$M$68,AQ$4-$B21+1)</f>
        <v/>
      </c>
      <c r="AR21" s="56">
        <f>$C21*INDEX(Curves!$M$8:$M$68,AR$4-$B21+1)</f>
        <v/>
      </c>
      <c r="AS21" s="56">
        <f>$C21*INDEX(Curves!$M$8:$M$68,AS$4-$B21+1)</f>
        <v/>
      </c>
      <c r="AT21" s="56">
        <f>$C21*INDEX(Curves!$M$8:$M$68,AT$4-$B21+1)</f>
        <v/>
      </c>
      <c r="AU21" s="56">
        <f>$C21*INDEX(Curves!$M$8:$M$68,AU$4-$B21+1)</f>
        <v/>
      </c>
      <c r="AV21" s="56">
        <f>$C21*INDEX(Curves!$M$8:$M$68,AV$4-$B21+1)</f>
        <v/>
      </c>
      <c r="AW21" s="56">
        <f>$C21*INDEX(Curves!$M$8:$M$68,AW$4-$B21+1)</f>
        <v/>
      </c>
      <c r="AX21" s="56">
        <f>$C21*INDEX(Curves!$M$8:$M$68,AX$4-$B21+1)</f>
        <v/>
      </c>
      <c r="AY21" s="56">
        <f>$C21*INDEX(Curves!$M$8:$M$68,AY$4-$B21+1)</f>
        <v/>
      </c>
      <c r="AZ21" s="56">
        <f>$C21*INDEX(Curves!$M$8:$M$68,AZ$4-$B21+1)</f>
        <v/>
      </c>
      <c r="BA21" s="56">
        <f>$C21*INDEX(Curves!$M$8:$M$68,BA$4-$B21+1)</f>
        <v/>
      </c>
      <c r="BB21" s="56">
        <f>$C21*INDEX(Curves!$M$8:$M$68,BB$4-$B21+1)</f>
        <v/>
      </c>
      <c r="BC21" s="56">
        <f>$C21*INDEX(Curves!$M$8:$M$68,BC$4-$B21+1)</f>
        <v/>
      </c>
      <c r="BD21" s="56">
        <f>$C21*INDEX(Curves!$M$8:$M$68,BD$4-$B21+1)</f>
        <v/>
      </c>
      <c r="BE21" s="56">
        <f>$C21*INDEX(Curves!$M$8:$M$68,BE$4-$B21+1)</f>
        <v/>
      </c>
      <c r="BF21" s="56">
        <f>$C21*INDEX(Curves!$M$8:$M$68,BF$4-$B21+1)</f>
        <v/>
      </c>
      <c r="BG21" s="56">
        <f>$C21*INDEX(Curves!$M$8:$M$68,BG$4-$B21+1)</f>
        <v/>
      </c>
      <c r="BH21" s="56">
        <f>$C21*INDEX(Curves!$M$8:$M$68,BH$4-$B21+1)</f>
        <v/>
      </c>
      <c r="BI21" s="56">
        <f>$C21*INDEX(Curves!$M$8:$M$68,BI$4-$B21+1)</f>
        <v/>
      </c>
      <c r="BJ21" s="56">
        <f>$C21*INDEX(Curves!$M$8:$M$68,BJ$4-$B21+1)</f>
        <v/>
      </c>
      <c r="BK21" s="56">
        <f>$C21*INDEX(Curves!$M$8:$M$68,BK$4-$B21+1)</f>
        <v/>
      </c>
      <c r="BL21" s="56">
        <f>$C21*INDEX(Curves!$M$8:$M$68,BL$4-$B21+1)</f>
        <v/>
      </c>
    </row>
    <row r="22">
      <c r="A22" s="55" t="inlineStr">
        <is>
          <t>Cohort month 13</t>
        </is>
      </c>
      <c r="B22" s="55" t="n">
        <v>13</v>
      </c>
      <c r="C22" s="46">
        <f>INDEX(Ops!$E$25:$BL$25,1,$B22)</f>
        <v/>
      </c>
      <c r="R22" s="56">
        <f>$C22*INDEX(Curves!$M$8:$M$68,R$4-$B22+1)</f>
        <v/>
      </c>
      <c r="S22" s="56">
        <f>$C22*INDEX(Curves!$M$8:$M$68,S$4-$B22+1)</f>
        <v/>
      </c>
      <c r="T22" s="56">
        <f>$C22*INDEX(Curves!$M$8:$M$68,T$4-$B22+1)</f>
        <v/>
      </c>
      <c r="U22" s="56">
        <f>$C22*INDEX(Curves!$M$8:$M$68,U$4-$B22+1)</f>
        <v/>
      </c>
      <c r="V22" s="56">
        <f>$C22*INDEX(Curves!$M$8:$M$68,V$4-$B22+1)</f>
        <v/>
      </c>
      <c r="W22" s="56">
        <f>$C22*INDEX(Curves!$M$8:$M$68,W$4-$B22+1)</f>
        <v/>
      </c>
      <c r="X22" s="56">
        <f>$C22*INDEX(Curves!$M$8:$M$68,X$4-$B22+1)</f>
        <v/>
      </c>
      <c r="Y22" s="56">
        <f>$C22*INDEX(Curves!$M$8:$M$68,Y$4-$B22+1)</f>
        <v/>
      </c>
      <c r="Z22" s="56">
        <f>$C22*INDEX(Curves!$M$8:$M$68,Z$4-$B22+1)</f>
        <v/>
      </c>
      <c r="AA22" s="56">
        <f>$C22*INDEX(Curves!$M$8:$M$68,AA$4-$B22+1)</f>
        <v/>
      </c>
      <c r="AB22" s="56">
        <f>$C22*INDEX(Curves!$M$8:$M$68,AB$4-$B22+1)</f>
        <v/>
      </c>
      <c r="AC22" s="56">
        <f>$C22*INDEX(Curves!$M$8:$M$68,AC$4-$B22+1)</f>
        <v/>
      </c>
      <c r="AD22" s="56">
        <f>$C22*INDEX(Curves!$M$8:$M$68,AD$4-$B22+1)</f>
        <v/>
      </c>
      <c r="AE22" s="56">
        <f>$C22*INDEX(Curves!$M$8:$M$68,AE$4-$B22+1)</f>
        <v/>
      </c>
      <c r="AF22" s="56">
        <f>$C22*INDEX(Curves!$M$8:$M$68,AF$4-$B22+1)</f>
        <v/>
      </c>
      <c r="AG22" s="56">
        <f>$C22*INDEX(Curves!$M$8:$M$68,AG$4-$B22+1)</f>
        <v/>
      </c>
      <c r="AH22" s="56">
        <f>$C22*INDEX(Curves!$M$8:$M$68,AH$4-$B22+1)</f>
        <v/>
      </c>
      <c r="AI22" s="56">
        <f>$C22*INDEX(Curves!$M$8:$M$68,AI$4-$B22+1)</f>
        <v/>
      </c>
      <c r="AJ22" s="56">
        <f>$C22*INDEX(Curves!$M$8:$M$68,AJ$4-$B22+1)</f>
        <v/>
      </c>
      <c r="AK22" s="56">
        <f>$C22*INDEX(Curves!$M$8:$M$68,AK$4-$B22+1)</f>
        <v/>
      </c>
      <c r="AL22" s="56">
        <f>$C22*INDEX(Curves!$M$8:$M$68,AL$4-$B22+1)</f>
        <v/>
      </c>
      <c r="AM22" s="56">
        <f>$C22*INDEX(Curves!$M$8:$M$68,AM$4-$B22+1)</f>
        <v/>
      </c>
      <c r="AN22" s="56">
        <f>$C22*INDEX(Curves!$M$8:$M$68,AN$4-$B22+1)</f>
        <v/>
      </c>
      <c r="AO22" s="56">
        <f>$C22*INDEX(Curves!$M$8:$M$68,AO$4-$B22+1)</f>
        <v/>
      </c>
      <c r="AP22" s="56">
        <f>$C22*INDEX(Curves!$M$8:$M$68,AP$4-$B22+1)</f>
        <v/>
      </c>
      <c r="AQ22" s="56">
        <f>$C22*INDEX(Curves!$M$8:$M$68,AQ$4-$B22+1)</f>
        <v/>
      </c>
      <c r="AR22" s="56">
        <f>$C22*INDEX(Curves!$M$8:$M$68,AR$4-$B22+1)</f>
        <v/>
      </c>
      <c r="AS22" s="56">
        <f>$C22*INDEX(Curves!$M$8:$M$68,AS$4-$B22+1)</f>
        <v/>
      </c>
      <c r="AT22" s="56">
        <f>$C22*INDEX(Curves!$M$8:$M$68,AT$4-$B22+1)</f>
        <v/>
      </c>
      <c r="AU22" s="56">
        <f>$C22*INDEX(Curves!$M$8:$M$68,AU$4-$B22+1)</f>
        <v/>
      </c>
      <c r="AV22" s="56">
        <f>$C22*INDEX(Curves!$M$8:$M$68,AV$4-$B22+1)</f>
        <v/>
      </c>
      <c r="AW22" s="56">
        <f>$C22*INDEX(Curves!$M$8:$M$68,AW$4-$B22+1)</f>
        <v/>
      </c>
      <c r="AX22" s="56">
        <f>$C22*INDEX(Curves!$M$8:$M$68,AX$4-$B22+1)</f>
        <v/>
      </c>
      <c r="AY22" s="56">
        <f>$C22*INDEX(Curves!$M$8:$M$68,AY$4-$B22+1)</f>
        <v/>
      </c>
      <c r="AZ22" s="56">
        <f>$C22*INDEX(Curves!$M$8:$M$68,AZ$4-$B22+1)</f>
        <v/>
      </c>
      <c r="BA22" s="56">
        <f>$C22*INDEX(Curves!$M$8:$M$68,BA$4-$B22+1)</f>
        <v/>
      </c>
      <c r="BB22" s="56">
        <f>$C22*INDEX(Curves!$M$8:$M$68,BB$4-$B22+1)</f>
        <v/>
      </c>
      <c r="BC22" s="56">
        <f>$C22*INDEX(Curves!$M$8:$M$68,BC$4-$B22+1)</f>
        <v/>
      </c>
      <c r="BD22" s="56">
        <f>$C22*INDEX(Curves!$M$8:$M$68,BD$4-$B22+1)</f>
        <v/>
      </c>
      <c r="BE22" s="56">
        <f>$C22*INDEX(Curves!$M$8:$M$68,BE$4-$B22+1)</f>
        <v/>
      </c>
      <c r="BF22" s="56">
        <f>$C22*INDEX(Curves!$M$8:$M$68,BF$4-$B22+1)</f>
        <v/>
      </c>
      <c r="BG22" s="56">
        <f>$C22*INDEX(Curves!$M$8:$M$68,BG$4-$B22+1)</f>
        <v/>
      </c>
      <c r="BH22" s="56">
        <f>$C22*INDEX(Curves!$M$8:$M$68,BH$4-$B22+1)</f>
        <v/>
      </c>
      <c r="BI22" s="56">
        <f>$C22*INDEX(Curves!$M$8:$M$68,BI$4-$B22+1)</f>
        <v/>
      </c>
      <c r="BJ22" s="56">
        <f>$C22*INDEX(Curves!$M$8:$M$68,BJ$4-$B22+1)</f>
        <v/>
      </c>
      <c r="BK22" s="56">
        <f>$C22*INDEX(Curves!$M$8:$M$68,BK$4-$B22+1)</f>
        <v/>
      </c>
      <c r="BL22" s="56">
        <f>$C22*INDEX(Curves!$M$8:$M$68,BL$4-$B22+1)</f>
        <v/>
      </c>
    </row>
    <row r="23">
      <c r="A23" s="55" t="inlineStr">
        <is>
          <t>Cohort month 14</t>
        </is>
      </c>
      <c r="B23" s="55" t="n">
        <v>14</v>
      </c>
      <c r="C23" s="46">
        <f>INDEX(Ops!$E$25:$BL$25,1,$B23)</f>
        <v/>
      </c>
      <c r="S23" s="56">
        <f>$C23*INDEX(Curves!$M$8:$M$68,S$4-$B23+1)</f>
        <v/>
      </c>
      <c r="T23" s="56">
        <f>$C23*INDEX(Curves!$M$8:$M$68,T$4-$B23+1)</f>
        <v/>
      </c>
      <c r="U23" s="56">
        <f>$C23*INDEX(Curves!$M$8:$M$68,U$4-$B23+1)</f>
        <v/>
      </c>
      <c r="V23" s="56">
        <f>$C23*INDEX(Curves!$M$8:$M$68,V$4-$B23+1)</f>
        <v/>
      </c>
      <c r="W23" s="56">
        <f>$C23*INDEX(Curves!$M$8:$M$68,W$4-$B23+1)</f>
        <v/>
      </c>
      <c r="X23" s="56">
        <f>$C23*INDEX(Curves!$M$8:$M$68,X$4-$B23+1)</f>
        <v/>
      </c>
      <c r="Y23" s="56">
        <f>$C23*INDEX(Curves!$M$8:$M$68,Y$4-$B23+1)</f>
        <v/>
      </c>
      <c r="Z23" s="56">
        <f>$C23*INDEX(Curves!$M$8:$M$68,Z$4-$B23+1)</f>
        <v/>
      </c>
      <c r="AA23" s="56">
        <f>$C23*INDEX(Curves!$M$8:$M$68,AA$4-$B23+1)</f>
        <v/>
      </c>
      <c r="AB23" s="56">
        <f>$C23*INDEX(Curves!$M$8:$M$68,AB$4-$B23+1)</f>
        <v/>
      </c>
      <c r="AC23" s="56">
        <f>$C23*INDEX(Curves!$M$8:$M$68,AC$4-$B23+1)</f>
        <v/>
      </c>
      <c r="AD23" s="56">
        <f>$C23*INDEX(Curves!$M$8:$M$68,AD$4-$B23+1)</f>
        <v/>
      </c>
      <c r="AE23" s="56">
        <f>$C23*INDEX(Curves!$M$8:$M$68,AE$4-$B23+1)</f>
        <v/>
      </c>
      <c r="AF23" s="56">
        <f>$C23*INDEX(Curves!$M$8:$M$68,AF$4-$B23+1)</f>
        <v/>
      </c>
      <c r="AG23" s="56">
        <f>$C23*INDEX(Curves!$M$8:$M$68,AG$4-$B23+1)</f>
        <v/>
      </c>
      <c r="AH23" s="56">
        <f>$C23*INDEX(Curves!$M$8:$M$68,AH$4-$B23+1)</f>
        <v/>
      </c>
      <c r="AI23" s="56">
        <f>$C23*INDEX(Curves!$M$8:$M$68,AI$4-$B23+1)</f>
        <v/>
      </c>
      <c r="AJ23" s="56">
        <f>$C23*INDEX(Curves!$M$8:$M$68,AJ$4-$B23+1)</f>
        <v/>
      </c>
      <c r="AK23" s="56">
        <f>$C23*INDEX(Curves!$M$8:$M$68,AK$4-$B23+1)</f>
        <v/>
      </c>
      <c r="AL23" s="56">
        <f>$C23*INDEX(Curves!$M$8:$M$68,AL$4-$B23+1)</f>
        <v/>
      </c>
      <c r="AM23" s="56">
        <f>$C23*INDEX(Curves!$M$8:$M$68,AM$4-$B23+1)</f>
        <v/>
      </c>
      <c r="AN23" s="56">
        <f>$C23*INDEX(Curves!$M$8:$M$68,AN$4-$B23+1)</f>
        <v/>
      </c>
      <c r="AO23" s="56">
        <f>$C23*INDEX(Curves!$M$8:$M$68,AO$4-$B23+1)</f>
        <v/>
      </c>
      <c r="AP23" s="56">
        <f>$C23*INDEX(Curves!$M$8:$M$68,AP$4-$B23+1)</f>
        <v/>
      </c>
      <c r="AQ23" s="56">
        <f>$C23*INDEX(Curves!$M$8:$M$68,AQ$4-$B23+1)</f>
        <v/>
      </c>
      <c r="AR23" s="56">
        <f>$C23*INDEX(Curves!$M$8:$M$68,AR$4-$B23+1)</f>
        <v/>
      </c>
      <c r="AS23" s="56">
        <f>$C23*INDEX(Curves!$M$8:$M$68,AS$4-$B23+1)</f>
        <v/>
      </c>
      <c r="AT23" s="56">
        <f>$C23*INDEX(Curves!$M$8:$M$68,AT$4-$B23+1)</f>
        <v/>
      </c>
      <c r="AU23" s="56">
        <f>$C23*INDEX(Curves!$M$8:$M$68,AU$4-$B23+1)</f>
        <v/>
      </c>
      <c r="AV23" s="56">
        <f>$C23*INDEX(Curves!$M$8:$M$68,AV$4-$B23+1)</f>
        <v/>
      </c>
      <c r="AW23" s="56">
        <f>$C23*INDEX(Curves!$M$8:$M$68,AW$4-$B23+1)</f>
        <v/>
      </c>
      <c r="AX23" s="56">
        <f>$C23*INDEX(Curves!$M$8:$M$68,AX$4-$B23+1)</f>
        <v/>
      </c>
      <c r="AY23" s="56">
        <f>$C23*INDEX(Curves!$M$8:$M$68,AY$4-$B23+1)</f>
        <v/>
      </c>
      <c r="AZ23" s="56">
        <f>$C23*INDEX(Curves!$M$8:$M$68,AZ$4-$B23+1)</f>
        <v/>
      </c>
      <c r="BA23" s="56">
        <f>$C23*INDEX(Curves!$M$8:$M$68,BA$4-$B23+1)</f>
        <v/>
      </c>
      <c r="BB23" s="56">
        <f>$C23*INDEX(Curves!$M$8:$M$68,BB$4-$B23+1)</f>
        <v/>
      </c>
      <c r="BC23" s="56">
        <f>$C23*INDEX(Curves!$M$8:$M$68,BC$4-$B23+1)</f>
        <v/>
      </c>
      <c r="BD23" s="56">
        <f>$C23*INDEX(Curves!$M$8:$M$68,BD$4-$B23+1)</f>
        <v/>
      </c>
      <c r="BE23" s="56">
        <f>$C23*INDEX(Curves!$M$8:$M$68,BE$4-$B23+1)</f>
        <v/>
      </c>
      <c r="BF23" s="56">
        <f>$C23*INDEX(Curves!$M$8:$M$68,BF$4-$B23+1)</f>
        <v/>
      </c>
      <c r="BG23" s="56">
        <f>$C23*INDEX(Curves!$M$8:$M$68,BG$4-$B23+1)</f>
        <v/>
      </c>
      <c r="BH23" s="56">
        <f>$C23*INDEX(Curves!$M$8:$M$68,BH$4-$B23+1)</f>
        <v/>
      </c>
      <c r="BI23" s="56">
        <f>$C23*INDEX(Curves!$M$8:$M$68,BI$4-$B23+1)</f>
        <v/>
      </c>
      <c r="BJ23" s="56">
        <f>$C23*INDEX(Curves!$M$8:$M$68,BJ$4-$B23+1)</f>
        <v/>
      </c>
      <c r="BK23" s="56">
        <f>$C23*INDEX(Curves!$M$8:$M$68,BK$4-$B23+1)</f>
        <v/>
      </c>
      <c r="BL23" s="56">
        <f>$C23*INDEX(Curves!$M$8:$M$68,BL$4-$B23+1)</f>
        <v/>
      </c>
    </row>
    <row r="24">
      <c r="A24" s="55" t="inlineStr">
        <is>
          <t>Cohort month 15</t>
        </is>
      </c>
      <c r="B24" s="55" t="n">
        <v>15</v>
      </c>
      <c r="C24" s="46">
        <f>INDEX(Ops!$E$25:$BL$25,1,$B24)</f>
        <v/>
      </c>
      <c r="T24" s="56">
        <f>$C24*INDEX(Curves!$M$8:$M$68,T$4-$B24+1)</f>
        <v/>
      </c>
      <c r="U24" s="56">
        <f>$C24*INDEX(Curves!$M$8:$M$68,U$4-$B24+1)</f>
        <v/>
      </c>
      <c r="V24" s="56">
        <f>$C24*INDEX(Curves!$M$8:$M$68,V$4-$B24+1)</f>
        <v/>
      </c>
      <c r="W24" s="56">
        <f>$C24*INDEX(Curves!$M$8:$M$68,W$4-$B24+1)</f>
        <v/>
      </c>
      <c r="X24" s="56">
        <f>$C24*INDEX(Curves!$M$8:$M$68,X$4-$B24+1)</f>
        <v/>
      </c>
      <c r="Y24" s="56">
        <f>$C24*INDEX(Curves!$M$8:$M$68,Y$4-$B24+1)</f>
        <v/>
      </c>
      <c r="Z24" s="56">
        <f>$C24*INDEX(Curves!$M$8:$M$68,Z$4-$B24+1)</f>
        <v/>
      </c>
      <c r="AA24" s="56">
        <f>$C24*INDEX(Curves!$M$8:$M$68,AA$4-$B24+1)</f>
        <v/>
      </c>
      <c r="AB24" s="56">
        <f>$C24*INDEX(Curves!$M$8:$M$68,AB$4-$B24+1)</f>
        <v/>
      </c>
      <c r="AC24" s="56">
        <f>$C24*INDEX(Curves!$M$8:$M$68,AC$4-$B24+1)</f>
        <v/>
      </c>
      <c r="AD24" s="56">
        <f>$C24*INDEX(Curves!$M$8:$M$68,AD$4-$B24+1)</f>
        <v/>
      </c>
      <c r="AE24" s="56">
        <f>$C24*INDEX(Curves!$M$8:$M$68,AE$4-$B24+1)</f>
        <v/>
      </c>
      <c r="AF24" s="56">
        <f>$C24*INDEX(Curves!$M$8:$M$68,AF$4-$B24+1)</f>
        <v/>
      </c>
      <c r="AG24" s="56">
        <f>$C24*INDEX(Curves!$M$8:$M$68,AG$4-$B24+1)</f>
        <v/>
      </c>
      <c r="AH24" s="56">
        <f>$C24*INDEX(Curves!$M$8:$M$68,AH$4-$B24+1)</f>
        <v/>
      </c>
      <c r="AI24" s="56">
        <f>$C24*INDEX(Curves!$M$8:$M$68,AI$4-$B24+1)</f>
        <v/>
      </c>
      <c r="AJ24" s="56">
        <f>$C24*INDEX(Curves!$M$8:$M$68,AJ$4-$B24+1)</f>
        <v/>
      </c>
      <c r="AK24" s="56">
        <f>$C24*INDEX(Curves!$M$8:$M$68,AK$4-$B24+1)</f>
        <v/>
      </c>
      <c r="AL24" s="56">
        <f>$C24*INDEX(Curves!$M$8:$M$68,AL$4-$B24+1)</f>
        <v/>
      </c>
      <c r="AM24" s="56">
        <f>$C24*INDEX(Curves!$M$8:$M$68,AM$4-$B24+1)</f>
        <v/>
      </c>
      <c r="AN24" s="56">
        <f>$C24*INDEX(Curves!$M$8:$M$68,AN$4-$B24+1)</f>
        <v/>
      </c>
      <c r="AO24" s="56">
        <f>$C24*INDEX(Curves!$M$8:$M$68,AO$4-$B24+1)</f>
        <v/>
      </c>
      <c r="AP24" s="56">
        <f>$C24*INDEX(Curves!$M$8:$M$68,AP$4-$B24+1)</f>
        <v/>
      </c>
      <c r="AQ24" s="56">
        <f>$C24*INDEX(Curves!$M$8:$M$68,AQ$4-$B24+1)</f>
        <v/>
      </c>
      <c r="AR24" s="56">
        <f>$C24*INDEX(Curves!$M$8:$M$68,AR$4-$B24+1)</f>
        <v/>
      </c>
      <c r="AS24" s="56">
        <f>$C24*INDEX(Curves!$M$8:$M$68,AS$4-$B24+1)</f>
        <v/>
      </c>
      <c r="AT24" s="56">
        <f>$C24*INDEX(Curves!$M$8:$M$68,AT$4-$B24+1)</f>
        <v/>
      </c>
      <c r="AU24" s="56">
        <f>$C24*INDEX(Curves!$M$8:$M$68,AU$4-$B24+1)</f>
        <v/>
      </c>
      <c r="AV24" s="56">
        <f>$C24*INDEX(Curves!$M$8:$M$68,AV$4-$B24+1)</f>
        <v/>
      </c>
      <c r="AW24" s="56">
        <f>$C24*INDEX(Curves!$M$8:$M$68,AW$4-$B24+1)</f>
        <v/>
      </c>
      <c r="AX24" s="56">
        <f>$C24*INDEX(Curves!$M$8:$M$68,AX$4-$B24+1)</f>
        <v/>
      </c>
      <c r="AY24" s="56">
        <f>$C24*INDEX(Curves!$M$8:$M$68,AY$4-$B24+1)</f>
        <v/>
      </c>
      <c r="AZ24" s="56">
        <f>$C24*INDEX(Curves!$M$8:$M$68,AZ$4-$B24+1)</f>
        <v/>
      </c>
      <c r="BA24" s="56">
        <f>$C24*INDEX(Curves!$M$8:$M$68,BA$4-$B24+1)</f>
        <v/>
      </c>
      <c r="BB24" s="56">
        <f>$C24*INDEX(Curves!$M$8:$M$68,BB$4-$B24+1)</f>
        <v/>
      </c>
      <c r="BC24" s="56">
        <f>$C24*INDEX(Curves!$M$8:$M$68,BC$4-$B24+1)</f>
        <v/>
      </c>
      <c r="BD24" s="56">
        <f>$C24*INDEX(Curves!$M$8:$M$68,BD$4-$B24+1)</f>
        <v/>
      </c>
      <c r="BE24" s="56">
        <f>$C24*INDEX(Curves!$M$8:$M$68,BE$4-$B24+1)</f>
        <v/>
      </c>
      <c r="BF24" s="56">
        <f>$C24*INDEX(Curves!$M$8:$M$68,BF$4-$B24+1)</f>
        <v/>
      </c>
      <c r="BG24" s="56">
        <f>$C24*INDEX(Curves!$M$8:$M$68,BG$4-$B24+1)</f>
        <v/>
      </c>
      <c r="BH24" s="56">
        <f>$C24*INDEX(Curves!$M$8:$M$68,BH$4-$B24+1)</f>
        <v/>
      </c>
      <c r="BI24" s="56">
        <f>$C24*INDEX(Curves!$M$8:$M$68,BI$4-$B24+1)</f>
        <v/>
      </c>
      <c r="BJ24" s="56">
        <f>$C24*INDEX(Curves!$M$8:$M$68,BJ$4-$B24+1)</f>
        <v/>
      </c>
      <c r="BK24" s="56">
        <f>$C24*INDEX(Curves!$M$8:$M$68,BK$4-$B24+1)</f>
        <v/>
      </c>
      <c r="BL24" s="56">
        <f>$C24*INDEX(Curves!$M$8:$M$68,BL$4-$B24+1)</f>
        <v/>
      </c>
    </row>
    <row r="25">
      <c r="A25" s="55" t="inlineStr">
        <is>
          <t>Cohort month 16</t>
        </is>
      </c>
      <c r="B25" s="55" t="n">
        <v>16</v>
      </c>
      <c r="C25" s="46">
        <f>INDEX(Ops!$E$25:$BL$25,1,$B25)</f>
        <v/>
      </c>
      <c r="U25" s="56">
        <f>$C25*INDEX(Curves!$M$8:$M$68,U$4-$B25+1)</f>
        <v/>
      </c>
      <c r="V25" s="56">
        <f>$C25*INDEX(Curves!$M$8:$M$68,V$4-$B25+1)</f>
        <v/>
      </c>
      <c r="W25" s="56">
        <f>$C25*INDEX(Curves!$M$8:$M$68,W$4-$B25+1)</f>
        <v/>
      </c>
      <c r="X25" s="56">
        <f>$C25*INDEX(Curves!$M$8:$M$68,X$4-$B25+1)</f>
        <v/>
      </c>
      <c r="Y25" s="56">
        <f>$C25*INDEX(Curves!$M$8:$M$68,Y$4-$B25+1)</f>
        <v/>
      </c>
      <c r="Z25" s="56">
        <f>$C25*INDEX(Curves!$M$8:$M$68,Z$4-$B25+1)</f>
        <v/>
      </c>
      <c r="AA25" s="56">
        <f>$C25*INDEX(Curves!$M$8:$M$68,AA$4-$B25+1)</f>
        <v/>
      </c>
      <c r="AB25" s="56">
        <f>$C25*INDEX(Curves!$M$8:$M$68,AB$4-$B25+1)</f>
        <v/>
      </c>
      <c r="AC25" s="56">
        <f>$C25*INDEX(Curves!$M$8:$M$68,AC$4-$B25+1)</f>
        <v/>
      </c>
      <c r="AD25" s="56">
        <f>$C25*INDEX(Curves!$M$8:$M$68,AD$4-$B25+1)</f>
        <v/>
      </c>
      <c r="AE25" s="56">
        <f>$C25*INDEX(Curves!$M$8:$M$68,AE$4-$B25+1)</f>
        <v/>
      </c>
      <c r="AF25" s="56">
        <f>$C25*INDEX(Curves!$M$8:$M$68,AF$4-$B25+1)</f>
        <v/>
      </c>
      <c r="AG25" s="56">
        <f>$C25*INDEX(Curves!$M$8:$M$68,AG$4-$B25+1)</f>
        <v/>
      </c>
      <c r="AH25" s="56">
        <f>$C25*INDEX(Curves!$M$8:$M$68,AH$4-$B25+1)</f>
        <v/>
      </c>
      <c r="AI25" s="56">
        <f>$C25*INDEX(Curves!$M$8:$M$68,AI$4-$B25+1)</f>
        <v/>
      </c>
      <c r="AJ25" s="56">
        <f>$C25*INDEX(Curves!$M$8:$M$68,AJ$4-$B25+1)</f>
        <v/>
      </c>
      <c r="AK25" s="56">
        <f>$C25*INDEX(Curves!$M$8:$M$68,AK$4-$B25+1)</f>
        <v/>
      </c>
      <c r="AL25" s="56">
        <f>$C25*INDEX(Curves!$M$8:$M$68,AL$4-$B25+1)</f>
        <v/>
      </c>
      <c r="AM25" s="56">
        <f>$C25*INDEX(Curves!$M$8:$M$68,AM$4-$B25+1)</f>
        <v/>
      </c>
      <c r="AN25" s="56">
        <f>$C25*INDEX(Curves!$M$8:$M$68,AN$4-$B25+1)</f>
        <v/>
      </c>
      <c r="AO25" s="56">
        <f>$C25*INDEX(Curves!$M$8:$M$68,AO$4-$B25+1)</f>
        <v/>
      </c>
      <c r="AP25" s="56">
        <f>$C25*INDEX(Curves!$M$8:$M$68,AP$4-$B25+1)</f>
        <v/>
      </c>
      <c r="AQ25" s="56">
        <f>$C25*INDEX(Curves!$M$8:$M$68,AQ$4-$B25+1)</f>
        <v/>
      </c>
      <c r="AR25" s="56">
        <f>$C25*INDEX(Curves!$M$8:$M$68,AR$4-$B25+1)</f>
        <v/>
      </c>
      <c r="AS25" s="56">
        <f>$C25*INDEX(Curves!$M$8:$M$68,AS$4-$B25+1)</f>
        <v/>
      </c>
      <c r="AT25" s="56">
        <f>$C25*INDEX(Curves!$M$8:$M$68,AT$4-$B25+1)</f>
        <v/>
      </c>
      <c r="AU25" s="56">
        <f>$C25*INDEX(Curves!$M$8:$M$68,AU$4-$B25+1)</f>
        <v/>
      </c>
      <c r="AV25" s="56">
        <f>$C25*INDEX(Curves!$M$8:$M$68,AV$4-$B25+1)</f>
        <v/>
      </c>
      <c r="AW25" s="56">
        <f>$C25*INDEX(Curves!$M$8:$M$68,AW$4-$B25+1)</f>
        <v/>
      </c>
      <c r="AX25" s="56">
        <f>$C25*INDEX(Curves!$M$8:$M$68,AX$4-$B25+1)</f>
        <v/>
      </c>
      <c r="AY25" s="56">
        <f>$C25*INDEX(Curves!$M$8:$M$68,AY$4-$B25+1)</f>
        <v/>
      </c>
      <c r="AZ25" s="56">
        <f>$C25*INDEX(Curves!$M$8:$M$68,AZ$4-$B25+1)</f>
        <v/>
      </c>
      <c r="BA25" s="56">
        <f>$C25*INDEX(Curves!$M$8:$M$68,BA$4-$B25+1)</f>
        <v/>
      </c>
      <c r="BB25" s="56">
        <f>$C25*INDEX(Curves!$M$8:$M$68,BB$4-$B25+1)</f>
        <v/>
      </c>
      <c r="BC25" s="56">
        <f>$C25*INDEX(Curves!$M$8:$M$68,BC$4-$B25+1)</f>
        <v/>
      </c>
      <c r="BD25" s="56">
        <f>$C25*INDEX(Curves!$M$8:$M$68,BD$4-$B25+1)</f>
        <v/>
      </c>
      <c r="BE25" s="56">
        <f>$C25*INDEX(Curves!$M$8:$M$68,BE$4-$B25+1)</f>
        <v/>
      </c>
      <c r="BF25" s="56">
        <f>$C25*INDEX(Curves!$M$8:$M$68,BF$4-$B25+1)</f>
        <v/>
      </c>
      <c r="BG25" s="56">
        <f>$C25*INDEX(Curves!$M$8:$M$68,BG$4-$B25+1)</f>
        <v/>
      </c>
      <c r="BH25" s="56">
        <f>$C25*INDEX(Curves!$M$8:$M$68,BH$4-$B25+1)</f>
        <v/>
      </c>
      <c r="BI25" s="56">
        <f>$C25*INDEX(Curves!$M$8:$M$68,BI$4-$B25+1)</f>
        <v/>
      </c>
      <c r="BJ25" s="56">
        <f>$C25*INDEX(Curves!$M$8:$M$68,BJ$4-$B25+1)</f>
        <v/>
      </c>
      <c r="BK25" s="56">
        <f>$C25*INDEX(Curves!$M$8:$M$68,BK$4-$B25+1)</f>
        <v/>
      </c>
      <c r="BL25" s="56">
        <f>$C25*INDEX(Curves!$M$8:$M$68,BL$4-$B25+1)</f>
        <v/>
      </c>
    </row>
    <row r="26">
      <c r="A26" s="55" t="inlineStr">
        <is>
          <t>Cohort month 17</t>
        </is>
      </c>
      <c r="B26" s="55" t="n">
        <v>17</v>
      </c>
      <c r="C26" s="46">
        <f>INDEX(Ops!$E$25:$BL$25,1,$B26)</f>
        <v/>
      </c>
      <c r="V26" s="56">
        <f>$C26*INDEX(Curves!$M$8:$M$68,V$4-$B26+1)</f>
        <v/>
      </c>
      <c r="W26" s="56">
        <f>$C26*INDEX(Curves!$M$8:$M$68,W$4-$B26+1)</f>
        <v/>
      </c>
      <c r="X26" s="56">
        <f>$C26*INDEX(Curves!$M$8:$M$68,X$4-$B26+1)</f>
        <v/>
      </c>
      <c r="Y26" s="56">
        <f>$C26*INDEX(Curves!$M$8:$M$68,Y$4-$B26+1)</f>
        <v/>
      </c>
      <c r="Z26" s="56">
        <f>$C26*INDEX(Curves!$M$8:$M$68,Z$4-$B26+1)</f>
        <v/>
      </c>
      <c r="AA26" s="56">
        <f>$C26*INDEX(Curves!$M$8:$M$68,AA$4-$B26+1)</f>
        <v/>
      </c>
      <c r="AB26" s="56">
        <f>$C26*INDEX(Curves!$M$8:$M$68,AB$4-$B26+1)</f>
        <v/>
      </c>
      <c r="AC26" s="56">
        <f>$C26*INDEX(Curves!$M$8:$M$68,AC$4-$B26+1)</f>
        <v/>
      </c>
      <c r="AD26" s="56">
        <f>$C26*INDEX(Curves!$M$8:$M$68,AD$4-$B26+1)</f>
        <v/>
      </c>
      <c r="AE26" s="56">
        <f>$C26*INDEX(Curves!$M$8:$M$68,AE$4-$B26+1)</f>
        <v/>
      </c>
      <c r="AF26" s="56">
        <f>$C26*INDEX(Curves!$M$8:$M$68,AF$4-$B26+1)</f>
        <v/>
      </c>
      <c r="AG26" s="56">
        <f>$C26*INDEX(Curves!$M$8:$M$68,AG$4-$B26+1)</f>
        <v/>
      </c>
      <c r="AH26" s="56">
        <f>$C26*INDEX(Curves!$M$8:$M$68,AH$4-$B26+1)</f>
        <v/>
      </c>
      <c r="AI26" s="56">
        <f>$C26*INDEX(Curves!$M$8:$M$68,AI$4-$B26+1)</f>
        <v/>
      </c>
      <c r="AJ26" s="56">
        <f>$C26*INDEX(Curves!$M$8:$M$68,AJ$4-$B26+1)</f>
        <v/>
      </c>
      <c r="AK26" s="56">
        <f>$C26*INDEX(Curves!$M$8:$M$68,AK$4-$B26+1)</f>
        <v/>
      </c>
      <c r="AL26" s="56">
        <f>$C26*INDEX(Curves!$M$8:$M$68,AL$4-$B26+1)</f>
        <v/>
      </c>
      <c r="AM26" s="56">
        <f>$C26*INDEX(Curves!$M$8:$M$68,AM$4-$B26+1)</f>
        <v/>
      </c>
      <c r="AN26" s="56">
        <f>$C26*INDEX(Curves!$M$8:$M$68,AN$4-$B26+1)</f>
        <v/>
      </c>
      <c r="AO26" s="56">
        <f>$C26*INDEX(Curves!$M$8:$M$68,AO$4-$B26+1)</f>
        <v/>
      </c>
      <c r="AP26" s="56">
        <f>$C26*INDEX(Curves!$M$8:$M$68,AP$4-$B26+1)</f>
        <v/>
      </c>
      <c r="AQ26" s="56">
        <f>$C26*INDEX(Curves!$M$8:$M$68,AQ$4-$B26+1)</f>
        <v/>
      </c>
      <c r="AR26" s="56">
        <f>$C26*INDEX(Curves!$M$8:$M$68,AR$4-$B26+1)</f>
        <v/>
      </c>
      <c r="AS26" s="56">
        <f>$C26*INDEX(Curves!$M$8:$M$68,AS$4-$B26+1)</f>
        <v/>
      </c>
      <c r="AT26" s="56">
        <f>$C26*INDEX(Curves!$M$8:$M$68,AT$4-$B26+1)</f>
        <v/>
      </c>
      <c r="AU26" s="56">
        <f>$C26*INDEX(Curves!$M$8:$M$68,AU$4-$B26+1)</f>
        <v/>
      </c>
      <c r="AV26" s="56">
        <f>$C26*INDEX(Curves!$M$8:$M$68,AV$4-$B26+1)</f>
        <v/>
      </c>
      <c r="AW26" s="56">
        <f>$C26*INDEX(Curves!$M$8:$M$68,AW$4-$B26+1)</f>
        <v/>
      </c>
      <c r="AX26" s="56">
        <f>$C26*INDEX(Curves!$M$8:$M$68,AX$4-$B26+1)</f>
        <v/>
      </c>
      <c r="AY26" s="56">
        <f>$C26*INDEX(Curves!$M$8:$M$68,AY$4-$B26+1)</f>
        <v/>
      </c>
      <c r="AZ26" s="56">
        <f>$C26*INDEX(Curves!$M$8:$M$68,AZ$4-$B26+1)</f>
        <v/>
      </c>
      <c r="BA26" s="56">
        <f>$C26*INDEX(Curves!$M$8:$M$68,BA$4-$B26+1)</f>
        <v/>
      </c>
      <c r="BB26" s="56">
        <f>$C26*INDEX(Curves!$M$8:$M$68,BB$4-$B26+1)</f>
        <v/>
      </c>
      <c r="BC26" s="56">
        <f>$C26*INDEX(Curves!$M$8:$M$68,BC$4-$B26+1)</f>
        <v/>
      </c>
      <c r="BD26" s="56">
        <f>$C26*INDEX(Curves!$M$8:$M$68,BD$4-$B26+1)</f>
        <v/>
      </c>
      <c r="BE26" s="56">
        <f>$C26*INDEX(Curves!$M$8:$M$68,BE$4-$B26+1)</f>
        <v/>
      </c>
      <c r="BF26" s="56">
        <f>$C26*INDEX(Curves!$M$8:$M$68,BF$4-$B26+1)</f>
        <v/>
      </c>
      <c r="BG26" s="56">
        <f>$C26*INDEX(Curves!$M$8:$M$68,BG$4-$B26+1)</f>
        <v/>
      </c>
      <c r="BH26" s="56">
        <f>$C26*INDEX(Curves!$M$8:$M$68,BH$4-$B26+1)</f>
        <v/>
      </c>
      <c r="BI26" s="56">
        <f>$C26*INDEX(Curves!$M$8:$M$68,BI$4-$B26+1)</f>
        <v/>
      </c>
      <c r="BJ26" s="56">
        <f>$C26*INDEX(Curves!$M$8:$M$68,BJ$4-$B26+1)</f>
        <v/>
      </c>
      <c r="BK26" s="56">
        <f>$C26*INDEX(Curves!$M$8:$M$68,BK$4-$B26+1)</f>
        <v/>
      </c>
      <c r="BL26" s="56">
        <f>$C26*INDEX(Curves!$M$8:$M$68,BL$4-$B26+1)</f>
        <v/>
      </c>
    </row>
    <row r="27">
      <c r="A27" s="55" t="inlineStr">
        <is>
          <t>Cohort month 18</t>
        </is>
      </c>
      <c r="B27" s="55" t="n">
        <v>18</v>
      </c>
      <c r="C27" s="46">
        <f>INDEX(Ops!$E$25:$BL$25,1,$B27)</f>
        <v/>
      </c>
      <c r="W27" s="56">
        <f>$C27*INDEX(Curves!$M$8:$M$68,W$4-$B27+1)</f>
        <v/>
      </c>
      <c r="X27" s="56">
        <f>$C27*INDEX(Curves!$M$8:$M$68,X$4-$B27+1)</f>
        <v/>
      </c>
      <c r="Y27" s="56">
        <f>$C27*INDEX(Curves!$M$8:$M$68,Y$4-$B27+1)</f>
        <v/>
      </c>
      <c r="Z27" s="56">
        <f>$C27*INDEX(Curves!$M$8:$M$68,Z$4-$B27+1)</f>
        <v/>
      </c>
      <c r="AA27" s="56">
        <f>$C27*INDEX(Curves!$M$8:$M$68,AA$4-$B27+1)</f>
        <v/>
      </c>
      <c r="AB27" s="56">
        <f>$C27*INDEX(Curves!$M$8:$M$68,AB$4-$B27+1)</f>
        <v/>
      </c>
      <c r="AC27" s="56">
        <f>$C27*INDEX(Curves!$M$8:$M$68,AC$4-$B27+1)</f>
        <v/>
      </c>
      <c r="AD27" s="56">
        <f>$C27*INDEX(Curves!$M$8:$M$68,AD$4-$B27+1)</f>
        <v/>
      </c>
      <c r="AE27" s="56">
        <f>$C27*INDEX(Curves!$M$8:$M$68,AE$4-$B27+1)</f>
        <v/>
      </c>
      <c r="AF27" s="56">
        <f>$C27*INDEX(Curves!$M$8:$M$68,AF$4-$B27+1)</f>
        <v/>
      </c>
      <c r="AG27" s="56">
        <f>$C27*INDEX(Curves!$M$8:$M$68,AG$4-$B27+1)</f>
        <v/>
      </c>
      <c r="AH27" s="56">
        <f>$C27*INDEX(Curves!$M$8:$M$68,AH$4-$B27+1)</f>
        <v/>
      </c>
      <c r="AI27" s="56">
        <f>$C27*INDEX(Curves!$M$8:$M$68,AI$4-$B27+1)</f>
        <v/>
      </c>
      <c r="AJ27" s="56">
        <f>$C27*INDEX(Curves!$M$8:$M$68,AJ$4-$B27+1)</f>
        <v/>
      </c>
      <c r="AK27" s="56">
        <f>$C27*INDEX(Curves!$M$8:$M$68,AK$4-$B27+1)</f>
        <v/>
      </c>
      <c r="AL27" s="56">
        <f>$C27*INDEX(Curves!$M$8:$M$68,AL$4-$B27+1)</f>
        <v/>
      </c>
      <c r="AM27" s="56">
        <f>$C27*INDEX(Curves!$M$8:$M$68,AM$4-$B27+1)</f>
        <v/>
      </c>
      <c r="AN27" s="56">
        <f>$C27*INDEX(Curves!$M$8:$M$68,AN$4-$B27+1)</f>
        <v/>
      </c>
      <c r="AO27" s="56">
        <f>$C27*INDEX(Curves!$M$8:$M$68,AO$4-$B27+1)</f>
        <v/>
      </c>
      <c r="AP27" s="56">
        <f>$C27*INDEX(Curves!$M$8:$M$68,AP$4-$B27+1)</f>
        <v/>
      </c>
      <c r="AQ27" s="56">
        <f>$C27*INDEX(Curves!$M$8:$M$68,AQ$4-$B27+1)</f>
        <v/>
      </c>
      <c r="AR27" s="56">
        <f>$C27*INDEX(Curves!$M$8:$M$68,AR$4-$B27+1)</f>
        <v/>
      </c>
      <c r="AS27" s="56">
        <f>$C27*INDEX(Curves!$M$8:$M$68,AS$4-$B27+1)</f>
        <v/>
      </c>
      <c r="AT27" s="56">
        <f>$C27*INDEX(Curves!$M$8:$M$68,AT$4-$B27+1)</f>
        <v/>
      </c>
      <c r="AU27" s="56">
        <f>$C27*INDEX(Curves!$M$8:$M$68,AU$4-$B27+1)</f>
        <v/>
      </c>
      <c r="AV27" s="56">
        <f>$C27*INDEX(Curves!$M$8:$M$68,AV$4-$B27+1)</f>
        <v/>
      </c>
      <c r="AW27" s="56">
        <f>$C27*INDEX(Curves!$M$8:$M$68,AW$4-$B27+1)</f>
        <v/>
      </c>
      <c r="AX27" s="56">
        <f>$C27*INDEX(Curves!$M$8:$M$68,AX$4-$B27+1)</f>
        <v/>
      </c>
      <c r="AY27" s="56">
        <f>$C27*INDEX(Curves!$M$8:$M$68,AY$4-$B27+1)</f>
        <v/>
      </c>
      <c r="AZ27" s="56">
        <f>$C27*INDEX(Curves!$M$8:$M$68,AZ$4-$B27+1)</f>
        <v/>
      </c>
      <c r="BA27" s="56">
        <f>$C27*INDEX(Curves!$M$8:$M$68,BA$4-$B27+1)</f>
        <v/>
      </c>
      <c r="BB27" s="56">
        <f>$C27*INDEX(Curves!$M$8:$M$68,BB$4-$B27+1)</f>
        <v/>
      </c>
      <c r="BC27" s="56">
        <f>$C27*INDEX(Curves!$M$8:$M$68,BC$4-$B27+1)</f>
        <v/>
      </c>
      <c r="BD27" s="56">
        <f>$C27*INDEX(Curves!$M$8:$M$68,BD$4-$B27+1)</f>
        <v/>
      </c>
      <c r="BE27" s="56">
        <f>$C27*INDEX(Curves!$M$8:$M$68,BE$4-$B27+1)</f>
        <v/>
      </c>
      <c r="BF27" s="56">
        <f>$C27*INDEX(Curves!$M$8:$M$68,BF$4-$B27+1)</f>
        <v/>
      </c>
      <c r="BG27" s="56">
        <f>$C27*INDEX(Curves!$M$8:$M$68,BG$4-$B27+1)</f>
        <v/>
      </c>
      <c r="BH27" s="56">
        <f>$C27*INDEX(Curves!$M$8:$M$68,BH$4-$B27+1)</f>
        <v/>
      </c>
      <c r="BI27" s="56">
        <f>$C27*INDEX(Curves!$M$8:$M$68,BI$4-$B27+1)</f>
        <v/>
      </c>
      <c r="BJ27" s="56">
        <f>$C27*INDEX(Curves!$M$8:$M$68,BJ$4-$B27+1)</f>
        <v/>
      </c>
      <c r="BK27" s="56">
        <f>$C27*INDEX(Curves!$M$8:$M$68,BK$4-$B27+1)</f>
        <v/>
      </c>
      <c r="BL27" s="56">
        <f>$C27*INDEX(Curves!$M$8:$M$68,BL$4-$B27+1)</f>
        <v/>
      </c>
    </row>
    <row r="28">
      <c r="A28" s="55" t="inlineStr">
        <is>
          <t>Cohort month 19</t>
        </is>
      </c>
      <c r="B28" s="55" t="n">
        <v>19</v>
      </c>
      <c r="C28" s="46">
        <f>INDEX(Ops!$E$25:$BL$25,1,$B28)</f>
        <v/>
      </c>
      <c r="X28" s="56">
        <f>$C28*INDEX(Curves!$M$8:$M$68,X$4-$B28+1)</f>
        <v/>
      </c>
      <c r="Y28" s="56">
        <f>$C28*INDEX(Curves!$M$8:$M$68,Y$4-$B28+1)</f>
        <v/>
      </c>
      <c r="Z28" s="56">
        <f>$C28*INDEX(Curves!$M$8:$M$68,Z$4-$B28+1)</f>
        <v/>
      </c>
      <c r="AA28" s="56">
        <f>$C28*INDEX(Curves!$M$8:$M$68,AA$4-$B28+1)</f>
        <v/>
      </c>
      <c r="AB28" s="56">
        <f>$C28*INDEX(Curves!$M$8:$M$68,AB$4-$B28+1)</f>
        <v/>
      </c>
      <c r="AC28" s="56">
        <f>$C28*INDEX(Curves!$M$8:$M$68,AC$4-$B28+1)</f>
        <v/>
      </c>
      <c r="AD28" s="56">
        <f>$C28*INDEX(Curves!$M$8:$M$68,AD$4-$B28+1)</f>
        <v/>
      </c>
      <c r="AE28" s="56">
        <f>$C28*INDEX(Curves!$M$8:$M$68,AE$4-$B28+1)</f>
        <v/>
      </c>
      <c r="AF28" s="56">
        <f>$C28*INDEX(Curves!$M$8:$M$68,AF$4-$B28+1)</f>
        <v/>
      </c>
      <c r="AG28" s="56">
        <f>$C28*INDEX(Curves!$M$8:$M$68,AG$4-$B28+1)</f>
        <v/>
      </c>
      <c r="AH28" s="56">
        <f>$C28*INDEX(Curves!$M$8:$M$68,AH$4-$B28+1)</f>
        <v/>
      </c>
      <c r="AI28" s="56">
        <f>$C28*INDEX(Curves!$M$8:$M$68,AI$4-$B28+1)</f>
        <v/>
      </c>
      <c r="AJ28" s="56">
        <f>$C28*INDEX(Curves!$M$8:$M$68,AJ$4-$B28+1)</f>
        <v/>
      </c>
      <c r="AK28" s="56">
        <f>$C28*INDEX(Curves!$M$8:$M$68,AK$4-$B28+1)</f>
        <v/>
      </c>
      <c r="AL28" s="56">
        <f>$C28*INDEX(Curves!$M$8:$M$68,AL$4-$B28+1)</f>
        <v/>
      </c>
      <c r="AM28" s="56">
        <f>$C28*INDEX(Curves!$M$8:$M$68,AM$4-$B28+1)</f>
        <v/>
      </c>
      <c r="AN28" s="56">
        <f>$C28*INDEX(Curves!$M$8:$M$68,AN$4-$B28+1)</f>
        <v/>
      </c>
      <c r="AO28" s="56">
        <f>$C28*INDEX(Curves!$M$8:$M$68,AO$4-$B28+1)</f>
        <v/>
      </c>
      <c r="AP28" s="56">
        <f>$C28*INDEX(Curves!$M$8:$M$68,AP$4-$B28+1)</f>
        <v/>
      </c>
      <c r="AQ28" s="56">
        <f>$C28*INDEX(Curves!$M$8:$M$68,AQ$4-$B28+1)</f>
        <v/>
      </c>
      <c r="AR28" s="56">
        <f>$C28*INDEX(Curves!$M$8:$M$68,AR$4-$B28+1)</f>
        <v/>
      </c>
      <c r="AS28" s="56">
        <f>$C28*INDEX(Curves!$M$8:$M$68,AS$4-$B28+1)</f>
        <v/>
      </c>
      <c r="AT28" s="56">
        <f>$C28*INDEX(Curves!$M$8:$M$68,AT$4-$B28+1)</f>
        <v/>
      </c>
      <c r="AU28" s="56">
        <f>$C28*INDEX(Curves!$M$8:$M$68,AU$4-$B28+1)</f>
        <v/>
      </c>
      <c r="AV28" s="56">
        <f>$C28*INDEX(Curves!$M$8:$M$68,AV$4-$B28+1)</f>
        <v/>
      </c>
      <c r="AW28" s="56">
        <f>$C28*INDEX(Curves!$M$8:$M$68,AW$4-$B28+1)</f>
        <v/>
      </c>
      <c r="AX28" s="56">
        <f>$C28*INDEX(Curves!$M$8:$M$68,AX$4-$B28+1)</f>
        <v/>
      </c>
      <c r="AY28" s="56">
        <f>$C28*INDEX(Curves!$M$8:$M$68,AY$4-$B28+1)</f>
        <v/>
      </c>
      <c r="AZ28" s="56">
        <f>$C28*INDEX(Curves!$M$8:$M$68,AZ$4-$B28+1)</f>
        <v/>
      </c>
      <c r="BA28" s="56">
        <f>$C28*INDEX(Curves!$M$8:$M$68,BA$4-$B28+1)</f>
        <v/>
      </c>
      <c r="BB28" s="56">
        <f>$C28*INDEX(Curves!$M$8:$M$68,BB$4-$B28+1)</f>
        <v/>
      </c>
      <c r="BC28" s="56">
        <f>$C28*INDEX(Curves!$M$8:$M$68,BC$4-$B28+1)</f>
        <v/>
      </c>
      <c r="BD28" s="56">
        <f>$C28*INDEX(Curves!$M$8:$M$68,BD$4-$B28+1)</f>
        <v/>
      </c>
      <c r="BE28" s="56">
        <f>$C28*INDEX(Curves!$M$8:$M$68,BE$4-$B28+1)</f>
        <v/>
      </c>
      <c r="BF28" s="56">
        <f>$C28*INDEX(Curves!$M$8:$M$68,BF$4-$B28+1)</f>
        <v/>
      </c>
      <c r="BG28" s="56">
        <f>$C28*INDEX(Curves!$M$8:$M$68,BG$4-$B28+1)</f>
        <v/>
      </c>
      <c r="BH28" s="56">
        <f>$C28*INDEX(Curves!$M$8:$M$68,BH$4-$B28+1)</f>
        <v/>
      </c>
      <c r="BI28" s="56">
        <f>$C28*INDEX(Curves!$M$8:$M$68,BI$4-$B28+1)</f>
        <v/>
      </c>
      <c r="BJ28" s="56">
        <f>$C28*INDEX(Curves!$M$8:$M$68,BJ$4-$B28+1)</f>
        <v/>
      </c>
      <c r="BK28" s="56">
        <f>$C28*INDEX(Curves!$M$8:$M$68,BK$4-$B28+1)</f>
        <v/>
      </c>
      <c r="BL28" s="56">
        <f>$C28*INDEX(Curves!$M$8:$M$68,BL$4-$B28+1)</f>
        <v/>
      </c>
    </row>
    <row r="29">
      <c r="A29" s="55" t="inlineStr">
        <is>
          <t>Cohort month 20</t>
        </is>
      </c>
      <c r="B29" s="55" t="n">
        <v>20</v>
      </c>
      <c r="C29" s="46">
        <f>INDEX(Ops!$E$25:$BL$25,1,$B29)</f>
        <v/>
      </c>
      <c r="Y29" s="56">
        <f>$C29*INDEX(Curves!$M$8:$M$68,Y$4-$B29+1)</f>
        <v/>
      </c>
      <c r="Z29" s="56">
        <f>$C29*INDEX(Curves!$M$8:$M$68,Z$4-$B29+1)</f>
        <v/>
      </c>
      <c r="AA29" s="56">
        <f>$C29*INDEX(Curves!$M$8:$M$68,AA$4-$B29+1)</f>
        <v/>
      </c>
      <c r="AB29" s="56">
        <f>$C29*INDEX(Curves!$M$8:$M$68,AB$4-$B29+1)</f>
        <v/>
      </c>
      <c r="AC29" s="56">
        <f>$C29*INDEX(Curves!$M$8:$M$68,AC$4-$B29+1)</f>
        <v/>
      </c>
      <c r="AD29" s="56">
        <f>$C29*INDEX(Curves!$M$8:$M$68,AD$4-$B29+1)</f>
        <v/>
      </c>
      <c r="AE29" s="56">
        <f>$C29*INDEX(Curves!$M$8:$M$68,AE$4-$B29+1)</f>
        <v/>
      </c>
      <c r="AF29" s="56">
        <f>$C29*INDEX(Curves!$M$8:$M$68,AF$4-$B29+1)</f>
        <v/>
      </c>
      <c r="AG29" s="56">
        <f>$C29*INDEX(Curves!$M$8:$M$68,AG$4-$B29+1)</f>
        <v/>
      </c>
      <c r="AH29" s="56">
        <f>$C29*INDEX(Curves!$M$8:$M$68,AH$4-$B29+1)</f>
        <v/>
      </c>
      <c r="AI29" s="56">
        <f>$C29*INDEX(Curves!$M$8:$M$68,AI$4-$B29+1)</f>
        <v/>
      </c>
      <c r="AJ29" s="56">
        <f>$C29*INDEX(Curves!$M$8:$M$68,AJ$4-$B29+1)</f>
        <v/>
      </c>
      <c r="AK29" s="56">
        <f>$C29*INDEX(Curves!$M$8:$M$68,AK$4-$B29+1)</f>
        <v/>
      </c>
      <c r="AL29" s="56">
        <f>$C29*INDEX(Curves!$M$8:$M$68,AL$4-$B29+1)</f>
        <v/>
      </c>
      <c r="AM29" s="56">
        <f>$C29*INDEX(Curves!$M$8:$M$68,AM$4-$B29+1)</f>
        <v/>
      </c>
      <c r="AN29" s="56">
        <f>$C29*INDEX(Curves!$M$8:$M$68,AN$4-$B29+1)</f>
        <v/>
      </c>
      <c r="AO29" s="56">
        <f>$C29*INDEX(Curves!$M$8:$M$68,AO$4-$B29+1)</f>
        <v/>
      </c>
      <c r="AP29" s="56">
        <f>$C29*INDEX(Curves!$M$8:$M$68,AP$4-$B29+1)</f>
        <v/>
      </c>
      <c r="AQ29" s="56">
        <f>$C29*INDEX(Curves!$M$8:$M$68,AQ$4-$B29+1)</f>
        <v/>
      </c>
      <c r="AR29" s="56">
        <f>$C29*INDEX(Curves!$M$8:$M$68,AR$4-$B29+1)</f>
        <v/>
      </c>
      <c r="AS29" s="56">
        <f>$C29*INDEX(Curves!$M$8:$M$68,AS$4-$B29+1)</f>
        <v/>
      </c>
      <c r="AT29" s="56">
        <f>$C29*INDEX(Curves!$M$8:$M$68,AT$4-$B29+1)</f>
        <v/>
      </c>
      <c r="AU29" s="56">
        <f>$C29*INDEX(Curves!$M$8:$M$68,AU$4-$B29+1)</f>
        <v/>
      </c>
      <c r="AV29" s="56">
        <f>$C29*INDEX(Curves!$M$8:$M$68,AV$4-$B29+1)</f>
        <v/>
      </c>
      <c r="AW29" s="56">
        <f>$C29*INDEX(Curves!$M$8:$M$68,AW$4-$B29+1)</f>
        <v/>
      </c>
      <c r="AX29" s="56">
        <f>$C29*INDEX(Curves!$M$8:$M$68,AX$4-$B29+1)</f>
        <v/>
      </c>
      <c r="AY29" s="56">
        <f>$C29*INDEX(Curves!$M$8:$M$68,AY$4-$B29+1)</f>
        <v/>
      </c>
      <c r="AZ29" s="56">
        <f>$C29*INDEX(Curves!$M$8:$M$68,AZ$4-$B29+1)</f>
        <v/>
      </c>
      <c r="BA29" s="56">
        <f>$C29*INDEX(Curves!$M$8:$M$68,BA$4-$B29+1)</f>
        <v/>
      </c>
      <c r="BB29" s="56">
        <f>$C29*INDEX(Curves!$M$8:$M$68,BB$4-$B29+1)</f>
        <v/>
      </c>
      <c r="BC29" s="56">
        <f>$C29*INDEX(Curves!$M$8:$M$68,BC$4-$B29+1)</f>
        <v/>
      </c>
      <c r="BD29" s="56">
        <f>$C29*INDEX(Curves!$M$8:$M$68,BD$4-$B29+1)</f>
        <v/>
      </c>
      <c r="BE29" s="56">
        <f>$C29*INDEX(Curves!$M$8:$M$68,BE$4-$B29+1)</f>
        <v/>
      </c>
      <c r="BF29" s="56">
        <f>$C29*INDEX(Curves!$M$8:$M$68,BF$4-$B29+1)</f>
        <v/>
      </c>
      <c r="BG29" s="56">
        <f>$C29*INDEX(Curves!$M$8:$M$68,BG$4-$B29+1)</f>
        <v/>
      </c>
      <c r="BH29" s="56">
        <f>$C29*INDEX(Curves!$M$8:$M$68,BH$4-$B29+1)</f>
        <v/>
      </c>
      <c r="BI29" s="56">
        <f>$C29*INDEX(Curves!$M$8:$M$68,BI$4-$B29+1)</f>
        <v/>
      </c>
      <c r="BJ29" s="56">
        <f>$C29*INDEX(Curves!$M$8:$M$68,BJ$4-$B29+1)</f>
        <v/>
      </c>
      <c r="BK29" s="56">
        <f>$C29*INDEX(Curves!$M$8:$M$68,BK$4-$B29+1)</f>
        <v/>
      </c>
      <c r="BL29" s="56">
        <f>$C29*INDEX(Curves!$M$8:$M$68,BL$4-$B29+1)</f>
        <v/>
      </c>
    </row>
    <row r="30">
      <c r="A30" s="55" t="inlineStr">
        <is>
          <t>Cohort month 21</t>
        </is>
      </c>
      <c r="B30" s="55" t="n">
        <v>21</v>
      </c>
      <c r="C30" s="46">
        <f>INDEX(Ops!$E$25:$BL$25,1,$B30)</f>
        <v/>
      </c>
      <c r="Z30" s="56">
        <f>$C30*INDEX(Curves!$M$8:$M$68,Z$4-$B30+1)</f>
        <v/>
      </c>
      <c r="AA30" s="56">
        <f>$C30*INDEX(Curves!$M$8:$M$68,AA$4-$B30+1)</f>
        <v/>
      </c>
      <c r="AB30" s="56">
        <f>$C30*INDEX(Curves!$M$8:$M$68,AB$4-$B30+1)</f>
        <v/>
      </c>
      <c r="AC30" s="56">
        <f>$C30*INDEX(Curves!$M$8:$M$68,AC$4-$B30+1)</f>
        <v/>
      </c>
      <c r="AD30" s="56">
        <f>$C30*INDEX(Curves!$M$8:$M$68,AD$4-$B30+1)</f>
        <v/>
      </c>
      <c r="AE30" s="56">
        <f>$C30*INDEX(Curves!$M$8:$M$68,AE$4-$B30+1)</f>
        <v/>
      </c>
      <c r="AF30" s="56">
        <f>$C30*INDEX(Curves!$M$8:$M$68,AF$4-$B30+1)</f>
        <v/>
      </c>
      <c r="AG30" s="56">
        <f>$C30*INDEX(Curves!$M$8:$M$68,AG$4-$B30+1)</f>
        <v/>
      </c>
      <c r="AH30" s="56">
        <f>$C30*INDEX(Curves!$M$8:$M$68,AH$4-$B30+1)</f>
        <v/>
      </c>
      <c r="AI30" s="56">
        <f>$C30*INDEX(Curves!$M$8:$M$68,AI$4-$B30+1)</f>
        <v/>
      </c>
      <c r="AJ30" s="56">
        <f>$C30*INDEX(Curves!$M$8:$M$68,AJ$4-$B30+1)</f>
        <v/>
      </c>
      <c r="AK30" s="56">
        <f>$C30*INDEX(Curves!$M$8:$M$68,AK$4-$B30+1)</f>
        <v/>
      </c>
      <c r="AL30" s="56">
        <f>$C30*INDEX(Curves!$M$8:$M$68,AL$4-$B30+1)</f>
        <v/>
      </c>
      <c r="AM30" s="56">
        <f>$C30*INDEX(Curves!$M$8:$M$68,AM$4-$B30+1)</f>
        <v/>
      </c>
      <c r="AN30" s="56">
        <f>$C30*INDEX(Curves!$M$8:$M$68,AN$4-$B30+1)</f>
        <v/>
      </c>
      <c r="AO30" s="56">
        <f>$C30*INDEX(Curves!$M$8:$M$68,AO$4-$B30+1)</f>
        <v/>
      </c>
      <c r="AP30" s="56">
        <f>$C30*INDEX(Curves!$M$8:$M$68,AP$4-$B30+1)</f>
        <v/>
      </c>
      <c r="AQ30" s="56">
        <f>$C30*INDEX(Curves!$M$8:$M$68,AQ$4-$B30+1)</f>
        <v/>
      </c>
      <c r="AR30" s="56">
        <f>$C30*INDEX(Curves!$M$8:$M$68,AR$4-$B30+1)</f>
        <v/>
      </c>
      <c r="AS30" s="56">
        <f>$C30*INDEX(Curves!$M$8:$M$68,AS$4-$B30+1)</f>
        <v/>
      </c>
      <c r="AT30" s="56">
        <f>$C30*INDEX(Curves!$M$8:$M$68,AT$4-$B30+1)</f>
        <v/>
      </c>
      <c r="AU30" s="56">
        <f>$C30*INDEX(Curves!$M$8:$M$68,AU$4-$B30+1)</f>
        <v/>
      </c>
      <c r="AV30" s="56">
        <f>$C30*INDEX(Curves!$M$8:$M$68,AV$4-$B30+1)</f>
        <v/>
      </c>
      <c r="AW30" s="56">
        <f>$C30*INDEX(Curves!$M$8:$M$68,AW$4-$B30+1)</f>
        <v/>
      </c>
      <c r="AX30" s="56">
        <f>$C30*INDEX(Curves!$M$8:$M$68,AX$4-$B30+1)</f>
        <v/>
      </c>
      <c r="AY30" s="56">
        <f>$C30*INDEX(Curves!$M$8:$M$68,AY$4-$B30+1)</f>
        <v/>
      </c>
      <c r="AZ30" s="56">
        <f>$C30*INDEX(Curves!$M$8:$M$68,AZ$4-$B30+1)</f>
        <v/>
      </c>
      <c r="BA30" s="56">
        <f>$C30*INDEX(Curves!$M$8:$M$68,BA$4-$B30+1)</f>
        <v/>
      </c>
      <c r="BB30" s="56">
        <f>$C30*INDEX(Curves!$M$8:$M$68,BB$4-$B30+1)</f>
        <v/>
      </c>
      <c r="BC30" s="56">
        <f>$C30*INDEX(Curves!$M$8:$M$68,BC$4-$B30+1)</f>
        <v/>
      </c>
      <c r="BD30" s="56">
        <f>$C30*INDEX(Curves!$M$8:$M$68,BD$4-$B30+1)</f>
        <v/>
      </c>
      <c r="BE30" s="56">
        <f>$C30*INDEX(Curves!$M$8:$M$68,BE$4-$B30+1)</f>
        <v/>
      </c>
      <c r="BF30" s="56">
        <f>$C30*INDEX(Curves!$M$8:$M$68,BF$4-$B30+1)</f>
        <v/>
      </c>
      <c r="BG30" s="56">
        <f>$C30*INDEX(Curves!$M$8:$M$68,BG$4-$B30+1)</f>
        <v/>
      </c>
      <c r="BH30" s="56">
        <f>$C30*INDEX(Curves!$M$8:$M$68,BH$4-$B30+1)</f>
        <v/>
      </c>
      <c r="BI30" s="56">
        <f>$C30*INDEX(Curves!$M$8:$M$68,BI$4-$B30+1)</f>
        <v/>
      </c>
      <c r="BJ30" s="56">
        <f>$C30*INDEX(Curves!$M$8:$M$68,BJ$4-$B30+1)</f>
        <v/>
      </c>
      <c r="BK30" s="56">
        <f>$C30*INDEX(Curves!$M$8:$M$68,BK$4-$B30+1)</f>
        <v/>
      </c>
      <c r="BL30" s="56">
        <f>$C30*INDEX(Curves!$M$8:$M$68,BL$4-$B30+1)</f>
        <v/>
      </c>
    </row>
    <row r="31">
      <c r="A31" s="55" t="inlineStr">
        <is>
          <t>Cohort month 22</t>
        </is>
      </c>
      <c r="B31" s="55" t="n">
        <v>22</v>
      </c>
      <c r="C31" s="46">
        <f>INDEX(Ops!$E$25:$BL$25,1,$B31)</f>
        <v/>
      </c>
      <c r="AA31" s="56">
        <f>$C31*INDEX(Curves!$M$8:$M$68,AA$4-$B31+1)</f>
        <v/>
      </c>
      <c r="AB31" s="56">
        <f>$C31*INDEX(Curves!$M$8:$M$68,AB$4-$B31+1)</f>
        <v/>
      </c>
      <c r="AC31" s="56">
        <f>$C31*INDEX(Curves!$M$8:$M$68,AC$4-$B31+1)</f>
        <v/>
      </c>
      <c r="AD31" s="56">
        <f>$C31*INDEX(Curves!$M$8:$M$68,AD$4-$B31+1)</f>
        <v/>
      </c>
      <c r="AE31" s="56">
        <f>$C31*INDEX(Curves!$M$8:$M$68,AE$4-$B31+1)</f>
        <v/>
      </c>
      <c r="AF31" s="56">
        <f>$C31*INDEX(Curves!$M$8:$M$68,AF$4-$B31+1)</f>
        <v/>
      </c>
      <c r="AG31" s="56">
        <f>$C31*INDEX(Curves!$M$8:$M$68,AG$4-$B31+1)</f>
        <v/>
      </c>
      <c r="AH31" s="56">
        <f>$C31*INDEX(Curves!$M$8:$M$68,AH$4-$B31+1)</f>
        <v/>
      </c>
      <c r="AI31" s="56">
        <f>$C31*INDEX(Curves!$M$8:$M$68,AI$4-$B31+1)</f>
        <v/>
      </c>
      <c r="AJ31" s="56">
        <f>$C31*INDEX(Curves!$M$8:$M$68,AJ$4-$B31+1)</f>
        <v/>
      </c>
      <c r="AK31" s="56">
        <f>$C31*INDEX(Curves!$M$8:$M$68,AK$4-$B31+1)</f>
        <v/>
      </c>
      <c r="AL31" s="56">
        <f>$C31*INDEX(Curves!$M$8:$M$68,AL$4-$B31+1)</f>
        <v/>
      </c>
      <c r="AM31" s="56">
        <f>$C31*INDEX(Curves!$M$8:$M$68,AM$4-$B31+1)</f>
        <v/>
      </c>
      <c r="AN31" s="56">
        <f>$C31*INDEX(Curves!$M$8:$M$68,AN$4-$B31+1)</f>
        <v/>
      </c>
      <c r="AO31" s="56">
        <f>$C31*INDEX(Curves!$M$8:$M$68,AO$4-$B31+1)</f>
        <v/>
      </c>
      <c r="AP31" s="56">
        <f>$C31*INDEX(Curves!$M$8:$M$68,AP$4-$B31+1)</f>
        <v/>
      </c>
      <c r="AQ31" s="56">
        <f>$C31*INDEX(Curves!$M$8:$M$68,AQ$4-$B31+1)</f>
        <v/>
      </c>
      <c r="AR31" s="56">
        <f>$C31*INDEX(Curves!$M$8:$M$68,AR$4-$B31+1)</f>
        <v/>
      </c>
      <c r="AS31" s="56">
        <f>$C31*INDEX(Curves!$M$8:$M$68,AS$4-$B31+1)</f>
        <v/>
      </c>
      <c r="AT31" s="56">
        <f>$C31*INDEX(Curves!$M$8:$M$68,AT$4-$B31+1)</f>
        <v/>
      </c>
      <c r="AU31" s="56">
        <f>$C31*INDEX(Curves!$M$8:$M$68,AU$4-$B31+1)</f>
        <v/>
      </c>
      <c r="AV31" s="56">
        <f>$C31*INDEX(Curves!$M$8:$M$68,AV$4-$B31+1)</f>
        <v/>
      </c>
      <c r="AW31" s="56">
        <f>$C31*INDEX(Curves!$M$8:$M$68,AW$4-$B31+1)</f>
        <v/>
      </c>
      <c r="AX31" s="56">
        <f>$C31*INDEX(Curves!$M$8:$M$68,AX$4-$B31+1)</f>
        <v/>
      </c>
      <c r="AY31" s="56">
        <f>$C31*INDEX(Curves!$M$8:$M$68,AY$4-$B31+1)</f>
        <v/>
      </c>
      <c r="AZ31" s="56">
        <f>$C31*INDEX(Curves!$M$8:$M$68,AZ$4-$B31+1)</f>
        <v/>
      </c>
      <c r="BA31" s="56">
        <f>$C31*INDEX(Curves!$M$8:$M$68,BA$4-$B31+1)</f>
        <v/>
      </c>
      <c r="BB31" s="56">
        <f>$C31*INDEX(Curves!$M$8:$M$68,BB$4-$B31+1)</f>
        <v/>
      </c>
      <c r="BC31" s="56">
        <f>$C31*INDEX(Curves!$M$8:$M$68,BC$4-$B31+1)</f>
        <v/>
      </c>
      <c r="BD31" s="56">
        <f>$C31*INDEX(Curves!$M$8:$M$68,BD$4-$B31+1)</f>
        <v/>
      </c>
      <c r="BE31" s="56">
        <f>$C31*INDEX(Curves!$M$8:$M$68,BE$4-$B31+1)</f>
        <v/>
      </c>
      <c r="BF31" s="56">
        <f>$C31*INDEX(Curves!$M$8:$M$68,BF$4-$B31+1)</f>
        <v/>
      </c>
      <c r="BG31" s="56">
        <f>$C31*INDEX(Curves!$M$8:$M$68,BG$4-$B31+1)</f>
        <v/>
      </c>
      <c r="BH31" s="56">
        <f>$C31*INDEX(Curves!$M$8:$M$68,BH$4-$B31+1)</f>
        <v/>
      </c>
      <c r="BI31" s="56">
        <f>$C31*INDEX(Curves!$M$8:$M$68,BI$4-$B31+1)</f>
        <v/>
      </c>
      <c r="BJ31" s="56">
        <f>$C31*INDEX(Curves!$M$8:$M$68,BJ$4-$B31+1)</f>
        <v/>
      </c>
      <c r="BK31" s="56">
        <f>$C31*INDEX(Curves!$M$8:$M$68,BK$4-$B31+1)</f>
        <v/>
      </c>
      <c r="BL31" s="56">
        <f>$C31*INDEX(Curves!$M$8:$M$68,BL$4-$B31+1)</f>
        <v/>
      </c>
    </row>
    <row r="32">
      <c r="A32" s="55" t="inlineStr">
        <is>
          <t>Cohort month 23</t>
        </is>
      </c>
      <c r="B32" s="55" t="n">
        <v>23</v>
      </c>
      <c r="C32" s="46">
        <f>INDEX(Ops!$E$25:$BL$25,1,$B32)</f>
        <v/>
      </c>
      <c r="AB32" s="56">
        <f>$C32*INDEX(Curves!$M$8:$M$68,AB$4-$B32+1)</f>
        <v/>
      </c>
      <c r="AC32" s="56">
        <f>$C32*INDEX(Curves!$M$8:$M$68,AC$4-$B32+1)</f>
        <v/>
      </c>
      <c r="AD32" s="56">
        <f>$C32*INDEX(Curves!$M$8:$M$68,AD$4-$B32+1)</f>
        <v/>
      </c>
      <c r="AE32" s="56">
        <f>$C32*INDEX(Curves!$M$8:$M$68,AE$4-$B32+1)</f>
        <v/>
      </c>
      <c r="AF32" s="56">
        <f>$C32*INDEX(Curves!$M$8:$M$68,AF$4-$B32+1)</f>
        <v/>
      </c>
      <c r="AG32" s="56">
        <f>$C32*INDEX(Curves!$M$8:$M$68,AG$4-$B32+1)</f>
        <v/>
      </c>
      <c r="AH32" s="56">
        <f>$C32*INDEX(Curves!$M$8:$M$68,AH$4-$B32+1)</f>
        <v/>
      </c>
      <c r="AI32" s="56">
        <f>$C32*INDEX(Curves!$M$8:$M$68,AI$4-$B32+1)</f>
        <v/>
      </c>
      <c r="AJ32" s="56">
        <f>$C32*INDEX(Curves!$M$8:$M$68,AJ$4-$B32+1)</f>
        <v/>
      </c>
      <c r="AK32" s="56">
        <f>$C32*INDEX(Curves!$M$8:$M$68,AK$4-$B32+1)</f>
        <v/>
      </c>
      <c r="AL32" s="56">
        <f>$C32*INDEX(Curves!$M$8:$M$68,AL$4-$B32+1)</f>
        <v/>
      </c>
      <c r="AM32" s="56">
        <f>$C32*INDEX(Curves!$M$8:$M$68,AM$4-$B32+1)</f>
        <v/>
      </c>
      <c r="AN32" s="56">
        <f>$C32*INDEX(Curves!$M$8:$M$68,AN$4-$B32+1)</f>
        <v/>
      </c>
      <c r="AO32" s="56">
        <f>$C32*INDEX(Curves!$M$8:$M$68,AO$4-$B32+1)</f>
        <v/>
      </c>
      <c r="AP32" s="56">
        <f>$C32*INDEX(Curves!$M$8:$M$68,AP$4-$B32+1)</f>
        <v/>
      </c>
      <c r="AQ32" s="56">
        <f>$C32*INDEX(Curves!$M$8:$M$68,AQ$4-$B32+1)</f>
        <v/>
      </c>
      <c r="AR32" s="56">
        <f>$C32*INDEX(Curves!$M$8:$M$68,AR$4-$B32+1)</f>
        <v/>
      </c>
      <c r="AS32" s="56">
        <f>$C32*INDEX(Curves!$M$8:$M$68,AS$4-$B32+1)</f>
        <v/>
      </c>
      <c r="AT32" s="56">
        <f>$C32*INDEX(Curves!$M$8:$M$68,AT$4-$B32+1)</f>
        <v/>
      </c>
      <c r="AU32" s="56">
        <f>$C32*INDEX(Curves!$M$8:$M$68,AU$4-$B32+1)</f>
        <v/>
      </c>
      <c r="AV32" s="56">
        <f>$C32*INDEX(Curves!$M$8:$M$68,AV$4-$B32+1)</f>
        <v/>
      </c>
      <c r="AW32" s="56">
        <f>$C32*INDEX(Curves!$M$8:$M$68,AW$4-$B32+1)</f>
        <v/>
      </c>
      <c r="AX32" s="56">
        <f>$C32*INDEX(Curves!$M$8:$M$68,AX$4-$B32+1)</f>
        <v/>
      </c>
      <c r="AY32" s="56">
        <f>$C32*INDEX(Curves!$M$8:$M$68,AY$4-$B32+1)</f>
        <v/>
      </c>
      <c r="AZ32" s="56">
        <f>$C32*INDEX(Curves!$M$8:$M$68,AZ$4-$B32+1)</f>
        <v/>
      </c>
      <c r="BA32" s="56">
        <f>$C32*INDEX(Curves!$M$8:$M$68,BA$4-$B32+1)</f>
        <v/>
      </c>
      <c r="BB32" s="56">
        <f>$C32*INDEX(Curves!$M$8:$M$68,BB$4-$B32+1)</f>
        <v/>
      </c>
      <c r="BC32" s="56">
        <f>$C32*INDEX(Curves!$M$8:$M$68,BC$4-$B32+1)</f>
        <v/>
      </c>
      <c r="BD32" s="56">
        <f>$C32*INDEX(Curves!$M$8:$M$68,BD$4-$B32+1)</f>
        <v/>
      </c>
      <c r="BE32" s="56">
        <f>$C32*INDEX(Curves!$M$8:$M$68,BE$4-$B32+1)</f>
        <v/>
      </c>
      <c r="BF32" s="56">
        <f>$C32*INDEX(Curves!$M$8:$M$68,BF$4-$B32+1)</f>
        <v/>
      </c>
      <c r="BG32" s="56">
        <f>$C32*INDEX(Curves!$M$8:$M$68,BG$4-$B32+1)</f>
        <v/>
      </c>
      <c r="BH32" s="56">
        <f>$C32*INDEX(Curves!$M$8:$M$68,BH$4-$B32+1)</f>
        <v/>
      </c>
      <c r="BI32" s="56">
        <f>$C32*INDEX(Curves!$M$8:$M$68,BI$4-$B32+1)</f>
        <v/>
      </c>
      <c r="BJ32" s="56">
        <f>$C32*INDEX(Curves!$M$8:$M$68,BJ$4-$B32+1)</f>
        <v/>
      </c>
      <c r="BK32" s="56">
        <f>$C32*INDEX(Curves!$M$8:$M$68,BK$4-$B32+1)</f>
        <v/>
      </c>
      <c r="BL32" s="56">
        <f>$C32*INDEX(Curves!$M$8:$M$68,BL$4-$B32+1)</f>
        <v/>
      </c>
    </row>
    <row r="33">
      <c r="A33" s="55" t="inlineStr">
        <is>
          <t>Cohort month 24</t>
        </is>
      </c>
      <c r="B33" s="55" t="n">
        <v>24</v>
      </c>
      <c r="C33" s="46">
        <f>INDEX(Ops!$E$25:$BL$25,1,$B33)</f>
        <v/>
      </c>
      <c r="AC33" s="56">
        <f>$C33*INDEX(Curves!$M$8:$M$68,AC$4-$B33+1)</f>
        <v/>
      </c>
      <c r="AD33" s="56">
        <f>$C33*INDEX(Curves!$M$8:$M$68,AD$4-$B33+1)</f>
        <v/>
      </c>
      <c r="AE33" s="56">
        <f>$C33*INDEX(Curves!$M$8:$M$68,AE$4-$B33+1)</f>
        <v/>
      </c>
      <c r="AF33" s="56">
        <f>$C33*INDEX(Curves!$M$8:$M$68,AF$4-$B33+1)</f>
        <v/>
      </c>
      <c r="AG33" s="56">
        <f>$C33*INDEX(Curves!$M$8:$M$68,AG$4-$B33+1)</f>
        <v/>
      </c>
      <c r="AH33" s="56">
        <f>$C33*INDEX(Curves!$M$8:$M$68,AH$4-$B33+1)</f>
        <v/>
      </c>
      <c r="AI33" s="56">
        <f>$C33*INDEX(Curves!$M$8:$M$68,AI$4-$B33+1)</f>
        <v/>
      </c>
      <c r="AJ33" s="56">
        <f>$C33*INDEX(Curves!$M$8:$M$68,AJ$4-$B33+1)</f>
        <v/>
      </c>
      <c r="AK33" s="56">
        <f>$C33*INDEX(Curves!$M$8:$M$68,AK$4-$B33+1)</f>
        <v/>
      </c>
      <c r="AL33" s="56">
        <f>$C33*INDEX(Curves!$M$8:$M$68,AL$4-$B33+1)</f>
        <v/>
      </c>
      <c r="AM33" s="56">
        <f>$C33*INDEX(Curves!$M$8:$M$68,AM$4-$B33+1)</f>
        <v/>
      </c>
      <c r="AN33" s="56">
        <f>$C33*INDEX(Curves!$M$8:$M$68,AN$4-$B33+1)</f>
        <v/>
      </c>
      <c r="AO33" s="56">
        <f>$C33*INDEX(Curves!$M$8:$M$68,AO$4-$B33+1)</f>
        <v/>
      </c>
      <c r="AP33" s="56">
        <f>$C33*INDEX(Curves!$M$8:$M$68,AP$4-$B33+1)</f>
        <v/>
      </c>
      <c r="AQ33" s="56">
        <f>$C33*INDEX(Curves!$M$8:$M$68,AQ$4-$B33+1)</f>
        <v/>
      </c>
      <c r="AR33" s="56">
        <f>$C33*INDEX(Curves!$M$8:$M$68,AR$4-$B33+1)</f>
        <v/>
      </c>
      <c r="AS33" s="56">
        <f>$C33*INDEX(Curves!$M$8:$M$68,AS$4-$B33+1)</f>
        <v/>
      </c>
      <c r="AT33" s="56">
        <f>$C33*INDEX(Curves!$M$8:$M$68,AT$4-$B33+1)</f>
        <v/>
      </c>
      <c r="AU33" s="56">
        <f>$C33*INDEX(Curves!$M$8:$M$68,AU$4-$B33+1)</f>
        <v/>
      </c>
      <c r="AV33" s="56">
        <f>$C33*INDEX(Curves!$M$8:$M$68,AV$4-$B33+1)</f>
        <v/>
      </c>
      <c r="AW33" s="56">
        <f>$C33*INDEX(Curves!$M$8:$M$68,AW$4-$B33+1)</f>
        <v/>
      </c>
      <c r="AX33" s="56">
        <f>$C33*INDEX(Curves!$M$8:$M$68,AX$4-$B33+1)</f>
        <v/>
      </c>
      <c r="AY33" s="56">
        <f>$C33*INDEX(Curves!$M$8:$M$68,AY$4-$B33+1)</f>
        <v/>
      </c>
      <c r="AZ33" s="56">
        <f>$C33*INDEX(Curves!$M$8:$M$68,AZ$4-$B33+1)</f>
        <v/>
      </c>
      <c r="BA33" s="56">
        <f>$C33*INDEX(Curves!$M$8:$M$68,BA$4-$B33+1)</f>
        <v/>
      </c>
      <c r="BB33" s="56">
        <f>$C33*INDEX(Curves!$M$8:$M$68,BB$4-$B33+1)</f>
        <v/>
      </c>
      <c r="BC33" s="56">
        <f>$C33*INDEX(Curves!$M$8:$M$68,BC$4-$B33+1)</f>
        <v/>
      </c>
      <c r="BD33" s="56">
        <f>$C33*INDEX(Curves!$M$8:$M$68,BD$4-$B33+1)</f>
        <v/>
      </c>
      <c r="BE33" s="56">
        <f>$C33*INDEX(Curves!$M$8:$M$68,BE$4-$B33+1)</f>
        <v/>
      </c>
      <c r="BF33" s="56">
        <f>$C33*INDEX(Curves!$M$8:$M$68,BF$4-$B33+1)</f>
        <v/>
      </c>
      <c r="BG33" s="56">
        <f>$C33*INDEX(Curves!$M$8:$M$68,BG$4-$B33+1)</f>
        <v/>
      </c>
      <c r="BH33" s="56">
        <f>$C33*INDEX(Curves!$M$8:$M$68,BH$4-$B33+1)</f>
        <v/>
      </c>
      <c r="BI33" s="56">
        <f>$C33*INDEX(Curves!$M$8:$M$68,BI$4-$B33+1)</f>
        <v/>
      </c>
      <c r="BJ33" s="56">
        <f>$C33*INDEX(Curves!$M$8:$M$68,BJ$4-$B33+1)</f>
        <v/>
      </c>
      <c r="BK33" s="56">
        <f>$C33*INDEX(Curves!$M$8:$M$68,BK$4-$B33+1)</f>
        <v/>
      </c>
      <c r="BL33" s="56">
        <f>$C33*INDEX(Curves!$M$8:$M$68,BL$4-$B33+1)</f>
        <v/>
      </c>
    </row>
    <row r="34">
      <c r="A34" s="55" t="inlineStr">
        <is>
          <t>Cohort month 25</t>
        </is>
      </c>
      <c r="B34" s="55" t="n">
        <v>25</v>
      </c>
      <c r="C34" s="46">
        <f>INDEX(Ops!$E$25:$BL$25,1,$B34)</f>
        <v/>
      </c>
      <c r="AD34" s="56">
        <f>$C34*INDEX(Curves!$M$8:$M$68,AD$4-$B34+1)</f>
        <v/>
      </c>
      <c r="AE34" s="56">
        <f>$C34*INDEX(Curves!$M$8:$M$68,AE$4-$B34+1)</f>
        <v/>
      </c>
      <c r="AF34" s="56">
        <f>$C34*INDEX(Curves!$M$8:$M$68,AF$4-$B34+1)</f>
        <v/>
      </c>
      <c r="AG34" s="56">
        <f>$C34*INDEX(Curves!$M$8:$M$68,AG$4-$B34+1)</f>
        <v/>
      </c>
      <c r="AH34" s="56">
        <f>$C34*INDEX(Curves!$M$8:$M$68,AH$4-$B34+1)</f>
        <v/>
      </c>
      <c r="AI34" s="56">
        <f>$C34*INDEX(Curves!$M$8:$M$68,AI$4-$B34+1)</f>
        <v/>
      </c>
      <c r="AJ34" s="56">
        <f>$C34*INDEX(Curves!$M$8:$M$68,AJ$4-$B34+1)</f>
        <v/>
      </c>
      <c r="AK34" s="56">
        <f>$C34*INDEX(Curves!$M$8:$M$68,AK$4-$B34+1)</f>
        <v/>
      </c>
      <c r="AL34" s="56">
        <f>$C34*INDEX(Curves!$M$8:$M$68,AL$4-$B34+1)</f>
        <v/>
      </c>
      <c r="AM34" s="56">
        <f>$C34*INDEX(Curves!$M$8:$M$68,AM$4-$B34+1)</f>
        <v/>
      </c>
      <c r="AN34" s="56">
        <f>$C34*INDEX(Curves!$M$8:$M$68,AN$4-$B34+1)</f>
        <v/>
      </c>
      <c r="AO34" s="56">
        <f>$C34*INDEX(Curves!$M$8:$M$68,AO$4-$B34+1)</f>
        <v/>
      </c>
      <c r="AP34" s="56">
        <f>$C34*INDEX(Curves!$M$8:$M$68,AP$4-$B34+1)</f>
        <v/>
      </c>
      <c r="AQ34" s="56">
        <f>$C34*INDEX(Curves!$M$8:$M$68,AQ$4-$B34+1)</f>
        <v/>
      </c>
      <c r="AR34" s="56">
        <f>$C34*INDEX(Curves!$M$8:$M$68,AR$4-$B34+1)</f>
        <v/>
      </c>
      <c r="AS34" s="56">
        <f>$C34*INDEX(Curves!$M$8:$M$68,AS$4-$B34+1)</f>
        <v/>
      </c>
      <c r="AT34" s="56">
        <f>$C34*INDEX(Curves!$M$8:$M$68,AT$4-$B34+1)</f>
        <v/>
      </c>
      <c r="AU34" s="56">
        <f>$C34*INDEX(Curves!$M$8:$M$68,AU$4-$B34+1)</f>
        <v/>
      </c>
      <c r="AV34" s="56">
        <f>$C34*INDEX(Curves!$M$8:$M$68,AV$4-$B34+1)</f>
        <v/>
      </c>
      <c r="AW34" s="56">
        <f>$C34*INDEX(Curves!$M$8:$M$68,AW$4-$B34+1)</f>
        <v/>
      </c>
      <c r="AX34" s="56">
        <f>$C34*INDEX(Curves!$M$8:$M$68,AX$4-$B34+1)</f>
        <v/>
      </c>
      <c r="AY34" s="56">
        <f>$C34*INDEX(Curves!$M$8:$M$68,AY$4-$B34+1)</f>
        <v/>
      </c>
      <c r="AZ34" s="56">
        <f>$C34*INDEX(Curves!$M$8:$M$68,AZ$4-$B34+1)</f>
        <v/>
      </c>
      <c r="BA34" s="56">
        <f>$C34*INDEX(Curves!$M$8:$M$68,BA$4-$B34+1)</f>
        <v/>
      </c>
      <c r="BB34" s="56">
        <f>$C34*INDEX(Curves!$M$8:$M$68,BB$4-$B34+1)</f>
        <v/>
      </c>
      <c r="BC34" s="56">
        <f>$C34*INDEX(Curves!$M$8:$M$68,BC$4-$B34+1)</f>
        <v/>
      </c>
      <c r="BD34" s="56">
        <f>$C34*INDEX(Curves!$M$8:$M$68,BD$4-$B34+1)</f>
        <v/>
      </c>
      <c r="BE34" s="56">
        <f>$C34*INDEX(Curves!$M$8:$M$68,BE$4-$B34+1)</f>
        <v/>
      </c>
      <c r="BF34" s="56">
        <f>$C34*INDEX(Curves!$M$8:$M$68,BF$4-$B34+1)</f>
        <v/>
      </c>
      <c r="BG34" s="56">
        <f>$C34*INDEX(Curves!$M$8:$M$68,BG$4-$B34+1)</f>
        <v/>
      </c>
      <c r="BH34" s="56">
        <f>$C34*INDEX(Curves!$M$8:$M$68,BH$4-$B34+1)</f>
        <v/>
      </c>
      <c r="BI34" s="56">
        <f>$C34*INDEX(Curves!$M$8:$M$68,BI$4-$B34+1)</f>
        <v/>
      </c>
      <c r="BJ34" s="56">
        <f>$C34*INDEX(Curves!$M$8:$M$68,BJ$4-$B34+1)</f>
        <v/>
      </c>
      <c r="BK34" s="56">
        <f>$C34*INDEX(Curves!$M$8:$M$68,BK$4-$B34+1)</f>
        <v/>
      </c>
      <c r="BL34" s="56">
        <f>$C34*INDEX(Curves!$M$8:$M$68,BL$4-$B34+1)</f>
        <v/>
      </c>
    </row>
    <row r="35">
      <c r="A35" s="55" t="inlineStr">
        <is>
          <t>Cohort month 26</t>
        </is>
      </c>
      <c r="B35" s="55" t="n">
        <v>26</v>
      </c>
      <c r="C35" s="46">
        <f>INDEX(Ops!$E$25:$BL$25,1,$B35)</f>
        <v/>
      </c>
      <c r="AE35" s="56">
        <f>$C35*INDEX(Curves!$M$8:$M$68,AE$4-$B35+1)</f>
        <v/>
      </c>
      <c r="AF35" s="56">
        <f>$C35*INDEX(Curves!$M$8:$M$68,AF$4-$B35+1)</f>
        <v/>
      </c>
      <c r="AG35" s="56">
        <f>$C35*INDEX(Curves!$M$8:$M$68,AG$4-$B35+1)</f>
        <v/>
      </c>
      <c r="AH35" s="56">
        <f>$C35*INDEX(Curves!$M$8:$M$68,AH$4-$B35+1)</f>
        <v/>
      </c>
      <c r="AI35" s="56">
        <f>$C35*INDEX(Curves!$M$8:$M$68,AI$4-$B35+1)</f>
        <v/>
      </c>
      <c r="AJ35" s="56">
        <f>$C35*INDEX(Curves!$M$8:$M$68,AJ$4-$B35+1)</f>
        <v/>
      </c>
      <c r="AK35" s="56">
        <f>$C35*INDEX(Curves!$M$8:$M$68,AK$4-$B35+1)</f>
        <v/>
      </c>
      <c r="AL35" s="56">
        <f>$C35*INDEX(Curves!$M$8:$M$68,AL$4-$B35+1)</f>
        <v/>
      </c>
      <c r="AM35" s="56">
        <f>$C35*INDEX(Curves!$M$8:$M$68,AM$4-$B35+1)</f>
        <v/>
      </c>
      <c r="AN35" s="56">
        <f>$C35*INDEX(Curves!$M$8:$M$68,AN$4-$B35+1)</f>
        <v/>
      </c>
      <c r="AO35" s="56">
        <f>$C35*INDEX(Curves!$M$8:$M$68,AO$4-$B35+1)</f>
        <v/>
      </c>
      <c r="AP35" s="56">
        <f>$C35*INDEX(Curves!$M$8:$M$68,AP$4-$B35+1)</f>
        <v/>
      </c>
      <c r="AQ35" s="56">
        <f>$C35*INDEX(Curves!$M$8:$M$68,AQ$4-$B35+1)</f>
        <v/>
      </c>
      <c r="AR35" s="56">
        <f>$C35*INDEX(Curves!$M$8:$M$68,AR$4-$B35+1)</f>
        <v/>
      </c>
      <c r="AS35" s="56">
        <f>$C35*INDEX(Curves!$M$8:$M$68,AS$4-$B35+1)</f>
        <v/>
      </c>
      <c r="AT35" s="56">
        <f>$C35*INDEX(Curves!$M$8:$M$68,AT$4-$B35+1)</f>
        <v/>
      </c>
      <c r="AU35" s="56">
        <f>$C35*INDEX(Curves!$M$8:$M$68,AU$4-$B35+1)</f>
        <v/>
      </c>
      <c r="AV35" s="56">
        <f>$C35*INDEX(Curves!$M$8:$M$68,AV$4-$B35+1)</f>
        <v/>
      </c>
      <c r="AW35" s="56">
        <f>$C35*INDEX(Curves!$M$8:$M$68,AW$4-$B35+1)</f>
        <v/>
      </c>
      <c r="AX35" s="56">
        <f>$C35*INDEX(Curves!$M$8:$M$68,AX$4-$B35+1)</f>
        <v/>
      </c>
      <c r="AY35" s="56">
        <f>$C35*INDEX(Curves!$M$8:$M$68,AY$4-$B35+1)</f>
        <v/>
      </c>
      <c r="AZ35" s="56">
        <f>$C35*INDEX(Curves!$M$8:$M$68,AZ$4-$B35+1)</f>
        <v/>
      </c>
      <c r="BA35" s="56">
        <f>$C35*INDEX(Curves!$M$8:$M$68,BA$4-$B35+1)</f>
        <v/>
      </c>
      <c r="BB35" s="56">
        <f>$C35*INDEX(Curves!$M$8:$M$68,BB$4-$B35+1)</f>
        <v/>
      </c>
      <c r="BC35" s="56">
        <f>$C35*INDEX(Curves!$M$8:$M$68,BC$4-$B35+1)</f>
        <v/>
      </c>
      <c r="BD35" s="56">
        <f>$C35*INDEX(Curves!$M$8:$M$68,BD$4-$B35+1)</f>
        <v/>
      </c>
      <c r="BE35" s="56">
        <f>$C35*INDEX(Curves!$M$8:$M$68,BE$4-$B35+1)</f>
        <v/>
      </c>
      <c r="BF35" s="56">
        <f>$C35*INDEX(Curves!$M$8:$M$68,BF$4-$B35+1)</f>
        <v/>
      </c>
      <c r="BG35" s="56">
        <f>$C35*INDEX(Curves!$M$8:$M$68,BG$4-$B35+1)</f>
        <v/>
      </c>
      <c r="BH35" s="56">
        <f>$C35*INDEX(Curves!$M$8:$M$68,BH$4-$B35+1)</f>
        <v/>
      </c>
      <c r="BI35" s="56">
        <f>$C35*INDEX(Curves!$M$8:$M$68,BI$4-$B35+1)</f>
        <v/>
      </c>
      <c r="BJ35" s="56">
        <f>$C35*INDEX(Curves!$M$8:$M$68,BJ$4-$B35+1)</f>
        <v/>
      </c>
      <c r="BK35" s="56">
        <f>$C35*INDEX(Curves!$M$8:$M$68,BK$4-$B35+1)</f>
        <v/>
      </c>
      <c r="BL35" s="56">
        <f>$C35*INDEX(Curves!$M$8:$M$68,BL$4-$B35+1)</f>
        <v/>
      </c>
    </row>
    <row r="36">
      <c r="A36" s="55" t="inlineStr">
        <is>
          <t>Cohort month 27</t>
        </is>
      </c>
      <c r="B36" s="55" t="n">
        <v>27</v>
      </c>
      <c r="C36" s="46">
        <f>INDEX(Ops!$E$25:$BL$25,1,$B36)</f>
        <v/>
      </c>
      <c r="AF36" s="56">
        <f>$C36*INDEX(Curves!$M$8:$M$68,AF$4-$B36+1)</f>
        <v/>
      </c>
      <c r="AG36" s="56">
        <f>$C36*INDEX(Curves!$M$8:$M$68,AG$4-$B36+1)</f>
        <v/>
      </c>
      <c r="AH36" s="56">
        <f>$C36*INDEX(Curves!$M$8:$M$68,AH$4-$B36+1)</f>
        <v/>
      </c>
      <c r="AI36" s="56">
        <f>$C36*INDEX(Curves!$M$8:$M$68,AI$4-$B36+1)</f>
        <v/>
      </c>
      <c r="AJ36" s="56">
        <f>$C36*INDEX(Curves!$M$8:$M$68,AJ$4-$B36+1)</f>
        <v/>
      </c>
      <c r="AK36" s="56">
        <f>$C36*INDEX(Curves!$M$8:$M$68,AK$4-$B36+1)</f>
        <v/>
      </c>
      <c r="AL36" s="56">
        <f>$C36*INDEX(Curves!$M$8:$M$68,AL$4-$B36+1)</f>
        <v/>
      </c>
      <c r="AM36" s="56">
        <f>$C36*INDEX(Curves!$M$8:$M$68,AM$4-$B36+1)</f>
        <v/>
      </c>
      <c r="AN36" s="56">
        <f>$C36*INDEX(Curves!$M$8:$M$68,AN$4-$B36+1)</f>
        <v/>
      </c>
      <c r="AO36" s="56">
        <f>$C36*INDEX(Curves!$M$8:$M$68,AO$4-$B36+1)</f>
        <v/>
      </c>
      <c r="AP36" s="56">
        <f>$C36*INDEX(Curves!$M$8:$M$68,AP$4-$B36+1)</f>
        <v/>
      </c>
      <c r="AQ36" s="56">
        <f>$C36*INDEX(Curves!$M$8:$M$68,AQ$4-$B36+1)</f>
        <v/>
      </c>
      <c r="AR36" s="56">
        <f>$C36*INDEX(Curves!$M$8:$M$68,AR$4-$B36+1)</f>
        <v/>
      </c>
      <c r="AS36" s="56">
        <f>$C36*INDEX(Curves!$M$8:$M$68,AS$4-$B36+1)</f>
        <v/>
      </c>
      <c r="AT36" s="56">
        <f>$C36*INDEX(Curves!$M$8:$M$68,AT$4-$B36+1)</f>
        <v/>
      </c>
      <c r="AU36" s="56">
        <f>$C36*INDEX(Curves!$M$8:$M$68,AU$4-$B36+1)</f>
        <v/>
      </c>
      <c r="AV36" s="56">
        <f>$C36*INDEX(Curves!$M$8:$M$68,AV$4-$B36+1)</f>
        <v/>
      </c>
      <c r="AW36" s="56">
        <f>$C36*INDEX(Curves!$M$8:$M$68,AW$4-$B36+1)</f>
        <v/>
      </c>
      <c r="AX36" s="56">
        <f>$C36*INDEX(Curves!$M$8:$M$68,AX$4-$B36+1)</f>
        <v/>
      </c>
      <c r="AY36" s="56">
        <f>$C36*INDEX(Curves!$M$8:$M$68,AY$4-$B36+1)</f>
        <v/>
      </c>
      <c r="AZ36" s="56">
        <f>$C36*INDEX(Curves!$M$8:$M$68,AZ$4-$B36+1)</f>
        <v/>
      </c>
      <c r="BA36" s="56">
        <f>$C36*INDEX(Curves!$M$8:$M$68,BA$4-$B36+1)</f>
        <v/>
      </c>
      <c r="BB36" s="56">
        <f>$C36*INDEX(Curves!$M$8:$M$68,BB$4-$B36+1)</f>
        <v/>
      </c>
      <c r="BC36" s="56">
        <f>$C36*INDEX(Curves!$M$8:$M$68,BC$4-$B36+1)</f>
        <v/>
      </c>
      <c r="BD36" s="56">
        <f>$C36*INDEX(Curves!$M$8:$M$68,BD$4-$B36+1)</f>
        <v/>
      </c>
      <c r="BE36" s="56">
        <f>$C36*INDEX(Curves!$M$8:$M$68,BE$4-$B36+1)</f>
        <v/>
      </c>
      <c r="BF36" s="56">
        <f>$C36*INDEX(Curves!$M$8:$M$68,BF$4-$B36+1)</f>
        <v/>
      </c>
      <c r="BG36" s="56">
        <f>$C36*INDEX(Curves!$M$8:$M$68,BG$4-$B36+1)</f>
        <v/>
      </c>
      <c r="BH36" s="56">
        <f>$C36*INDEX(Curves!$M$8:$M$68,BH$4-$B36+1)</f>
        <v/>
      </c>
      <c r="BI36" s="56">
        <f>$C36*INDEX(Curves!$M$8:$M$68,BI$4-$B36+1)</f>
        <v/>
      </c>
      <c r="BJ36" s="56">
        <f>$C36*INDEX(Curves!$M$8:$M$68,BJ$4-$B36+1)</f>
        <v/>
      </c>
      <c r="BK36" s="56">
        <f>$C36*INDEX(Curves!$M$8:$M$68,BK$4-$B36+1)</f>
        <v/>
      </c>
      <c r="BL36" s="56">
        <f>$C36*INDEX(Curves!$M$8:$M$68,BL$4-$B36+1)</f>
        <v/>
      </c>
    </row>
    <row r="37">
      <c r="A37" s="55" t="inlineStr">
        <is>
          <t>Cohort month 28</t>
        </is>
      </c>
      <c r="B37" s="55" t="n">
        <v>28</v>
      </c>
      <c r="C37" s="46">
        <f>INDEX(Ops!$E$25:$BL$25,1,$B37)</f>
        <v/>
      </c>
      <c r="AG37" s="56">
        <f>$C37*INDEX(Curves!$M$8:$M$68,AG$4-$B37+1)</f>
        <v/>
      </c>
      <c r="AH37" s="56">
        <f>$C37*INDEX(Curves!$M$8:$M$68,AH$4-$B37+1)</f>
        <v/>
      </c>
      <c r="AI37" s="56">
        <f>$C37*INDEX(Curves!$M$8:$M$68,AI$4-$B37+1)</f>
        <v/>
      </c>
      <c r="AJ37" s="56">
        <f>$C37*INDEX(Curves!$M$8:$M$68,AJ$4-$B37+1)</f>
        <v/>
      </c>
      <c r="AK37" s="56">
        <f>$C37*INDEX(Curves!$M$8:$M$68,AK$4-$B37+1)</f>
        <v/>
      </c>
      <c r="AL37" s="56">
        <f>$C37*INDEX(Curves!$M$8:$M$68,AL$4-$B37+1)</f>
        <v/>
      </c>
      <c r="AM37" s="56">
        <f>$C37*INDEX(Curves!$M$8:$M$68,AM$4-$B37+1)</f>
        <v/>
      </c>
      <c r="AN37" s="56">
        <f>$C37*INDEX(Curves!$M$8:$M$68,AN$4-$B37+1)</f>
        <v/>
      </c>
      <c r="AO37" s="56">
        <f>$C37*INDEX(Curves!$M$8:$M$68,AO$4-$B37+1)</f>
        <v/>
      </c>
      <c r="AP37" s="56">
        <f>$C37*INDEX(Curves!$M$8:$M$68,AP$4-$B37+1)</f>
        <v/>
      </c>
      <c r="AQ37" s="56">
        <f>$C37*INDEX(Curves!$M$8:$M$68,AQ$4-$B37+1)</f>
        <v/>
      </c>
      <c r="AR37" s="56">
        <f>$C37*INDEX(Curves!$M$8:$M$68,AR$4-$B37+1)</f>
        <v/>
      </c>
      <c r="AS37" s="56">
        <f>$C37*INDEX(Curves!$M$8:$M$68,AS$4-$B37+1)</f>
        <v/>
      </c>
      <c r="AT37" s="56">
        <f>$C37*INDEX(Curves!$M$8:$M$68,AT$4-$B37+1)</f>
        <v/>
      </c>
      <c r="AU37" s="56">
        <f>$C37*INDEX(Curves!$M$8:$M$68,AU$4-$B37+1)</f>
        <v/>
      </c>
      <c r="AV37" s="56">
        <f>$C37*INDEX(Curves!$M$8:$M$68,AV$4-$B37+1)</f>
        <v/>
      </c>
      <c r="AW37" s="56">
        <f>$C37*INDEX(Curves!$M$8:$M$68,AW$4-$B37+1)</f>
        <v/>
      </c>
      <c r="AX37" s="56">
        <f>$C37*INDEX(Curves!$M$8:$M$68,AX$4-$B37+1)</f>
        <v/>
      </c>
      <c r="AY37" s="56">
        <f>$C37*INDEX(Curves!$M$8:$M$68,AY$4-$B37+1)</f>
        <v/>
      </c>
      <c r="AZ37" s="56">
        <f>$C37*INDEX(Curves!$M$8:$M$68,AZ$4-$B37+1)</f>
        <v/>
      </c>
      <c r="BA37" s="56">
        <f>$C37*INDEX(Curves!$M$8:$M$68,BA$4-$B37+1)</f>
        <v/>
      </c>
      <c r="BB37" s="56">
        <f>$C37*INDEX(Curves!$M$8:$M$68,BB$4-$B37+1)</f>
        <v/>
      </c>
      <c r="BC37" s="56">
        <f>$C37*INDEX(Curves!$M$8:$M$68,BC$4-$B37+1)</f>
        <v/>
      </c>
      <c r="BD37" s="56">
        <f>$C37*INDEX(Curves!$M$8:$M$68,BD$4-$B37+1)</f>
        <v/>
      </c>
      <c r="BE37" s="56">
        <f>$C37*INDEX(Curves!$M$8:$M$68,BE$4-$B37+1)</f>
        <v/>
      </c>
      <c r="BF37" s="56">
        <f>$C37*INDEX(Curves!$M$8:$M$68,BF$4-$B37+1)</f>
        <v/>
      </c>
      <c r="BG37" s="56">
        <f>$C37*INDEX(Curves!$M$8:$M$68,BG$4-$B37+1)</f>
        <v/>
      </c>
      <c r="BH37" s="56">
        <f>$C37*INDEX(Curves!$M$8:$M$68,BH$4-$B37+1)</f>
        <v/>
      </c>
      <c r="BI37" s="56">
        <f>$C37*INDEX(Curves!$M$8:$M$68,BI$4-$B37+1)</f>
        <v/>
      </c>
      <c r="BJ37" s="56">
        <f>$C37*INDEX(Curves!$M$8:$M$68,BJ$4-$B37+1)</f>
        <v/>
      </c>
      <c r="BK37" s="56">
        <f>$C37*INDEX(Curves!$M$8:$M$68,BK$4-$B37+1)</f>
        <v/>
      </c>
      <c r="BL37" s="56">
        <f>$C37*INDEX(Curves!$M$8:$M$68,BL$4-$B37+1)</f>
        <v/>
      </c>
    </row>
    <row r="38">
      <c r="A38" s="55" t="inlineStr">
        <is>
          <t>Cohort month 29</t>
        </is>
      </c>
      <c r="B38" s="55" t="n">
        <v>29</v>
      </c>
      <c r="C38" s="46">
        <f>INDEX(Ops!$E$25:$BL$25,1,$B38)</f>
        <v/>
      </c>
      <c r="AH38" s="56">
        <f>$C38*INDEX(Curves!$M$8:$M$68,AH$4-$B38+1)</f>
        <v/>
      </c>
      <c r="AI38" s="56">
        <f>$C38*INDEX(Curves!$M$8:$M$68,AI$4-$B38+1)</f>
        <v/>
      </c>
      <c r="AJ38" s="56">
        <f>$C38*INDEX(Curves!$M$8:$M$68,AJ$4-$B38+1)</f>
        <v/>
      </c>
      <c r="AK38" s="56">
        <f>$C38*INDEX(Curves!$M$8:$M$68,AK$4-$B38+1)</f>
        <v/>
      </c>
      <c r="AL38" s="56">
        <f>$C38*INDEX(Curves!$M$8:$M$68,AL$4-$B38+1)</f>
        <v/>
      </c>
      <c r="AM38" s="56">
        <f>$C38*INDEX(Curves!$M$8:$M$68,AM$4-$B38+1)</f>
        <v/>
      </c>
      <c r="AN38" s="56">
        <f>$C38*INDEX(Curves!$M$8:$M$68,AN$4-$B38+1)</f>
        <v/>
      </c>
      <c r="AO38" s="56">
        <f>$C38*INDEX(Curves!$M$8:$M$68,AO$4-$B38+1)</f>
        <v/>
      </c>
      <c r="AP38" s="56">
        <f>$C38*INDEX(Curves!$M$8:$M$68,AP$4-$B38+1)</f>
        <v/>
      </c>
      <c r="AQ38" s="56">
        <f>$C38*INDEX(Curves!$M$8:$M$68,AQ$4-$B38+1)</f>
        <v/>
      </c>
      <c r="AR38" s="56">
        <f>$C38*INDEX(Curves!$M$8:$M$68,AR$4-$B38+1)</f>
        <v/>
      </c>
      <c r="AS38" s="56">
        <f>$C38*INDEX(Curves!$M$8:$M$68,AS$4-$B38+1)</f>
        <v/>
      </c>
      <c r="AT38" s="56">
        <f>$C38*INDEX(Curves!$M$8:$M$68,AT$4-$B38+1)</f>
        <v/>
      </c>
      <c r="AU38" s="56">
        <f>$C38*INDEX(Curves!$M$8:$M$68,AU$4-$B38+1)</f>
        <v/>
      </c>
      <c r="AV38" s="56">
        <f>$C38*INDEX(Curves!$M$8:$M$68,AV$4-$B38+1)</f>
        <v/>
      </c>
      <c r="AW38" s="56">
        <f>$C38*INDEX(Curves!$M$8:$M$68,AW$4-$B38+1)</f>
        <v/>
      </c>
      <c r="AX38" s="56">
        <f>$C38*INDEX(Curves!$M$8:$M$68,AX$4-$B38+1)</f>
        <v/>
      </c>
      <c r="AY38" s="56">
        <f>$C38*INDEX(Curves!$M$8:$M$68,AY$4-$B38+1)</f>
        <v/>
      </c>
      <c r="AZ38" s="56">
        <f>$C38*INDEX(Curves!$M$8:$M$68,AZ$4-$B38+1)</f>
        <v/>
      </c>
      <c r="BA38" s="56">
        <f>$C38*INDEX(Curves!$M$8:$M$68,BA$4-$B38+1)</f>
        <v/>
      </c>
      <c r="BB38" s="56">
        <f>$C38*INDEX(Curves!$M$8:$M$68,BB$4-$B38+1)</f>
        <v/>
      </c>
      <c r="BC38" s="56">
        <f>$C38*INDEX(Curves!$M$8:$M$68,BC$4-$B38+1)</f>
        <v/>
      </c>
      <c r="BD38" s="56">
        <f>$C38*INDEX(Curves!$M$8:$M$68,BD$4-$B38+1)</f>
        <v/>
      </c>
      <c r="BE38" s="56">
        <f>$C38*INDEX(Curves!$M$8:$M$68,BE$4-$B38+1)</f>
        <v/>
      </c>
      <c r="BF38" s="56">
        <f>$C38*INDEX(Curves!$M$8:$M$68,BF$4-$B38+1)</f>
        <v/>
      </c>
      <c r="BG38" s="56">
        <f>$C38*INDEX(Curves!$M$8:$M$68,BG$4-$B38+1)</f>
        <v/>
      </c>
      <c r="BH38" s="56">
        <f>$C38*INDEX(Curves!$M$8:$M$68,BH$4-$B38+1)</f>
        <v/>
      </c>
      <c r="BI38" s="56">
        <f>$C38*INDEX(Curves!$M$8:$M$68,BI$4-$B38+1)</f>
        <v/>
      </c>
      <c r="BJ38" s="56">
        <f>$C38*INDEX(Curves!$M$8:$M$68,BJ$4-$B38+1)</f>
        <v/>
      </c>
      <c r="BK38" s="56">
        <f>$C38*INDEX(Curves!$M$8:$M$68,BK$4-$B38+1)</f>
        <v/>
      </c>
      <c r="BL38" s="56">
        <f>$C38*INDEX(Curves!$M$8:$M$68,BL$4-$B38+1)</f>
        <v/>
      </c>
    </row>
    <row r="39">
      <c r="A39" s="55" t="inlineStr">
        <is>
          <t>Cohort month 30</t>
        </is>
      </c>
      <c r="B39" s="55" t="n">
        <v>30</v>
      </c>
      <c r="C39" s="46">
        <f>INDEX(Ops!$E$25:$BL$25,1,$B39)</f>
        <v/>
      </c>
      <c r="AI39" s="56">
        <f>$C39*INDEX(Curves!$M$8:$M$68,AI$4-$B39+1)</f>
        <v/>
      </c>
      <c r="AJ39" s="56">
        <f>$C39*INDEX(Curves!$M$8:$M$68,AJ$4-$B39+1)</f>
        <v/>
      </c>
      <c r="AK39" s="56">
        <f>$C39*INDEX(Curves!$M$8:$M$68,AK$4-$B39+1)</f>
        <v/>
      </c>
      <c r="AL39" s="56">
        <f>$C39*INDEX(Curves!$M$8:$M$68,AL$4-$B39+1)</f>
        <v/>
      </c>
      <c r="AM39" s="56">
        <f>$C39*INDEX(Curves!$M$8:$M$68,AM$4-$B39+1)</f>
        <v/>
      </c>
      <c r="AN39" s="56">
        <f>$C39*INDEX(Curves!$M$8:$M$68,AN$4-$B39+1)</f>
        <v/>
      </c>
      <c r="AO39" s="56">
        <f>$C39*INDEX(Curves!$M$8:$M$68,AO$4-$B39+1)</f>
        <v/>
      </c>
      <c r="AP39" s="56">
        <f>$C39*INDEX(Curves!$M$8:$M$68,AP$4-$B39+1)</f>
        <v/>
      </c>
      <c r="AQ39" s="56">
        <f>$C39*INDEX(Curves!$M$8:$M$68,AQ$4-$B39+1)</f>
        <v/>
      </c>
      <c r="AR39" s="56">
        <f>$C39*INDEX(Curves!$M$8:$M$68,AR$4-$B39+1)</f>
        <v/>
      </c>
      <c r="AS39" s="56">
        <f>$C39*INDEX(Curves!$M$8:$M$68,AS$4-$B39+1)</f>
        <v/>
      </c>
      <c r="AT39" s="56">
        <f>$C39*INDEX(Curves!$M$8:$M$68,AT$4-$B39+1)</f>
        <v/>
      </c>
      <c r="AU39" s="56">
        <f>$C39*INDEX(Curves!$M$8:$M$68,AU$4-$B39+1)</f>
        <v/>
      </c>
      <c r="AV39" s="56">
        <f>$C39*INDEX(Curves!$M$8:$M$68,AV$4-$B39+1)</f>
        <v/>
      </c>
      <c r="AW39" s="56">
        <f>$C39*INDEX(Curves!$M$8:$M$68,AW$4-$B39+1)</f>
        <v/>
      </c>
      <c r="AX39" s="56">
        <f>$C39*INDEX(Curves!$M$8:$M$68,AX$4-$B39+1)</f>
        <v/>
      </c>
      <c r="AY39" s="56">
        <f>$C39*INDEX(Curves!$M$8:$M$68,AY$4-$B39+1)</f>
        <v/>
      </c>
      <c r="AZ39" s="56">
        <f>$C39*INDEX(Curves!$M$8:$M$68,AZ$4-$B39+1)</f>
        <v/>
      </c>
      <c r="BA39" s="56">
        <f>$C39*INDEX(Curves!$M$8:$M$68,BA$4-$B39+1)</f>
        <v/>
      </c>
      <c r="BB39" s="56">
        <f>$C39*INDEX(Curves!$M$8:$M$68,BB$4-$B39+1)</f>
        <v/>
      </c>
      <c r="BC39" s="56">
        <f>$C39*INDEX(Curves!$M$8:$M$68,BC$4-$B39+1)</f>
        <v/>
      </c>
      <c r="BD39" s="56">
        <f>$C39*INDEX(Curves!$M$8:$M$68,BD$4-$B39+1)</f>
        <v/>
      </c>
      <c r="BE39" s="56">
        <f>$C39*INDEX(Curves!$M$8:$M$68,BE$4-$B39+1)</f>
        <v/>
      </c>
      <c r="BF39" s="56">
        <f>$C39*INDEX(Curves!$M$8:$M$68,BF$4-$B39+1)</f>
        <v/>
      </c>
      <c r="BG39" s="56">
        <f>$C39*INDEX(Curves!$M$8:$M$68,BG$4-$B39+1)</f>
        <v/>
      </c>
      <c r="BH39" s="56">
        <f>$C39*INDEX(Curves!$M$8:$M$68,BH$4-$B39+1)</f>
        <v/>
      </c>
      <c r="BI39" s="56">
        <f>$C39*INDEX(Curves!$M$8:$M$68,BI$4-$B39+1)</f>
        <v/>
      </c>
      <c r="BJ39" s="56">
        <f>$C39*INDEX(Curves!$M$8:$M$68,BJ$4-$B39+1)</f>
        <v/>
      </c>
      <c r="BK39" s="56">
        <f>$C39*INDEX(Curves!$M$8:$M$68,BK$4-$B39+1)</f>
        <v/>
      </c>
      <c r="BL39" s="56">
        <f>$C39*INDEX(Curves!$M$8:$M$68,BL$4-$B39+1)</f>
        <v/>
      </c>
    </row>
    <row r="40">
      <c r="A40" s="55" t="inlineStr">
        <is>
          <t>Cohort month 31</t>
        </is>
      </c>
      <c r="B40" s="55" t="n">
        <v>31</v>
      </c>
      <c r="C40" s="46">
        <f>INDEX(Ops!$E$25:$BL$25,1,$B40)</f>
        <v/>
      </c>
      <c r="AJ40" s="56">
        <f>$C40*INDEX(Curves!$M$8:$M$68,AJ$4-$B40+1)</f>
        <v/>
      </c>
      <c r="AK40" s="56">
        <f>$C40*INDEX(Curves!$M$8:$M$68,AK$4-$B40+1)</f>
        <v/>
      </c>
      <c r="AL40" s="56">
        <f>$C40*INDEX(Curves!$M$8:$M$68,AL$4-$B40+1)</f>
        <v/>
      </c>
      <c r="AM40" s="56">
        <f>$C40*INDEX(Curves!$M$8:$M$68,AM$4-$B40+1)</f>
        <v/>
      </c>
      <c r="AN40" s="56">
        <f>$C40*INDEX(Curves!$M$8:$M$68,AN$4-$B40+1)</f>
        <v/>
      </c>
      <c r="AO40" s="56">
        <f>$C40*INDEX(Curves!$M$8:$M$68,AO$4-$B40+1)</f>
        <v/>
      </c>
      <c r="AP40" s="56">
        <f>$C40*INDEX(Curves!$M$8:$M$68,AP$4-$B40+1)</f>
        <v/>
      </c>
      <c r="AQ40" s="56">
        <f>$C40*INDEX(Curves!$M$8:$M$68,AQ$4-$B40+1)</f>
        <v/>
      </c>
      <c r="AR40" s="56">
        <f>$C40*INDEX(Curves!$M$8:$M$68,AR$4-$B40+1)</f>
        <v/>
      </c>
      <c r="AS40" s="56">
        <f>$C40*INDEX(Curves!$M$8:$M$68,AS$4-$B40+1)</f>
        <v/>
      </c>
      <c r="AT40" s="56">
        <f>$C40*INDEX(Curves!$M$8:$M$68,AT$4-$B40+1)</f>
        <v/>
      </c>
      <c r="AU40" s="56">
        <f>$C40*INDEX(Curves!$M$8:$M$68,AU$4-$B40+1)</f>
        <v/>
      </c>
      <c r="AV40" s="56">
        <f>$C40*INDEX(Curves!$M$8:$M$68,AV$4-$B40+1)</f>
        <v/>
      </c>
      <c r="AW40" s="56">
        <f>$C40*INDEX(Curves!$M$8:$M$68,AW$4-$B40+1)</f>
        <v/>
      </c>
      <c r="AX40" s="56">
        <f>$C40*INDEX(Curves!$M$8:$M$68,AX$4-$B40+1)</f>
        <v/>
      </c>
      <c r="AY40" s="56">
        <f>$C40*INDEX(Curves!$M$8:$M$68,AY$4-$B40+1)</f>
        <v/>
      </c>
      <c r="AZ40" s="56">
        <f>$C40*INDEX(Curves!$M$8:$M$68,AZ$4-$B40+1)</f>
        <v/>
      </c>
      <c r="BA40" s="56">
        <f>$C40*INDEX(Curves!$M$8:$M$68,BA$4-$B40+1)</f>
        <v/>
      </c>
      <c r="BB40" s="56">
        <f>$C40*INDEX(Curves!$M$8:$M$68,BB$4-$B40+1)</f>
        <v/>
      </c>
      <c r="BC40" s="56">
        <f>$C40*INDEX(Curves!$M$8:$M$68,BC$4-$B40+1)</f>
        <v/>
      </c>
      <c r="BD40" s="56">
        <f>$C40*INDEX(Curves!$M$8:$M$68,BD$4-$B40+1)</f>
        <v/>
      </c>
      <c r="BE40" s="56">
        <f>$C40*INDEX(Curves!$M$8:$M$68,BE$4-$B40+1)</f>
        <v/>
      </c>
      <c r="BF40" s="56">
        <f>$C40*INDEX(Curves!$M$8:$M$68,BF$4-$B40+1)</f>
        <v/>
      </c>
      <c r="BG40" s="56">
        <f>$C40*INDEX(Curves!$M$8:$M$68,BG$4-$B40+1)</f>
        <v/>
      </c>
      <c r="BH40" s="56">
        <f>$C40*INDEX(Curves!$M$8:$M$68,BH$4-$B40+1)</f>
        <v/>
      </c>
      <c r="BI40" s="56">
        <f>$C40*INDEX(Curves!$M$8:$M$68,BI$4-$B40+1)</f>
        <v/>
      </c>
      <c r="BJ40" s="56">
        <f>$C40*INDEX(Curves!$M$8:$M$68,BJ$4-$B40+1)</f>
        <v/>
      </c>
      <c r="BK40" s="56">
        <f>$C40*INDEX(Curves!$M$8:$M$68,BK$4-$B40+1)</f>
        <v/>
      </c>
      <c r="BL40" s="56">
        <f>$C40*INDEX(Curves!$M$8:$M$68,BL$4-$B40+1)</f>
        <v/>
      </c>
    </row>
    <row r="41">
      <c r="A41" s="55" t="inlineStr">
        <is>
          <t>Cohort month 32</t>
        </is>
      </c>
      <c r="B41" s="55" t="n">
        <v>32</v>
      </c>
      <c r="C41" s="46">
        <f>INDEX(Ops!$E$25:$BL$25,1,$B41)</f>
        <v/>
      </c>
      <c r="AK41" s="56">
        <f>$C41*INDEX(Curves!$M$8:$M$68,AK$4-$B41+1)</f>
        <v/>
      </c>
      <c r="AL41" s="56">
        <f>$C41*INDEX(Curves!$M$8:$M$68,AL$4-$B41+1)</f>
        <v/>
      </c>
      <c r="AM41" s="56">
        <f>$C41*INDEX(Curves!$M$8:$M$68,AM$4-$B41+1)</f>
        <v/>
      </c>
      <c r="AN41" s="56">
        <f>$C41*INDEX(Curves!$M$8:$M$68,AN$4-$B41+1)</f>
        <v/>
      </c>
      <c r="AO41" s="56">
        <f>$C41*INDEX(Curves!$M$8:$M$68,AO$4-$B41+1)</f>
        <v/>
      </c>
      <c r="AP41" s="56">
        <f>$C41*INDEX(Curves!$M$8:$M$68,AP$4-$B41+1)</f>
        <v/>
      </c>
      <c r="AQ41" s="56">
        <f>$C41*INDEX(Curves!$M$8:$M$68,AQ$4-$B41+1)</f>
        <v/>
      </c>
      <c r="AR41" s="56">
        <f>$C41*INDEX(Curves!$M$8:$M$68,AR$4-$B41+1)</f>
        <v/>
      </c>
      <c r="AS41" s="56">
        <f>$C41*INDEX(Curves!$M$8:$M$68,AS$4-$B41+1)</f>
        <v/>
      </c>
      <c r="AT41" s="56">
        <f>$C41*INDEX(Curves!$M$8:$M$68,AT$4-$B41+1)</f>
        <v/>
      </c>
      <c r="AU41" s="56">
        <f>$C41*INDEX(Curves!$M$8:$M$68,AU$4-$B41+1)</f>
        <v/>
      </c>
      <c r="AV41" s="56">
        <f>$C41*INDEX(Curves!$M$8:$M$68,AV$4-$B41+1)</f>
        <v/>
      </c>
      <c r="AW41" s="56">
        <f>$C41*INDEX(Curves!$M$8:$M$68,AW$4-$B41+1)</f>
        <v/>
      </c>
      <c r="AX41" s="56">
        <f>$C41*INDEX(Curves!$M$8:$M$68,AX$4-$B41+1)</f>
        <v/>
      </c>
      <c r="AY41" s="56">
        <f>$C41*INDEX(Curves!$M$8:$M$68,AY$4-$B41+1)</f>
        <v/>
      </c>
      <c r="AZ41" s="56">
        <f>$C41*INDEX(Curves!$M$8:$M$68,AZ$4-$B41+1)</f>
        <v/>
      </c>
      <c r="BA41" s="56">
        <f>$C41*INDEX(Curves!$M$8:$M$68,BA$4-$B41+1)</f>
        <v/>
      </c>
      <c r="BB41" s="56">
        <f>$C41*INDEX(Curves!$M$8:$M$68,BB$4-$B41+1)</f>
        <v/>
      </c>
      <c r="BC41" s="56">
        <f>$C41*INDEX(Curves!$M$8:$M$68,BC$4-$B41+1)</f>
        <v/>
      </c>
      <c r="BD41" s="56">
        <f>$C41*INDEX(Curves!$M$8:$M$68,BD$4-$B41+1)</f>
        <v/>
      </c>
      <c r="BE41" s="56">
        <f>$C41*INDEX(Curves!$M$8:$M$68,BE$4-$B41+1)</f>
        <v/>
      </c>
      <c r="BF41" s="56">
        <f>$C41*INDEX(Curves!$M$8:$M$68,BF$4-$B41+1)</f>
        <v/>
      </c>
      <c r="BG41" s="56">
        <f>$C41*INDEX(Curves!$M$8:$M$68,BG$4-$B41+1)</f>
        <v/>
      </c>
      <c r="BH41" s="56">
        <f>$C41*INDEX(Curves!$M$8:$M$68,BH$4-$B41+1)</f>
        <v/>
      </c>
      <c r="BI41" s="56">
        <f>$C41*INDEX(Curves!$M$8:$M$68,BI$4-$B41+1)</f>
        <v/>
      </c>
      <c r="BJ41" s="56">
        <f>$C41*INDEX(Curves!$M$8:$M$68,BJ$4-$B41+1)</f>
        <v/>
      </c>
      <c r="BK41" s="56">
        <f>$C41*INDEX(Curves!$M$8:$M$68,BK$4-$B41+1)</f>
        <v/>
      </c>
      <c r="BL41" s="56">
        <f>$C41*INDEX(Curves!$M$8:$M$68,BL$4-$B41+1)</f>
        <v/>
      </c>
    </row>
    <row r="42">
      <c r="A42" s="55" t="inlineStr">
        <is>
          <t>Cohort month 33</t>
        </is>
      </c>
      <c r="B42" s="55" t="n">
        <v>33</v>
      </c>
      <c r="C42" s="46">
        <f>INDEX(Ops!$E$25:$BL$25,1,$B42)</f>
        <v/>
      </c>
      <c r="AL42" s="56">
        <f>$C42*INDEX(Curves!$M$8:$M$68,AL$4-$B42+1)</f>
        <v/>
      </c>
      <c r="AM42" s="56">
        <f>$C42*INDEX(Curves!$M$8:$M$68,AM$4-$B42+1)</f>
        <v/>
      </c>
      <c r="AN42" s="56">
        <f>$C42*INDEX(Curves!$M$8:$M$68,AN$4-$B42+1)</f>
        <v/>
      </c>
      <c r="AO42" s="56">
        <f>$C42*INDEX(Curves!$M$8:$M$68,AO$4-$B42+1)</f>
        <v/>
      </c>
      <c r="AP42" s="56">
        <f>$C42*INDEX(Curves!$M$8:$M$68,AP$4-$B42+1)</f>
        <v/>
      </c>
      <c r="AQ42" s="56">
        <f>$C42*INDEX(Curves!$M$8:$M$68,AQ$4-$B42+1)</f>
        <v/>
      </c>
      <c r="AR42" s="56">
        <f>$C42*INDEX(Curves!$M$8:$M$68,AR$4-$B42+1)</f>
        <v/>
      </c>
      <c r="AS42" s="56">
        <f>$C42*INDEX(Curves!$M$8:$M$68,AS$4-$B42+1)</f>
        <v/>
      </c>
      <c r="AT42" s="56">
        <f>$C42*INDEX(Curves!$M$8:$M$68,AT$4-$B42+1)</f>
        <v/>
      </c>
      <c r="AU42" s="56">
        <f>$C42*INDEX(Curves!$M$8:$M$68,AU$4-$B42+1)</f>
        <v/>
      </c>
      <c r="AV42" s="56">
        <f>$C42*INDEX(Curves!$M$8:$M$68,AV$4-$B42+1)</f>
        <v/>
      </c>
      <c r="AW42" s="56">
        <f>$C42*INDEX(Curves!$M$8:$M$68,AW$4-$B42+1)</f>
        <v/>
      </c>
      <c r="AX42" s="56">
        <f>$C42*INDEX(Curves!$M$8:$M$68,AX$4-$B42+1)</f>
        <v/>
      </c>
      <c r="AY42" s="56">
        <f>$C42*INDEX(Curves!$M$8:$M$68,AY$4-$B42+1)</f>
        <v/>
      </c>
      <c r="AZ42" s="56">
        <f>$C42*INDEX(Curves!$M$8:$M$68,AZ$4-$B42+1)</f>
        <v/>
      </c>
      <c r="BA42" s="56">
        <f>$C42*INDEX(Curves!$M$8:$M$68,BA$4-$B42+1)</f>
        <v/>
      </c>
      <c r="BB42" s="56">
        <f>$C42*INDEX(Curves!$M$8:$M$68,BB$4-$B42+1)</f>
        <v/>
      </c>
      <c r="BC42" s="56">
        <f>$C42*INDEX(Curves!$M$8:$M$68,BC$4-$B42+1)</f>
        <v/>
      </c>
      <c r="BD42" s="56">
        <f>$C42*INDEX(Curves!$M$8:$M$68,BD$4-$B42+1)</f>
        <v/>
      </c>
      <c r="BE42" s="56">
        <f>$C42*INDEX(Curves!$M$8:$M$68,BE$4-$B42+1)</f>
        <v/>
      </c>
      <c r="BF42" s="56">
        <f>$C42*INDEX(Curves!$M$8:$M$68,BF$4-$B42+1)</f>
        <v/>
      </c>
      <c r="BG42" s="56">
        <f>$C42*INDEX(Curves!$M$8:$M$68,BG$4-$B42+1)</f>
        <v/>
      </c>
      <c r="BH42" s="56">
        <f>$C42*INDEX(Curves!$M$8:$M$68,BH$4-$B42+1)</f>
        <v/>
      </c>
      <c r="BI42" s="56">
        <f>$C42*INDEX(Curves!$M$8:$M$68,BI$4-$B42+1)</f>
        <v/>
      </c>
      <c r="BJ42" s="56">
        <f>$C42*INDEX(Curves!$M$8:$M$68,BJ$4-$B42+1)</f>
        <v/>
      </c>
      <c r="BK42" s="56">
        <f>$C42*INDEX(Curves!$M$8:$M$68,BK$4-$B42+1)</f>
        <v/>
      </c>
      <c r="BL42" s="56">
        <f>$C42*INDEX(Curves!$M$8:$M$68,BL$4-$B42+1)</f>
        <v/>
      </c>
    </row>
    <row r="43">
      <c r="A43" s="55" t="inlineStr">
        <is>
          <t>Cohort month 34</t>
        </is>
      </c>
      <c r="B43" s="55" t="n">
        <v>34</v>
      </c>
      <c r="C43" s="46">
        <f>INDEX(Ops!$E$25:$BL$25,1,$B43)</f>
        <v/>
      </c>
      <c r="AM43" s="56">
        <f>$C43*INDEX(Curves!$M$8:$M$68,AM$4-$B43+1)</f>
        <v/>
      </c>
      <c r="AN43" s="56">
        <f>$C43*INDEX(Curves!$M$8:$M$68,AN$4-$B43+1)</f>
        <v/>
      </c>
      <c r="AO43" s="56">
        <f>$C43*INDEX(Curves!$M$8:$M$68,AO$4-$B43+1)</f>
        <v/>
      </c>
      <c r="AP43" s="56">
        <f>$C43*INDEX(Curves!$M$8:$M$68,AP$4-$B43+1)</f>
        <v/>
      </c>
      <c r="AQ43" s="56">
        <f>$C43*INDEX(Curves!$M$8:$M$68,AQ$4-$B43+1)</f>
        <v/>
      </c>
      <c r="AR43" s="56">
        <f>$C43*INDEX(Curves!$M$8:$M$68,AR$4-$B43+1)</f>
        <v/>
      </c>
      <c r="AS43" s="56">
        <f>$C43*INDEX(Curves!$M$8:$M$68,AS$4-$B43+1)</f>
        <v/>
      </c>
      <c r="AT43" s="56">
        <f>$C43*INDEX(Curves!$M$8:$M$68,AT$4-$B43+1)</f>
        <v/>
      </c>
      <c r="AU43" s="56">
        <f>$C43*INDEX(Curves!$M$8:$M$68,AU$4-$B43+1)</f>
        <v/>
      </c>
      <c r="AV43" s="56">
        <f>$C43*INDEX(Curves!$M$8:$M$68,AV$4-$B43+1)</f>
        <v/>
      </c>
      <c r="AW43" s="56">
        <f>$C43*INDEX(Curves!$M$8:$M$68,AW$4-$B43+1)</f>
        <v/>
      </c>
      <c r="AX43" s="56">
        <f>$C43*INDEX(Curves!$M$8:$M$68,AX$4-$B43+1)</f>
        <v/>
      </c>
      <c r="AY43" s="56">
        <f>$C43*INDEX(Curves!$M$8:$M$68,AY$4-$B43+1)</f>
        <v/>
      </c>
      <c r="AZ43" s="56">
        <f>$C43*INDEX(Curves!$M$8:$M$68,AZ$4-$B43+1)</f>
        <v/>
      </c>
      <c r="BA43" s="56">
        <f>$C43*INDEX(Curves!$M$8:$M$68,BA$4-$B43+1)</f>
        <v/>
      </c>
      <c r="BB43" s="56">
        <f>$C43*INDEX(Curves!$M$8:$M$68,BB$4-$B43+1)</f>
        <v/>
      </c>
      <c r="BC43" s="56">
        <f>$C43*INDEX(Curves!$M$8:$M$68,BC$4-$B43+1)</f>
        <v/>
      </c>
      <c r="BD43" s="56">
        <f>$C43*INDEX(Curves!$M$8:$M$68,BD$4-$B43+1)</f>
        <v/>
      </c>
      <c r="BE43" s="56">
        <f>$C43*INDEX(Curves!$M$8:$M$68,BE$4-$B43+1)</f>
        <v/>
      </c>
      <c r="BF43" s="56">
        <f>$C43*INDEX(Curves!$M$8:$M$68,BF$4-$B43+1)</f>
        <v/>
      </c>
      <c r="BG43" s="56">
        <f>$C43*INDEX(Curves!$M$8:$M$68,BG$4-$B43+1)</f>
        <v/>
      </c>
      <c r="BH43" s="56">
        <f>$C43*INDEX(Curves!$M$8:$M$68,BH$4-$B43+1)</f>
        <v/>
      </c>
      <c r="BI43" s="56">
        <f>$C43*INDEX(Curves!$M$8:$M$68,BI$4-$B43+1)</f>
        <v/>
      </c>
      <c r="BJ43" s="56">
        <f>$C43*INDEX(Curves!$M$8:$M$68,BJ$4-$B43+1)</f>
        <v/>
      </c>
      <c r="BK43" s="56">
        <f>$C43*INDEX(Curves!$M$8:$M$68,BK$4-$B43+1)</f>
        <v/>
      </c>
      <c r="BL43" s="56">
        <f>$C43*INDEX(Curves!$M$8:$M$68,BL$4-$B43+1)</f>
        <v/>
      </c>
    </row>
    <row r="44">
      <c r="A44" s="55" t="inlineStr">
        <is>
          <t>Cohort month 35</t>
        </is>
      </c>
      <c r="B44" s="55" t="n">
        <v>35</v>
      </c>
      <c r="C44" s="46">
        <f>INDEX(Ops!$E$25:$BL$25,1,$B44)</f>
        <v/>
      </c>
      <c r="AN44" s="56">
        <f>$C44*INDEX(Curves!$M$8:$M$68,AN$4-$B44+1)</f>
        <v/>
      </c>
      <c r="AO44" s="56">
        <f>$C44*INDEX(Curves!$M$8:$M$68,AO$4-$B44+1)</f>
        <v/>
      </c>
      <c r="AP44" s="56">
        <f>$C44*INDEX(Curves!$M$8:$M$68,AP$4-$B44+1)</f>
        <v/>
      </c>
      <c r="AQ44" s="56">
        <f>$C44*INDEX(Curves!$M$8:$M$68,AQ$4-$B44+1)</f>
        <v/>
      </c>
      <c r="AR44" s="56">
        <f>$C44*INDEX(Curves!$M$8:$M$68,AR$4-$B44+1)</f>
        <v/>
      </c>
      <c r="AS44" s="56">
        <f>$C44*INDEX(Curves!$M$8:$M$68,AS$4-$B44+1)</f>
        <v/>
      </c>
      <c r="AT44" s="56">
        <f>$C44*INDEX(Curves!$M$8:$M$68,AT$4-$B44+1)</f>
        <v/>
      </c>
      <c r="AU44" s="56">
        <f>$C44*INDEX(Curves!$M$8:$M$68,AU$4-$B44+1)</f>
        <v/>
      </c>
      <c r="AV44" s="56">
        <f>$C44*INDEX(Curves!$M$8:$M$68,AV$4-$B44+1)</f>
        <v/>
      </c>
      <c r="AW44" s="56">
        <f>$C44*INDEX(Curves!$M$8:$M$68,AW$4-$B44+1)</f>
        <v/>
      </c>
      <c r="AX44" s="56">
        <f>$C44*INDEX(Curves!$M$8:$M$68,AX$4-$B44+1)</f>
        <v/>
      </c>
      <c r="AY44" s="56">
        <f>$C44*INDEX(Curves!$M$8:$M$68,AY$4-$B44+1)</f>
        <v/>
      </c>
      <c r="AZ44" s="56">
        <f>$C44*INDEX(Curves!$M$8:$M$68,AZ$4-$B44+1)</f>
        <v/>
      </c>
      <c r="BA44" s="56">
        <f>$C44*INDEX(Curves!$M$8:$M$68,BA$4-$B44+1)</f>
        <v/>
      </c>
      <c r="BB44" s="56">
        <f>$C44*INDEX(Curves!$M$8:$M$68,BB$4-$B44+1)</f>
        <v/>
      </c>
      <c r="BC44" s="56">
        <f>$C44*INDEX(Curves!$M$8:$M$68,BC$4-$B44+1)</f>
        <v/>
      </c>
      <c r="BD44" s="56">
        <f>$C44*INDEX(Curves!$M$8:$M$68,BD$4-$B44+1)</f>
        <v/>
      </c>
      <c r="BE44" s="56">
        <f>$C44*INDEX(Curves!$M$8:$M$68,BE$4-$B44+1)</f>
        <v/>
      </c>
      <c r="BF44" s="56">
        <f>$C44*INDEX(Curves!$M$8:$M$68,BF$4-$B44+1)</f>
        <v/>
      </c>
      <c r="BG44" s="56">
        <f>$C44*INDEX(Curves!$M$8:$M$68,BG$4-$B44+1)</f>
        <v/>
      </c>
      <c r="BH44" s="56">
        <f>$C44*INDEX(Curves!$M$8:$M$68,BH$4-$B44+1)</f>
        <v/>
      </c>
      <c r="BI44" s="56">
        <f>$C44*INDEX(Curves!$M$8:$M$68,BI$4-$B44+1)</f>
        <v/>
      </c>
      <c r="BJ44" s="56">
        <f>$C44*INDEX(Curves!$M$8:$M$68,BJ$4-$B44+1)</f>
        <v/>
      </c>
      <c r="BK44" s="56">
        <f>$C44*INDEX(Curves!$M$8:$M$68,BK$4-$B44+1)</f>
        <v/>
      </c>
      <c r="BL44" s="56">
        <f>$C44*INDEX(Curves!$M$8:$M$68,BL$4-$B44+1)</f>
        <v/>
      </c>
    </row>
    <row r="45">
      <c r="A45" s="55" t="inlineStr">
        <is>
          <t>Cohort month 36</t>
        </is>
      </c>
      <c r="B45" s="55" t="n">
        <v>36</v>
      </c>
      <c r="C45" s="46">
        <f>INDEX(Ops!$E$25:$BL$25,1,$B45)</f>
        <v/>
      </c>
      <c r="AO45" s="56">
        <f>$C45*INDEX(Curves!$M$8:$M$68,AO$4-$B45+1)</f>
        <v/>
      </c>
      <c r="AP45" s="56">
        <f>$C45*INDEX(Curves!$M$8:$M$68,AP$4-$B45+1)</f>
        <v/>
      </c>
      <c r="AQ45" s="56">
        <f>$C45*INDEX(Curves!$M$8:$M$68,AQ$4-$B45+1)</f>
        <v/>
      </c>
      <c r="AR45" s="56">
        <f>$C45*INDEX(Curves!$M$8:$M$68,AR$4-$B45+1)</f>
        <v/>
      </c>
      <c r="AS45" s="56">
        <f>$C45*INDEX(Curves!$M$8:$M$68,AS$4-$B45+1)</f>
        <v/>
      </c>
      <c r="AT45" s="56">
        <f>$C45*INDEX(Curves!$M$8:$M$68,AT$4-$B45+1)</f>
        <v/>
      </c>
      <c r="AU45" s="56">
        <f>$C45*INDEX(Curves!$M$8:$M$68,AU$4-$B45+1)</f>
        <v/>
      </c>
      <c r="AV45" s="56">
        <f>$C45*INDEX(Curves!$M$8:$M$68,AV$4-$B45+1)</f>
        <v/>
      </c>
      <c r="AW45" s="56">
        <f>$C45*INDEX(Curves!$M$8:$M$68,AW$4-$B45+1)</f>
        <v/>
      </c>
      <c r="AX45" s="56">
        <f>$C45*INDEX(Curves!$M$8:$M$68,AX$4-$B45+1)</f>
        <v/>
      </c>
      <c r="AY45" s="56">
        <f>$C45*INDEX(Curves!$M$8:$M$68,AY$4-$B45+1)</f>
        <v/>
      </c>
      <c r="AZ45" s="56">
        <f>$C45*INDEX(Curves!$M$8:$M$68,AZ$4-$B45+1)</f>
        <v/>
      </c>
      <c r="BA45" s="56">
        <f>$C45*INDEX(Curves!$M$8:$M$68,BA$4-$B45+1)</f>
        <v/>
      </c>
      <c r="BB45" s="56">
        <f>$C45*INDEX(Curves!$M$8:$M$68,BB$4-$B45+1)</f>
        <v/>
      </c>
      <c r="BC45" s="56">
        <f>$C45*INDEX(Curves!$M$8:$M$68,BC$4-$B45+1)</f>
        <v/>
      </c>
      <c r="BD45" s="56">
        <f>$C45*INDEX(Curves!$M$8:$M$68,BD$4-$B45+1)</f>
        <v/>
      </c>
      <c r="BE45" s="56">
        <f>$C45*INDEX(Curves!$M$8:$M$68,BE$4-$B45+1)</f>
        <v/>
      </c>
      <c r="BF45" s="56">
        <f>$C45*INDEX(Curves!$M$8:$M$68,BF$4-$B45+1)</f>
        <v/>
      </c>
      <c r="BG45" s="56">
        <f>$C45*INDEX(Curves!$M$8:$M$68,BG$4-$B45+1)</f>
        <v/>
      </c>
      <c r="BH45" s="56">
        <f>$C45*INDEX(Curves!$M$8:$M$68,BH$4-$B45+1)</f>
        <v/>
      </c>
      <c r="BI45" s="56">
        <f>$C45*INDEX(Curves!$M$8:$M$68,BI$4-$B45+1)</f>
        <v/>
      </c>
      <c r="BJ45" s="56">
        <f>$C45*INDEX(Curves!$M$8:$M$68,BJ$4-$B45+1)</f>
        <v/>
      </c>
      <c r="BK45" s="56">
        <f>$C45*INDEX(Curves!$M$8:$M$68,BK$4-$B45+1)</f>
        <v/>
      </c>
      <c r="BL45" s="56">
        <f>$C45*INDEX(Curves!$M$8:$M$68,BL$4-$B45+1)</f>
        <v/>
      </c>
    </row>
    <row r="46">
      <c r="A46" s="55" t="inlineStr">
        <is>
          <t>Cohort month 37</t>
        </is>
      </c>
      <c r="B46" s="55" t="n">
        <v>37</v>
      </c>
      <c r="C46" s="46">
        <f>INDEX(Ops!$E$25:$BL$25,1,$B46)</f>
        <v/>
      </c>
      <c r="AP46" s="56">
        <f>$C46*INDEX(Curves!$M$8:$M$68,AP$4-$B46+1)</f>
        <v/>
      </c>
      <c r="AQ46" s="56">
        <f>$C46*INDEX(Curves!$M$8:$M$68,AQ$4-$B46+1)</f>
        <v/>
      </c>
      <c r="AR46" s="56">
        <f>$C46*INDEX(Curves!$M$8:$M$68,AR$4-$B46+1)</f>
        <v/>
      </c>
      <c r="AS46" s="56">
        <f>$C46*INDEX(Curves!$M$8:$M$68,AS$4-$B46+1)</f>
        <v/>
      </c>
      <c r="AT46" s="56">
        <f>$C46*INDEX(Curves!$M$8:$M$68,AT$4-$B46+1)</f>
        <v/>
      </c>
      <c r="AU46" s="56">
        <f>$C46*INDEX(Curves!$M$8:$M$68,AU$4-$B46+1)</f>
        <v/>
      </c>
      <c r="AV46" s="56">
        <f>$C46*INDEX(Curves!$M$8:$M$68,AV$4-$B46+1)</f>
        <v/>
      </c>
      <c r="AW46" s="56">
        <f>$C46*INDEX(Curves!$M$8:$M$68,AW$4-$B46+1)</f>
        <v/>
      </c>
      <c r="AX46" s="56">
        <f>$C46*INDEX(Curves!$M$8:$M$68,AX$4-$B46+1)</f>
        <v/>
      </c>
      <c r="AY46" s="56">
        <f>$C46*INDEX(Curves!$M$8:$M$68,AY$4-$B46+1)</f>
        <v/>
      </c>
      <c r="AZ46" s="56">
        <f>$C46*INDEX(Curves!$M$8:$M$68,AZ$4-$B46+1)</f>
        <v/>
      </c>
      <c r="BA46" s="56">
        <f>$C46*INDEX(Curves!$M$8:$M$68,BA$4-$B46+1)</f>
        <v/>
      </c>
      <c r="BB46" s="56">
        <f>$C46*INDEX(Curves!$M$8:$M$68,BB$4-$B46+1)</f>
        <v/>
      </c>
      <c r="BC46" s="56">
        <f>$C46*INDEX(Curves!$M$8:$M$68,BC$4-$B46+1)</f>
        <v/>
      </c>
      <c r="BD46" s="56">
        <f>$C46*INDEX(Curves!$M$8:$M$68,BD$4-$B46+1)</f>
        <v/>
      </c>
      <c r="BE46" s="56">
        <f>$C46*INDEX(Curves!$M$8:$M$68,BE$4-$B46+1)</f>
        <v/>
      </c>
      <c r="BF46" s="56">
        <f>$C46*INDEX(Curves!$M$8:$M$68,BF$4-$B46+1)</f>
        <v/>
      </c>
      <c r="BG46" s="56">
        <f>$C46*INDEX(Curves!$M$8:$M$68,BG$4-$B46+1)</f>
        <v/>
      </c>
      <c r="BH46" s="56">
        <f>$C46*INDEX(Curves!$M$8:$M$68,BH$4-$B46+1)</f>
        <v/>
      </c>
      <c r="BI46" s="56">
        <f>$C46*INDEX(Curves!$M$8:$M$68,BI$4-$B46+1)</f>
        <v/>
      </c>
      <c r="BJ46" s="56">
        <f>$C46*INDEX(Curves!$M$8:$M$68,BJ$4-$B46+1)</f>
        <v/>
      </c>
      <c r="BK46" s="56">
        <f>$C46*INDEX(Curves!$M$8:$M$68,BK$4-$B46+1)</f>
        <v/>
      </c>
      <c r="BL46" s="56">
        <f>$C46*INDEX(Curves!$M$8:$M$68,BL$4-$B46+1)</f>
        <v/>
      </c>
    </row>
    <row r="47">
      <c r="A47" s="55" t="inlineStr">
        <is>
          <t>Cohort month 38</t>
        </is>
      </c>
      <c r="B47" s="55" t="n">
        <v>38</v>
      </c>
      <c r="C47" s="46">
        <f>INDEX(Ops!$E$25:$BL$25,1,$B47)</f>
        <v/>
      </c>
      <c r="AQ47" s="56">
        <f>$C47*INDEX(Curves!$M$8:$M$68,AQ$4-$B47+1)</f>
        <v/>
      </c>
      <c r="AR47" s="56">
        <f>$C47*INDEX(Curves!$M$8:$M$68,AR$4-$B47+1)</f>
        <v/>
      </c>
      <c r="AS47" s="56">
        <f>$C47*INDEX(Curves!$M$8:$M$68,AS$4-$B47+1)</f>
        <v/>
      </c>
      <c r="AT47" s="56">
        <f>$C47*INDEX(Curves!$M$8:$M$68,AT$4-$B47+1)</f>
        <v/>
      </c>
      <c r="AU47" s="56">
        <f>$C47*INDEX(Curves!$M$8:$M$68,AU$4-$B47+1)</f>
        <v/>
      </c>
      <c r="AV47" s="56">
        <f>$C47*INDEX(Curves!$M$8:$M$68,AV$4-$B47+1)</f>
        <v/>
      </c>
      <c r="AW47" s="56">
        <f>$C47*INDEX(Curves!$M$8:$M$68,AW$4-$B47+1)</f>
        <v/>
      </c>
      <c r="AX47" s="56">
        <f>$C47*INDEX(Curves!$M$8:$M$68,AX$4-$B47+1)</f>
        <v/>
      </c>
      <c r="AY47" s="56">
        <f>$C47*INDEX(Curves!$M$8:$M$68,AY$4-$B47+1)</f>
        <v/>
      </c>
      <c r="AZ47" s="56">
        <f>$C47*INDEX(Curves!$M$8:$M$68,AZ$4-$B47+1)</f>
        <v/>
      </c>
      <c r="BA47" s="56">
        <f>$C47*INDEX(Curves!$M$8:$M$68,BA$4-$B47+1)</f>
        <v/>
      </c>
      <c r="BB47" s="56">
        <f>$C47*INDEX(Curves!$M$8:$M$68,BB$4-$B47+1)</f>
        <v/>
      </c>
      <c r="BC47" s="56">
        <f>$C47*INDEX(Curves!$M$8:$M$68,BC$4-$B47+1)</f>
        <v/>
      </c>
      <c r="BD47" s="56">
        <f>$C47*INDEX(Curves!$M$8:$M$68,BD$4-$B47+1)</f>
        <v/>
      </c>
      <c r="BE47" s="56">
        <f>$C47*INDEX(Curves!$M$8:$M$68,BE$4-$B47+1)</f>
        <v/>
      </c>
      <c r="BF47" s="56">
        <f>$C47*INDEX(Curves!$M$8:$M$68,BF$4-$B47+1)</f>
        <v/>
      </c>
      <c r="BG47" s="56">
        <f>$C47*INDEX(Curves!$M$8:$M$68,BG$4-$B47+1)</f>
        <v/>
      </c>
      <c r="BH47" s="56">
        <f>$C47*INDEX(Curves!$M$8:$M$68,BH$4-$B47+1)</f>
        <v/>
      </c>
      <c r="BI47" s="56">
        <f>$C47*INDEX(Curves!$M$8:$M$68,BI$4-$B47+1)</f>
        <v/>
      </c>
      <c r="BJ47" s="56">
        <f>$C47*INDEX(Curves!$M$8:$M$68,BJ$4-$B47+1)</f>
        <v/>
      </c>
      <c r="BK47" s="56">
        <f>$C47*INDEX(Curves!$M$8:$M$68,BK$4-$B47+1)</f>
        <v/>
      </c>
      <c r="BL47" s="56">
        <f>$C47*INDEX(Curves!$M$8:$M$68,BL$4-$B47+1)</f>
        <v/>
      </c>
    </row>
    <row r="48">
      <c r="A48" s="55" t="inlineStr">
        <is>
          <t>Cohort month 39</t>
        </is>
      </c>
      <c r="B48" s="55" t="n">
        <v>39</v>
      </c>
      <c r="C48" s="46">
        <f>INDEX(Ops!$E$25:$BL$25,1,$B48)</f>
        <v/>
      </c>
      <c r="AR48" s="56">
        <f>$C48*INDEX(Curves!$M$8:$M$68,AR$4-$B48+1)</f>
        <v/>
      </c>
      <c r="AS48" s="56">
        <f>$C48*INDEX(Curves!$M$8:$M$68,AS$4-$B48+1)</f>
        <v/>
      </c>
      <c r="AT48" s="56">
        <f>$C48*INDEX(Curves!$M$8:$M$68,AT$4-$B48+1)</f>
        <v/>
      </c>
      <c r="AU48" s="56">
        <f>$C48*INDEX(Curves!$M$8:$M$68,AU$4-$B48+1)</f>
        <v/>
      </c>
      <c r="AV48" s="56">
        <f>$C48*INDEX(Curves!$M$8:$M$68,AV$4-$B48+1)</f>
        <v/>
      </c>
      <c r="AW48" s="56">
        <f>$C48*INDEX(Curves!$M$8:$M$68,AW$4-$B48+1)</f>
        <v/>
      </c>
      <c r="AX48" s="56">
        <f>$C48*INDEX(Curves!$M$8:$M$68,AX$4-$B48+1)</f>
        <v/>
      </c>
      <c r="AY48" s="56">
        <f>$C48*INDEX(Curves!$M$8:$M$68,AY$4-$B48+1)</f>
        <v/>
      </c>
      <c r="AZ48" s="56">
        <f>$C48*INDEX(Curves!$M$8:$M$68,AZ$4-$B48+1)</f>
        <v/>
      </c>
      <c r="BA48" s="56">
        <f>$C48*INDEX(Curves!$M$8:$M$68,BA$4-$B48+1)</f>
        <v/>
      </c>
      <c r="BB48" s="56">
        <f>$C48*INDEX(Curves!$M$8:$M$68,BB$4-$B48+1)</f>
        <v/>
      </c>
      <c r="BC48" s="56">
        <f>$C48*INDEX(Curves!$M$8:$M$68,BC$4-$B48+1)</f>
        <v/>
      </c>
      <c r="BD48" s="56">
        <f>$C48*INDEX(Curves!$M$8:$M$68,BD$4-$B48+1)</f>
        <v/>
      </c>
      <c r="BE48" s="56">
        <f>$C48*INDEX(Curves!$M$8:$M$68,BE$4-$B48+1)</f>
        <v/>
      </c>
      <c r="BF48" s="56">
        <f>$C48*INDEX(Curves!$M$8:$M$68,BF$4-$B48+1)</f>
        <v/>
      </c>
      <c r="BG48" s="56">
        <f>$C48*INDEX(Curves!$M$8:$M$68,BG$4-$B48+1)</f>
        <v/>
      </c>
      <c r="BH48" s="56">
        <f>$C48*INDEX(Curves!$M$8:$M$68,BH$4-$B48+1)</f>
        <v/>
      </c>
      <c r="BI48" s="56">
        <f>$C48*INDEX(Curves!$M$8:$M$68,BI$4-$B48+1)</f>
        <v/>
      </c>
      <c r="BJ48" s="56">
        <f>$C48*INDEX(Curves!$M$8:$M$68,BJ$4-$B48+1)</f>
        <v/>
      </c>
      <c r="BK48" s="56">
        <f>$C48*INDEX(Curves!$M$8:$M$68,BK$4-$B48+1)</f>
        <v/>
      </c>
      <c r="BL48" s="56">
        <f>$C48*INDEX(Curves!$M$8:$M$68,BL$4-$B48+1)</f>
        <v/>
      </c>
    </row>
    <row r="49">
      <c r="A49" s="55" t="inlineStr">
        <is>
          <t>Cohort month 40</t>
        </is>
      </c>
      <c r="B49" s="55" t="n">
        <v>40</v>
      </c>
      <c r="C49" s="46">
        <f>INDEX(Ops!$E$25:$BL$25,1,$B49)</f>
        <v/>
      </c>
      <c r="AS49" s="56">
        <f>$C49*INDEX(Curves!$M$8:$M$68,AS$4-$B49+1)</f>
        <v/>
      </c>
      <c r="AT49" s="56">
        <f>$C49*INDEX(Curves!$M$8:$M$68,AT$4-$B49+1)</f>
        <v/>
      </c>
      <c r="AU49" s="56">
        <f>$C49*INDEX(Curves!$M$8:$M$68,AU$4-$B49+1)</f>
        <v/>
      </c>
      <c r="AV49" s="56">
        <f>$C49*INDEX(Curves!$M$8:$M$68,AV$4-$B49+1)</f>
        <v/>
      </c>
      <c r="AW49" s="56">
        <f>$C49*INDEX(Curves!$M$8:$M$68,AW$4-$B49+1)</f>
        <v/>
      </c>
      <c r="AX49" s="56">
        <f>$C49*INDEX(Curves!$M$8:$M$68,AX$4-$B49+1)</f>
        <v/>
      </c>
      <c r="AY49" s="56">
        <f>$C49*INDEX(Curves!$M$8:$M$68,AY$4-$B49+1)</f>
        <v/>
      </c>
      <c r="AZ49" s="56">
        <f>$C49*INDEX(Curves!$M$8:$M$68,AZ$4-$B49+1)</f>
        <v/>
      </c>
      <c r="BA49" s="56">
        <f>$C49*INDEX(Curves!$M$8:$M$68,BA$4-$B49+1)</f>
        <v/>
      </c>
      <c r="BB49" s="56">
        <f>$C49*INDEX(Curves!$M$8:$M$68,BB$4-$B49+1)</f>
        <v/>
      </c>
      <c r="BC49" s="56">
        <f>$C49*INDEX(Curves!$M$8:$M$68,BC$4-$B49+1)</f>
        <v/>
      </c>
      <c r="BD49" s="56">
        <f>$C49*INDEX(Curves!$M$8:$M$68,BD$4-$B49+1)</f>
        <v/>
      </c>
      <c r="BE49" s="56">
        <f>$C49*INDEX(Curves!$M$8:$M$68,BE$4-$B49+1)</f>
        <v/>
      </c>
      <c r="BF49" s="56">
        <f>$C49*INDEX(Curves!$M$8:$M$68,BF$4-$B49+1)</f>
        <v/>
      </c>
      <c r="BG49" s="56">
        <f>$C49*INDEX(Curves!$M$8:$M$68,BG$4-$B49+1)</f>
        <v/>
      </c>
      <c r="BH49" s="56">
        <f>$C49*INDEX(Curves!$M$8:$M$68,BH$4-$B49+1)</f>
        <v/>
      </c>
      <c r="BI49" s="56">
        <f>$C49*INDEX(Curves!$M$8:$M$68,BI$4-$B49+1)</f>
        <v/>
      </c>
      <c r="BJ49" s="56">
        <f>$C49*INDEX(Curves!$M$8:$M$68,BJ$4-$B49+1)</f>
        <v/>
      </c>
      <c r="BK49" s="56">
        <f>$C49*INDEX(Curves!$M$8:$M$68,BK$4-$B49+1)</f>
        <v/>
      </c>
      <c r="BL49" s="56">
        <f>$C49*INDEX(Curves!$M$8:$M$68,BL$4-$B49+1)</f>
        <v/>
      </c>
    </row>
    <row r="50">
      <c r="A50" s="55" t="inlineStr">
        <is>
          <t>Cohort month 41</t>
        </is>
      </c>
      <c r="B50" s="55" t="n">
        <v>41</v>
      </c>
      <c r="C50" s="46">
        <f>INDEX(Ops!$E$25:$BL$25,1,$B50)</f>
        <v/>
      </c>
      <c r="AT50" s="56">
        <f>$C50*INDEX(Curves!$M$8:$M$68,AT$4-$B50+1)</f>
        <v/>
      </c>
      <c r="AU50" s="56">
        <f>$C50*INDEX(Curves!$M$8:$M$68,AU$4-$B50+1)</f>
        <v/>
      </c>
      <c r="AV50" s="56">
        <f>$C50*INDEX(Curves!$M$8:$M$68,AV$4-$B50+1)</f>
        <v/>
      </c>
      <c r="AW50" s="56">
        <f>$C50*INDEX(Curves!$M$8:$M$68,AW$4-$B50+1)</f>
        <v/>
      </c>
      <c r="AX50" s="56">
        <f>$C50*INDEX(Curves!$M$8:$M$68,AX$4-$B50+1)</f>
        <v/>
      </c>
      <c r="AY50" s="56">
        <f>$C50*INDEX(Curves!$M$8:$M$68,AY$4-$B50+1)</f>
        <v/>
      </c>
      <c r="AZ50" s="56">
        <f>$C50*INDEX(Curves!$M$8:$M$68,AZ$4-$B50+1)</f>
        <v/>
      </c>
      <c r="BA50" s="56">
        <f>$C50*INDEX(Curves!$M$8:$M$68,BA$4-$B50+1)</f>
        <v/>
      </c>
      <c r="BB50" s="56">
        <f>$C50*INDEX(Curves!$M$8:$M$68,BB$4-$B50+1)</f>
        <v/>
      </c>
      <c r="BC50" s="56">
        <f>$C50*INDEX(Curves!$M$8:$M$68,BC$4-$B50+1)</f>
        <v/>
      </c>
      <c r="BD50" s="56">
        <f>$C50*INDEX(Curves!$M$8:$M$68,BD$4-$B50+1)</f>
        <v/>
      </c>
      <c r="BE50" s="56">
        <f>$C50*INDEX(Curves!$M$8:$M$68,BE$4-$B50+1)</f>
        <v/>
      </c>
      <c r="BF50" s="56">
        <f>$C50*INDEX(Curves!$M$8:$M$68,BF$4-$B50+1)</f>
        <v/>
      </c>
      <c r="BG50" s="56">
        <f>$C50*INDEX(Curves!$M$8:$M$68,BG$4-$B50+1)</f>
        <v/>
      </c>
      <c r="BH50" s="56">
        <f>$C50*INDEX(Curves!$M$8:$M$68,BH$4-$B50+1)</f>
        <v/>
      </c>
      <c r="BI50" s="56">
        <f>$C50*INDEX(Curves!$M$8:$M$68,BI$4-$B50+1)</f>
        <v/>
      </c>
      <c r="BJ50" s="56">
        <f>$C50*INDEX(Curves!$M$8:$M$68,BJ$4-$B50+1)</f>
        <v/>
      </c>
      <c r="BK50" s="56">
        <f>$C50*INDEX(Curves!$M$8:$M$68,BK$4-$B50+1)</f>
        <v/>
      </c>
      <c r="BL50" s="56">
        <f>$C50*INDEX(Curves!$M$8:$M$68,BL$4-$B50+1)</f>
        <v/>
      </c>
    </row>
    <row r="51">
      <c r="A51" s="55" t="inlineStr">
        <is>
          <t>Cohort month 42</t>
        </is>
      </c>
      <c r="B51" s="55" t="n">
        <v>42</v>
      </c>
      <c r="C51" s="46">
        <f>INDEX(Ops!$E$25:$BL$25,1,$B51)</f>
        <v/>
      </c>
      <c r="AU51" s="56">
        <f>$C51*INDEX(Curves!$M$8:$M$68,AU$4-$B51+1)</f>
        <v/>
      </c>
      <c r="AV51" s="56">
        <f>$C51*INDEX(Curves!$M$8:$M$68,AV$4-$B51+1)</f>
        <v/>
      </c>
      <c r="AW51" s="56">
        <f>$C51*INDEX(Curves!$M$8:$M$68,AW$4-$B51+1)</f>
        <v/>
      </c>
      <c r="AX51" s="56">
        <f>$C51*INDEX(Curves!$M$8:$M$68,AX$4-$B51+1)</f>
        <v/>
      </c>
      <c r="AY51" s="56">
        <f>$C51*INDEX(Curves!$M$8:$M$68,AY$4-$B51+1)</f>
        <v/>
      </c>
      <c r="AZ51" s="56">
        <f>$C51*INDEX(Curves!$M$8:$M$68,AZ$4-$B51+1)</f>
        <v/>
      </c>
      <c r="BA51" s="56">
        <f>$C51*INDEX(Curves!$M$8:$M$68,BA$4-$B51+1)</f>
        <v/>
      </c>
      <c r="BB51" s="56">
        <f>$C51*INDEX(Curves!$M$8:$M$68,BB$4-$B51+1)</f>
        <v/>
      </c>
      <c r="BC51" s="56">
        <f>$C51*INDEX(Curves!$M$8:$M$68,BC$4-$B51+1)</f>
        <v/>
      </c>
      <c r="BD51" s="56">
        <f>$C51*INDEX(Curves!$M$8:$M$68,BD$4-$B51+1)</f>
        <v/>
      </c>
      <c r="BE51" s="56">
        <f>$C51*INDEX(Curves!$M$8:$M$68,BE$4-$B51+1)</f>
        <v/>
      </c>
      <c r="BF51" s="56">
        <f>$C51*INDEX(Curves!$M$8:$M$68,BF$4-$B51+1)</f>
        <v/>
      </c>
      <c r="BG51" s="56">
        <f>$C51*INDEX(Curves!$M$8:$M$68,BG$4-$B51+1)</f>
        <v/>
      </c>
      <c r="BH51" s="56">
        <f>$C51*INDEX(Curves!$M$8:$M$68,BH$4-$B51+1)</f>
        <v/>
      </c>
      <c r="BI51" s="56">
        <f>$C51*INDEX(Curves!$M$8:$M$68,BI$4-$B51+1)</f>
        <v/>
      </c>
      <c r="BJ51" s="56">
        <f>$C51*INDEX(Curves!$M$8:$M$68,BJ$4-$B51+1)</f>
        <v/>
      </c>
      <c r="BK51" s="56">
        <f>$C51*INDEX(Curves!$M$8:$M$68,BK$4-$B51+1)</f>
        <v/>
      </c>
      <c r="BL51" s="56">
        <f>$C51*INDEX(Curves!$M$8:$M$68,BL$4-$B51+1)</f>
        <v/>
      </c>
    </row>
    <row r="52">
      <c r="A52" s="55" t="inlineStr">
        <is>
          <t>Cohort month 43</t>
        </is>
      </c>
      <c r="B52" s="55" t="n">
        <v>43</v>
      </c>
      <c r="C52" s="46">
        <f>INDEX(Ops!$E$25:$BL$25,1,$B52)</f>
        <v/>
      </c>
      <c r="AV52" s="56">
        <f>$C52*INDEX(Curves!$M$8:$M$68,AV$4-$B52+1)</f>
        <v/>
      </c>
      <c r="AW52" s="56">
        <f>$C52*INDEX(Curves!$M$8:$M$68,AW$4-$B52+1)</f>
        <v/>
      </c>
      <c r="AX52" s="56">
        <f>$C52*INDEX(Curves!$M$8:$M$68,AX$4-$B52+1)</f>
        <v/>
      </c>
      <c r="AY52" s="56">
        <f>$C52*INDEX(Curves!$M$8:$M$68,AY$4-$B52+1)</f>
        <v/>
      </c>
      <c r="AZ52" s="56">
        <f>$C52*INDEX(Curves!$M$8:$M$68,AZ$4-$B52+1)</f>
        <v/>
      </c>
      <c r="BA52" s="56">
        <f>$C52*INDEX(Curves!$M$8:$M$68,BA$4-$B52+1)</f>
        <v/>
      </c>
      <c r="BB52" s="56">
        <f>$C52*INDEX(Curves!$M$8:$M$68,BB$4-$B52+1)</f>
        <v/>
      </c>
      <c r="BC52" s="56">
        <f>$C52*INDEX(Curves!$M$8:$M$68,BC$4-$B52+1)</f>
        <v/>
      </c>
      <c r="BD52" s="56">
        <f>$C52*INDEX(Curves!$M$8:$M$68,BD$4-$B52+1)</f>
        <v/>
      </c>
      <c r="BE52" s="56">
        <f>$C52*INDEX(Curves!$M$8:$M$68,BE$4-$B52+1)</f>
        <v/>
      </c>
      <c r="BF52" s="56">
        <f>$C52*INDEX(Curves!$M$8:$M$68,BF$4-$B52+1)</f>
        <v/>
      </c>
      <c r="BG52" s="56">
        <f>$C52*INDEX(Curves!$M$8:$M$68,BG$4-$B52+1)</f>
        <v/>
      </c>
      <c r="BH52" s="56">
        <f>$C52*INDEX(Curves!$M$8:$M$68,BH$4-$B52+1)</f>
        <v/>
      </c>
      <c r="BI52" s="56">
        <f>$C52*INDEX(Curves!$M$8:$M$68,BI$4-$B52+1)</f>
        <v/>
      </c>
      <c r="BJ52" s="56">
        <f>$C52*INDEX(Curves!$M$8:$M$68,BJ$4-$B52+1)</f>
        <v/>
      </c>
      <c r="BK52" s="56">
        <f>$C52*INDEX(Curves!$M$8:$M$68,BK$4-$B52+1)</f>
        <v/>
      </c>
      <c r="BL52" s="56">
        <f>$C52*INDEX(Curves!$M$8:$M$68,BL$4-$B52+1)</f>
        <v/>
      </c>
    </row>
    <row r="53">
      <c r="A53" s="55" t="inlineStr">
        <is>
          <t>Cohort month 44</t>
        </is>
      </c>
      <c r="B53" s="55" t="n">
        <v>44</v>
      </c>
      <c r="C53" s="46">
        <f>INDEX(Ops!$E$25:$BL$25,1,$B53)</f>
        <v/>
      </c>
      <c r="AW53" s="56">
        <f>$C53*INDEX(Curves!$M$8:$M$68,AW$4-$B53+1)</f>
        <v/>
      </c>
      <c r="AX53" s="56">
        <f>$C53*INDEX(Curves!$M$8:$M$68,AX$4-$B53+1)</f>
        <v/>
      </c>
      <c r="AY53" s="56">
        <f>$C53*INDEX(Curves!$M$8:$M$68,AY$4-$B53+1)</f>
        <v/>
      </c>
      <c r="AZ53" s="56">
        <f>$C53*INDEX(Curves!$M$8:$M$68,AZ$4-$B53+1)</f>
        <v/>
      </c>
      <c r="BA53" s="56">
        <f>$C53*INDEX(Curves!$M$8:$M$68,BA$4-$B53+1)</f>
        <v/>
      </c>
      <c r="BB53" s="56">
        <f>$C53*INDEX(Curves!$M$8:$M$68,BB$4-$B53+1)</f>
        <v/>
      </c>
      <c r="BC53" s="56">
        <f>$C53*INDEX(Curves!$M$8:$M$68,BC$4-$B53+1)</f>
        <v/>
      </c>
      <c r="BD53" s="56">
        <f>$C53*INDEX(Curves!$M$8:$M$68,BD$4-$B53+1)</f>
        <v/>
      </c>
      <c r="BE53" s="56">
        <f>$C53*INDEX(Curves!$M$8:$M$68,BE$4-$B53+1)</f>
        <v/>
      </c>
      <c r="BF53" s="56">
        <f>$C53*INDEX(Curves!$M$8:$M$68,BF$4-$B53+1)</f>
        <v/>
      </c>
      <c r="BG53" s="56">
        <f>$C53*INDEX(Curves!$M$8:$M$68,BG$4-$B53+1)</f>
        <v/>
      </c>
      <c r="BH53" s="56">
        <f>$C53*INDEX(Curves!$M$8:$M$68,BH$4-$B53+1)</f>
        <v/>
      </c>
      <c r="BI53" s="56">
        <f>$C53*INDEX(Curves!$M$8:$M$68,BI$4-$B53+1)</f>
        <v/>
      </c>
      <c r="BJ53" s="56">
        <f>$C53*INDEX(Curves!$M$8:$M$68,BJ$4-$B53+1)</f>
        <v/>
      </c>
      <c r="BK53" s="56">
        <f>$C53*INDEX(Curves!$M$8:$M$68,BK$4-$B53+1)</f>
        <v/>
      </c>
      <c r="BL53" s="56">
        <f>$C53*INDEX(Curves!$M$8:$M$68,BL$4-$B53+1)</f>
        <v/>
      </c>
    </row>
    <row r="54">
      <c r="A54" s="55" t="inlineStr">
        <is>
          <t>Cohort month 45</t>
        </is>
      </c>
      <c r="B54" s="55" t="n">
        <v>45</v>
      </c>
      <c r="C54" s="46">
        <f>INDEX(Ops!$E$25:$BL$25,1,$B54)</f>
        <v/>
      </c>
      <c r="AX54" s="56">
        <f>$C54*INDEX(Curves!$M$8:$M$68,AX$4-$B54+1)</f>
        <v/>
      </c>
      <c r="AY54" s="56">
        <f>$C54*INDEX(Curves!$M$8:$M$68,AY$4-$B54+1)</f>
        <v/>
      </c>
      <c r="AZ54" s="56">
        <f>$C54*INDEX(Curves!$M$8:$M$68,AZ$4-$B54+1)</f>
        <v/>
      </c>
      <c r="BA54" s="56">
        <f>$C54*INDEX(Curves!$M$8:$M$68,BA$4-$B54+1)</f>
        <v/>
      </c>
      <c r="BB54" s="56">
        <f>$C54*INDEX(Curves!$M$8:$M$68,BB$4-$B54+1)</f>
        <v/>
      </c>
      <c r="BC54" s="56">
        <f>$C54*INDEX(Curves!$M$8:$M$68,BC$4-$B54+1)</f>
        <v/>
      </c>
      <c r="BD54" s="56">
        <f>$C54*INDEX(Curves!$M$8:$M$68,BD$4-$B54+1)</f>
        <v/>
      </c>
      <c r="BE54" s="56">
        <f>$C54*INDEX(Curves!$M$8:$M$68,BE$4-$B54+1)</f>
        <v/>
      </c>
      <c r="BF54" s="56">
        <f>$C54*INDEX(Curves!$M$8:$M$68,BF$4-$B54+1)</f>
        <v/>
      </c>
      <c r="BG54" s="56">
        <f>$C54*INDEX(Curves!$M$8:$M$68,BG$4-$B54+1)</f>
        <v/>
      </c>
      <c r="BH54" s="56">
        <f>$C54*INDEX(Curves!$M$8:$M$68,BH$4-$B54+1)</f>
        <v/>
      </c>
      <c r="BI54" s="56">
        <f>$C54*INDEX(Curves!$M$8:$M$68,BI$4-$B54+1)</f>
        <v/>
      </c>
      <c r="BJ54" s="56">
        <f>$C54*INDEX(Curves!$M$8:$M$68,BJ$4-$B54+1)</f>
        <v/>
      </c>
      <c r="BK54" s="56">
        <f>$C54*INDEX(Curves!$M$8:$M$68,BK$4-$B54+1)</f>
        <v/>
      </c>
      <c r="BL54" s="56">
        <f>$C54*INDEX(Curves!$M$8:$M$68,BL$4-$B54+1)</f>
        <v/>
      </c>
    </row>
    <row r="55">
      <c r="A55" s="55" t="inlineStr">
        <is>
          <t>Cohort month 46</t>
        </is>
      </c>
      <c r="B55" s="55" t="n">
        <v>46</v>
      </c>
      <c r="C55" s="46">
        <f>INDEX(Ops!$E$25:$BL$25,1,$B55)</f>
        <v/>
      </c>
      <c r="AY55" s="56">
        <f>$C55*INDEX(Curves!$M$8:$M$68,AY$4-$B55+1)</f>
        <v/>
      </c>
      <c r="AZ55" s="56">
        <f>$C55*INDEX(Curves!$M$8:$M$68,AZ$4-$B55+1)</f>
        <v/>
      </c>
      <c r="BA55" s="56">
        <f>$C55*INDEX(Curves!$M$8:$M$68,BA$4-$B55+1)</f>
        <v/>
      </c>
      <c r="BB55" s="56">
        <f>$C55*INDEX(Curves!$M$8:$M$68,BB$4-$B55+1)</f>
        <v/>
      </c>
      <c r="BC55" s="56">
        <f>$C55*INDEX(Curves!$M$8:$M$68,BC$4-$B55+1)</f>
        <v/>
      </c>
      <c r="BD55" s="56">
        <f>$C55*INDEX(Curves!$M$8:$M$68,BD$4-$B55+1)</f>
        <v/>
      </c>
      <c r="BE55" s="56">
        <f>$C55*INDEX(Curves!$M$8:$M$68,BE$4-$B55+1)</f>
        <v/>
      </c>
      <c r="BF55" s="56">
        <f>$C55*INDEX(Curves!$M$8:$M$68,BF$4-$B55+1)</f>
        <v/>
      </c>
      <c r="BG55" s="56">
        <f>$C55*INDEX(Curves!$M$8:$M$68,BG$4-$B55+1)</f>
        <v/>
      </c>
      <c r="BH55" s="56">
        <f>$C55*INDEX(Curves!$M$8:$M$68,BH$4-$B55+1)</f>
        <v/>
      </c>
      <c r="BI55" s="56">
        <f>$C55*INDEX(Curves!$M$8:$M$68,BI$4-$B55+1)</f>
        <v/>
      </c>
      <c r="BJ55" s="56">
        <f>$C55*INDEX(Curves!$M$8:$M$68,BJ$4-$B55+1)</f>
        <v/>
      </c>
      <c r="BK55" s="56">
        <f>$C55*INDEX(Curves!$M$8:$M$68,BK$4-$B55+1)</f>
        <v/>
      </c>
      <c r="BL55" s="56">
        <f>$C55*INDEX(Curves!$M$8:$M$68,BL$4-$B55+1)</f>
        <v/>
      </c>
    </row>
    <row r="56">
      <c r="A56" s="55" t="inlineStr">
        <is>
          <t>Cohort month 47</t>
        </is>
      </c>
      <c r="B56" s="55" t="n">
        <v>47</v>
      </c>
      <c r="C56" s="46">
        <f>INDEX(Ops!$E$25:$BL$25,1,$B56)</f>
        <v/>
      </c>
      <c r="AZ56" s="56">
        <f>$C56*INDEX(Curves!$M$8:$M$68,AZ$4-$B56+1)</f>
        <v/>
      </c>
      <c r="BA56" s="56">
        <f>$C56*INDEX(Curves!$M$8:$M$68,BA$4-$B56+1)</f>
        <v/>
      </c>
      <c r="BB56" s="56">
        <f>$C56*INDEX(Curves!$M$8:$M$68,BB$4-$B56+1)</f>
        <v/>
      </c>
      <c r="BC56" s="56">
        <f>$C56*INDEX(Curves!$M$8:$M$68,BC$4-$B56+1)</f>
        <v/>
      </c>
      <c r="BD56" s="56">
        <f>$C56*INDEX(Curves!$M$8:$M$68,BD$4-$B56+1)</f>
        <v/>
      </c>
      <c r="BE56" s="56">
        <f>$C56*INDEX(Curves!$M$8:$M$68,BE$4-$B56+1)</f>
        <v/>
      </c>
      <c r="BF56" s="56">
        <f>$C56*INDEX(Curves!$M$8:$M$68,BF$4-$B56+1)</f>
        <v/>
      </c>
      <c r="BG56" s="56">
        <f>$C56*INDEX(Curves!$M$8:$M$68,BG$4-$B56+1)</f>
        <v/>
      </c>
      <c r="BH56" s="56">
        <f>$C56*INDEX(Curves!$M$8:$M$68,BH$4-$B56+1)</f>
        <v/>
      </c>
      <c r="BI56" s="56">
        <f>$C56*INDEX(Curves!$M$8:$M$68,BI$4-$B56+1)</f>
        <v/>
      </c>
      <c r="BJ56" s="56">
        <f>$C56*INDEX(Curves!$M$8:$M$68,BJ$4-$B56+1)</f>
        <v/>
      </c>
      <c r="BK56" s="56">
        <f>$C56*INDEX(Curves!$M$8:$M$68,BK$4-$B56+1)</f>
        <v/>
      </c>
      <c r="BL56" s="56">
        <f>$C56*INDEX(Curves!$M$8:$M$68,BL$4-$B56+1)</f>
        <v/>
      </c>
    </row>
    <row r="57">
      <c r="A57" s="55" t="inlineStr">
        <is>
          <t>Cohort month 48</t>
        </is>
      </c>
      <c r="B57" s="55" t="n">
        <v>48</v>
      </c>
      <c r="C57" s="46">
        <f>INDEX(Ops!$E$25:$BL$25,1,$B57)</f>
        <v/>
      </c>
      <c r="BA57" s="56">
        <f>$C57*INDEX(Curves!$M$8:$M$68,BA$4-$B57+1)</f>
        <v/>
      </c>
      <c r="BB57" s="56">
        <f>$C57*INDEX(Curves!$M$8:$M$68,BB$4-$B57+1)</f>
        <v/>
      </c>
      <c r="BC57" s="56">
        <f>$C57*INDEX(Curves!$M$8:$M$68,BC$4-$B57+1)</f>
        <v/>
      </c>
      <c r="BD57" s="56">
        <f>$C57*INDEX(Curves!$M$8:$M$68,BD$4-$B57+1)</f>
        <v/>
      </c>
      <c r="BE57" s="56">
        <f>$C57*INDEX(Curves!$M$8:$M$68,BE$4-$B57+1)</f>
        <v/>
      </c>
      <c r="BF57" s="56">
        <f>$C57*INDEX(Curves!$M$8:$M$68,BF$4-$B57+1)</f>
        <v/>
      </c>
      <c r="BG57" s="56">
        <f>$C57*INDEX(Curves!$M$8:$M$68,BG$4-$B57+1)</f>
        <v/>
      </c>
      <c r="BH57" s="56">
        <f>$C57*INDEX(Curves!$M$8:$M$68,BH$4-$B57+1)</f>
        <v/>
      </c>
      <c r="BI57" s="56">
        <f>$C57*INDEX(Curves!$M$8:$M$68,BI$4-$B57+1)</f>
        <v/>
      </c>
      <c r="BJ57" s="56">
        <f>$C57*INDEX(Curves!$M$8:$M$68,BJ$4-$B57+1)</f>
        <v/>
      </c>
      <c r="BK57" s="56">
        <f>$C57*INDEX(Curves!$M$8:$M$68,BK$4-$B57+1)</f>
        <v/>
      </c>
      <c r="BL57" s="56">
        <f>$C57*INDEX(Curves!$M$8:$M$68,BL$4-$B57+1)</f>
        <v/>
      </c>
    </row>
    <row r="58">
      <c r="A58" s="55" t="inlineStr">
        <is>
          <t>Cohort month 49</t>
        </is>
      </c>
      <c r="B58" s="55" t="n">
        <v>49</v>
      </c>
      <c r="C58" s="46">
        <f>INDEX(Ops!$E$25:$BL$25,1,$B58)</f>
        <v/>
      </c>
      <c r="BB58" s="56">
        <f>$C58*INDEX(Curves!$M$8:$M$68,BB$4-$B58+1)</f>
        <v/>
      </c>
      <c r="BC58" s="56">
        <f>$C58*INDEX(Curves!$M$8:$M$68,BC$4-$B58+1)</f>
        <v/>
      </c>
      <c r="BD58" s="56">
        <f>$C58*INDEX(Curves!$M$8:$M$68,BD$4-$B58+1)</f>
        <v/>
      </c>
      <c r="BE58" s="56">
        <f>$C58*INDEX(Curves!$M$8:$M$68,BE$4-$B58+1)</f>
        <v/>
      </c>
      <c r="BF58" s="56">
        <f>$C58*INDEX(Curves!$M$8:$M$68,BF$4-$B58+1)</f>
        <v/>
      </c>
      <c r="BG58" s="56">
        <f>$C58*INDEX(Curves!$M$8:$M$68,BG$4-$B58+1)</f>
        <v/>
      </c>
      <c r="BH58" s="56">
        <f>$C58*INDEX(Curves!$M$8:$M$68,BH$4-$B58+1)</f>
        <v/>
      </c>
      <c r="BI58" s="56">
        <f>$C58*INDEX(Curves!$M$8:$M$68,BI$4-$B58+1)</f>
        <v/>
      </c>
      <c r="BJ58" s="56">
        <f>$C58*INDEX(Curves!$M$8:$M$68,BJ$4-$B58+1)</f>
        <v/>
      </c>
      <c r="BK58" s="56">
        <f>$C58*INDEX(Curves!$M$8:$M$68,BK$4-$B58+1)</f>
        <v/>
      </c>
      <c r="BL58" s="56">
        <f>$C58*INDEX(Curves!$M$8:$M$68,BL$4-$B58+1)</f>
        <v/>
      </c>
    </row>
    <row r="59">
      <c r="A59" s="55" t="inlineStr">
        <is>
          <t>Cohort month 50</t>
        </is>
      </c>
      <c r="B59" s="55" t="n">
        <v>50</v>
      </c>
      <c r="C59" s="46">
        <f>INDEX(Ops!$E$25:$BL$25,1,$B59)</f>
        <v/>
      </c>
      <c r="BC59" s="56">
        <f>$C59*INDEX(Curves!$M$8:$M$68,BC$4-$B59+1)</f>
        <v/>
      </c>
      <c r="BD59" s="56">
        <f>$C59*INDEX(Curves!$M$8:$M$68,BD$4-$B59+1)</f>
        <v/>
      </c>
      <c r="BE59" s="56">
        <f>$C59*INDEX(Curves!$M$8:$M$68,BE$4-$B59+1)</f>
        <v/>
      </c>
      <c r="BF59" s="56">
        <f>$C59*INDEX(Curves!$M$8:$M$68,BF$4-$B59+1)</f>
        <v/>
      </c>
      <c r="BG59" s="56">
        <f>$C59*INDEX(Curves!$M$8:$M$68,BG$4-$B59+1)</f>
        <v/>
      </c>
      <c r="BH59" s="56">
        <f>$C59*INDEX(Curves!$M$8:$M$68,BH$4-$B59+1)</f>
        <v/>
      </c>
      <c r="BI59" s="56">
        <f>$C59*INDEX(Curves!$M$8:$M$68,BI$4-$B59+1)</f>
        <v/>
      </c>
      <c r="BJ59" s="56">
        <f>$C59*INDEX(Curves!$M$8:$M$68,BJ$4-$B59+1)</f>
        <v/>
      </c>
      <c r="BK59" s="56">
        <f>$C59*INDEX(Curves!$M$8:$M$68,BK$4-$B59+1)</f>
        <v/>
      </c>
      <c r="BL59" s="56">
        <f>$C59*INDEX(Curves!$M$8:$M$68,BL$4-$B59+1)</f>
        <v/>
      </c>
    </row>
    <row r="60">
      <c r="A60" s="55" t="inlineStr">
        <is>
          <t>Cohort month 51</t>
        </is>
      </c>
      <c r="B60" s="55" t="n">
        <v>51</v>
      </c>
      <c r="C60" s="46">
        <f>INDEX(Ops!$E$25:$BL$25,1,$B60)</f>
        <v/>
      </c>
      <c r="BD60" s="56">
        <f>$C60*INDEX(Curves!$M$8:$M$68,BD$4-$B60+1)</f>
        <v/>
      </c>
      <c r="BE60" s="56">
        <f>$C60*INDEX(Curves!$M$8:$M$68,BE$4-$B60+1)</f>
        <v/>
      </c>
      <c r="BF60" s="56">
        <f>$C60*INDEX(Curves!$M$8:$M$68,BF$4-$B60+1)</f>
        <v/>
      </c>
      <c r="BG60" s="56">
        <f>$C60*INDEX(Curves!$M$8:$M$68,BG$4-$B60+1)</f>
        <v/>
      </c>
      <c r="BH60" s="56">
        <f>$C60*INDEX(Curves!$M$8:$M$68,BH$4-$B60+1)</f>
        <v/>
      </c>
      <c r="BI60" s="56">
        <f>$C60*INDEX(Curves!$M$8:$M$68,BI$4-$B60+1)</f>
        <v/>
      </c>
      <c r="BJ60" s="56">
        <f>$C60*INDEX(Curves!$M$8:$M$68,BJ$4-$B60+1)</f>
        <v/>
      </c>
      <c r="BK60" s="56">
        <f>$C60*INDEX(Curves!$M$8:$M$68,BK$4-$B60+1)</f>
        <v/>
      </c>
      <c r="BL60" s="56">
        <f>$C60*INDEX(Curves!$M$8:$M$68,BL$4-$B60+1)</f>
        <v/>
      </c>
    </row>
    <row r="61">
      <c r="A61" s="55" t="inlineStr">
        <is>
          <t>Cohort month 52</t>
        </is>
      </c>
      <c r="B61" s="55" t="n">
        <v>52</v>
      </c>
      <c r="C61" s="46">
        <f>INDEX(Ops!$E$25:$BL$25,1,$B61)</f>
        <v/>
      </c>
      <c r="BE61" s="56">
        <f>$C61*INDEX(Curves!$M$8:$M$68,BE$4-$B61+1)</f>
        <v/>
      </c>
      <c r="BF61" s="56">
        <f>$C61*INDEX(Curves!$M$8:$M$68,BF$4-$B61+1)</f>
        <v/>
      </c>
      <c r="BG61" s="56">
        <f>$C61*INDEX(Curves!$M$8:$M$68,BG$4-$B61+1)</f>
        <v/>
      </c>
      <c r="BH61" s="56">
        <f>$C61*INDEX(Curves!$M$8:$M$68,BH$4-$B61+1)</f>
        <v/>
      </c>
      <c r="BI61" s="56">
        <f>$C61*INDEX(Curves!$M$8:$M$68,BI$4-$B61+1)</f>
        <v/>
      </c>
      <c r="BJ61" s="56">
        <f>$C61*INDEX(Curves!$M$8:$M$68,BJ$4-$B61+1)</f>
        <v/>
      </c>
      <c r="BK61" s="56">
        <f>$C61*INDEX(Curves!$M$8:$M$68,BK$4-$B61+1)</f>
        <v/>
      </c>
      <c r="BL61" s="56">
        <f>$C61*INDEX(Curves!$M$8:$M$68,BL$4-$B61+1)</f>
        <v/>
      </c>
    </row>
    <row r="62">
      <c r="A62" s="55" t="inlineStr">
        <is>
          <t>Cohort month 53</t>
        </is>
      </c>
      <c r="B62" s="55" t="n">
        <v>53</v>
      </c>
      <c r="C62" s="46">
        <f>INDEX(Ops!$E$25:$BL$25,1,$B62)</f>
        <v/>
      </c>
      <c r="BF62" s="56">
        <f>$C62*INDEX(Curves!$M$8:$M$68,BF$4-$B62+1)</f>
        <v/>
      </c>
      <c r="BG62" s="56">
        <f>$C62*INDEX(Curves!$M$8:$M$68,BG$4-$B62+1)</f>
        <v/>
      </c>
      <c r="BH62" s="56">
        <f>$C62*INDEX(Curves!$M$8:$M$68,BH$4-$B62+1)</f>
        <v/>
      </c>
      <c r="BI62" s="56">
        <f>$C62*INDEX(Curves!$M$8:$M$68,BI$4-$B62+1)</f>
        <v/>
      </c>
      <c r="BJ62" s="56">
        <f>$C62*INDEX(Curves!$M$8:$M$68,BJ$4-$B62+1)</f>
        <v/>
      </c>
      <c r="BK62" s="56">
        <f>$C62*INDEX(Curves!$M$8:$M$68,BK$4-$B62+1)</f>
        <v/>
      </c>
      <c r="BL62" s="56">
        <f>$C62*INDEX(Curves!$M$8:$M$68,BL$4-$B62+1)</f>
        <v/>
      </c>
    </row>
    <row r="63">
      <c r="A63" s="55" t="inlineStr">
        <is>
          <t>Cohort month 54</t>
        </is>
      </c>
      <c r="B63" s="55" t="n">
        <v>54</v>
      </c>
      <c r="C63" s="46">
        <f>INDEX(Ops!$E$25:$BL$25,1,$B63)</f>
        <v/>
      </c>
      <c r="BG63" s="56">
        <f>$C63*INDEX(Curves!$M$8:$M$68,BG$4-$B63+1)</f>
        <v/>
      </c>
      <c r="BH63" s="56">
        <f>$C63*INDEX(Curves!$M$8:$M$68,BH$4-$B63+1)</f>
        <v/>
      </c>
      <c r="BI63" s="56">
        <f>$C63*INDEX(Curves!$M$8:$M$68,BI$4-$B63+1)</f>
        <v/>
      </c>
      <c r="BJ63" s="56">
        <f>$C63*INDEX(Curves!$M$8:$M$68,BJ$4-$B63+1)</f>
        <v/>
      </c>
      <c r="BK63" s="56">
        <f>$C63*INDEX(Curves!$M$8:$M$68,BK$4-$B63+1)</f>
        <v/>
      </c>
      <c r="BL63" s="56">
        <f>$C63*INDEX(Curves!$M$8:$M$68,BL$4-$B63+1)</f>
        <v/>
      </c>
    </row>
    <row r="64">
      <c r="A64" s="55" t="inlineStr">
        <is>
          <t>Cohort month 55</t>
        </is>
      </c>
      <c r="B64" s="55" t="n">
        <v>55</v>
      </c>
      <c r="C64" s="46">
        <f>INDEX(Ops!$E$25:$BL$25,1,$B64)</f>
        <v/>
      </c>
      <c r="BH64" s="56">
        <f>$C64*INDEX(Curves!$M$8:$M$68,BH$4-$B64+1)</f>
        <v/>
      </c>
      <c r="BI64" s="56">
        <f>$C64*INDEX(Curves!$M$8:$M$68,BI$4-$B64+1)</f>
        <v/>
      </c>
      <c r="BJ64" s="56">
        <f>$C64*INDEX(Curves!$M$8:$M$68,BJ$4-$B64+1)</f>
        <v/>
      </c>
      <c r="BK64" s="56">
        <f>$C64*INDEX(Curves!$M$8:$M$68,BK$4-$B64+1)</f>
        <v/>
      </c>
      <c r="BL64" s="56">
        <f>$C64*INDEX(Curves!$M$8:$M$68,BL$4-$B64+1)</f>
        <v/>
      </c>
    </row>
    <row r="65">
      <c r="A65" s="55" t="inlineStr">
        <is>
          <t>Cohort month 56</t>
        </is>
      </c>
      <c r="B65" s="55" t="n">
        <v>56</v>
      </c>
      <c r="C65" s="46">
        <f>INDEX(Ops!$E$25:$BL$25,1,$B65)</f>
        <v/>
      </c>
      <c r="BI65" s="56">
        <f>$C65*INDEX(Curves!$M$8:$M$68,BI$4-$B65+1)</f>
        <v/>
      </c>
      <c r="BJ65" s="56">
        <f>$C65*INDEX(Curves!$M$8:$M$68,BJ$4-$B65+1)</f>
        <v/>
      </c>
      <c r="BK65" s="56">
        <f>$C65*INDEX(Curves!$M$8:$M$68,BK$4-$B65+1)</f>
        <v/>
      </c>
      <c r="BL65" s="56">
        <f>$C65*INDEX(Curves!$M$8:$M$68,BL$4-$B65+1)</f>
        <v/>
      </c>
    </row>
    <row r="66">
      <c r="A66" s="55" t="inlineStr">
        <is>
          <t>Cohort month 57</t>
        </is>
      </c>
      <c r="B66" s="55" t="n">
        <v>57</v>
      </c>
      <c r="C66" s="46">
        <f>INDEX(Ops!$E$25:$BL$25,1,$B66)</f>
        <v/>
      </c>
      <c r="BJ66" s="56">
        <f>$C66*INDEX(Curves!$M$8:$M$68,BJ$4-$B66+1)</f>
        <v/>
      </c>
      <c r="BK66" s="56">
        <f>$C66*INDEX(Curves!$M$8:$M$68,BK$4-$B66+1)</f>
        <v/>
      </c>
      <c r="BL66" s="56">
        <f>$C66*INDEX(Curves!$M$8:$M$68,BL$4-$B66+1)</f>
        <v/>
      </c>
    </row>
    <row r="67">
      <c r="A67" s="55" t="inlineStr">
        <is>
          <t>Cohort month 58</t>
        </is>
      </c>
      <c r="B67" s="55" t="n">
        <v>58</v>
      </c>
      <c r="C67" s="46">
        <f>INDEX(Ops!$E$25:$BL$25,1,$B67)</f>
        <v/>
      </c>
      <c r="BK67" s="56">
        <f>$C67*INDEX(Curves!$M$8:$M$68,BK$4-$B67+1)</f>
        <v/>
      </c>
      <c r="BL67" s="56">
        <f>$C67*INDEX(Curves!$M$8:$M$68,BL$4-$B67+1)</f>
        <v/>
      </c>
    </row>
    <row r="68">
      <c r="A68" s="55" t="inlineStr">
        <is>
          <t>Cohort month 59</t>
        </is>
      </c>
      <c r="B68" s="55" t="n">
        <v>59</v>
      </c>
      <c r="C68" s="46">
        <f>INDEX(Ops!$E$25:$BL$25,1,$B68)</f>
        <v/>
      </c>
      <c r="BL68" s="56">
        <f>$C68*INDEX(Curves!$M$8:$M$68,BL$4-$B68+1)</f>
        <v/>
      </c>
    </row>
    <row r="69">
      <c r="A69" s="55" t="inlineStr">
        <is>
          <t>Cohort month 60</t>
        </is>
      </c>
      <c r="B69" s="55" t="n">
        <v>60</v>
      </c>
      <c r="C69" s="46">
        <f>INDEX(Ops!$E$25:$BL$25,1,$B69)</f>
        <v/>
      </c>
    </row>
    <row r="70"/>
    <row r="71">
      <c r="A71" s="11" t="inlineStr">
        <is>
          <t>Active accounts by cohort</t>
        </is>
      </c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12" t="n"/>
      <c r="AY71" s="12" t="n"/>
      <c r="AZ71" s="12" t="n"/>
      <c r="BA71" s="12" t="n"/>
      <c r="BB71" s="12" t="n"/>
      <c r="BC71" s="12" t="n"/>
      <c r="BD71" s="12" t="n"/>
      <c r="BE71" s="12" t="n"/>
      <c r="BF71" s="12" t="n"/>
      <c r="BG71" s="12" t="n"/>
      <c r="BH71" s="12" t="n"/>
      <c r="BI71" s="12" t="n"/>
      <c r="BJ71" s="12" t="n"/>
      <c r="BK71" s="12" t="n"/>
      <c r="BL71" s="12" t="n"/>
    </row>
    <row r="72">
      <c r="A72" s="47" t="inlineStr">
        <is>
          <t>Total</t>
        </is>
      </c>
      <c r="B72" s="48" t="inlineStr"/>
      <c r="C72" s="50" t="n"/>
      <c r="D72" s="50" t="n"/>
      <c r="E72" s="51">
        <f>SUM(E73:E132)</f>
        <v/>
      </c>
      <c r="F72" s="51">
        <f>SUM(F73:F132)</f>
        <v/>
      </c>
      <c r="G72" s="51">
        <f>SUM(G73:G132)</f>
        <v/>
      </c>
      <c r="H72" s="51">
        <f>SUM(H73:H132)</f>
        <v/>
      </c>
      <c r="I72" s="51">
        <f>SUM(I73:I132)</f>
        <v/>
      </c>
      <c r="J72" s="51">
        <f>SUM(J73:J132)</f>
        <v/>
      </c>
      <c r="K72" s="51">
        <f>SUM(K73:K132)</f>
        <v/>
      </c>
      <c r="L72" s="51">
        <f>SUM(L73:L132)</f>
        <v/>
      </c>
      <c r="M72" s="51">
        <f>SUM(M73:M132)</f>
        <v/>
      </c>
      <c r="N72" s="51">
        <f>SUM(N73:N132)</f>
        <v/>
      </c>
      <c r="O72" s="51">
        <f>SUM(O73:O132)</f>
        <v/>
      </c>
      <c r="P72" s="51">
        <f>SUM(P73:P132)</f>
        <v/>
      </c>
      <c r="Q72" s="51">
        <f>SUM(Q73:Q132)</f>
        <v/>
      </c>
      <c r="R72" s="51">
        <f>SUM(R73:R132)</f>
        <v/>
      </c>
      <c r="S72" s="51">
        <f>SUM(S73:S132)</f>
        <v/>
      </c>
      <c r="T72" s="51">
        <f>SUM(T73:T132)</f>
        <v/>
      </c>
      <c r="U72" s="51">
        <f>SUM(U73:U132)</f>
        <v/>
      </c>
      <c r="V72" s="51">
        <f>SUM(V73:V132)</f>
        <v/>
      </c>
      <c r="W72" s="51">
        <f>SUM(W73:W132)</f>
        <v/>
      </c>
      <c r="X72" s="51">
        <f>SUM(X73:X132)</f>
        <v/>
      </c>
      <c r="Y72" s="51">
        <f>SUM(Y73:Y132)</f>
        <v/>
      </c>
      <c r="Z72" s="51">
        <f>SUM(Z73:Z132)</f>
        <v/>
      </c>
      <c r="AA72" s="51">
        <f>SUM(AA73:AA132)</f>
        <v/>
      </c>
      <c r="AB72" s="51">
        <f>SUM(AB73:AB132)</f>
        <v/>
      </c>
      <c r="AC72" s="51">
        <f>SUM(AC73:AC132)</f>
        <v/>
      </c>
      <c r="AD72" s="51">
        <f>SUM(AD73:AD132)</f>
        <v/>
      </c>
      <c r="AE72" s="51">
        <f>SUM(AE73:AE132)</f>
        <v/>
      </c>
      <c r="AF72" s="51">
        <f>SUM(AF73:AF132)</f>
        <v/>
      </c>
      <c r="AG72" s="51">
        <f>SUM(AG73:AG132)</f>
        <v/>
      </c>
      <c r="AH72" s="51">
        <f>SUM(AH73:AH132)</f>
        <v/>
      </c>
      <c r="AI72" s="51">
        <f>SUM(AI73:AI132)</f>
        <v/>
      </c>
      <c r="AJ72" s="51">
        <f>SUM(AJ73:AJ132)</f>
        <v/>
      </c>
      <c r="AK72" s="51">
        <f>SUM(AK73:AK132)</f>
        <v/>
      </c>
      <c r="AL72" s="51">
        <f>SUM(AL73:AL132)</f>
        <v/>
      </c>
      <c r="AM72" s="51">
        <f>SUM(AM73:AM132)</f>
        <v/>
      </c>
      <c r="AN72" s="51">
        <f>SUM(AN73:AN132)</f>
        <v/>
      </c>
      <c r="AO72" s="51">
        <f>SUM(AO73:AO132)</f>
        <v/>
      </c>
      <c r="AP72" s="51">
        <f>SUM(AP73:AP132)</f>
        <v/>
      </c>
      <c r="AQ72" s="51">
        <f>SUM(AQ73:AQ132)</f>
        <v/>
      </c>
      <c r="AR72" s="51">
        <f>SUM(AR73:AR132)</f>
        <v/>
      </c>
      <c r="AS72" s="51">
        <f>SUM(AS73:AS132)</f>
        <v/>
      </c>
      <c r="AT72" s="51">
        <f>SUM(AT73:AT132)</f>
        <v/>
      </c>
      <c r="AU72" s="51">
        <f>SUM(AU73:AU132)</f>
        <v/>
      </c>
      <c r="AV72" s="51">
        <f>SUM(AV73:AV132)</f>
        <v/>
      </c>
      <c r="AW72" s="51">
        <f>SUM(AW73:AW132)</f>
        <v/>
      </c>
      <c r="AX72" s="51">
        <f>SUM(AX73:AX132)</f>
        <v/>
      </c>
      <c r="AY72" s="51">
        <f>SUM(AY73:AY132)</f>
        <v/>
      </c>
      <c r="AZ72" s="51">
        <f>SUM(AZ73:AZ132)</f>
        <v/>
      </c>
      <c r="BA72" s="51">
        <f>SUM(BA73:BA132)</f>
        <v/>
      </c>
      <c r="BB72" s="51">
        <f>SUM(BB73:BB132)</f>
        <v/>
      </c>
      <c r="BC72" s="51">
        <f>SUM(BC73:BC132)</f>
        <v/>
      </c>
      <c r="BD72" s="51">
        <f>SUM(BD73:BD132)</f>
        <v/>
      </c>
      <c r="BE72" s="51">
        <f>SUM(BE73:BE132)</f>
        <v/>
      </c>
      <c r="BF72" s="51">
        <f>SUM(BF73:BF132)</f>
        <v/>
      </c>
      <c r="BG72" s="51">
        <f>SUM(BG73:BG132)</f>
        <v/>
      </c>
      <c r="BH72" s="51">
        <f>SUM(BH73:BH132)</f>
        <v/>
      </c>
      <c r="BI72" s="51">
        <f>SUM(BI73:BI132)</f>
        <v/>
      </c>
      <c r="BJ72" s="51">
        <f>SUM(BJ73:BJ132)</f>
        <v/>
      </c>
      <c r="BK72" s="51">
        <f>SUM(BK73:BK132)</f>
        <v/>
      </c>
      <c r="BL72" s="51">
        <f>SUM(BL73:BL132)</f>
        <v/>
      </c>
    </row>
    <row r="73">
      <c r="A73" s="55" t="inlineStr">
        <is>
          <t>Cohort month 1</t>
        </is>
      </c>
      <c r="B73" s="55" t="n">
        <v>1</v>
      </c>
      <c r="C73" s="46">
        <f>INDEX(Ops!$E$24:$BL$24,1,$B73)</f>
        <v/>
      </c>
      <c r="F73" s="56">
        <f>$C73*INDEX(Curves!$P$8:$P$68,F$4-$B73+1)</f>
        <v/>
      </c>
      <c r="G73" s="56">
        <f>$C73*INDEX(Curves!$P$8:$P$68,G$4-$B73+1)</f>
        <v/>
      </c>
      <c r="H73" s="56">
        <f>$C73*INDEX(Curves!$P$8:$P$68,H$4-$B73+1)</f>
        <v/>
      </c>
      <c r="I73" s="56">
        <f>$C73*INDEX(Curves!$P$8:$P$68,I$4-$B73+1)</f>
        <v/>
      </c>
      <c r="J73" s="56">
        <f>$C73*INDEX(Curves!$P$8:$P$68,J$4-$B73+1)</f>
        <v/>
      </c>
      <c r="K73" s="56">
        <f>$C73*INDEX(Curves!$P$8:$P$68,K$4-$B73+1)</f>
        <v/>
      </c>
      <c r="L73" s="56">
        <f>$C73*INDEX(Curves!$P$8:$P$68,L$4-$B73+1)</f>
        <v/>
      </c>
      <c r="M73" s="56">
        <f>$C73*INDEX(Curves!$P$8:$P$68,M$4-$B73+1)</f>
        <v/>
      </c>
      <c r="N73" s="56">
        <f>$C73*INDEX(Curves!$P$8:$P$68,N$4-$B73+1)</f>
        <v/>
      </c>
      <c r="O73" s="56">
        <f>$C73*INDEX(Curves!$P$8:$P$68,O$4-$B73+1)</f>
        <v/>
      </c>
      <c r="P73" s="56">
        <f>$C73*INDEX(Curves!$P$8:$P$68,P$4-$B73+1)</f>
        <v/>
      </c>
      <c r="Q73" s="56">
        <f>$C73*INDEX(Curves!$P$8:$P$68,Q$4-$B73+1)</f>
        <v/>
      </c>
      <c r="R73" s="56">
        <f>$C73*INDEX(Curves!$P$8:$P$68,R$4-$B73+1)</f>
        <v/>
      </c>
      <c r="S73" s="56">
        <f>$C73*INDEX(Curves!$P$8:$P$68,S$4-$B73+1)</f>
        <v/>
      </c>
      <c r="T73" s="56">
        <f>$C73*INDEX(Curves!$P$8:$P$68,T$4-$B73+1)</f>
        <v/>
      </c>
      <c r="U73" s="56">
        <f>$C73*INDEX(Curves!$P$8:$P$68,U$4-$B73+1)</f>
        <v/>
      </c>
      <c r="V73" s="56">
        <f>$C73*INDEX(Curves!$P$8:$P$68,V$4-$B73+1)</f>
        <v/>
      </c>
      <c r="W73" s="56">
        <f>$C73*INDEX(Curves!$P$8:$P$68,W$4-$B73+1)</f>
        <v/>
      </c>
      <c r="X73" s="56">
        <f>$C73*INDEX(Curves!$P$8:$P$68,X$4-$B73+1)</f>
        <v/>
      </c>
      <c r="Y73" s="56">
        <f>$C73*INDEX(Curves!$P$8:$P$68,Y$4-$B73+1)</f>
        <v/>
      </c>
      <c r="Z73" s="56">
        <f>$C73*INDEX(Curves!$P$8:$P$68,Z$4-$B73+1)</f>
        <v/>
      </c>
      <c r="AA73" s="56">
        <f>$C73*INDEX(Curves!$P$8:$P$68,AA$4-$B73+1)</f>
        <v/>
      </c>
      <c r="AB73" s="56">
        <f>$C73*INDEX(Curves!$P$8:$P$68,AB$4-$B73+1)</f>
        <v/>
      </c>
      <c r="AC73" s="56">
        <f>$C73*INDEX(Curves!$P$8:$P$68,AC$4-$B73+1)</f>
        <v/>
      </c>
      <c r="AD73" s="56">
        <f>$C73*INDEX(Curves!$P$8:$P$68,AD$4-$B73+1)</f>
        <v/>
      </c>
      <c r="AE73" s="56">
        <f>$C73*INDEX(Curves!$P$8:$P$68,AE$4-$B73+1)</f>
        <v/>
      </c>
      <c r="AF73" s="56">
        <f>$C73*INDEX(Curves!$P$8:$P$68,AF$4-$B73+1)</f>
        <v/>
      </c>
      <c r="AG73" s="56">
        <f>$C73*INDEX(Curves!$P$8:$P$68,AG$4-$B73+1)</f>
        <v/>
      </c>
      <c r="AH73" s="56">
        <f>$C73*INDEX(Curves!$P$8:$P$68,AH$4-$B73+1)</f>
        <v/>
      </c>
      <c r="AI73" s="56">
        <f>$C73*INDEX(Curves!$P$8:$P$68,AI$4-$B73+1)</f>
        <v/>
      </c>
      <c r="AJ73" s="56">
        <f>$C73*INDEX(Curves!$P$8:$P$68,AJ$4-$B73+1)</f>
        <v/>
      </c>
      <c r="AK73" s="56">
        <f>$C73*INDEX(Curves!$P$8:$P$68,AK$4-$B73+1)</f>
        <v/>
      </c>
      <c r="AL73" s="56">
        <f>$C73*INDEX(Curves!$P$8:$P$68,AL$4-$B73+1)</f>
        <v/>
      </c>
      <c r="AM73" s="56">
        <f>$C73*INDEX(Curves!$P$8:$P$68,AM$4-$B73+1)</f>
        <v/>
      </c>
      <c r="AN73" s="56">
        <f>$C73*INDEX(Curves!$P$8:$P$68,AN$4-$B73+1)</f>
        <v/>
      </c>
      <c r="AO73" s="56">
        <f>$C73*INDEX(Curves!$P$8:$P$68,AO$4-$B73+1)</f>
        <v/>
      </c>
      <c r="AP73" s="56">
        <f>$C73*INDEX(Curves!$P$8:$P$68,AP$4-$B73+1)</f>
        <v/>
      </c>
      <c r="AQ73" s="56">
        <f>$C73*INDEX(Curves!$P$8:$P$68,AQ$4-$B73+1)</f>
        <v/>
      </c>
      <c r="AR73" s="56">
        <f>$C73*INDEX(Curves!$P$8:$P$68,AR$4-$B73+1)</f>
        <v/>
      </c>
      <c r="AS73" s="56">
        <f>$C73*INDEX(Curves!$P$8:$P$68,AS$4-$B73+1)</f>
        <v/>
      </c>
      <c r="AT73" s="56">
        <f>$C73*INDEX(Curves!$P$8:$P$68,AT$4-$B73+1)</f>
        <v/>
      </c>
      <c r="AU73" s="56">
        <f>$C73*INDEX(Curves!$P$8:$P$68,AU$4-$B73+1)</f>
        <v/>
      </c>
      <c r="AV73" s="56">
        <f>$C73*INDEX(Curves!$P$8:$P$68,AV$4-$B73+1)</f>
        <v/>
      </c>
      <c r="AW73" s="56">
        <f>$C73*INDEX(Curves!$P$8:$P$68,AW$4-$B73+1)</f>
        <v/>
      </c>
      <c r="AX73" s="56">
        <f>$C73*INDEX(Curves!$P$8:$P$68,AX$4-$B73+1)</f>
        <v/>
      </c>
      <c r="AY73" s="56">
        <f>$C73*INDEX(Curves!$P$8:$P$68,AY$4-$B73+1)</f>
        <v/>
      </c>
      <c r="AZ73" s="56">
        <f>$C73*INDEX(Curves!$P$8:$P$68,AZ$4-$B73+1)</f>
        <v/>
      </c>
      <c r="BA73" s="56">
        <f>$C73*INDEX(Curves!$P$8:$P$68,BA$4-$B73+1)</f>
        <v/>
      </c>
      <c r="BB73" s="56">
        <f>$C73*INDEX(Curves!$P$8:$P$68,BB$4-$B73+1)</f>
        <v/>
      </c>
      <c r="BC73" s="56">
        <f>$C73*INDEX(Curves!$P$8:$P$68,BC$4-$B73+1)</f>
        <v/>
      </c>
      <c r="BD73" s="56">
        <f>$C73*INDEX(Curves!$P$8:$P$68,BD$4-$B73+1)</f>
        <v/>
      </c>
      <c r="BE73" s="56">
        <f>$C73*INDEX(Curves!$P$8:$P$68,BE$4-$B73+1)</f>
        <v/>
      </c>
      <c r="BF73" s="56">
        <f>$C73*INDEX(Curves!$P$8:$P$68,BF$4-$B73+1)</f>
        <v/>
      </c>
      <c r="BG73" s="56">
        <f>$C73*INDEX(Curves!$P$8:$P$68,BG$4-$B73+1)</f>
        <v/>
      </c>
      <c r="BH73" s="56">
        <f>$C73*INDEX(Curves!$P$8:$P$68,BH$4-$B73+1)</f>
        <v/>
      </c>
      <c r="BI73" s="56">
        <f>$C73*INDEX(Curves!$P$8:$P$68,BI$4-$B73+1)</f>
        <v/>
      </c>
      <c r="BJ73" s="56">
        <f>$C73*INDEX(Curves!$P$8:$P$68,BJ$4-$B73+1)</f>
        <v/>
      </c>
      <c r="BK73" s="56">
        <f>$C73*INDEX(Curves!$P$8:$P$68,BK$4-$B73+1)</f>
        <v/>
      </c>
      <c r="BL73" s="56">
        <f>$C73*INDEX(Curves!$P$8:$P$68,BL$4-$B73+1)</f>
        <v/>
      </c>
    </row>
    <row r="74">
      <c r="A74" s="55" t="inlineStr">
        <is>
          <t>Cohort month 2</t>
        </is>
      </c>
      <c r="B74" s="55" t="n">
        <v>2</v>
      </c>
      <c r="C74" s="46">
        <f>INDEX(Ops!$E$24:$BL$24,1,$B74)</f>
        <v/>
      </c>
      <c r="G74" s="56">
        <f>$C74*INDEX(Curves!$P$8:$P$68,G$4-$B74+1)</f>
        <v/>
      </c>
      <c r="H74" s="56">
        <f>$C74*INDEX(Curves!$P$8:$P$68,H$4-$B74+1)</f>
        <v/>
      </c>
      <c r="I74" s="56">
        <f>$C74*INDEX(Curves!$P$8:$P$68,I$4-$B74+1)</f>
        <v/>
      </c>
      <c r="J74" s="56">
        <f>$C74*INDEX(Curves!$P$8:$P$68,J$4-$B74+1)</f>
        <v/>
      </c>
      <c r="K74" s="56">
        <f>$C74*INDEX(Curves!$P$8:$P$68,K$4-$B74+1)</f>
        <v/>
      </c>
      <c r="L74" s="56">
        <f>$C74*INDEX(Curves!$P$8:$P$68,L$4-$B74+1)</f>
        <v/>
      </c>
      <c r="M74" s="56">
        <f>$C74*INDEX(Curves!$P$8:$P$68,M$4-$B74+1)</f>
        <v/>
      </c>
      <c r="N74" s="56">
        <f>$C74*INDEX(Curves!$P$8:$P$68,N$4-$B74+1)</f>
        <v/>
      </c>
      <c r="O74" s="56">
        <f>$C74*INDEX(Curves!$P$8:$P$68,O$4-$B74+1)</f>
        <v/>
      </c>
      <c r="P74" s="56">
        <f>$C74*INDEX(Curves!$P$8:$P$68,P$4-$B74+1)</f>
        <v/>
      </c>
      <c r="Q74" s="56">
        <f>$C74*INDEX(Curves!$P$8:$P$68,Q$4-$B74+1)</f>
        <v/>
      </c>
      <c r="R74" s="56">
        <f>$C74*INDEX(Curves!$P$8:$P$68,R$4-$B74+1)</f>
        <v/>
      </c>
      <c r="S74" s="56">
        <f>$C74*INDEX(Curves!$P$8:$P$68,S$4-$B74+1)</f>
        <v/>
      </c>
      <c r="T74" s="56">
        <f>$C74*INDEX(Curves!$P$8:$P$68,T$4-$B74+1)</f>
        <v/>
      </c>
      <c r="U74" s="56">
        <f>$C74*INDEX(Curves!$P$8:$P$68,U$4-$B74+1)</f>
        <v/>
      </c>
      <c r="V74" s="56">
        <f>$C74*INDEX(Curves!$P$8:$P$68,V$4-$B74+1)</f>
        <v/>
      </c>
      <c r="W74" s="56">
        <f>$C74*INDEX(Curves!$P$8:$P$68,W$4-$B74+1)</f>
        <v/>
      </c>
      <c r="X74" s="56">
        <f>$C74*INDEX(Curves!$P$8:$P$68,X$4-$B74+1)</f>
        <v/>
      </c>
      <c r="Y74" s="56">
        <f>$C74*INDEX(Curves!$P$8:$P$68,Y$4-$B74+1)</f>
        <v/>
      </c>
      <c r="Z74" s="56">
        <f>$C74*INDEX(Curves!$P$8:$P$68,Z$4-$B74+1)</f>
        <v/>
      </c>
      <c r="AA74" s="56">
        <f>$C74*INDEX(Curves!$P$8:$P$68,AA$4-$B74+1)</f>
        <v/>
      </c>
      <c r="AB74" s="56">
        <f>$C74*INDEX(Curves!$P$8:$P$68,AB$4-$B74+1)</f>
        <v/>
      </c>
      <c r="AC74" s="56">
        <f>$C74*INDEX(Curves!$P$8:$P$68,AC$4-$B74+1)</f>
        <v/>
      </c>
      <c r="AD74" s="56">
        <f>$C74*INDEX(Curves!$P$8:$P$68,AD$4-$B74+1)</f>
        <v/>
      </c>
      <c r="AE74" s="56">
        <f>$C74*INDEX(Curves!$P$8:$P$68,AE$4-$B74+1)</f>
        <v/>
      </c>
      <c r="AF74" s="56">
        <f>$C74*INDEX(Curves!$P$8:$P$68,AF$4-$B74+1)</f>
        <v/>
      </c>
      <c r="AG74" s="56">
        <f>$C74*INDEX(Curves!$P$8:$P$68,AG$4-$B74+1)</f>
        <v/>
      </c>
      <c r="AH74" s="56">
        <f>$C74*INDEX(Curves!$P$8:$P$68,AH$4-$B74+1)</f>
        <v/>
      </c>
      <c r="AI74" s="56">
        <f>$C74*INDEX(Curves!$P$8:$P$68,AI$4-$B74+1)</f>
        <v/>
      </c>
      <c r="AJ74" s="56">
        <f>$C74*INDEX(Curves!$P$8:$P$68,AJ$4-$B74+1)</f>
        <v/>
      </c>
      <c r="AK74" s="56">
        <f>$C74*INDEX(Curves!$P$8:$P$68,AK$4-$B74+1)</f>
        <v/>
      </c>
      <c r="AL74" s="56">
        <f>$C74*INDEX(Curves!$P$8:$P$68,AL$4-$B74+1)</f>
        <v/>
      </c>
      <c r="AM74" s="56">
        <f>$C74*INDEX(Curves!$P$8:$P$68,AM$4-$B74+1)</f>
        <v/>
      </c>
      <c r="AN74" s="56">
        <f>$C74*INDEX(Curves!$P$8:$P$68,AN$4-$B74+1)</f>
        <v/>
      </c>
      <c r="AO74" s="56">
        <f>$C74*INDEX(Curves!$P$8:$P$68,AO$4-$B74+1)</f>
        <v/>
      </c>
      <c r="AP74" s="56">
        <f>$C74*INDEX(Curves!$P$8:$P$68,AP$4-$B74+1)</f>
        <v/>
      </c>
      <c r="AQ74" s="56">
        <f>$C74*INDEX(Curves!$P$8:$P$68,AQ$4-$B74+1)</f>
        <v/>
      </c>
      <c r="AR74" s="56">
        <f>$C74*INDEX(Curves!$P$8:$P$68,AR$4-$B74+1)</f>
        <v/>
      </c>
      <c r="AS74" s="56">
        <f>$C74*INDEX(Curves!$P$8:$P$68,AS$4-$B74+1)</f>
        <v/>
      </c>
      <c r="AT74" s="56">
        <f>$C74*INDEX(Curves!$P$8:$P$68,AT$4-$B74+1)</f>
        <v/>
      </c>
      <c r="AU74" s="56">
        <f>$C74*INDEX(Curves!$P$8:$P$68,AU$4-$B74+1)</f>
        <v/>
      </c>
      <c r="AV74" s="56">
        <f>$C74*INDEX(Curves!$P$8:$P$68,AV$4-$B74+1)</f>
        <v/>
      </c>
      <c r="AW74" s="56">
        <f>$C74*INDEX(Curves!$P$8:$P$68,AW$4-$B74+1)</f>
        <v/>
      </c>
      <c r="AX74" s="56">
        <f>$C74*INDEX(Curves!$P$8:$P$68,AX$4-$B74+1)</f>
        <v/>
      </c>
      <c r="AY74" s="56">
        <f>$C74*INDEX(Curves!$P$8:$P$68,AY$4-$B74+1)</f>
        <v/>
      </c>
      <c r="AZ74" s="56">
        <f>$C74*INDEX(Curves!$P$8:$P$68,AZ$4-$B74+1)</f>
        <v/>
      </c>
      <c r="BA74" s="56">
        <f>$C74*INDEX(Curves!$P$8:$P$68,BA$4-$B74+1)</f>
        <v/>
      </c>
      <c r="BB74" s="56">
        <f>$C74*INDEX(Curves!$P$8:$P$68,BB$4-$B74+1)</f>
        <v/>
      </c>
      <c r="BC74" s="56">
        <f>$C74*INDEX(Curves!$P$8:$P$68,BC$4-$B74+1)</f>
        <v/>
      </c>
      <c r="BD74" s="56">
        <f>$C74*INDEX(Curves!$P$8:$P$68,BD$4-$B74+1)</f>
        <v/>
      </c>
      <c r="BE74" s="56">
        <f>$C74*INDEX(Curves!$P$8:$P$68,BE$4-$B74+1)</f>
        <v/>
      </c>
      <c r="BF74" s="56">
        <f>$C74*INDEX(Curves!$P$8:$P$68,BF$4-$B74+1)</f>
        <v/>
      </c>
      <c r="BG74" s="56">
        <f>$C74*INDEX(Curves!$P$8:$P$68,BG$4-$B74+1)</f>
        <v/>
      </c>
      <c r="BH74" s="56">
        <f>$C74*INDEX(Curves!$P$8:$P$68,BH$4-$B74+1)</f>
        <v/>
      </c>
      <c r="BI74" s="56">
        <f>$C74*INDEX(Curves!$P$8:$P$68,BI$4-$B74+1)</f>
        <v/>
      </c>
      <c r="BJ74" s="56">
        <f>$C74*INDEX(Curves!$P$8:$P$68,BJ$4-$B74+1)</f>
        <v/>
      </c>
      <c r="BK74" s="56">
        <f>$C74*INDEX(Curves!$P$8:$P$68,BK$4-$B74+1)</f>
        <v/>
      </c>
      <c r="BL74" s="56">
        <f>$C74*INDEX(Curves!$P$8:$P$68,BL$4-$B74+1)</f>
        <v/>
      </c>
    </row>
    <row r="75">
      <c r="A75" s="55" t="inlineStr">
        <is>
          <t>Cohort month 3</t>
        </is>
      </c>
      <c r="B75" s="55" t="n">
        <v>3</v>
      </c>
      <c r="C75" s="46">
        <f>INDEX(Ops!$E$24:$BL$24,1,$B75)</f>
        <v/>
      </c>
      <c r="H75" s="56">
        <f>$C75*INDEX(Curves!$P$8:$P$68,H$4-$B75+1)</f>
        <v/>
      </c>
      <c r="I75" s="56">
        <f>$C75*INDEX(Curves!$P$8:$P$68,I$4-$B75+1)</f>
        <v/>
      </c>
      <c r="J75" s="56">
        <f>$C75*INDEX(Curves!$P$8:$P$68,J$4-$B75+1)</f>
        <v/>
      </c>
      <c r="K75" s="56">
        <f>$C75*INDEX(Curves!$P$8:$P$68,K$4-$B75+1)</f>
        <v/>
      </c>
      <c r="L75" s="56">
        <f>$C75*INDEX(Curves!$P$8:$P$68,L$4-$B75+1)</f>
        <v/>
      </c>
      <c r="M75" s="56">
        <f>$C75*INDEX(Curves!$P$8:$P$68,M$4-$B75+1)</f>
        <v/>
      </c>
      <c r="N75" s="56">
        <f>$C75*INDEX(Curves!$P$8:$P$68,N$4-$B75+1)</f>
        <v/>
      </c>
      <c r="O75" s="56">
        <f>$C75*INDEX(Curves!$P$8:$P$68,O$4-$B75+1)</f>
        <v/>
      </c>
      <c r="P75" s="56">
        <f>$C75*INDEX(Curves!$P$8:$P$68,P$4-$B75+1)</f>
        <v/>
      </c>
      <c r="Q75" s="56">
        <f>$C75*INDEX(Curves!$P$8:$P$68,Q$4-$B75+1)</f>
        <v/>
      </c>
      <c r="R75" s="56">
        <f>$C75*INDEX(Curves!$P$8:$P$68,R$4-$B75+1)</f>
        <v/>
      </c>
      <c r="S75" s="56">
        <f>$C75*INDEX(Curves!$P$8:$P$68,S$4-$B75+1)</f>
        <v/>
      </c>
      <c r="T75" s="56">
        <f>$C75*INDEX(Curves!$P$8:$P$68,T$4-$B75+1)</f>
        <v/>
      </c>
      <c r="U75" s="56">
        <f>$C75*INDEX(Curves!$P$8:$P$68,U$4-$B75+1)</f>
        <v/>
      </c>
      <c r="V75" s="56">
        <f>$C75*INDEX(Curves!$P$8:$P$68,V$4-$B75+1)</f>
        <v/>
      </c>
      <c r="W75" s="56">
        <f>$C75*INDEX(Curves!$P$8:$P$68,W$4-$B75+1)</f>
        <v/>
      </c>
      <c r="X75" s="56">
        <f>$C75*INDEX(Curves!$P$8:$P$68,X$4-$B75+1)</f>
        <v/>
      </c>
      <c r="Y75" s="56">
        <f>$C75*INDEX(Curves!$P$8:$P$68,Y$4-$B75+1)</f>
        <v/>
      </c>
      <c r="Z75" s="56">
        <f>$C75*INDEX(Curves!$P$8:$P$68,Z$4-$B75+1)</f>
        <v/>
      </c>
      <c r="AA75" s="56">
        <f>$C75*INDEX(Curves!$P$8:$P$68,AA$4-$B75+1)</f>
        <v/>
      </c>
      <c r="AB75" s="56">
        <f>$C75*INDEX(Curves!$P$8:$P$68,AB$4-$B75+1)</f>
        <v/>
      </c>
      <c r="AC75" s="56">
        <f>$C75*INDEX(Curves!$P$8:$P$68,AC$4-$B75+1)</f>
        <v/>
      </c>
      <c r="AD75" s="56">
        <f>$C75*INDEX(Curves!$P$8:$P$68,AD$4-$B75+1)</f>
        <v/>
      </c>
      <c r="AE75" s="56">
        <f>$C75*INDEX(Curves!$P$8:$P$68,AE$4-$B75+1)</f>
        <v/>
      </c>
      <c r="AF75" s="56">
        <f>$C75*INDEX(Curves!$P$8:$P$68,AF$4-$B75+1)</f>
        <v/>
      </c>
      <c r="AG75" s="56">
        <f>$C75*INDEX(Curves!$P$8:$P$68,AG$4-$B75+1)</f>
        <v/>
      </c>
      <c r="AH75" s="56">
        <f>$C75*INDEX(Curves!$P$8:$P$68,AH$4-$B75+1)</f>
        <v/>
      </c>
      <c r="AI75" s="56">
        <f>$C75*INDEX(Curves!$P$8:$P$68,AI$4-$B75+1)</f>
        <v/>
      </c>
      <c r="AJ75" s="56">
        <f>$C75*INDEX(Curves!$P$8:$P$68,AJ$4-$B75+1)</f>
        <v/>
      </c>
      <c r="AK75" s="56">
        <f>$C75*INDEX(Curves!$P$8:$P$68,AK$4-$B75+1)</f>
        <v/>
      </c>
      <c r="AL75" s="56">
        <f>$C75*INDEX(Curves!$P$8:$P$68,AL$4-$B75+1)</f>
        <v/>
      </c>
      <c r="AM75" s="56">
        <f>$C75*INDEX(Curves!$P$8:$P$68,AM$4-$B75+1)</f>
        <v/>
      </c>
      <c r="AN75" s="56">
        <f>$C75*INDEX(Curves!$P$8:$P$68,AN$4-$B75+1)</f>
        <v/>
      </c>
      <c r="AO75" s="56">
        <f>$C75*INDEX(Curves!$P$8:$P$68,AO$4-$B75+1)</f>
        <v/>
      </c>
      <c r="AP75" s="56">
        <f>$C75*INDEX(Curves!$P$8:$P$68,AP$4-$B75+1)</f>
        <v/>
      </c>
      <c r="AQ75" s="56">
        <f>$C75*INDEX(Curves!$P$8:$P$68,AQ$4-$B75+1)</f>
        <v/>
      </c>
      <c r="AR75" s="56">
        <f>$C75*INDEX(Curves!$P$8:$P$68,AR$4-$B75+1)</f>
        <v/>
      </c>
      <c r="AS75" s="56">
        <f>$C75*INDEX(Curves!$P$8:$P$68,AS$4-$B75+1)</f>
        <v/>
      </c>
      <c r="AT75" s="56">
        <f>$C75*INDEX(Curves!$P$8:$P$68,AT$4-$B75+1)</f>
        <v/>
      </c>
      <c r="AU75" s="56">
        <f>$C75*INDEX(Curves!$P$8:$P$68,AU$4-$B75+1)</f>
        <v/>
      </c>
      <c r="AV75" s="56">
        <f>$C75*INDEX(Curves!$P$8:$P$68,AV$4-$B75+1)</f>
        <v/>
      </c>
      <c r="AW75" s="56">
        <f>$C75*INDEX(Curves!$P$8:$P$68,AW$4-$B75+1)</f>
        <v/>
      </c>
      <c r="AX75" s="56">
        <f>$C75*INDEX(Curves!$P$8:$P$68,AX$4-$B75+1)</f>
        <v/>
      </c>
      <c r="AY75" s="56">
        <f>$C75*INDEX(Curves!$P$8:$P$68,AY$4-$B75+1)</f>
        <v/>
      </c>
      <c r="AZ75" s="56">
        <f>$C75*INDEX(Curves!$P$8:$P$68,AZ$4-$B75+1)</f>
        <v/>
      </c>
      <c r="BA75" s="56">
        <f>$C75*INDEX(Curves!$P$8:$P$68,BA$4-$B75+1)</f>
        <v/>
      </c>
      <c r="BB75" s="56">
        <f>$C75*INDEX(Curves!$P$8:$P$68,BB$4-$B75+1)</f>
        <v/>
      </c>
      <c r="BC75" s="56">
        <f>$C75*INDEX(Curves!$P$8:$P$68,BC$4-$B75+1)</f>
        <v/>
      </c>
      <c r="BD75" s="56">
        <f>$C75*INDEX(Curves!$P$8:$P$68,BD$4-$B75+1)</f>
        <v/>
      </c>
      <c r="BE75" s="56">
        <f>$C75*INDEX(Curves!$P$8:$P$68,BE$4-$B75+1)</f>
        <v/>
      </c>
      <c r="BF75" s="56">
        <f>$C75*INDEX(Curves!$P$8:$P$68,BF$4-$B75+1)</f>
        <v/>
      </c>
      <c r="BG75" s="56">
        <f>$C75*INDEX(Curves!$P$8:$P$68,BG$4-$B75+1)</f>
        <v/>
      </c>
      <c r="BH75" s="56">
        <f>$C75*INDEX(Curves!$P$8:$P$68,BH$4-$B75+1)</f>
        <v/>
      </c>
      <c r="BI75" s="56">
        <f>$C75*INDEX(Curves!$P$8:$P$68,BI$4-$B75+1)</f>
        <v/>
      </c>
      <c r="BJ75" s="56">
        <f>$C75*INDEX(Curves!$P$8:$P$68,BJ$4-$B75+1)</f>
        <v/>
      </c>
      <c r="BK75" s="56">
        <f>$C75*INDEX(Curves!$P$8:$P$68,BK$4-$B75+1)</f>
        <v/>
      </c>
      <c r="BL75" s="56">
        <f>$C75*INDEX(Curves!$P$8:$P$68,BL$4-$B75+1)</f>
        <v/>
      </c>
    </row>
    <row r="76">
      <c r="A76" s="55" t="inlineStr">
        <is>
          <t>Cohort month 4</t>
        </is>
      </c>
      <c r="B76" s="55" t="n">
        <v>4</v>
      </c>
      <c r="C76" s="46">
        <f>INDEX(Ops!$E$24:$BL$24,1,$B76)</f>
        <v/>
      </c>
      <c r="I76" s="56">
        <f>$C76*INDEX(Curves!$P$8:$P$68,I$4-$B76+1)</f>
        <v/>
      </c>
      <c r="J76" s="56">
        <f>$C76*INDEX(Curves!$P$8:$P$68,J$4-$B76+1)</f>
        <v/>
      </c>
      <c r="K76" s="56">
        <f>$C76*INDEX(Curves!$P$8:$P$68,K$4-$B76+1)</f>
        <v/>
      </c>
      <c r="L76" s="56">
        <f>$C76*INDEX(Curves!$P$8:$P$68,L$4-$B76+1)</f>
        <v/>
      </c>
      <c r="M76" s="56">
        <f>$C76*INDEX(Curves!$P$8:$P$68,M$4-$B76+1)</f>
        <v/>
      </c>
      <c r="N76" s="56">
        <f>$C76*INDEX(Curves!$P$8:$P$68,N$4-$B76+1)</f>
        <v/>
      </c>
      <c r="O76" s="56">
        <f>$C76*INDEX(Curves!$P$8:$P$68,O$4-$B76+1)</f>
        <v/>
      </c>
      <c r="P76" s="56">
        <f>$C76*INDEX(Curves!$P$8:$P$68,P$4-$B76+1)</f>
        <v/>
      </c>
      <c r="Q76" s="56">
        <f>$C76*INDEX(Curves!$P$8:$P$68,Q$4-$B76+1)</f>
        <v/>
      </c>
      <c r="R76" s="56">
        <f>$C76*INDEX(Curves!$P$8:$P$68,R$4-$B76+1)</f>
        <v/>
      </c>
      <c r="S76" s="56">
        <f>$C76*INDEX(Curves!$P$8:$P$68,S$4-$B76+1)</f>
        <v/>
      </c>
      <c r="T76" s="56">
        <f>$C76*INDEX(Curves!$P$8:$P$68,T$4-$B76+1)</f>
        <v/>
      </c>
      <c r="U76" s="56">
        <f>$C76*INDEX(Curves!$P$8:$P$68,U$4-$B76+1)</f>
        <v/>
      </c>
      <c r="V76" s="56">
        <f>$C76*INDEX(Curves!$P$8:$P$68,V$4-$B76+1)</f>
        <v/>
      </c>
      <c r="W76" s="56">
        <f>$C76*INDEX(Curves!$P$8:$P$68,W$4-$B76+1)</f>
        <v/>
      </c>
      <c r="X76" s="56">
        <f>$C76*INDEX(Curves!$P$8:$P$68,X$4-$B76+1)</f>
        <v/>
      </c>
      <c r="Y76" s="56">
        <f>$C76*INDEX(Curves!$P$8:$P$68,Y$4-$B76+1)</f>
        <v/>
      </c>
      <c r="Z76" s="56">
        <f>$C76*INDEX(Curves!$P$8:$P$68,Z$4-$B76+1)</f>
        <v/>
      </c>
      <c r="AA76" s="56">
        <f>$C76*INDEX(Curves!$P$8:$P$68,AA$4-$B76+1)</f>
        <v/>
      </c>
      <c r="AB76" s="56">
        <f>$C76*INDEX(Curves!$P$8:$P$68,AB$4-$B76+1)</f>
        <v/>
      </c>
      <c r="AC76" s="56">
        <f>$C76*INDEX(Curves!$P$8:$P$68,AC$4-$B76+1)</f>
        <v/>
      </c>
      <c r="AD76" s="56">
        <f>$C76*INDEX(Curves!$P$8:$P$68,AD$4-$B76+1)</f>
        <v/>
      </c>
      <c r="AE76" s="56">
        <f>$C76*INDEX(Curves!$P$8:$P$68,AE$4-$B76+1)</f>
        <v/>
      </c>
      <c r="AF76" s="56">
        <f>$C76*INDEX(Curves!$P$8:$P$68,AF$4-$B76+1)</f>
        <v/>
      </c>
      <c r="AG76" s="56">
        <f>$C76*INDEX(Curves!$P$8:$P$68,AG$4-$B76+1)</f>
        <v/>
      </c>
      <c r="AH76" s="56">
        <f>$C76*INDEX(Curves!$P$8:$P$68,AH$4-$B76+1)</f>
        <v/>
      </c>
      <c r="AI76" s="56">
        <f>$C76*INDEX(Curves!$P$8:$P$68,AI$4-$B76+1)</f>
        <v/>
      </c>
      <c r="AJ76" s="56">
        <f>$C76*INDEX(Curves!$P$8:$P$68,AJ$4-$B76+1)</f>
        <v/>
      </c>
      <c r="AK76" s="56">
        <f>$C76*INDEX(Curves!$P$8:$P$68,AK$4-$B76+1)</f>
        <v/>
      </c>
      <c r="AL76" s="56">
        <f>$C76*INDEX(Curves!$P$8:$P$68,AL$4-$B76+1)</f>
        <v/>
      </c>
      <c r="AM76" s="56">
        <f>$C76*INDEX(Curves!$P$8:$P$68,AM$4-$B76+1)</f>
        <v/>
      </c>
      <c r="AN76" s="56">
        <f>$C76*INDEX(Curves!$P$8:$P$68,AN$4-$B76+1)</f>
        <v/>
      </c>
      <c r="AO76" s="56">
        <f>$C76*INDEX(Curves!$P$8:$P$68,AO$4-$B76+1)</f>
        <v/>
      </c>
      <c r="AP76" s="56">
        <f>$C76*INDEX(Curves!$P$8:$P$68,AP$4-$B76+1)</f>
        <v/>
      </c>
      <c r="AQ76" s="56">
        <f>$C76*INDEX(Curves!$P$8:$P$68,AQ$4-$B76+1)</f>
        <v/>
      </c>
      <c r="AR76" s="56">
        <f>$C76*INDEX(Curves!$P$8:$P$68,AR$4-$B76+1)</f>
        <v/>
      </c>
      <c r="AS76" s="56">
        <f>$C76*INDEX(Curves!$P$8:$P$68,AS$4-$B76+1)</f>
        <v/>
      </c>
      <c r="AT76" s="56">
        <f>$C76*INDEX(Curves!$P$8:$P$68,AT$4-$B76+1)</f>
        <v/>
      </c>
      <c r="AU76" s="56">
        <f>$C76*INDEX(Curves!$P$8:$P$68,AU$4-$B76+1)</f>
        <v/>
      </c>
      <c r="AV76" s="56">
        <f>$C76*INDEX(Curves!$P$8:$P$68,AV$4-$B76+1)</f>
        <v/>
      </c>
      <c r="AW76" s="56">
        <f>$C76*INDEX(Curves!$P$8:$P$68,AW$4-$B76+1)</f>
        <v/>
      </c>
      <c r="AX76" s="56">
        <f>$C76*INDEX(Curves!$P$8:$P$68,AX$4-$B76+1)</f>
        <v/>
      </c>
      <c r="AY76" s="56">
        <f>$C76*INDEX(Curves!$P$8:$P$68,AY$4-$B76+1)</f>
        <v/>
      </c>
      <c r="AZ76" s="56">
        <f>$C76*INDEX(Curves!$P$8:$P$68,AZ$4-$B76+1)</f>
        <v/>
      </c>
      <c r="BA76" s="56">
        <f>$C76*INDEX(Curves!$P$8:$P$68,BA$4-$B76+1)</f>
        <v/>
      </c>
      <c r="BB76" s="56">
        <f>$C76*INDEX(Curves!$P$8:$P$68,BB$4-$B76+1)</f>
        <v/>
      </c>
      <c r="BC76" s="56">
        <f>$C76*INDEX(Curves!$P$8:$P$68,BC$4-$B76+1)</f>
        <v/>
      </c>
      <c r="BD76" s="56">
        <f>$C76*INDEX(Curves!$P$8:$P$68,BD$4-$B76+1)</f>
        <v/>
      </c>
      <c r="BE76" s="56">
        <f>$C76*INDEX(Curves!$P$8:$P$68,BE$4-$B76+1)</f>
        <v/>
      </c>
      <c r="BF76" s="56">
        <f>$C76*INDEX(Curves!$P$8:$P$68,BF$4-$B76+1)</f>
        <v/>
      </c>
      <c r="BG76" s="56">
        <f>$C76*INDEX(Curves!$P$8:$P$68,BG$4-$B76+1)</f>
        <v/>
      </c>
      <c r="BH76" s="56">
        <f>$C76*INDEX(Curves!$P$8:$P$68,BH$4-$B76+1)</f>
        <v/>
      </c>
      <c r="BI76" s="56">
        <f>$C76*INDEX(Curves!$P$8:$P$68,BI$4-$B76+1)</f>
        <v/>
      </c>
      <c r="BJ76" s="56">
        <f>$C76*INDEX(Curves!$P$8:$P$68,BJ$4-$B76+1)</f>
        <v/>
      </c>
      <c r="BK76" s="56">
        <f>$C76*INDEX(Curves!$P$8:$P$68,BK$4-$B76+1)</f>
        <v/>
      </c>
      <c r="BL76" s="56">
        <f>$C76*INDEX(Curves!$P$8:$P$68,BL$4-$B76+1)</f>
        <v/>
      </c>
    </row>
    <row r="77">
      <c r="A77" s="55" t="inlineStr">
        <is>
          <t>Cohort month 5</t>
        </is>
      </c>
      <c r="B77" s="55" t="n">
        <v>5</v>
      </c>
      <c r="C77" s="46">
        <f>INDEX(Ops!$E$24:$BL$24,1,$B77)</f>
        <v/>
      </c>
      <c r="J77" s="56">
        <f>$C77*INDEX(Curves!$P$8:$P$68,J$4-$B77+1)</f>
        <v/>
      </c>
      <c r="K77" s="56">
        <f>$C77*INDEX(Curves!$P$8:$P$68,K$4-$B77+1)</f>
        <v/>
      </c>
      <c r="L77" s="56">
        <f>$C77*INDEX(Curves!$P$8:$P$68,L$4-$B77+1)</f>
        <v/>
      </c>
      <c r="M77" s="56">
        <f>$C77*INDEX(Curves!$P$8:$P$68,M$4-$B77+1)</f>
        <v/>
      </c>
      <c r="N77" s="56">
        <f>$C77*INDEX(Curves!$P$8:$P$68,N$4-$B77+1)</f>
        <v/>
      </c>
      <c r="O77" s="56">
        <f>$C77*INDEX(Curves!$P$8:$P$68,O$4-$B77+1)</f>
        <v/>
      </c>
      <c r="P77" s="56">
        <f>$C77*INDEX(Curves!$P$8:$P$68,P$4-$B77+1)</f>
        <v/>
      </c>
      <c r="Q77" s="56">
        <f>$C77*INDEX(Curves!$P$8:$P$68,Q$4-$B77+1)</f>
        <v/>
      </c>
      <c r="R77" s="56">
        <f>$C77*INDEX(Curves!$P$8:$P$68,R$4-$B77+1)</f>
        <v/>
      </c>
      <c r="S77" s="56">
        <f>$C77*INDEX(Curves!$P$8:$P$68,S$4-$B77+1)</f>
        <v/>
      </c>
      <c r="T77" s="56">
        <f>$C77*INDEX(Curves!$P$8:$P$68,T$4-$B77+1)</f>
        <v/>
      </c>
      <c r="U77" s="56">
        <f>$C77*INDEX(Curves!$P$8:$P$68,U$4-$B77+1)</f>
        <v/>
      </c>
      <c r="V77" s="56">
        <f>$C77*INDEX(Curves!$P$8:$P$68,V$4-$B77+1)</f>
        <v/>
      </c>
      <c r="W77" s="56">
        <f>$C77*INDEX(Curves!$P$8:$P$68,W$4-$B77+1)</f>
        <v/>
      </c>
      <c r="X77" s="56">
        <f>$C77*INDEX(Curves!$P$8:$P$68,X$4-$B77+1)</f>
        <v/>
      </c>
      <c r="Y77" s="56">
        <f>$C77*INDEX(Curves!$P$8:$P$68,Y$4-$B77+1)</f>
        <v/>
      </c>
      <c r="Z77" s="56">
        <f>$C77*INDEX(Curves!$P$8:$P$68,Z$4-$B77+1)</f>
        <v/>
      </c>
      <c r="AA77" s="56">
        <f>$C77*INDEX(Curves!$P$8:$P$68,AA$4-$B77+1)</f>
        <v/>
      </c>
      <c r="AB77" s="56">
        <f>$C77*INDEX(Curves!$P$8:$P$68,AB$4-$B77+1)</f>
        <v/>
      </c>
      <c r="AC77" s="56">
        <f>$C77*INDEX(Curves!$P$8:$P$68,AC$4-$B77+1)</f>
        <v/>
      </c>
      <c r="AD77" s="56">
        <f>$C77*INDEX(Curves!$P$8:$P$68,AD$4-$B77+1)</f>
        <v/>
      </c>
      <c r="AE77" s="56">
        <f>$C77*INDEX(Curves!$P$8:$P$68,AE$4-$B77+1)</f>
        <v/>
      </c>
      <c r="AF77" s="56">
        <f>$C77*INDEX(Curves!$P$8:$P$68,AF$4-$B77+1)</f>
        <v/>
      </c>
      <c r="AG77" s="56">
        <f>$C77*INDEX(Curves!$P$8:$P$68,AG$4-$B77+1)</f>
        <v/>
      </c>
      <c r="AH77" s="56">
        <f>$C77*INDEX(Curves!$P$8:$P$68,AH$4-$B77+1)</f>
        <v/>
      </c>
      <c r="AI77" s="56">
        <f>$C77*INDEX(Curves!$P$8:$P$68,AI$4-$B77+1)</f>
        <v/>
      </c>
      <c r="AJ77" s="56">
        <f>$C77*INDEX(Curves!$P$8:$P$68,AJ$4-$B77+1)</f>
        <v/>
      </c>
      <c r="AK77" s="56">
        <f>$C77*INDEX(Curves!$P$8:$P$68,AK$4-$B77+1)</f>
        <v/>
      </c>
      <c r="AL77" s="56">
        <f>$C77*INDEX(Curves!$P$8:$P$68,AL$4-$B77+1)</f>
        <v/>
      </c>
      <c r="AM77" s="56">
        <f>$C77*INDEX(Curves!$P$8:$P$68,AM$4-$B77+1)</f>
        <v/>
      </c>
      <c r="AN77" s="56">
        <f>$C77*INDEX(Curves!$P$8:$P$68,AN$4-$B77+1)</f>
        <v/>
      </c>
      <c r="AO77" s="56">
        <f>$C77*INDEX(Curves!$P$8:$P$68,AO$4-$B77+1)</f>
        <v/>
      </c>
      <c r="AP77" s="56">
        <f>$C77*INDEX(Curves!$P$8:$P$68,AP$4-$B77+1)</f>
        <v/>
      </c>
      <c r="AQ77" s="56">
        <f>$C77*INDEX(Curves!$P$8:$P$68,AQ$4-$B77+1)</f>
        <v/>
      </c>
      <c r="AR77" s="56">
        <f>$C77*INDEX(Curves!$P$8:$P$68,AR$4-$B77+1)</f>
        <v/>
      </c>
      <c r="AS77" s="56">
        <f>$C77*INDEX(Curves!$P$8:$P$68,AS$4-$B77+1)</f>
        <v/>
      </c>
      <c r="AT77" s="56">
        <f>$C77*INDEX(Curves!$P$8:$P$68,AT$4-$B77+1)</f>
        <v/>
      </c>
      <c r="AU77" s="56">
        <f>$C77*INDEX(Curves!$P$8:$P$68,AU$4-$B77+1)</f>
        <v/>
      </c>
      <c r="AV77" s="56">
        <f>$C77*INDEX(Curves!$P$8:$P$68,AV$4-$B77+1)</f>
        <v/>
      </c>
      <c r="AW77" s="56">
        <f>$C77*INDEX(Curves!$P$8:$P$68,AW$4-$B77+1)</f>
        <v/>
      </c>
      <c r="AX77" s="56">
        <f>$C77*INDEX(Curves!$P$8:$P$68,AX$4-$B77+1)</f>
        <v/>
      </c>
      <c r="AY77" s="56">
        <f>$C77*INDEX(Curves!$P$8:$P$68,AY$4-$B77+1)</f>
        <v/>
      </c>
      <c r="AZ77" s="56">
        <f>$C77*INDEX(Curves!$P$8:$P$68,AZ$4-$B77+1)</f>
        <v/>
      </c>
      <c r="BA77" s="56">
        <f>$C77*INDEX(Curves!$P$8:$P$68,BA$4-$B77+1)</f>
        <v/>
      </c>
      <c r="BB77" s="56">
        <f>$C77*INDEX(Curves!$P$8:$P$68,BB$4-$B77+1)</f>
        <v/>
      </c>
      <c r="BC77" s="56">
        <f>$C77*INDEX(Curves!$P$8:$P$68,BC$4-$B77+1)</f>
        <v/>
      </c>
      <c r="BD77" s="56">
        <f>$C77*INDEX(Curves!$P$8:$P$68,BD$4-$B77+1)</f>
        <v/>
      </c>
      <c r="BE77" s="56">
        <f>$C77*INDEX(Curves!$P$8:$P$68,BE$4-$B77+1)</f>
        <v/>
      </c>
      <c r="BF77" s="56">
        <f>$C77*INDEX(Curves!$P$8:$P$68,BF$4-$B77+1)</f>
        <v/>
      </c>
      <c r="BG77" s="56">
        <f>$C77*INDEX(Curves!$P$8:$P$68,BG$4-$B77+1)</f>
        <v/>
      </c>
      <c r="BH77" s="56">
        <f>$C77*INDEX(Curves!$P$8:$P$68,BH$4-$B77+1)</f>
        <v/>
      </c>
      <c r="BI77" s="56">
        <f>$C77*INDEX(Curves!$P$8:$P$68,BI$4-$B77+1)</f>
        <v/>
      </c>
      <c r="BJ77" s="56">
        <f>$C77*INDEX(Curves!$P$8:$P$68,BJ$4-$B77+1)</f>
        <v/>
      </c>
      <c r="BK77" s="56">
        <f>$C77*INDEX(Curves!$P$8:$P$68,BK$4-$B77+1)</f>
        <v/>
      </c>
      <c r="BL77" s="56">
        <f>$C77*INDEX(Curves!$P$8:$P$68,BL$4-$B77+1)</f>
        <v/>
      </c>
    </row>
    <row r="78">
      <c r="A78" s="55" t="inlineStr">
        <is>
          <t>Cohort month 6</t>
        </is>
      </c>
      <c r="B78" s="55" t="n">
        <v>6</v>
      </c>
      <c r="C78" s="46">
        <f>INDEX(Ops!$E$24:$BL$24,1,$B78)</f>
        <v/>
      </c>
      <c r="K78" s="56">
        <f>$C78*INDEX(Curves!$P$8:$P$68,K$4-$B78+1)</f>
        <v/>
      </c>
      <c r="L78" s="56">
        <f>$C78*INDEX(Curves!$P$8:$P$68,L$4-$B78+1)</f>
        <v/>
      </c>
      <c r="M78" s="56">
        <f>$C78*INDEX(Curves!$P$8:$P$68,M$4-$B78+1)</f>
        <v/>
      </c>
      <c r="N78" s="56">
        <f>$C78*INDEX(Curves!$P$8:$P$68,N$4-$B78+1)</f>
        <v/>
      </c>
      <c r="O78" s="56">
        <f>$C78*INDEX(Curves!$P$8:$P$68,O$4-$B78+1)</f>
        <v/>
      </c>
      <c r="P78" s="56">
        <f>$C78*INDEX(Curves!$P$8:$P$68,P$4-$B78+1)</f>
        <v/>
      </c>
      <c r="Q78" s="56">
        <f>$C78*INDEX(Curves!$P$8:$P$68,Q$4-$B78+1)</f>
        <v/>
      </c>
      <c r="R78" s="56">
        <f>$C78*INDEX(Curves!$P$8:$P$68,R$4-$B78+1)</f>
        <v/>
      </c>
      <c r="S78" s="56">
        <f>$C78*INDEX(Curves!$P$8:$P$68,S$4-$B78+1)</f>
        <v/>
      </c>
      <c r="T78" s="56">
        <f>$C78*INDEX(Curves!$P$8:$P$68,T$4-$B78+1)</f>
        <v/>
      </c>
      <c r="U78" s="56">
        <f>$C78*INDEX(Curves!$P$8:$P$68,U$4-$B78+1)</f>
        <v/>
      </c>
      <c r="V78" s="56">
        <f>$C78*INDEX(Curves!$P$8:$P$68,V$4-$B78+1)</f>
        <v/>
      </c>
      <c r="W78" s="56">
        <f>$C78*INDEX(Curves!$P$8:$P$68,W$4-$B78+1)</f>
        <v/>
      </c>
      <c r="X78" s="56">
        <f>$C78*INDEX(Curves!$P$8:$P$68,X$4-$B78+1)</f>
        <v/>
      </c>
      <c r="Y78" s="56">
        <f>$C78*INDEX(Curves!$P$8:$P$68,Y$4-$B78+1)</f>
        <v/>
      </c>
      <c r="Z78" s="56">
        <f>$C78*INDEX(Curves!$P$8:$P$68,Z$4-$B78+1)</f>
        <v/>
      </c>
      <c r="AA78" s="56">
        <f>$C78*INDEX(Curves!$P$8:$P$68,AA$4-$B78+1)</f>
        <v/>
      </c>
      <c r="AB78" s="56">
        <f>$C78*INDEX(Curves!$P$8:$P$68,AB$4-$B78+1)</f>
        <v/>
      </c>
      <c r="AC78" s="56">
        <f>$C78*INDEX(Curves!$P$8:$P$68,AC$4-$B78+1)</f>
        <v/>
      </c>
      <c r="AD78" s="56">
        <f>$C78*INDEX(Curves!$P$8:$P$68,AD$4-$B78+1)</f>
        <v/>
      </c>
      <c r="AE78" s="56">
        <f>$C78*INDEX(Curves!$P$8:$P$68,AE$4-$B78+1)</f>
        <v/>
      </c>
      <c r="AF78" s="56">
        <f>$C78*INDEX(Curves!$P$8:$P$68,AF$4-$B78+1)</f>
        <v/>
      </c>
      <c r="AG78" s="56">
        <f>$C78*INDEX(Curves!$P$8:$P$68,AG$4-$B78+1)</f>
        <v/>
      </c>
      <c r="AH78" s="56">
        <f>$C78*INDEX(Curves!$P$8:$P$68,AH$4-$B78+1)</f>
        <v/>
      </c>
      <c r="AI78" s="56">
        <f>$C78*INDEX(Curves!$P$8:$P$68,AI$4-$B78+1)</f>
        <v/>
      </c>
      <c r="AJ78" s="56">
        <f>$C78*INDEX(Curves!$P$8:$P$68,AJ$4-$B78+1)</f>
        <v/>
      </c>
      <c r="AK78" s="56">
        <f>$C78*INDEX(Curves!$P$8:$P$68,AK$4-$B78+1)</f>
        <v/>
      </c>
      <c r="AL78" s="56">
        <f>$C78*INDEX(Curves!$P$8:$P$68,AL$4-$B78+1)</f>
        <v/>
      </c>
      <c r="AM78" s="56">
        <f>$C78*INDEX(Curves!$P$8:$P$68,AM$4-$B78+1)</f>
        <v/>
      </c>
      <c r="AN78" s="56">
        <f>$C78*INDEX(Curves!$P$8:$P$68,AN$4-$B78+1)</f>
        <v/>
      </c>
      <c r="AO78" s="56">
        <f>$C78*INDEX(Curves!$P$8:$P$68,AO$4-$B78+1)</f>
        <v/>
      </c>
      <c r="AP78" s="56">
        <f>$C78*INDEX(Curves!$P$8:$P$68,AP$4-$B78+1)</f>
        <v/>
      </c>
      <c r="AQ78" s="56">
        <f>$C78*INDEX(Curves!$P$8:$P$68,AQ$4-$B78+1)</f>
        <v/>
      </c>
      <c r="AR78" s="56">
        <f>$C78*INDEX(Curves!$P$8:$P$68,AR$4-$B78+1)</f>
        <v/>
      </c>
      <c r="AS78" s="56">
        <f>$C78*INDEX(Curves!$P$8:$P$68,AS$4-$B78+1)</f>
        <v/>
      </c>
      <c r="AT78" s="56">
        <f>$C78*INDEX(Curves!$P$8:$P$68,AT$4-$B78+1)</f>
        <v/>
      </c>
      <c r="AU78" s="56">
        <f>$C78*INDEX(Curves!$P$8:$P$68,AU$4-$B78+1)</f>
        <v/>
      </c>
      <c r="AV78" s="56">
        <f>$C78*INDEX(Curves!$P$8:$P$68,AV$4-$B78+1)</f>
        <v/>
      </c>
      <c r="AW78" s="56">
        <f>$C78*INDEX(Curves!$P$8:$P$68,AW$4-$B78+1)</f>
        <v/>
      </c>
      <c r="AX78" s="56">
        <f>$C78*INDEX(Curves!$P$8:$P$68,AX$4-$B78+1)</f>
        <v/>
      </c>
      <c r="AY78" s="56">
        <f>$C78*INDEX(Curves!$P$8:$P$68,AY$4-$B78+1)</f>
        <v/>
      </c>
      <c r="AZ78" s="56">
        <f>$C78*INDEX(Curves!$P$8:$P$68,AZ$4-$B78+1)</f>
        <v/>
      </c>
      <c r="BA78" s="56">
        <f>$C78*INDEX(Curves!$P$8:$P$68,BA$4-$B78+1)</f>
        <v/>
      </c>
      <c r="BB78" s="56">
        <f>$C78*INDEX(Curves!$P$8:$P$68,BB$4-$B78+1)</f>
        <v/>
      </c>
      <c r="BC78" s="56">
        <f>$C78*INDEX(Curves!$P$8:$P$68,BC$4-$B78+1)</f>
        <v/>
      </c>
      <c r="BD78" s="56">
        <f>$C78*INDEX(Curves!$P$8:$P$68,BD$4-$B78+1)</f>
        <v/>
      </c>
      <c r="BE78" s="56">
        <f>$C78*INDEX(Curves!$P$8:$P$68,BE$4-$B78+1)</f>
        <v/>
      </c>
      <c r="BF78" s="56">
        <f>$C78*INDEX(Curves!$P$8:$P$68,BF$4-$B78+1)</f>
        <v/>
      </c>
      <c r="BG78" s="56">
        <f>$C78*INDEX(Curves!$P$8:$P$68,BG$4-$B78+1)</f>
        <v/>
      </c>
      <c r="BH78" s="56">
        <f>$C78*INDEX(Curves!$P$8:$P$68,BH$4-$B78+1)</f>
        <v/>
      </c>
      <c r="BI78" s="56">
        <f>$C78*INDEX(Curves!$P$8:$P$68,BI$4-$B78+1)</f>
        <v/>
      </c>
      <c r="BJ78" s="56">
        <f>$C78*INDEX(Curves!$P$8:$P$68,BJ$4-$B78+1)</f>
        <v/>
      </c>
      <c r="BK78" s="56">
        <f>$C78*INDEX(Curves!$P$8:$P$68,BK$4-$B78+1)</f>
        <v/>
      </c>
      <c r="BL78" s="56">
        <f>$C78*INDEX(Curves!$P$8:$P$68,BL$4-$B78+1)</f>
        <v/>
      </c>
    </row>
    <row r="79">
      <c r="A79" s="55" t="inlineStr">
        <is>
          <t>Cohort month 7</t>
        </is>
      </c>
      <c r="B79" s="55" t="n">
        <v>7</v>
      </c>
      <c r="C79" s="46">
        <f>INDEX(Ops!$E$24:$BL$24,1,$B79)</f>
        <v/>
      </c>
      <c r="L79" s="56">
        <f>$C79*INDEX(Curves!$P$8:$P$68,L$4-$B79+1)</f>
        <v/>
      </c>
      <c r="M79" s="56">
        <f>$C79*INDEX(Curves!$P$8:$P$68,M$4-$B79+1)</f>
        <v/>
      </c>
      <c r="N79" s="56">
        <f>$C79*INDEX(Curves!$P$8:$P$68,N$4-$B79+1)</f>
        <v/>
      </c>
      <c r="O79" s="56">
        <f>$C79*INDEX(Curves!$P$8:$P$68,O$4-$B79+1)</f>
        <v/>
      </c>
      <c r="P79" s="56">
        <f>$C79*INDEX(Curves!$P$8:$P$68,P$4-$B79+1)</f>
        <v/>
      </c>
      <c r="Q79" s="56">
        <f>$C79*INDEX(Curves!$P$8:$P$68,Q$4-$B79+1)</f>
        <v/>
      </c>
      <c r="R79" s="56">
        <f>$C79*INDEX(Curves!$P$8:$P$68,R$4-$B79+1)</f>
        <v/>
      </c>
      <c r="S79" s="56">
        <f>$C79*INDEX(Curves!$P$8:$P$68,S$4-$B79+1)</f>
        <v/>
      </c>
      <c r="T79" s="56">
        <f>$C79*INDEX(Curves!$P$8:$P$68,T$4-$B79+1)</f>
        <v/>
      </c>
      <c r="U79" s="56">
        <f>$C79*INDEX(Curves!$P$8:$P$68,U$4-$B79+1)</f>
        <v/>
      </c>
      <c r="V79" s="56">
        <f>$C79*INDEX(Curves!$P$8:$P$68,V$4-$B79+1)</f>
        <v/>
      </c>
      <c r="W79" s="56">
        <f>$C79*INDEX(Curves!$P$8:$P$68,W$4-$B79+1)</f>
        <v/>
      </c>
      <c r="X79" s="56">
        <f>$C79*INDEX(Curves!$P$8:$P$68,X$4-$B79+1)</f>
        <v/>
      </c>
      <c r="Y79" s="56">
        <f>$C79*INDEX(Curves!$P$8:$P$68,Y$4-$B79+1)</f>
        <v/>
      </c>
      <c r="Z79" s="56">
        <f>$C79*INDEX(Curves!$P$8:$P$68,Z$4-$B79+1)</f>
        <v/>
      </c>
      <c r="AA79" s="56">
        <f>$C79*INDEX(Curves!$P$8:$P$68,AA$4-$B79+1)</f>
        <v/>
      </c>
      <c r="AB79" s="56">
        <f>$C79*INDEX(Curves!$P$8:$P$68,AB$4-$B79+1)</f>
        <v/>
      </c>
      <c r="AC79" s="56">
        <f>$C79*INDEX(Curves!$P$8:$P$68,AC$4-$B79+1)</f>
        <v/>
      </c>
      <c r="AD79" s="56">
        <f>$C79*INDEX(Curves!$P$8:$P$68,AD$4-$B79+1)</f>
        <v/>
      </c>
      <c r="AE79" s="56">
        <f>$C79*INDEX(Curves!$P$8:$P$68,AE$4-$B79+1)</f>
        <v/>
      </c>
      <c r="AF79" s="56">
        <f>$C79*INDEX(Curves!$P$8:$P$68,AF$4-$B79+1)</f>
        <v/>
      </c>
      <c r="AG79" s="56">
        <f>$C79*INDEX(Curves!$P$8:$P$68,AG$4-$B79+1)</f>
        <v/>
      </c>
      <c r="AH79" s="56">
        <f>$C79*INDEX(Curves!$P$8:$P$68,AH$4-$B79+1)</f>
        <v/>
      </c>
      <c r="AI79" s="56">
        <f>$C79*INDEX(Curves!$P$8:$P$68,AI$4-$B79+1)</f>
        <v/>
      </c>
      <c r="AJ79" s="56">
        <f>$C79*INDEX(Curves!$P$8:$P$68,AJ$4-$B79+1)</f>
        <v/>
      </c>
      <c r="AK79" s="56">
        <f>$C79*INDEX(Curves!$P$8:$P$68,AK$4-$B79+1)</f>
        <v/>
      </c>
      <c r="AL79" s="56">
        <f>$C79*INDEX(Curves!$P$8:$P$68,AL$4-$B79+1)</f>
        <v/>
      </c>
      <c r="AM79" s="56">
        <f>$C79*INDEX(Curves!$P$8:$P$68,AM$4-$B79+1)</f>
        <v/>
      </c>
      <c r="AN79" s="56">
        <f>$C79*INDEX(Curves!$P$8:$P$68,AN$4-$B79+1)</f>
        <v/>
      </c>
      <c r="AO79" s="56">
        <f>$C79*INDEX(Curves!$P$8:$P$68,AO$4-$B79+1)</f>
        <v/>
      </c>
      <c r="AP79" s="56">
        <f>$C79*INDEX(Curves!$P$8:$P$68,AP$4-$B79+1)</f>
        <v/>
      </c>
      <c r="AQ79" s="56">
        <f>$C79*INDEX(Curves!$P$8:$P$68,AQ$4-$B79+1)</f>
        <v/>
      </c>
      <c r="AR79" s="56">
        <f>$C79*INDEX(Curves!$P$8:$P$68,AR$4-$B79+1)</f>
        <v/>
      </c>
      <c r="AS79" s="56">
        <f>$C79*INDEX(Curves!$P$8:$P$68,AS$4-$B79+1)</f>
        <v/>
      </c>
      <c r="AT79" s="56">
        <f>$C79*INDEX(Curves!$P$8:$P$68,AT$4-$B79+1)</f>
        <v/>
      </c>
      <c r="AU79" s="56">
        <f>$C79*INDEX(Curves!$P$8:$P$68,AU$4-$B79+1)</f>
        <v/>
      </c>
      <c r="AV79" s="56">
        <f>$C79*INDEX(Curves!$P$8:$P$68,AV$4-$B79+1)</f>
        <v/>
      </c>
      <c r="AW79" s="56">
        <f>$C79*INDEX(Curves!$P$8:$P$68,AW$4-$B79+1)</f>
        <v/>
      </c>
      <c r="AX79" s="56">
        <f>$C79*INDEX(Curves!$P$8:$P$68,AX$4-$B79+1)</f>
        <v/>
      </c>
      <c r="AY79" s="56">
        <f>$C79*INDEX(Curves!$P$8:$P$68,AY$4-$B79+1)</f>
        <v/>
      </c>
      <c r="AZ79" s="56">
        <f>$C79*INDEX(Curves!$P$8:$P$68,AZ$4-$B79+1)</f>
        <v/>
      </c>
      <c r="BA79" s="56">
        <f>$C79*INDEX(Curves!$P$8:$P$68,BA$4-$B79+1)</f>
        <v/>
      </c>
      <c r="BB79" s="56">
        <f>$C79*INDEX(Curves!$P$8:$P$68,BB$4-$B79+1)</f>
        <v/>
      </c>
      <c r="BC79" s="56">
        <f>$C79*INDEX(Curves!$P$8:$P$68,BC$4-$B79+1)</f>
        <v/>
      </c>
      <c r="BD79" s="56">
        <f>$C79*INDEX(Curves!$P$8:$P$68,BD$4-$B79+1)</f>
        <v/>
      </c>
      <c r="BE79" s="56">
        <f>$C79*INDEX(Curves!$P$8:$P$68,BE$4-$B79+1)</f>
        <v/>
      </c>
      <c r="BF79" s="56">
        <f>$C79*INDEX(Curves!$P$8:$P$68,BF$4-$B79+1)</f>
        <v/>
      </c>
      <c r="BG79" s="56">
        <f>$C79*INDEX(Curves!$P$8:$P$68,BG$4-$B79+1)</f>
        <v/>
      </c>
      <c r="BH79" s="56">
        <f>$C79*INDEX(Curves!$P$8:$P$68,BH$4-$B79+1)</f>
        <v/>
      </c>
      <c r="BI79" s="56">
        <f>$C79*INDEX(Curves!$P$8:$P$68,BI$4-$B79+1)</f>
        <v/>
      </c>
      <c r="BJ79" s="56">
        <f>$C79*INDEX(Curves!$P$8:$P$68,BJ$4-$B79+1)</f>
        <v/>
      </c>
      <c r="BK79" s="56">
        <f>$C79*INDEX(Curves!$P$8:$P$68,BK$4-$B79+1)</f>
        <v/>
      </c>
      <c r="BL79" s="56">
        <f>$C79*INDEX(Curves!$P$8:$P$68,BL$4-$B79+1)</f>
        <v/>
      </c>
    </row>
    <row r="80">
      <c r="A80" s="55" t="inlineStr">
        <is>
          <t>Cohort month 8</t>
        </is>
      </c>
      <c r="B80" s="55" t="n">
        <v>8</v>
      </c>
      <c r="C80" s="46">
        <f>INDEX(Ops!$E$24:$BL$24,1,$B80)</f>
        <v/>
      </c>
      <c r="M80" s="56">
        <f>$C80*INDEX(Curves!$P$8:$P$68,M$4-$B80+1)</f>
        <v/>
      </c>
      <c r="N80" s="56">
        <f>$C80*INDEX(Curves!$P$8:$P$68,N$4-$B80+1)</f>
        <v/>
      </c>
      <c r="O80" s="56">
        <f>$C80*INDEX(Curves!$P$8:$P$68,O$4-$B80+1)</f>
        <v/>
      </c>
      <c r="P80" s="56">
        <f>$C80*INDEX(Curves!$P$8:$P$68,P$4-$B80+1)</f>
        <v/>
      </c>
      <c r="Q80" s="56">
        <f>$C80*INDEX(Curves!$P$8:$P$68,Q$4-$B80+1)</f>
        <v/>
      </c>
      <c r="R80" s="56">
        <f>$C80*INDEX(Curves!$P$8:$P$68,R$4-$B80+1)</f>
        <v/>
      </c>
      <c r="S80" s="56">
        <f>$C80*INDEX(Curves!$P$8:$P$68,S$4-$B80+1)</f>
        <v/>
      </c>
      <c r="T80" s="56">
        <f>$C80*INDEX(Curves!$P$8:$P$68,T$4-$B80+1)</f>
        <v/>
      </c>
      <c r="U80" s="56">
        <f>$C80*INDEX(Curves!$P$8:$P$68,U$4-$B80+1)</f>
        <v/>
      </c>
      <c r="V80" s="56">
        <f>$C80*INDEX(Curves!$P$8:$P$68,V$4-$B80+1)</f>
        <v/>
      </c>
      <c r="W80" s="56">
        <f>$C80*INDEX(Curves!$P$8:$P$68,W$4-$B80+1)</f>
        <v/>
      </c>
      <c r="X80" s="56">
        <f>$C80*INDEX(Curves!$P$8:$P$68,X$4-$B80+1)</f>
        <v/>
      </c>
      <c r="Y80" s="56">
        <f>$C80*INDEX(Curves!$P$8:$P$68,Y$4-$B80+1)</f>
        <v/>
      </c>
      <c r="Z80" s="56">
        <f>$C80*INDEX(Curves!$P$8:$P$68,Z$4-$B80+1)</f>
        <v/>
      </c>
      <c r="AA80" s="56">
        <f>$C80*INDEX(Curves!$P$8:$P$68,AA$4-$B80+1)</f>
        <v/>
      </c>
      <c r="AB80" s="56">
        <f>$C80*INDEX(Curves!$P$8:$P$68,AB$4-$B80+1)</f>
        <v/>
      </c>
      <c r="AC80" s="56">
        <f>$C80*INDEX(Curves!$P$8:$P$68,AC$4-$B80+1)</f>
        <v/>
      </c>
      <c r="AD80" s="56">
        <f>$C80*INDEX(Curves!$P$8:$P$68,AD$4-$B80+1)</f>
        <v/>
      </c>
      <c r="AE80" s="56">
        <f>$C80*INDEX(Curves!$P$8:$P$68,AE$4-$B80+1)</f>
        <v/>
      </c>
      <c r="AF80" s="56">
        <f>$C80*INDEX(Curves!$P$8:$P$68,AF$4-$B80+1)</f>
        <v/>
      </c>
      <c r="AG80" s="56">
        <f>$C80*INDEX(Curves!$P$8:$P$68,AG$4-$B80+1)</f>
        <v/>
      </c>
      <c r="AH80" s="56">
        <f>$C80*INDEX(Curves!$P$8:$P$68,AH$4-$B80+1)</f>
        <v/>
      </c>
      <c r="AI80" s="56">
        <f>$C80*INDEX(Curves!$P$8:$P$68,AI$4-$B80+1)</f>
        <v/>
      </c>
      <c r="AJ80" s="56">
        <f>$C80*INDEX(Curves!$P$8:$P$68,AJ$4-$B80+1)</f>
        <v/>
      </c>
      <c r="AK80" s="56">
        <f>$C80*INDEX(Curves!$P$8:$P$68,AK$4-$B80+1)</f>
        <v/>
      </c>
      <c r="AL80" s="56">
        <f>$C80*INDEX(Curves!$P$8:$P$68,AL$4-$B80+1)</f>
        <v/>
      </c>
      <c r="AM80" s="56">
        <f>$C80*INDEX(Curves!$P$8:$P$68,AM$4-$B80+1)</f>
        <v/>
      </c>
      <c r="AN80" s="56">
        <f>$C80*INDEX(Curves!$P$8:$P$68,AN$4-$B80+1)</f>
        <v/>
      </c>
      <c r="AO80" s="56">
        <f>$C80*INDEX(Curves!$P$8:$P$68,AO$4-$B80+1)</f>
        <v/>
      </c>
      <c r="AP80" s="56">
        <f>$C80*INDEX(Curves!$P$8:$P$68,AP$4-$B80+1)</f>
        <v/>
      </c>
      <c r="AQ80" s="56">
        <f>$C80*INDEX(Curves!$P$8:$P$68,AQ$4-$B80+1)</f>
        <v/>
      </c>
      <c r="AR80" s="56">
        <f>$C80*INDEX(Curves!$P$8:$P$68,AR$4-$B80+1)</f>
        <v/>
      </c>
      <c r="AS80" s="56">
        <f>$C80*INDEX(Curves!$P$8:$P$68,AS$4-$B80+1)</f>
        <v/>
      </c>
      <c r="AT80" s="56">
        <f>$C80*INDEX(Curves!$P$8:$P$68,AT$4-$B80+1)</f>
        <v/>
      </c>
      <c r="AU80" s="56">
        <f>$C80*INDEX(Curves!$P$8:$P$68,AU$4-$B80+1)</f>
        <v/>
      </c>
      <c r="AV80" s="56">
        <f>$C80*INDEX(Curves!$P$8:$P$68,AV$4-$B80+1)</f>
        <v/>
      </c>
      <c r="AW80" s="56">
        <f>$C80*INDEX(Curves!$P$8:$P$68,AW$4-$B80+1)</f>
        <v/>
      </c>
      <c r="AX80" s="56">
        <f>$C80*INDEX(Curves!$P$8:$P$68,AX$4-$B80+1)</f>
        <v/>
      </c>
      <c r="AY80" s="56">
        <f>$C80*INDEX(Curves!$P$8:$P$68,AY$4-$B80+1)</f>
        <v/>
      </c>
      <c r="AZ80" s="56">
        <f>$C80*INDEX(Curves!$P$8:$P$68,AZ$4-$B80+1)</f>
        <v/>
      </c>
      <c r="BA80" s="56">
        <f>$C80*INDEX(Curves!$P$8:$P$68,BA$4-$B80+1)</f>
        <v/>
      </c>
      <c r="BB80" s="56">
        <f>$C80*INDEX(Curves!$P$8:$P$68,BB$4-$B80+1)</f>
        <v/>
      </c>
      <c r="BC80" s="56">
        <f>$C80*INDEX(Curves!$P$8:$P$68,BC$4-$B80+1)</f>
        <v/>
      </c>
      <c r="BD80" s="56">
        <f>$C80*INDEX(Curves!$P$8:$P$68,BD$4-$B80+1)</f>
        <v/>
      </c>
      <c r="BE80" s="56">
        <f>$C80*INDEX(Curves!$P$8:$P$68,BE$4-$B80+1)</f>
        <v/>
      </c>
      <c r="BF80" s="56">
        <f>$C80*INDEX(Curves!$P$8:$P$68,BF$4-$B80+1)</f>
        <v/>
      </c>
      <c r="BG80" s="56">
        <f>$C80*INDEX(Curves!$P$8:$P$68,BG$4-$B80+1)</f>
        <v/>
      </c>
      <c r="BH80" s="56">
        <f>$C80*INDEX(Curves!$P$8:$P$68,BH$4-$B80+1)</f>
        <v/>
      </c>
      <c r="BI80" s="56">
        <f>$C80*INDEX(Curves!$P$8:$P$68,BI$4-$B80+1)</f>
        <v/>
      </c>
      <c r="BJ80" s="56">
        <f>$C80*INDEX(Curves!$P$8:$P$68,BJ$4-$B80+1)</f>
        <v/>
      </c>
      <c r="BK80" s="56">
        <f>$C80*INDEX(Curves!$P$8:$P$68,BK$4-$B80+1)</f>
        <v/>
      </c>
      <c r="BL80" s="56">
        <f>$C80*INDEX(Curves!$P$8:$P$68,BL$4-$B80+1)</f>
        <v/>
      </c>
    </row>
    <row r="81">
      <c r="A81" s="55" t="inlineStr">
        <is>
          <t>Cohort month 9</t>
        </is>
      </c>
      <c r="B81" s="55" t="n">
        <v>9</v>
      </c>
      <c r="C81" s="46">
        <f>INDEX(Ops!$E$24:$BL$24,1,$B81)</f>
        <v/>
      </c>
      <c r="N81" s="56">
        <f>$C81*INDEX(Curves!$P$8:$P$68,N$4-$B81+1)</f>
        <v/>
      </c>
      <c r="O81" s="56">
        <f>$C81*INDEX(Curves!$P$8:$P$68,O$4-$B81+1)</f>
        <v/>
      </c>
      <c r="P81" s="56">
        <f>$C81*INDEX(Curves!$P$8:$P$68,P$4-$B81+1)</f>
        <v/>
      </c>
      <c r="Q81" s="56">
        <f>$C81*INDEX(Curves!$P$8:$P$68,Q$4-$B81+1)</f>
        <v/>
      </c>
      <c r="R81" s="56">
        <f>$C81*INDEX(Curves!$P$8:$P$68,R$4-$B81+1)</f>
        <v/>
      </c>
      <c r="S81" s="56">
        <f>$C81*INDEX(Curves!$P$8:$P$68,S$4-$B81+1)</f>
        <v/>
      </c>
      <c r="T81" s="56">
        <f>$C81*INDEX(Curves!$P$8:$P$68,T$4-$B81+1)</f>
        <v/>
      </c>
      <c r="U81" s="56">
        <f>$C81*INDEX(Curves!$P$8:$P$68,U$4-$B81+1)</f>
        <v/>
      </c>
      <c r="V81" s="56">
        <f>$C81*INDEX(Curves!$P$8:$P$68,V$4-$B81+1)</f>
        <v/>
      </c>
      <c r="W81" s="56">
        <f>$C81*INDEX(Curves!$P$8:$P$68,W$4-$B81+1)</f>
        <v/>
      </c>
      <c r="X81" s="56">
        <f>$C81*INDEX(Curves!$P$8:$P$68,X$4-$B81+1)</f>
        <v/>
      </c>
      <c r="Y81" s="56">
        <f>$C81*INDEX(Curves!$P$8:$P$68,Y$4-$B81+1)</f>
        <v/>
      </c>
      <c r="Z81" s="56">
        <f>$C81*INDEX(Curves!$P$8:$P$68,Z$4-$B81+1)</f>
        <v/>
      </c>
      <c r="AA81" s="56">
        <f>$C81*INDEX(Curves!$P$8:$P$68,AA$4-$B81+1)</f>
        <v/>
      </c>
      <c r="AB81" s="56">
        <f>$C81*INDEX(Curves!$P$8:$P$68,AB$4-$B81+1)</f>
        <v/>
      </c>
      <c r="AC81" s="56">
        <f>$C81*INDEX(Curves!$P$8:$P$68,AC$4-$B81+1)</f>
        <v/>
      </c>
      <c r="AD81" s="56">
        <f>$C81*INDEX(Curves!$P$8:$P$68,AD$4-$B81+1)</f>
        <v/>
      </c>
      <c r="AE81" s="56">
        <f>$C81*INDEX(Curves!$P$8:$P$68,AE$4-$B81+1)</f>
        <v/>
      </c>
      <c r="AF81" s="56">
        <f>$C81*INDEX(Curves!$P$8:$P$68,AF$4-$B81+1)</f>
        <v/>
      </c>
      <c r="AG81" s="56">
        <f>$C81*INDEX(Curves!$P$8:$P$68,AG$4-$B81+1)</f>
        <v/>
      </c>
      <c r="AH81" s="56">
        <f>$C81*INDEX(Curves!$P$8:$P$68,AH$4-$B81+1)</f>
        <v/>
      </c>
      <c r="AI81" s="56">
        <f>$C81*INDEX(Curves!$P$8:$P$68,AI$4-$B81+1)</f>
        <v/>
      </c>
      <c r="AJ81" s="56">
        <f>$C81*INDEX(Curves!$P$8:$P$68,AJ$4-$B81+1)</f>
        <v/>
      </c>
      <c r="AK81" s="56">
        <f>$C81*INDEX(Curves!$P$8:$P$68,AK$4-$B81+1)</f>
        <v/>
      </c>
      <c r="AL81" s="56">
        <f>$C81*INDEX(Curves!$P$8:$P$68,AL$4-$B81+1)</f>
        <v/>
      </c>
      <c r="AM81" s="56">
        <f>$C81*INDEX(Curves!$P$8:$P$68,AM$4-$B81+1)</f>
        <v/>
      </c>
      <c r="AN81" s="56">
        <f>$C81*INDEX(Curves!$P$8:$P$68,AN$4-$B81+1)</f>
        <v/>
      </c>
      <c r="AO81" s="56">
        <f>$C81*INDEX(Curves!$P$8:$P$68,AO$4-$B81+1)</f>
        <v/>
      </c>
      <c r="AP81" s="56">
        <f>$C81*INDEX(Curves!$P$8:$P$68,AP$4-$B81+1)</f>
        <v/>
      </c>
      <c r="AQ81" s="56">
        <f>$C81*INDEX(Curves!$P$8:$P$68,AQ$4-$B81+1)</f>
        <v/>
      </c>
      <c r="AR81" s="56">
        <f>$C81*INDEX(Curves!$P$8:$P$68,AR$4-$B81+1)</f>
        <v/>
      </c>
      <c r="AS81" s="56">
        <f>$C81*INDEX(Curves!$P$8:$P$68,AS$4-$B81+1)</f>
        <v/>
      </c>
      <c r="AT81" s="56">
        <f>$C81*INDEX(Curves!$P$8:$P$68,AT$4-$B81+1)</f>
        <v/>
      </c>
      <c r="AU81" s="56">
        <f>$C81*INDEX(Curves!$P$8:$P$68,AU$4-$B81+1)</f>
        <v/>
      </c>
      <c r="AV81" s="56">
        <f>$C81*INDEX(Curves!$P$8:$P$68,AV$4-$B81+1)</f>
        <v/>
      </c>
      <c r="AW81" s="56">
        <f>$C81*INDEX(Curves!$P$8:$P$68,AW$4-$B81+1)</f>
        <v/>
      </c>
      <c r="AX81" s="56">
        <f>$C81*INDEX(Curves!$P$8:$P$68,AX$4-$B81+1)</f>
        <v/>
      </c>
      <c r="AY81" s="56">
        <f>$C81*INDEX(Curves!$P$8:$P$68,AY$4-$B81+1)</f>
        <v/>
      </c>
      <c r="AZ81" s="56">
        <f>$C81*INDEX(Curves!$P$8:$P$68,AZ$4-$B81+1)</f>
        <v/>
      </c>
      <c r="BA81" s="56">
        <f>$C81*INDEX(Curves!$P$8:$P$68,BA$4-$B81+1)</f>
        <v/>
      </c>
      <c r="BB81" s="56">
        <f>$C81*INDEX(Curves!$P$8:$P$68,BB$4-$B81+1)</f>
        <v/>
      </c>
      <c r="BC81" s="56">
        <f>$C81*INDEX(Curves!$P$8:$P$68,BC$4-$B81+1)</f>
        <v/>
      </c>
      <c r="BD81" s="56">
        <f>$C81*INDEX(Curves!$P$8:$P$68,BD$4-$B81+1)</f>
        <v/>
      </c>
      <c r="BE81" s="56">
        <f>$C81*INDEX(Curves!$P$8:$P$68,BE$4-$B81+1)</f>
        <v/>
      </c>
      <c r="BF81" s="56">
        <f>$C81*INDEX(Curves!$P$8:$P$68,BF$4-$B81+1)</f>
        <v/>
      </c>
      <c r="BG81" s="56">
        <f>$C81*INDEX(Curves!$P$8:$P$68,BG$4-$B81+1)</f>
        <v/>
      </c>
      <c r="BH81" s="56">
        <f>$C81*INDEX(Curves!$P$8:$P$68,BH$4-$B81+1)</f>
        <v/>
      </c>
      <c r="BI81" s="56">
        <f>$C81*INDEX(Curves!$P$8:$P$68,BI$4-$B81+1)</f>
        <v/>
      </c>
      <c r="BJ81" s="56">
        <f>$C81*INDEX(Curves!$P$8:$P$68,BJ$4-$B81+1)</f>
        <v/>
      </c>
      <c r="BK81" s="56">
        <f>$C81*INDEX(Curves!$P$8:$P$68,BK$4-$B81+1)</f>
        <v/>
      </c>
      <c r="BL81" s="56">
        <f>$C81*INDEX(Curves!$P$8:$P$68,BL$4-$B81+1)</f>
        <v/>
      </c>
    </row>
    <row r="82">
      <c r="A82" s="55" t="inlineStr">
        <is>
          <t>Cohort month 10</t>
        </is>
      </c>
      <c r="B82" s="55" t="n">
        <v>10</v>
      </c>
      <c r="C82" s="46">
        <f>INDEX(Ops!$E$24:$BL$24,1,$B82)</f>
        <v/>
      </c>
      <c r="O82" s="56">
        <f>$C82*INDEX(Curves!$P$8:$P$68,O$4-$B82+1)</f>
        <v/>
      </c>
      <c r="P82" s="56">
        <f>$C82*INDEX(Curves!$P$8:$P$68,P$4-$B82+1)</f>
        <v/>
      </c>
      <c r="Q82" s="56">
        <f>$C82*INDEX(Curves!$P$8:$P$68,Q$4-$B82+1)</f>
        <v/>
      </c>
      <c r="R82" s="56">
        <f>$C82*INDEX(Curves!$P$8:$P$68,R$4-$B82+1)</f>
        <v/>
      </c>
      <c r="S82" s="56">
        <f>$C82*INDEX(Curves!$P$8:$P$68,S$4-$B82+1)</f>
        <v/>
      </c>
      <c r="T82" s="56">
        <f>$C82*INDEX(Curves!$P$8:$P$68,T$4-$B82+1)</f>
        <v/>
      </c>
      <c r="U82" s="56">
        <f>$C82*INDEX(Curves!$P$8:$P$68,U$4-$B82+1)</f>
        <v/>
      </c>
      <c r="V82" s="56">
        <f>$C82*INDEX(Curves!$P$8:$P$68,V$4-$B82+1)</f>
        <v/>
      </c>
      <c r="W82" s="56">
        <f>$C82*INDEX(Curves!$P$8:$P$68,W$4-$B82+1)</f>
        <v/>
      </c>
      <c r="X82" s="56">
        <f>$C82*INDEX(Curves!$P$8:$P$68,X$4-$B82+1)</f>
        <v/>
      </c>
      <c r="Y82" s="56">
        <f>$C82*INDEX(Curves!$P$8:$P$68,Y$4-$B82+1)</f>
        <v/>
      </c>
      <c r="Z82" s="56">
        <f>$C82*INDEX(Curves!$P$8:$P$68,Z$4-$B82+1)</f>
        <v/>
      </c>
      <c r="AA82" s="56">
        <f>$C82*INDEX(Curves!$P$8:$P$68,AA$4-$B82+1)</f>
        <v/>
      </c>
      <c r="AB82" s="56">
        <f>$C82*INDEX(Curves!$P$8:$P$68,AB$4-$B82+1)</f>
        <v/>
      </c>
      <c r="AC82" s="56">
        <f>$C82*INDEX(Curves!$P$8:$P$68,AC$4-$B82+1)</f>
        <v/>
      </c>
      <c r="AD82" s="56">
        <f>$C82*INDEX(Curves!$P$8:$P$68,AD$4-$B82+1)</f>
        <v/>
      </c>
      <c r="AE82" s="56">
        <f>$C82*INDEX(Curves!$P$8:$P$68,AE$4-$B82+1)</f>
        <v/>
      </c>
      <c r="AF82" s="56">
        <f>$C82*INDEX(Curves!$P$8:$P$68,AF$4-$B82+1)</f>
        <v/>
      </c>
      <c r="AG82" s="56">
        <f>$C82*INDEX(Curves!$P$8:$P$68,AG$4-$B82+1)</f>
        <v/>
      </c>
      <c r="AH82" s="56">
        <f>$C82*INDEX(Curves!$P$8:$P$68,AH$4-$B82+1)</f>
        <v/>
      </c>
      <c r="AI82" s="56">
        <f>$C82*INDEX(Curves!$P$8:$P$68,AI$4-$B82+1)</f>
        <v/>
      </c>
      <c r="AJ82" s="56">
        <f>$C82*INDEX(Curves!$P$8:$P$68,AJ$4-$B82+1)</f>
        <v/>
      </c>
      <c r="AK82" s="56">
        <f>$C82*INDEX(Curves!$P$8:$P$68,AK$4-$B82+1)</f>
        <v/>
      </c>
      <c r="AL82" s="56">
        <f>$C82*INDEX(Curves!$P$8:$P$68,AL$4-$B82+1)</f>
        <v/>
      </c>
      <c r="AM82" s="56">
        <f>$C82*INDEX(Curves!$P$8:$P$68,AM$4-$B82+1)</f>
        <v/>
      </c>
      <c r="AN82" s="56">
        <f>$C82*INDEX(Curves!$P$8:$P$68,AN$4-$B82+1)</f>
        <v/>
      </c>
      <c r="AO82" s="56">
        <f>$C82*INDEX(Curves!$P$8:$P$68,AO$4-$B82+1)</f>
        <v/>
      </c>
      <c r="AP82" s="56">
        <f>$C82*INDEX(Curves!$P$8:$P$68,AP$4-$B82+1)</f>
        <v/>
      </c>
      <c r="AQ82" s="56">
        <f>$C82*INDEX(Curves!$P$8:$P$68,AQ$4-$B82+1)</f>
        <v/>
      </c>
      <c r="AR82" s="56">
        <f>$C82*INDEX(Curves!$P$8:$P$68,AR$4-$B82+1)</f>
        <v/>
      </c>
      <c r="AS82" s="56">
        <f>$C82*INDEX(Curves!$P$8:$P$68,AS$4-$B82+1)</f>
        <v/>
      </c>
      <c r="AT82" s="56">
        <f>$C82*INDEX(Curves!$P$8:$P$68,AT$4-$B82+1)</f>
        <v/>
      </c>
      <c r="AU82" s="56">
        <f>$C82*INDEX(Curves!$P$8:$P$68,AU$4-$B82+1)</f>
        <v/>
      </c>
      <c r="AV82" s="56">
        <f>$C82*INDEX(Curves!$P$8:$P$68,AV$4-$B82+1)</f>
        <v/>
      </c>
      <c r="AW82" s="56">
        <f>$C82*INDEX(Curves!$P$8:$P$68,AW$4-$B82+1)</f>
        <v/>
      </c>
      <c r="AX82" s="56">
        <f>$C82*INDEX(Curves!$P$8:$P$68,AX$4-$B82+1)</f>
        <v/>
      </c>
      <c r="AY82" s="56">
        <f>$C82*INDEX(Curves!$P$8:$P$68,AY$4-$B82+1)</f>
        <v/>
      </c>
      <c r="AZ82" s="56">
        <f>$C82*INDEX(Curves!$P$8:$P$68,AZ$4-$B82+1)</f>
        <v/>
      </c>
      <c r="BA82" s="56">
        <f>$C82*INDEX(Curves!$P$8:$P$68,BA$4-$B82+1)</f>
        <v/>
      </c>
      <c r="BB82" s="56">
        <f>$C82*INDEX(Curves!$P$8:$P$68,BB$4-$B82+1)</f>
        <v/>
      </c>
      <c r="BC82" s="56">
        <f>$C82*INDEX(Curves!$P$8:$P$68,BC$4-$B82+1)</f>
        <v/>
      </c>
      <c r="BD82" s="56">
        <f>$C82*INDEX(Curves!$P$8:$P$68,BD$4-$B82+1)</f>
        <v/>
      </c>
      <c r="BE82" s="56">
        <f>$C82*INDEX(Curves!$P$8:$P$68,BE$4-$B82+1)</f>
        <v/>
      </c>
      <c r="BF82" s="56">
        <f>$C82*INDEX(Curves!$P$8:$P$68,BF$4-$B82+1)</f>
        <v/>
      </c>
      <c r="BG82" s="56">
        <f>$C82*INDEX(Curves!$P$8:$P$68,BG$4-$B82+1)</f>
        <v/>
      </c>
      <c r="BH82" s="56">
        <f>$C82*INDEX(Curves!$P$8:$P$68,BH$4-$B82+1)</f>
        <v/>
      </c>
      <c r="BI82" s="56">
        <f>$C82*INDEX(Curves!$P$8:$P$68,BI$4-$B82+1)</f>
        <v/>
      </c>
      <c r="BJ82" s="56">
        <f>$C82*INDEX(Curves!$P$8:$P$68,BJ$4-$B82+1)</f>
        <v/>
      </c>
      <c r="BK82" s="56">
        <f>$C82*INDEX(Curves!$P$8:$P$68,BK$4-$B82+1)</f>
        <v/>
      </c>
      <c r="BL82" s="56">
        <f>$C82*INDEX(Curves!$P$8:$P$68,BL$4-$B82+1)</f>
        <v/>
      </c>
    </row>
    <row r="83">
      <c r="A83" s="55" t="inlineStr">
        <is>
          <t>Cohort month 11</t>
        </is>
      </c>
      <c r="B83" s="55" t="n">
        <v>11</v>
      </c>
      <c r="C83" s="46">
        <f>INDEX(Ops!$E$24:$BL$24,1,$B83)</f>
        <v/>
      </c>
      <c r="P83" s="56">
        <f>$C83*INDEX(Curves!$P$8:$P$68,P$4-$B83+1)</f>
        <v/>
      </c>
      <c r="Q83" s="56">
        <f>$C83*INDEX(Curves!$P$8:$P$68,Q$4-$B83+1)</f>
        <v/>
      </c>
      <c r="R83" s="56">
        <f>$C83*INDEX(Curves!$P$8:$P$68,R$4-$B83+1)</f>
        <v/>
      </c>
      <c r="S83" s="56">
        <f>$C83*INDEX(Curves!$P$8:$P$68,S$4-$B83+1)</f>
        <v/>
      </c>
      <c r="T83" s="56">
        <f>$C83*INDEX(Curves!$P$8:$P$68,T$4-$B83+1)</f>
        <v/>
      </c>
      <c r="U83" s="56">
        <f>$C83*INDEX(Curves!$P$8:$P$68,U$4-$B83+1)</f>
        <v/>
      </c>
      <c r="V83" s="56">
        <f>$C83*INDEX(Curves!$P$8:$P$68,V$4-$B83+1)</f>
        <v/>
      </c>
      <c r="W83" s="56">
        <f>$C83*INDEX(Curves!$P$8:$P$68,W$4-$B83+1)</f>
        <v/>
      </c>
      <c r="X83" s="56">
        <f>$C83*INDEX(Curves!$P$8:$P$68,X$4-$B83+1)</f>
        <v/>
      </c>
      <c r="Y83" s="56">
        <f>$C83*INDEX(Curves!$P$8:$P$68,Y$4-$B83+1)</f>
        <v/>
      </c>
      <c r="Z83" s="56">
        <f>$C83*INDEX(Curves!$P$8:$P$68,Z$4-$B83+1)</f>
        <v/>
      </c>
      <c r="AA83" s="56">
        <f>$C83*INDEX(Curves!$P$8:$P$68,AA$4-$B83+1)</f>
        <v/>
      </c>
      <c r="AB83" s="56">
        <f>$C83*INDEX(Curves!$P$8:$P$68,AB$4-$B83+1)</f>
        <v/>
      </c>
      <c r="AC83" s="56">
        <f>$C83*INDEX(Curves!$P$8:$P$68,AC$4-$B83+1)</f>
        <v/>
      </c>
      <c r="AD83" s="56">
        <f>$C83*INDEX(Curves!$P$8:$P$68,AD$4-$B83+1)</f>
        <v/>
      </c>
      <c r="AE83" s="56">
        <f>$C83*INDEX(Curves!$P$8:$P$68,AE$4-$B83+1)</f>
        <v/>
      </c>
      <c r="AF83" s="56">
        <f>$C83*INDEX(Curves!$P$8:$P$68,AF$4-$B83+1)</f>
        <v/>
      </c>
      <c r="AG83" s="56">
        <f>$C83*INDEX(Curves!$P$8:$P$68,AG$4-$B83+1)</f>
        <v/>
      </c>
      <c r="AH83" s="56">
        <f>$C83*INDEX(Curves!$P$8:$P$68,AH$4-$B83+1)</f>
        <v/>
      </c>
      <c r="AI83" s="56">
        <f>$C83*INDEX(Curves!$P$8:$P$68,AI$4-$B83+1)</f>
        <v/>
      </c>
      <c r="AJ83" s="56">
        <f>$C83*INDEX(Curves!$P$8:$P$68,AJ$4-$B83+1)</f>
        <v/>
      </c>
      <c r="AK83" s="56">
        <f>$C83*INDEX(Curves!$P$8:$P$68,AK$4-$B83+1)</f>
        <v/>
      </c>
      <c r="AL83" s="56">
        <f>$C83*INDEX(Curves!$P$8:$P$68,AL$4-$B83+1)</f>
        <v/>
      </c>
      <c r="AM83" s="56">
        <f>$C83*INDEX(Curves!$P$8:$P$68,AM$4-$B83+1)</f>
        <v/>
      </c>
      <c r="AN83" s="56">
        <f>$C83*INDEX(Curves!$P$8:$P$68,AN$4-$B83+1)</f>
        <v/>
      </c>
      <c r="AO83" s="56">
        <f>$C83*INDEX(Curves!$P$8:$P$68,AO$4-$B83+1)</f>
        <v/>
      </c>
      <c r="AP83" s="56">
        <f>$C83*INDEX(Curves!$P$8:$P$68,AP$4-$B83+1)</f>
        <v/>
      </c>
      <c r="AQ83" s="56">
        <f>$C83*INDEX(Curves!$P$8:$P$68,AQ$4-$B83+1)</f>
        <v/>
      </c>
      <c r="AR83" s="56">
        <f>$C83*INDEX(Curves!$P$8:$P$68,AR$4-$B83+1)</f>
        <v/>
      </c>
      <c r="AS83" s="56">
        <f>$C83*INDEX(Curves!$P$8:$P$68,AS$4-$B83+1)</f>
        <v/>
      </c>
      <c r="AT83" s="56">
        <f>$C83*INDEX(Curves!$P$8:$P$68,AT$4-$B83+1)</f>
        <v/>
      </c>
      <c r="AU83" s="56">
        <f>$C83*INDEX(Curves!$P$8:$P$68,AU$4-$B83+1)</f>
        <v/>
      </c>
      <c r="AV83" s="56">
        <f>$C83*INDEX(Curves!$P$8:$P$68,AV$4-$B83+1)</f>
        <v/>
      </c>
      <c r="AW83" s="56">
        <f>$C83*INDEX(Curves!$P$8:$P$68,AW$4-$B83+1)</f>
        <v/>
      </c>
      <c r="AX83" s="56">
        <f>$C83*INDEX(Curves!$P$8:$P$68,AX$4-$B83+1)</f>
        <v/>
      </c>
      <c r="AY83" s="56">
        <f>$C83*INDEX(Curves!$P$8:$P$68,AY$4-$B83+1)</f>
        <v/>
      </c>
      <c r="AZ83" s="56">
        <f>$C83*INDEX(Curves!$P$8:$P$68,AZ$4-$B83+1)</f>
        <v/>
      </c>
      <c r="BA83" s="56">
        <f>$C83*INDEX(Curves!$P$8:$P$68,BA$4-$B83+1)</f>
        <v/>
      </c>
      <c r="BB83" s="56">
        <f>$C83*INDEX(Curves!$P$8:$P$68,BB$4-$B83+1)</f>
        <v/>
      </c>
      <c r="BC83" s="56">
        <f>$C83*INDEX(Curves!$P$8:$P$68,BC$4-$B83+1)</f>
        <v/>
      </c>
      <c r="BD83" s="56">
        <f>$C83*INDEX(Curves!$P$8:$P$68,BD$4-$B83+1)</f>
        <v/>
      </c>
      <c r="BE83" s="56">
        <f>$C83*INDEX(Curves!$P$8:$P$68,BE$4-$B83+1)</f>
        <v/>
      </c>
      <c r="BF83" s="56">
        <f>$C83*INDEX(Curves!$P$8:$P$68,BF$4-$B83+1)</f>
        <v/>
      </c>
      <c r="BG83" s="56">
        <f>$C83*INDEX(Curves!$P$8:$P$68,BG$4-$B83+1)</f>
        <v/>
      </c>
      <c r="BH83" s="56">
        <f>$C83*INDEX(Curves!$P$8:$P$68,BH$4-$B83+1)</f>
        <v/>
      </c>
      <c r="BI83" s="56">
        <f>$C83*INDEX(Curves!$P$8:$P$68,BI$4-$B83+1)</f>
        <v/>
      </c>
      <c r="BJ83" s="56">
        <f>$C83*INDEX(Curves!$P$8:$P$68,BJ$4-$B83+1)</f>
        <v/>
      </c>
      <c r="BK83" s="56">
        <f>$C83*INDEX(Curves!$P$8:$P$68,BK$4-$B83+1)</f>
        <v/>
      </c>
      <c r="BL83" s="56">
        <f>$C83*INDEX(Curves!$P$8:$P$68,BL$4-$B83+1)</f>
        <v/>
      </c>
    </row>
    <row r="84">
      <c r="A84" s="55" t="inlineStr">
        <is>
          <t>Cohort month 12</t>
        </is>
      </c>
      <c r="B84" s="55" t="n">
        <v>12</v>
      </c>
      <c r="C84" s="46">
        <f>INDEX(Ops!$E$24:$BL$24,1,$B84)</f>
        <v/>
      </c>
      <c r="Q84" s="56">
        <f>$C84*INDEX(Curves!$P$8:$P$68,Q$4-$B84+1)</f>
        <v/>
      </c>
      <c r="R84" s="56">
        <f>$C84*INDEX(Curves!$P$8:$P$68,R$4-$B84+1)</f>
        <v/>
      </c>
      <c r="S84" s="56">
        <f>$C84*INDEX(Curves!$P$8:$P$68,S$4-$B84+1)</f>
        <v/>
      </c>
      <c r="T84" s="56">
        <f>$C84*INDEX(Curves!$P$8:$P$68,T$4-$B84+1)</f>
        <v/>
      </c>
      <c r="U84" s="56">
        <f>$C84*INDEX(Curves!$P$8:$P$68,U$4-$B84+1)</f>
        <v/>
      </c>
      <c r="V84" s="56">
        <f>$C84*INDEX(Curves!$P$8:$P$68,V$4-$B84+1)</f>
        <v/>
      </c>
      <c r="W84" s="56">
        <f>$C84*INDEX(Curves!$P$8:$P$68,W$4-$B84+1)</f>
        <v/>
      </c>
      <c r="X84" s="56">
        <f>$C84*INDEX(Curves!$P$8:$P$68,X$4-$B84+1)</f>
        <v/>
      </c>
      <c r="Y84" s="56">
        <f>$C84*INDEX(Curves!$P$8:$P$68,Y$4-$B84+1)</f>
        <v/>
      </c>
      <c r="Z84" s="56">
        <f>$C84*INDEX(Curves!$P$8:$P$68,Z$4-$B84+1)</f>
        <v/>
      </c>
      <c r="AA84" s="56">
        <f>$C84*INDEX(Curves!$P$8:$P$68,AA$4-$B84+1)</f>
        <v/>
      </c>
      <c r="AB84" s="56">
        <f>$C84*INDEX(Curves!$P$8:$P$68,AB$4-$B84+1)</f>
        <v/>
      </c>
      <c r="AC84" s="56">
        <f>$C84*INDEX(Curves!$P$8:$P$68,AC$4-$B84+1)</f>
        <v/>
      </c>
      <c r="AD84" s="56">
        <f>$C84*INDEX(Curves!$P$8:$P$68,AD$4-$B84+1)</f>
        <v/>
      </c>
      <c r="AE84" s="56">
        <f>$C84*INDEX(Curves!$P$8:$P$68,AE$4-$B84+1)</f>
        <v/>
      </c>
      <c r="AF84" s="56">
        <f>$C84*INDEX(Curves!$P$8:$P$68,AF$4-$B84+1)</f>
        <v/>
      </c>
      <c r="AG84" s="56">
        <f>$C84*INDEX(Curves!$P$8:$P$68,AG$4-$B84+1)</f>
        <v/>
      </c>
      <c r="AH84" s="56">
        <f>$C84*INDEX(Curves!$P$8:$P$68,AH$4-$B84+1)</f>
        <v/>
      </c>
      <c r="AI84" s="56">
        <f>$C84*INDEX(Curves!$P$8:$P$68,AI$4-$B84+1)</f>
        <v/>
      </c>
      <c r="AJ84" s="56">
        <f>$C84*INDEX(Curves!$P$8:$P$68,AJ$4-$B84+1)</f>
        <v/>
      </c>
      <c r="AK84" s="56">
        <f>$C84*INDEX(Curves!$P$8:$P$68,AK$4-$B84+1)</f>
        <v/>
      </c>
      <c r="AL84" s="56">
        <f>$C84*INDEX(Curves!$P$8:$P$68,AL$4-$B84+1)</f>
        <v/>
      </c>
      <c r="AM84" s="56">
        <f>$C84*INDEX(Curves!$P$8:$P$68,AM$4-$B84+1)</f>
        <v/>
      </c>
      <c r="AN84" s="56">
        <f>$C84*INDEX(Curves!$P$8:$P$68,AN$4-$B84+1)</f>
        <v/>
      </c>
      <c r="AO84" s="56">
        <f>$C84*INDEX(Curves!$P$8:$P$68,AO$4-$B84+1)</f>
        <v/>
      </c>
      <c r="AP84" s="56">
        <f>$C84*INDEX(Curves!$P$8:$P$68,AP$4-$B84+1)</f>
        <v/>
      </c>
      <c r="AQ84" s="56">
        <f>$C84*INDEX(Curves!$P$8:$P$68,AQ$4-$B84+1)</f>
        <v/>
      </c>
      <c r="AR84" s="56">
        <f>$C84*INDEX(Curves!$P$8:$P$68,AR$4-$B84+1)</f>
        <v/>
      </c>
      <c r="AS84" s="56">
        <f>$C84*INDEX(Curves!$P$8:$P$68,AS$4-$B84+1)</f>
        <v/>
      </c>
      <c r="AT84" s="56">
        <f>$C84*INDEX(Curves!$P$8:$P$68,AT$4-$B84+1)</f>
        <v/>
      </c>
      <c r="AU84" s="56">
        <f>$C84*INDEX(Curves!$P$8:$P$68,AU$4-$B84+1)</f>
        <v/>
      </c>
      <c r="AV84" s="56">
        <f>$C84*INDEX(Curves!$P$8:$P$68,AV$4-$B84+1)</f>
        <v/>
      </c>
      <c r="AW84" s="56">
        <f>$C84*INDEX(Curves!$P$8:$P$68,AW$4-$B84+1)</f>
        <v/>
      </c>
      <c r="AX84" s="56">
        <f>$C84*INDEX(Curves!$P$8:$P$68,AX$4-$B84+1)</f>
        <v/>
      </c>
      <c r="AY84" s="56">
        <f>$C84*INDEX(Curves!$P$8:$P$68,AY$4-$B84+1)</f>
        <v/>
      </c>
      <c r="AZ84" s="56">
        <f>$C84*INDEX(Curves!$P$8:$P$68,AZ$4-$B84+1)</f>
        <v/>
      </c>
      <c r="BA84" s="56">
        <f>$C84*INDEX(Curves!$P$8:$P$68,BA$4-$B84+1)</f>
        <v/>
      </c>
      <c r="BB84" s="56">
        <f>$C84*INDEX(Curves!$P$8:$P$68,BB$4-$B84+1)</f>
        <v/>
      </c>
      <c r="BC84" s="56">
        <f>$C84*INDEX(Curves!$P$8:$P$68,BC$4-$B84+1)</f>
        <v/>
      </c>
      <c r="BD84" s="56">
        <f>$C84*INDEX(Curves!$P$8:$P$68,BD$4-$B84+1)</f>
        <v/>
      </c>
      <c r="BE84" s="56">
        <f>$C84*INDEX(Curves!$P$8:$P$68,BE$4-$B84+1)</f>
        <v/>
      </c>
      <c r="BF84" s="56">
        <f>$C84*INDEX(Curves!$P$8:$P$68,BF$4-$B84+1)</f>
        <v/>
      </c>
      <c r="BG84" s="56">
        <f>$C84*INDEX(Curves!$P$8:$P$68,BG$4-$B84+1)</f>
        <v/>
      </c>
      <c r="BH84" s="56">
        <f>$C84*INDEX(Curves!$P$8:$P$68,BH$4-$B84+1)</f>
        <v/>
      </c>
      <c r="BI84" s="56">
        <f>$C84*INDEX(Curves!$P$8:$P$68,BI$4-$B84+1)</f>
        <v/>
      </c>
      <c r="BJ84" s="56">
        <f>$C84*INDEX(Curves!$P$8:$P$68,BJ$4-$B84+1)</f>
        <v/>
      </c>
      <c r="BK84" s="56">
        <f>$C84*INDEX(Curves!$P$8:$P$68,BK$4-$B84+1)</f>
        <v/>
      </c>
      <c r="BL84" s="56">
        <f>$C84*INDEX(Curves!$P$8:$P$68,BL$4-$B84+1)</f>
        <v/>
      </c>
    </row>
    <row r="85">
      <c r="A85" s="55" t="inlineStr">
        <is>
          <t>Cohort month 13</t>
        </is>
      </c>
      <c r="B85" s="55" t="n">
        <v>13</v>
      </c>
      <c r="C85" s="46">
        <f>INDEX(Ops!$E$24:$BL$24,1,$B85)</f>
        <v/>
      </c>
      <c r="R85" s="56">
        <f>$C85*INDEX(Curves!$P$8:$P$68,R$4-$B85+1)</f>
        <v/>
      </c>
      <c r="S85" s="56">
        <f>$C85*INDEX(Curves!$P$8:$P$68,S$4-$B85+1)</f>
        <v/>
      </c>
      <c r="T85" s="56">
        <f>$C85*INDEX(Curves!$P$8:$P$68,T$4-$B85+1)</f>
        <v/>
      </c>
      <c r="U85" s="56">
        <f>$C85*INDEX(Curves!$P$8:$P$68,U$4-$B85+1)</f>
        <v/>
      </c>
      <c r="V85" s="56">
        <f>$C85*INDEX(Curves!$P$8:$P$68,V$4-$B85+1)</f>
        <v/>
      </c>
      <c r="W85" s="56">
        <f>$C85*INDEX(Curves!$P$8:$P$68,W$4-$B85+1)</f>
        <v/>
      </c>
      <c r="X85" s="56">
        <f>$C85*INDEX(Curves!$P$8:$P$68,X$4-$B85+1)</f>
        <v/>
      </c>
      <c r="Y85" s="56">
        <f>$C85*INDEX(Curves!$P$8:$P$68,Y$4-$B85+1)</f>
        <v/>
      </c>
      <c r="Z85" s="56">
        <f>$C85*INDEX(Curves!$P$8:$P$68,Z$4-$B85+1)</f>
        <v/>
      </c>
      <c r="AA85" s="56">
        <f>$C85*INDEX(Curves!$P$8:$P$68,AA$4-$B85+1)</f>
        <v/>
      </c>
      <c r="AB85" s="56">
        <f>$C85*INDEX(Curves!$P$8:$P$68,AB$4-$B85+1)</f>
        <v/>
      </c>
      <c r="AC85" s="56">
        <f>$C85*INDEX(Curves!$P$8:$P$68,AC$4-$B85+1)</f>
        <v/>
      </c>
      <c r="AD85" s="56">
        <f>$C85*INDEX(Curves!$P$8:$P$68,AD$4-$B85+1)</f>
        <v/>
      </c>
      <c r="AE85" s="56">
        <f>$C85*INDEX(Curves!$P$8:$P$68,AE$4-$B85+1)</f>
        <v/>
      </c>
      <c r="AF85" s="56">
        <f>$C85*INDEX(Curves!$P$8:$P$68,AF$4-$B85+1)</f>
        <v/>
      </c>
      <c r="AG85" s="56">
        <f>$C85*INDEX(Curves!$P$8:$P$68,AG$4-$B85+1)</f>
        <v/>
      </c>
      <c r="AH85" s="56">
        <f>$C85*INDEX(Curves!$P$8:$P$68,AH$4-$B85+1)</f>
        <v/>
      </c>
      <c r="AI85" s="56">
        <f>$C85*INDEX(Curves!$P$8:$P$68,AI$4-$B85+1)</f>
        <v/>
      </c>
      <c r="AJ85" s="56">
        <f>$C85*INDEX(Curves!$P$8:$P$68,AJ$4-$B85+1)</f>
        <v/>
      </c>
      <c r="AK85" s="56">
        <f>$C85*INDEX(Curves!$P$8:$P$68,AK$4-$B85+1)</f>
        <v/>
      </c>
      <c r="AL85" s="56">
        <f>$C85*INDEX(Curves!$P$8:$P$68,AL$4-$B85+1)</f>
        <v/>
      </c>
      <c r="AM85" s="56">
        <f>$C85*INDEX(Curves!$P$8:$P$68,AM$4-$B85+1)</f>
        <v/>
      </c>
      <c r="AN85" s="56">
        <f>$C85*INDEX(Curves!$P$8:$P$68,AN$4-$B85+1)</f>
        <v/>
      </c>
      <c r="AO85" s="56">
        <f>$C85*INDEX(Curves!$P$8:$P$68,AO$4-$B85+1)</f>
        <v/>
      </c>
      <c r="AP85" s="56">
        <f>$C85*INDEX(Curves!$P$8:$P$68,AP$4-$B85+1)</f>
        <v/>
      </c>
      <c r="AQ85" s="56">
        <f>$C85*INDEX(Curves!$P$8:$P$68,AQ$4-$B85+1)</f>
        <v/>
      </c>
      <c r="AR85" s="56">
        <f>$C85*INDEX(Curves!$P$8:$P$68,AR$4-$B85+1)</f>
        <v/>
      </c>
      <c r="AS85" s="56">
        <f>$C85*INDEX(Curves!$P$8:$P$68,AS$4-$B85+1)</f>
        <v/>
      </c>
      <c r="AT85" s="56">
        <f>$C85*INDEX(Curves!$P$8:$P$68,AT$4-$B85+1)</f>
        <v/>
      </c>
      <c r="AU85" s="56">
        <f>$C85*INDEX(Curves!$P$8:$P$68,AU$4-$B85+1)</f>
        <v/>
      </c>
      <c r="AV85" s="56">
        <f>$C85*INDEX(Curves!$P$8:$P$68,AV$4-$B85+1)</f>
        <v/>
      </c>
      <c r="AW85" s="56">
        <f>$C85*INDEX(Curves!$P$8:$P$68,AW$4-$B85+1)</f>
        <v/>
      </c>
      <c r="AX85" s="56">
        <f>$C85*INDEX(Curves!$P$8:$P$68,AX$4-$B85+1)</f>
        <v/>
      </c>
      <c r="AY85" s="56">
        <f>$C85*INDEX(Curves!$P$8:$P$68,AY$4-$B85+1)</f>
        <v/>
      </c>
      <c r="AZ85" s="56">
        <f>$C85*INDEX(Curves!$P$8:$P$68,AZ$4-$B85+1)</f>
        <v/>
      </c>
      <c r="BA85" s="56">
        <f>$C85*INDEX(Curves!$P$8:$P$68,BA$4-$B85+1)</f>
        <v/>
      </c>
      <c r="BB85" s="56">
        <f>$C85*INDEX(Curves!$P$8:$P$68,BB$4-$B85+1)</f>
        <v/>
      </c>
      <c r="BC85" s="56">
        <f>$C85*INDEX(Curves!$P$8:$P$68,BC$4-$B85+1)</f>
        <v/>
      </c>
      <c r="BD85" s="56">
        <f>$C85*INDEX(Curves!$P$8:$P$68,BD$4-$B85+1)</f>
        <v/>
      </c>
      <c r="BE85" s="56">
        <f>$C85*INDEX(Curves!$P$8:$P$68,BE$4-$B85+1)</f>
        <v/>
      </c>
      <c r="BF85" s="56">
        <f>$C85*INDEX(Curves!$P$8:$P$68,BF$4-$B85+1)</f>
        <v/>
      </c>
      <c r="BG85" s="56">
        <f>$C85*INDEX(Curves!$P$8:$P$68,BG$4-$B85+1)</f>
        <v/>
      </c>
      <c r="BH85" s="56">
        <f>$C85*INDEX(Curves!$P$8:$P$68,BH$4-$B85+1)</f>
        <v/>
      </c>
      <c r="BI85" s="56">
        <f>$C85*INDEX(Curves!$P$8:$P$68,BI$4-$B85+1)</f>
        <v/>
      </c>
      <c r="BJ85" s="56">
        <f>$C85*INDEX(Curves!$P$8:$P$68,BJ$4-$B85+1)</f>
        <v/>
      </c>
      <c r="BK85" s="56">
        <f>$C85*INDEX(Curves!$P$8:$P$68,BK$4-$B85+1)</f>
        <v/>
      </c>
      <c r="BL85" s="56">
        <f>$C85*INDEX(Curves!$P$8:$P$68,BL$4-$B85+1)</f>
        <v/>
      </c>
    </row>
    <row r="86">
      <c r="A86" s="55" t="inlineStr">
        <is>
          <t>Cohort month 14</t>
        </is>
      </c>
      <c r="B86" s="55" t="n">
        <v>14</v>
      </c>
      <c r="C86" s="46">
        <f>INDEX(Ops!$E$24:$BL$24,1,$B86)</f>
        <v/>
      </c>
      <c r="S86" s="56">
        <f>$C86*INDEX(Curves!$P$8:$P$68,S$4-$B86+1)</f>
        <v/>
      </c>
      <c r="T86" s="56">
        <f>$C86*INDEX(Curves!$P$8:$P$68,T$4-$B86+1)</f>
        <v/>
      </c>
      <c r="U86" s="56">
        <f>$C86*INDEX(Curves!$P$8:$P$68,U$4-$B86+1)</f>
        <v/>
      </c>
      <c r="V86" s="56">
        <f>$C86*INDEX(Curves!$P$8:$P$68,V$4-$B86+1)</f>
        <v/>
      </c>
      <c r="W86" s="56">
        <f>$C86*INDEX(Curves!$P$8:$P$68,W$4-$B86+1)</f>
        <v/>
      </c>
      <c r="X86" s="56">
        <f>$C86*INDEX(Curves!$P$8:$P$68,X$4-$B86+1)</f>
        <v/>
      </c>
      <c r="Y86" s="56">
        <f>$C86*INDEX(Curves!$P$8:$P$68,Y$4-$B86+1)</f>
        <v/>
      </c>
      <c r="Z86" s="56">
        <f>$C86*INDEX(Curves!$P$8:$P$68,Z$4-$B86+1)</f>
        <v/>
      </c>
      <c r="AA86" s="56">
        <f>$C86*INDEX(Curves!$P$8:$P$68,AA$4-$B86+1)</f>
        <v/>
      </c>
      <c r="AB86" s="56">
        <f>$C86*INDEX(Curves!$P$8:$P$68,AB$4-$B86+1)</f>
        <v/>
      </c>
      <c r="AC86" s="56">
        <f>$C86*INDEX(Curves!$P$8:$P$68,AC$4-$B86+1)</f>
        <v/>
      </c>
      <c r="AD86" s="56">
        <f>$C86*INDEX(Curves!$P$8:$P$68,AD$4-$B86+1)</f>
        <v/>
      </c>
      <c r="AE86" s="56">
        <f>$C86*INDEX(Curves!$P$8:$P$68,AE$4-$B86+1)</f>
        <v/>
      </c>
      <c r="AF86" s="56">
        <f>$C86*INDEX(Curves!$P$8:$P$68,AF$4-$B86+1)</f>
        <v/>
      </c>
      <c r="AG86" s="56">
        <f>$C86*INDEX(Curves!$P$8:$P$68,AG$4-$B86+1)</f>
        <v/>
      </c>
      <c r="AH86" s="56">
        <f>$C86*INDEX(Curves!$P$8:$P$68,AH$4-$B86+1)</f>
        <v/>
      </c>
      <c r="AI86" s="56">
        <f>$C86*INDEX(Curves!$P$8:$P$68,AI$4-$B86+1)</f>
        <v/>
      </c>
      <c r="AJ86" s="56">
        <f>$C86*INDEX(Curves!$P$8:$P$68,AJ$4-$B86+1)</f>
        <v/>
      </c>
      <c r="AK86" s="56">
        <f>$C86*INDEX(Curves!$P$8:$P$68,AK$4-$B86+1)</f>
        <v/>
      </c>
      <c r="AL86" s="56">
        <f>$C86*INDEX(Curves!$P$8:$P$68,AL$4-$B86+1)</f>
        <v/>
      </c>
      <c r="AM86" s="56">
        <f>$C86*INDEX(Curves!$P$8:$P$68,AM$4-$B86+1)</f>
        <v/>
      </c>
      <c r="AN86" s="56">
        <f>$C86*INDEX(Curves!$P$8:$P$68,AN$4-$B86+1)</f>
        <v/>
      </c>
      <c r="AO86" s="56">
        <f>$C86*INDEX(Curves!$P$8:$P$68,AO$4-$B86+1)</f>
        <v/>
      </c>
      <c r="AP86" s="56">
        <f>$C86*INDEX(Curves!$P$8:$P$68,AP$4-$B86+1)</f>
        <v/>
      </c>
      <c r="AQ86" s="56">
        <f>$C86*INDEX(Curves!$P$8:$P$68,AQ$4-$B86+1)</f>
        <v/>
      </c>
      <c r="AR86" s="56">
        <f>$C86*INDEX(Curves!$P$8:$P$68,AR$4-$B86+1)</f>
        <v/>
      </c>
      <c r="AS86" s="56">
        <f>$C86*INDEX(Curves!$P$8:$P$68,AS$4-$B86+1)</f>
        <v/>
      </c>
      <c r="AT86" s="56">
        <f>$C86*INDEX(Curves!$P$8:$P$68,AT$4-$B86+1)</f>
        <v/>
      </c>
      <c r="AU86" s="56">
        <f>$C86*INDEX(Curves!$P$8:$P$68,AU$4-$B86+1)</f>
        <v/>
      </c>
      <c r="AV86" s="56">
        <f>$C86*INDEX(Curves!$P$8:$P$68,AV$4-$B86+1)</f>
        <v/>
      </c>
      <c r="AW86" s="56">
        <f>$C86*INDEX(Curves!$P$8:$P$68,AW$4-$B86+1)</f>
        <v/>
      </c>
      <c r="AX86" s="56">
        <f>$C86*INDEX(Curves!$P$8:$P$68,AX$4-$B86+1)</f>
        <v/>
      </c>
      <c r="AY86" s="56">
        <f>$C86*INDEX(Curves!$P$8:$P$68,AY$4-$B86+1)</f>
        <v/>
      </c>
      <c r="AZ86" s="56">
        <f>$C86*INDEX(Curves!$P$8:$P$68,AZ$4-$B86+1)</f>
        <v/>
      </c>
      <c r="BA86" s="56">
        <f>$C86*INDEX(Curves!$P$8:$P$68,BA$4-$B86+1)</f>
        <v/>
      </c>
      <c r="BB86" s="56">
        <f>$C86*INDEX(Curves!$P$8:$P$68,BB$4-$B86+1)</f>
        <v/>
      </c>
      <c r="BC86" s="56">
        <f>$C86*INDEX(Curves!$P$8:$P$68,BC$4-$B86+1)</f>
        <v/>
      </c>
      <c r="BD86" s="56">
        <f>$C86*INDEX(Curves!$P$8:$P$68,BD$4-$B86+1)</f>
        <v/>
      </c>
      <c r="BE86" s="56">
        <f>$C86*INDEX(Curves!$P$8:$P$68,BE$4-$B86+1)</f>
        <v/>
      </c>
      <c r="BF86" s="56">
        <f>$C86*INDEX(Curves!$P$8:$P$68,BF$4-$B86+1)</f>
        <v/>
      </c>
      <c r="BG86" s="56">
        <f>$C86*INDEX(Curves!$P$8:$P$68,BG$4-$B86+1)</f>
        <v/>
      </c>
      <c r="BH86" s="56">
        <f>$C86*INDEX(Curves!$P$8:$P$68,BH$4-$B86+1)</f>
        <v/>
      </c>
      <c r="BI86" s="56">
        <f>$C86*INDEX(Curves!$P$8:$P$68,BI$4-$B86+1)</f>
        <v/>
      </c>
      <c r="BJ86" s="56">
        <f>$C86*INDEX(Curves!$P$8:$P$68,BJ$4-$B86+1)</f>
        <v/>
      </c>
      <c r="BK86" s="56">
        <f>$C86*INDEX(Curves!$P$8:$P$68,BK$4-$B86+1)</f>
        <v/>
      </c>
      <c r="BL86" s="56">
        <f>$C86*INDEX(Curves!$P$8:$P$68,BL$4-$B86+1)</f>
        <v/>
      </c>
    </row>
    <row r="87">
      <c r="A87" s="55" t="inlineStr">
        <is>
          <t>Cohort month 15</t>
        </is>
      </c>
      <c r="B87" s="55" t="n">
        <v>15</v>
      </c>
      <c r="C87" s="46">
        <f>INDEX(Ops!$E$24:$BL$24,1,$B87)</f>
        <v/>
      </c>
      <c r="T87" s="56">
        <f>$C87*INDEX(Curves!$P$8:$P$68,T$4-$B87+1)</f>
        <v/>
      </c>
      <c r="U87" s="56">
        <f>$C87*INDEX(Curves!$P$8:$P$68,U$4-$B87+1)</f>
        <v/>
      </c>
      <c r="V87" s="56">
        <f>$C87*INDEX(Curves!$P$8:$P$68,V$4-$B87+1)</f>
        <v/>
      </c>
      <c r="W87" s="56">
        <f>$C87*INDEX(Curves!$P$8:$P$68,W$4-$B87+1)</f>
        <v/>
      </c>
      <c r="X87" s="56">
        <f>$C87*INDEX(Curves!$P$8:$P$68,X$4-$B87+1)</f>
        <v/>
      </c>
      <c r="Y87" s="56">
        <f>$C87*INDEX(Curves!$P$8:$P$68,Y$4-$B87+1)</f>
        <v/>
      </c>
      <c r="Z87" s="56">
        <f>$C87*INDEX(Curves!$P$8:$P$68,Z$4-$B87+1)</f>
        <v/>
      </c>
      <c r="AA87" s="56">
        <f>$C87*INDEX(Curves!$P$8:$P$68,AA$4-$B87+1)</f>
        <v/>
      </c>
      <c r="AB87" s="56">
        <f>$C87*INDEX(Curves!$P$8:$P$68,AB$4-$B87+1)</f>
        <v/>
      </c>
      <c r="AC87" s="56">
        <f>$C87*INDEX(Curves!$P$8:$P$68,AC$4-$B87+1)</f>
        <v/>
      </c>
      <c r="AD87" s="56">
        <f>$C87*INDEX(Curves!$P$8:$P$68,AD$4-$B87+1)</f>
        <v/>
      </c>
      <c r="AE87" s="56">
        <f>$C87*INDEX(Curves!$P$8:$P$68,AE$4-$B87+1)</f>
        <v/>
      </c>
      <c r="AF87" s="56">
        <f>$C87*INDEX(Curves!$P$8:$P$68,AF$4-$B87+1)</f>
        <v/>
      </c>
      <c r="AG87" s="56">
        <f>$C87*INDEX(Curves!$P$8:$P$68,AG$4-$B87+1)</f>
        <v/>
      </c>
      <c r="AH87" s="56">
        <f>$C87*INDEX(Curves!$P$8:$P$68,AH$4-$B87+1)</f>
        <v/>
      </c>
      <c r="AI87" s="56">
        <f>$C87*INDEX(Curves!$P$8:$P$68,AI$4-$B87+1)</f>
        <v/>
      </c>
      <c r="AJ87" s="56">
        <f>$C87*INDEX(Curves!$P$8:$P$68,AJ$4-$B87+1)</f>
        <v/>
      </c>
      <c r="AK87" s="56">
        <f>$C87*INDEX(Curves!$P$8:$P$68,AK$4-$B87+1)</f>
        <v/>
      </c>
      <c r="AL87" s="56">
        <f>$C87*INDEX(Curves!$P$8:$P$68,AL$4-$B87+1)</f>
        <v/>
      </c>
      <c r="AM87" s="56">
        <f>$C87*INDEX(Curves!$P$8:$P$68,AM$4-$B87+1)</f>
        <v/>
      </c>
      <c r="AN87" s="56">
        <f>$C87*INDEX(Curves!$P$8:$P$68,AN$4-$B87+1)</f>
        <v/>
      </c>
      <c r="AO87" s="56">
        <f>$C87*INDEX(Curves!$P$8:$P$68,AO$4-$B87+1)</f>
        <v/>
      </c>
      <c r="AP87" s="56">
        <f>$C87*INDEX(Curves!$P$8:$P$68,AP$4-$B87+1)</f>
        <v/>
      </c>
      <c r="AQ87" s="56">
        <f>$C87*INDEX(Curves!$P$8:$P$68,AQ$4-$B87+1)</f>
        <v/>
      </c>
      <c r="AR87" s="56">
        <f>$C87*INDEX(Curves!$P$8:$P$68,AR$4-$B87+1)</f>
        <v/>
      </c>
      <c r="AS87" s="56">
        <f>$C87*INDEX(Curves!$P$8:$P$68,AS$4-$B87+1)</f>
        <v/>
      </c>
      <c r="AT87" s="56">
        <f>$C87*INDEX(Curves!$P$8:$P$68,AT$4-$B87+1)</f>
        <v/>
      </c>
      <c r="AU87" s="56">
        <f>$C87*INDEX(Curves!$P$8:$P$68,AU$4-$B87+1)</f>
        <v/>
      </c>
      <c r="AV87" s="56">
        <f>$C87*INDEX(Curves!$P$8:$P$68,AV$4-$B87+1)</f>
        <v/>
      </c>
      <c r="AW87" s="56">
        <f>$C87*INDEX(Curves!$P$8:$P$68,AW$4-$B87+1)</f>
        <v/>
      </c>
      <c r="AX87" s="56">
        <f>$C87*INDEX(Curves!$P$8:$P$68,AX$4-$B87+1)</f>
        <v/>
      </c>
      <c r="AY87" s="56">
        <f>$C87*INDEX(Curves!$P$8:$P$68,AY$4-$B87+1)</f>
        <v/>
      </c>
      <c r="AZ87" s="56">
        <f>$C87*INDEX(Curves!$P$8:$P$68,AZ$4-$B87+1)</f>
        <v/>
      </c>
      <c r="BA87" s="56">
        <f>$C87*INDEX(Curves!$P$8:$P$68,BA$4-$B87+1)</f>
        <v/>
      </c>
      <c r="BB87" s="56">
        <f>$C87*INDEX(Curves!$P$8:$P$68,BB$4-$B87+1)</f>
        <v/>
      </c>
      <c r="BC87" s="56">
        <f>$C87*INDEX(Curves!$P$8:$P$68,BC$4-$B87+1)</f>
        <v/>
      </c>
      <c r="BD87" s="56">
        <f>$C87*INDEX(Curves!$P$8:$P$68,BD$4-$B87+1)</f>
        <v/>
      </c>
      <c r="BE87" s="56">
        <f>$C87*INDEX(Curves!$P$8:$P$68,BE$4-$B87+1)</f>
        <v/>
      </c>
      <c r="BF87" s="56">
        <f>$C87*INDEX(Curves!$P$8:$P$68,BF$4-$B87+1)</f>
        <v/>
      </c>
      <c r="BG87" s="56">
        <f>$C87*INDEX(Curves!$P$8:$P$68,BG$4-$B87+1)</f>
        <v/>
      </c>
      <c r="BH87" s="56">
        <f>$C87*INDEX(Curves!$P$8:$P$68,BH$4-$B87+1)</f>
        <v/>
      </c>
      <c r="BI87" s="56">
        <f>$C87*INDEX(Curves!$P$8:$P$68,BI$4-$B87+1)</f>
        <v/>
      </c>
      <c r="BJ87" s="56">
        <f>$C87*INDEX(Curves!$P$8:$P$68,BJ$4-$B87+1)</f>
        <v/>
      </c>
      <c r="BK87" s="56">
        <f>$C87*INDEX(Curves!$P$8:$P$68,BK$4-$B87+1)</f>
        <v/>
      </c>
      <c r="BL87" s="56">
        <f>$C87*INDEX(Curves!$P$8:$P$68,BL$4-$B87+1)</f>
        <v/>
      </c>
    </row>
    <row r="88">
      <c r="A88" s="55" t="inlineStr">
        <is>
          <t>Cohort month 16</t>
        </is>
      </c>
      <c r="B88" s="55" t="n">
        <v>16</v>
      </c>
      <c r="C88" s="46">
        <f>INDEX(Ops!$E$24:$BL$24,1,$B88)</f>
        <v/>
      </c>
      <c r="U88" s="56">
        <f>$C88*INDEX(Curves!$P$8:$P$68,U$4-$B88+1)</f>
        <v/>
      </c>
      <c r="V88" s="56">
        <f>$C88*INDEX(Curves!$P$8:$P$68,V$4-$B88+1)</f>
        <v/>
      </c>
      <c r="W88" s="56">
        <f>$C88*INDEX(Curves!$P$8:$P$68,W$4-$B88+1)</f>
        <v/>
      </c>
      <c r="X88" s="56">
        <f>$C88*INDEX(Curves!$P$8:$P$68,X$4-$B88+1)</f>
        <v/>
      </c>
      <c r="Y88" s="56">
        <f>$C88*INDEX(Curves!$P$8:$P$68,Y$4-$B88+1)</f>
        <v/>
      </c>
      <c r="Z88" s="56">
        <f>$C88*INDEX(Curves!$P$8:$P$68,Z$4-$B88+1)</f>
        <v/>
      </c>
      <c r="AA88" s="56">
        <f>$C88*INDEX(Curves!$P$8:$P$68,AA$4-$B88+1)</f>
        <v/>
      </c>
      <c r="AB88" s="56">
        <f>$C88*INDEX(Curves!$P$8:$P$68,AB$4-$B88+1)</f>
        <v/>
      </c>
      <c r="AC88" s="56">
        <f>$C88*INDEX(Curves!$P$8:$P$68,AC$4-$B88+1)</f>
        <v/>
      </c>
      <c r="AD88" s="56">
        <f>$C88*INDEX(Curves!$P$8:$P$68,AD$4-$B88+1)</f>
        <v/>
      </c>
      <c r="AE88" s="56">
        <f>$C88*INDEX(Curves!$P$8:$P$68,AE$4-$B88+1)</f>
        <v/>
      </c>
      <c r="AF88" s="56">
        <f>$C88*INDEX(Curves!$P$8:$P$68,AF$4-$B88+1)</f>
        <v/>
      </c>
      <c r="AG88" s="56">
        <f>$C88*INDEX(Curves!$P$8:$P$68,AG$4-$B88+1)</f>
        <v/>
      </c>
      <c r="AH88" s="56">
        <f>$C88*INDEX(Curves!$P$8:$P$68,AH$4-$B88+1)</f>
        <v/>
      </c>
      <c r="AI88" s="56">
        <f>$C88*INDEX(Curves!$P$8:$P$68,AI$4-$B88+1)</f>
        <v/>
      </c>
      <c r="AJ88" s="56">
        <f>$C88*INDEX(Curves!$P$8:$P$68,AJ$4-$B88+1)</f>
        <v/>
      </c>
      <c r="AK88" s="56">
        <f>$C88*INDEX(Curves!$P$8:$P$68,AK$4-$B88+1)</f>
        <v/>
      </c>
      <c r="AL88" s="56">
        <f>$C88*INDEX(Curves!$P$8:$P$68,AL$4-$B88+1)</f>
        <v/>
      </c>
      <c r="AM88" s="56">
        <f>$C88*INDEX(Curves!$P$8:$P$68,AM$4-$B88+1)</f>
        <v/>
      </c>
      <c r="AN88" s="56">
        <f>$C88*INDEX(Curves!$P$8:$P$68,AN$4-$B88+1)</f>
        <v/>
      </c>
      <c r="AO88" s="56">
        <f>$C88*INDEX(Curves!$P$8:$P$68,AO$4-$B88+1)</f>
        <v/>
      </c>
      <c r="AP88" s="56">
        <f>$C88*INDEX(Curves!$P$8:$P$68,AP$4-$B88+1)</f>
        <v/>
      </c>
      <c r="AQ88" s="56">
        <f>$C88*INDEX(Curves!$P$8:$P$68,AQ$4-$B88+1)</f>
        <v/>
      </c>
      <c r="AR88" s="56">
        <f>$C88*INDEX(Curves!$P$8:$P$68,AR$4-$B88+1)</f>
        <v/>
      </c>
      <c r="AS88" s="56">
        <f>$C88*INDEX(Curves!$P$8:$P$68,AS$4-$B88+1)</f>
        <v/>
      </c>
      <c r="AT88" s="56">
        <f>$C88*INDEX(Curves!$P$8:$P$68,AT$4-$B88+1)</f>
        <v/>
      </c>
      <c r="AU88" s="56">
        <f>$C88*INDEX(Curves!$P$8:$P$68,AU$4-$B88+1)</f>
        <v/>
      </c>
      <c r="AV88" s="56">
        <f>$C88*INDEX(Curves!$P$8:$P$68,AV$4-$B88+1)</f>
        <v/>
      </c>
      <c r="AW88" s="56">
        <f>$C88*INDEX(Curves!$P$8:$P$68,AW$4-$B88+1)</f>
        <v/>
      </c>
      <c r="AX88" s="56">
        <f>$C88*INDEX(Curves!$P$8:$P$68,AX$4-$B88+1)</f>
        <v/>
      </c>
      <c r="AY88" s="56">
        <f>$C88*INDEX(Curves!$P$8:$P$68,AY$4-$B88+1)</f>
        <v/>
      </c>
      <c r="AZ88" s="56">
        <f>$C88*INDEX(Curves!$P$8:$P$68,AZ$4-$B88+1)</f>
        <v/>
      </c>
      <c r="BA88" s="56">
        <f>$C88*INDEX(Curves!$P$8:$P$68,BA$4-$B88+1)</f>
        <v/>
      </c>
      <c r="BB88" s="56">
        <f>$C88*INDEX(Curves!$P$8:$P$68,BB$4-$B88+1)</f>
        <v/>
      </c>
      <c r="BC88" s="56">
        <f>$C88*INDEX(Curves!$P$8:$P$68,BC$4-$B88+1)</f>
        <v/>
      </c>
      <c r="BD88" s="56">
        <f>$C88*INDEX(Curves!$P$8:$P$68,BD$4-$B88+1)</f>
        <v/>
      </c>
      <c r="BE88" s="56">
        <f>$C88*INDEX(Curves!$P$8:$P$68,BE$4-$B88+1)</f>
        <v/>
      </c>
      <c r="BF88" s="56">
        <f>$C88*INDEX(Curves!$P$8:$P$68,BF$4-$B88+1)</f>
        <v/>
      </c>
      <c r="BG88" s="56">
        <f>$C88*INDEX(Curves!$P$8:$P$68,BG$4-$B88+1)</f>
        <v/>
      </c>
      <c r="BH88" s="56">
        <f>$C88*INDEX(Curves!$P$8:$P$68,BH$4-$B88+1)</f>
        <v/>
      </c>
      <c r="BI88" s="56">
        <f>$C88*INDEX(Curves!$P$8:$P$68,BI$4-$B88+1)</f>
        <v/>
      </c>
      <c r="BJ88" s="56">
        <f>$C88*INDEX(Curves!$P$8:$P$68,BJ$4-$B88+1)</f>
        <v/>
      </c>
      <c r="BK88" s="56">
        <f>$C88*INDEX(Curves!$P$8:$P$68,BK$4-$B88+1)</f>
        <v/>
      </c>
      <c r="BL88" s="56">
        <f>$C88*INDEX(Curves!$P$8:$P$68,BL$4-$B88+1)</f>
        <v/>
      </c>
    </row>
    <row r="89">
      <c r="A89" s="55" t="inlineStr">
        <is>
          <t>Cohort month 17</t>
        </is>
      </c>
      <c r="B89" s="55" t="n">
        <v>17</v>
      </c>
      <c r="C89" s="46">
        <f>INDEX(Ops!$E$24:$BL$24,1,$B89)</f>
        <v/>
      </c>
      <c r="V89" s="56">
        <f>$C89*INDEX(Curves!$P$8:$P$68,V$4-$B89+1)</f>
        <v/>
      </c>
      <c r="W89" s="56">
        <f>$C89*INDEX(Curves!$P$8:$P$68,W$4-$B89+1)</f>
        <v/>
      </c>
      <c r="X89" s="56">
        <f>$C89*INDEX(Curves!$P$8:$P$68,X$4-$B89+1)</f>
        <v/>
      </c>
      <c r="Y89" s="56">
        <f>$C89*INDEX(Curves!$P$8:$P$68,Y$4-$B89+1)</f>
        <v/>
      </c>
      <c r="Z89" s="56">
        <f>$C89*INDEX(Curves!$P$8:$P$68,Z$4-$B89+1)</f>
        <v/>
      </c>
      <c r="AA89" s="56">
        <f>$C89*INDEX(Curves!$P$8:$P$68,AA$4-$B89+1)</f>
        <v/>
      </c>
      <c r="AB89" s="56">
        <f>$C89*INDEX(Curves!$P$8:$P$68,AB$4-$B89+1)</f>
        <v/>
      </c>
      <c r="AC89" s="56">
        <f>$C89*INDEX(Curves!$P$8:$P$68,AC$4-$B89+1)</f>
        <v/>
      </c>
      <c r="AD89" s="56">
        <f>$C89*INDEX(Curves!$P$8:$P$68,AD$4-$B89+1)</f>
        <v/>
      </c>
      <c r="AE89" s="56">
        <f>$C89*INDEX(Curves!$P$8:$P$68,AE$4-$B89+1)</f>
        <v/>
      </c>
      <c r="AF89" s="56">
        <f>$C89*INDEX(Curves!$P$8:$P$68,AF$4-$B89+1)</f>
        <v/>
      </c>
      <c r="AG89" s="56">
        <f>$C89*INDEX(Curves!$P$8:$P$68,AG$4-$B89+1)</f>
        <v/>
      </c>
      <c r="AH89" s="56">
        <f>$C89*INDEX(Curves!$P$8:$P$68,AH$4-$B89+1)</f>
        <v/>
      </c>
      <c r="AI89" s="56">
        <f>$C89*INDEX(Curves!$P$8:$P$68,AI$4-$B89+1)</f>
        <v/>
      </c>
      <c r="AJ89" s="56">
        <f>$C89*INDEX(Curves!$P$8:$P$68,AJ$4-$B89+1)</f>
        <v/>
      </c>
      <c r="AK89" s="56">
        <f>$C89*INDEX(Curves!$P$8:$P$68,AK$4-$B89+1)</f>
        <v/>
      </c>
      <c r="AL89" s="56">
        <f>$C89*INDEX(Curves!$P$8:$P$68,AL$4-$B89+1)</f>
        <v/>
      </c>
      <c r="AM89" s="56">
        <f>$C89*INDEX(Curves!$P$8:$P$68,AM$4-$B89+1)</f>
        <v/>
      </c>
      <c r="AN89" s="56">
        <f>$C89*INDEX(Curves!$P$8:$P$68,AN$4-$B89+1)</f>
        <v/>
      </c>
      <c r="AO89" s="56">
        <f>$C89*INDEX(Curves!$P$8:$P$68,AO$4-$B89+1)</f>
        <v/>
      </c>
      <c r="AP89" s="56">
        <f>$C89*INDEX(Curves!$P$8:$P$68,AP$4-$B89+1)</f>
        <v/>
      </c>
      <c r="AQ89" s="56">
        <f>$C89*INDEX(Curves!$P$8:$P$68,AQ$4-$B89+1)</f>
        <v/>
      </c>
      <c r="AR89" s="56">
        <f>$C89*INDEX(Curves!$P$8:$P$68,AR$4-$B89+1)</f>
        <v/>
      </c>
      <c r="AS89" s="56">
        <f>$C89*INDEX(Curves!$P$8:$P$68,AS$4-$B89+1)</f>
        <v/>
      </c>
      <c r="AT89" s="56">
        <f>$C89*INDEX(Curves!$P$8:$P$68,AT$4-$B89+1)</f>
        <v/>
      </c>
      <c r="AU89" s="56">
        <f>$C89*INDEX(Curves!$P$8:$P$68,AU$4-$B89+1)</f>
        <v/>
      </c>
      <c r="AV89" s="56">
        <f>$C89*INDEX(Curves!$P$8:$P$68,AV$4-$B89+1)</f>
        <v/>
      </c>
      <c r="AW89" s="56">
        <f>$C89*INDEX(Curves!$P$8:$P$68,AW$4-$B89+1)</f>
        <v/>
      </c>
      <c r="AX89" s="56">
        <f>$C89*INDEX(Curves!$P$8:$P$68,AX$4-$B89+1)</f>
        <v/>
      </c>
      <c r="AY89" s="56">
        <f>$C89*INDEX(Curves!$P$8:$P$68,AY$4-$B89+1)</f>
        <v/>
      </c>
      <c r="AZ89" s="56">
        <f>$C89*INDEX(Curves!$P$8:$P$68,AZ$4-$B89+1)</f>
        <v/>
      </c>
      <c r="BA89" s="56">
        <f>$C89*INDEX(Curves!$P$8:$P$68,BA$4-$B89+1)</f>
        <v/>
      </c>
      <c r="BB89" s="56">
        <f>$C89*INDEX(Curves!$P$8:$P$68,BB$4-$B89+1)</f>
        <v/>
      </c>
      <c r="BC89" s="56">
        <f>$C89*INDEX(Curves!$P$8:$P$68,BC$4-$B89+1)</f>
        <v/>
      </c>
      <c r="BD89" s="56">
        <f>$C89*INDEX(Curves!$P$8:$P$68,BD$4-$B89+1)</f>
        <v/>
      </c>
      <c r="BE89" s="56">
        <f>$C89*INDEX(Curves!$P$8:$P$68,BE$4-$B89+1)</f>
        <v/>
      </c>
      <c r="BF89" s="56">
        <f>$C89*INDEX(Curves!$P$8:$P$68,BF$4-$B89+1)</f>
        <v/>
      </c>
      <c r="BG89" s="56">
        <f>$C89*INDEX(Curves!$P$8:$P$68,BG$4-$B89+1)</f>
        <v/>
      </c>
      <c r="BH89" s="56">
        <f>$C89*INDEX(Curves!$P$8:$P$68,BH$4-$B89+1)</f>
        <v/>
      </c>
      <c r="BI89" s="56">
        <f>$C89*INDEX(Curves!$P$8:$P$68,BI$4-$B89+1)</f>
        <v/>
      </c>
      <c r="BJ89" s="56">
        <f>$C89*INDEX(Curves!$P$8:$P$68,BJ$4-$B89+1)</f>
        <v/>
      </c>
      <c r="BK89" s="56">
        <f>$C89*INDEX(Curves!$P$8:$P$68,BK$4-$B89+1)</f>
        <v/>
      </c>
      <c r="BL89" s="56">
        <f>$C89*INDEX(Curves!$P$8:$P$68,BL$4-$B89+1)</f>
        <v/>
      </c>
    </row>
    <row r="90">
      <c r="A90" s="55" t="inlineStr">
        <is>
          <t>Cohort month 18</t>
        </is>
      </c>
      <c r="B90" s="55" t="n">
        <v>18</v>
      </c>
      <c r="C90" s="46">
        <f>INDEX(Ops!$E$24:$BL$24,1,$B90)</f>
        <v/>
      </c>
      <c r="W90" s="56">
        <f>$C90*INDEX(Curves!$P$8:$P$68,W$4-$B90+1)</f>
        <v/>
      </c>
      <c r="X90" s="56">
        <f>$C90*INDEX(Curves!$P$8:$P$68,X$4-$B90+1)</f>
        <v/>
      </c>
      <c r="Y90" s="56">
        <f>$C90*INDEX(Curves!$P$8:$P$68,Y$4-$B90+1)</f>
        <v/>
      </c>
      <c r="Z90" s="56">
        <f>$C90*INDEX(Curves!$P$8:$P$68,Z$4-$B90+1)</f>
        <v/>
      </c>
      <c r="AA90" s="56">
        <f>$C90*INDEX(Curves!$P$8:$P$68,AA$4-$B90+1)</f>
        <v/>
      </c>
      <c r="AB90" s="56">
        <f>$C90*INDEX(Curves!$P$8:$P$68,AB$4-$B90+1)</f>
        <v/>
      </c>
      <c r="AC90" s="56">
        <f>$C90*INDEX(Curves!$P$8:$P$68,AC$4-$B90+1)</f>
        <v/>
      </c>
      <c r="AD90" s="56">
        <f>$C90*INDEX(Curves!$P$8:$P$68,AD$4-$B90+1)</f>
        <v/>
      </c>
      <c r="AE90" s="56">
        <f>$C90*INDEX(Curves!$P$8:$P$68,AE$4-$B90+1)</f>
        <v/>
      </c>
      <c r="AF90" s="56">
        <f>$C90*INDEX(Curves!$P$8:$P$68,AF$4-$B90+1)</f>
        <v/>
      </c>
      <c r="AG90" s="56">
        <f>$C90*INDEX(Curves!$P$8:$P$68,AG$4-$B90+1)</f>
        <v/>
      </c>
      <c r="AH90" s="56">
        <f>$C90*INDEX(Curves!$P$8:$P$68,AH$4-$B90+1)</f>
        <v/>
      </c>
      <c r="AI90" s="56">
        <f>$C90*INDEX(Curves!$P$8:$P$68,AI$4-$B90+1)</f>
        <v/>
      </c>
      <c r="AJ90" s="56">
        <f>$C90*INDEX(Curves!$P$8:$P$68,AJ$4-$B90+1)</f>
        <v/>
      </c>
      <c r="AK90" s="56">
        <f>$C90*INDEX(Curves!$P$8:$P$68,AK$4-$B90+1)</f>
        <v/>
      </c>
      <c r="AL90" s="56">
        <f>$C90*INDEX(Curves!$P$8:$P$68,AL$4-$B90+1)</f>
        <v/>
      </c>
      <c r="AM90" s="56">
        <f>$C90*INDEX(Curves!$P$8:$P$68,AM$4-$B90+1)</f>
        <v/>
      </c>
      <c r="AN90" s="56">
        <f>$C90*INDEX(Curves!$P$8:$P$68,AN$4-$B90+1)</f>
        <v/>
      </c>
      <c r="AO90" s="56">
        <f>$C90*INDEX(Curves!$P$8:$P$68,AO$4-$B90+1)</f>
        <v/>
      </c>
      <c r="AP90" s="56">
        <f>$C90*INDEX(Curves!$P$8:$P$68,AP$4-$B90+1)</f>
        <v/>
      </c>
      <c r="AQ90" s="56">
        <f>$C90*INDEX(Curves!$P$8:$P$68,AQ$4-$B90+1)</f>
        <v/>
      </c>
      <c r="AR90" s="56">
        <f>$C90*INDEX(Curves!$P$8:$P$68,AR$4-$B90+1)</f>
        <v/>
      </c>
      <c r="AS90" s="56">
        <f>$C90*INDEX(Curves!$P$8:$P$68,AS$4-$B90+1)</f>
        <v/>
      </c>
      <c r="AT90" s="56">
        <f>$C90*INDEX(Curves!$P$8:$P$68,AT$4-$B90+1)</f>
        <v/>
      </c>
      <c r="AU90" s="56">
        <f>$C90*INDEX(Curves!$P$8:$P$68,AU$4-$B90+1)</f>
        <v/>
      </c>
      <c r="AV90" s="56">
        <f>$C90*INDEX(Curves!$P$8:$P$68,AV$4-$B90+1)</f>
        <v/>
      </c>
      <c r="AW90" s="56">
        <f>$C90*INDEX(Curves!$P$8:$P$68,AW$4-$B90+1)</f>
        <v/>
      </c>
      <c r="AX90" s="56">
        <f>$C90*INDEX(Curves!$P$8:$P$68,AX$4-$B90+1)</f>
        <v/>
      </c>
      <c r="AY90" s="56">
        <f>$C90*INDEX(Curves!$P$8:$P$68,AY$4-$B90+1)</f>
        <v/>
      </c>
      <c r="AZ90" s="56">
        <f>$C90*INDEX(Curves!$P$8:$P$68,AZ$4-$B90+1)</f>
        <v/>
      </c>
      <c r="BA90" s="56">
        <f>$C90*INDEX(Curves!$P$8:$P$68,BA$4-$B90+1)</f>
        <v/>
      </c>
      <c r="BB90" s="56">
        <f>$C90*INDEX(Curves!$P$8:$P$68,BB$4-$B90+1)</f>
        <v/>
      </c>
      <c r="BC90" s="56">
        <f>$C90*INDEX(Curves!$P$8:$P$68,BC$4-$B90+1)</f>
        <v/>
      </c>
      <c r="BD90" s="56">
        <f>$C90*INDEX(Curves!$P$8:$P$68,BD$4-$B90+1)</f>
        <v/>
      </c>
      <c r="BE90" s="56">
        <f>$C90*INDEX(Curves!$P$8:$P$68,BE$4-$B90+1)</f>
        <v/>
      </c>
      <c r="BF90" s="56">
        <f>$C90*INDEX(Curves!$P$8:$P$68,BF$4-$B90+1)</f>
        <v/>
      </c>
      <c r="BG90" s="56">
        <f>$C90*INDEX(Curves!$P$8:$P$68,BG$4-$B90+1)</f>
        <v/>
      </c>
      <c r="BH90" s="56">
        <f>$C90*INDEX(Curves!$P$8:$P$68,BH$4-$B90+1)</f>
        <v/>
      </c>
      <c r="BI90" s="56">
        <f>$C90*INDEX(Curves!$P$8:$P$68,BI$4-$B90+1)</f>
        <v/>
      </c>
      <c r="BJ90" s="56">
        <f>$C90*INDEX(Curves!$P$8:$P$68,BJ$4-$B90+1)</f>
        <v/>
      </c>
      <c r="BK90" s="56">
        <f>$C90*INDEX(Curves!$P$8:$P$68,BK$4-$B90+1)</f>
        <v/>
      </c>
      <c r="BL90" s="56">
        <f>$C90*INDEX(Curves!$P$8:$P$68,BL$4-$B90+1)</f>
        <v/>
      </c>
    </row>
    <row r="91">
      <c r="A91" s="55" t="inlineStr">
        <is>
          <t>Cohort month 19</t>
        </is>
      </c>
      <c r="B91" s="55" t="n">
        <v>19</v>
      </c>
      <c r="C91" s="46">
        <f>INDEX(Ops!$E$24:$BL$24,1,$B91)</f>
        <v/>
      </c>
      <c r="X91" s="56">
        <f>$C91*INDEX(Curves!$P$8:$P$68,X$4-$B91+1)</f>
        <v/>
      </c>
      <c r="Y91" s="56">
        <f>$C91*INDEX(Curves!$P$8:$P$68,Y$4-$B91+1)</f>
        <v/>
      </c>
      <c r="Z91" s="56">
        <f>$C91*INDEX(Curves!$P$8:$P$68,Z$4-$B91+1)</f>
        <v/>
      </c>
      <c r="AA91" s="56">
        <f>$C91*INDEX(Curves!$P$8:$P$68,AA$4-$B91+1)</f>
        <v/>
      </c>
      <c r="AB91" s="56">
        <f>$C91*INDEX(Curves!$P$8:$P$68,AB$4-$B91+1)</f>
        <v/>
      </c>
      <c r="AC91" s="56">
        <f>$C91*INDEX(Curves!$P$8:$P$68,AC$4-$B91+1)</f>
        <v/>
      </c>
      <c r="AD91" s="56">
        <f>$C91*INDEX(Curves!$P$8:$P$68,AD$4-$B91+1)</f>
        <v/>
      </c>
      <c r="AE91" s="56">
        <f>$C91*INDEX(Curves!$P$8:$P$68,AE$4-$B91+1)</f>
        <v/>
      </c>
      <c r="AF91" s="56">
        <f>$C91*INDEX(Curves!$P$8:$P$68,AF$4-$B91+1)</f>
        <v/>
      </c>
      <c r="AG91" s="56">
        <f>$C91*INDEX(Curves!$P$8:$P$68,AG$4-$B91+1)</f>
        <v/>
      </c>
      <c r="AH91" s="56">
        <f>$C91*INDEX(Curves!$P$8:$P$68,AH$4-$B91+1)</f>
        <v/>
      </c>
      <c r="AI91" s="56">
        <f>$C91*INDEX(Curves!$P$8:$P$68,AI$4-$B91+1)</f>
        <v/>
      </c>
      <c r="AJ91" s="56">
        <f>$C91*INDEX(Curves!$P$8:$P$68,AJ$4-$B91+1)</f>
        <v/>
      </c>
      <c r="AK91" s="56">
        <f>$C91*INDEX(Curves!$P$8:$P$68,AK$4-$B91+1)</f>
        <v/>
      </c>
      <c r="AL91" s="56">
        <f>$C91*INDEX(Curves!$P$8:$P$68,AL$4-$B91+1)</f>
        <v/>
      </c>
      <c r="AM91" s="56">
        <f>$C91*INDEX(Curves!$P$8:$P$68,AM$4-$B91+1)</f>
        <v/>
      </c>
      <c r="AN91" s="56">
        <f>$C91*INDEX(Curves!$P$8:$P$68,AN$4-$B91+1)</f>
        <v/>
      </c>
      <c r="AO91" s="56">
        <f>$C91*INDEX(Curves!$P$8:$P$68,AO$4-$B91+1)</f>
        <v/>
      </c>
      <c r="AP91" s="56">
        <f>$C91*INDEX(Curves!$P$8:$P$68,AP$4-$B91+1)</f>
        <v/>
      </c>
      <c r="AQ91" s="56">
        <f>$C91*INDEX(Curves!$P$8:$P$68,AQ$4-$B91+1)</f>
        <v/>
      </c>
      <c r="AR91" s="56">
        <f>$C91*INDEX(Curves!$P$8:$P$68,AR$4-$B91+1)</f>
        <v/>
      </c>
      <c r="AS91" s="56">
        <f>$C91*INDEX(Curves!$P$8:$P$68,AS$4-$B91+1)</f>
        <v/>
      </c>
      <c r="AT91" s="56">
        <f>$C91*INDEX(Curves!$P$8:$P$68,AT$4-$B91+1)</f>
        <v/>
      </c>
      <c r="AU91" s="56">
        <f>$C91*INDEX(Curves!$P$8:$P$68,AU$4-$B91+1)</f>
        <v/>
      </c>
      <c r="AV91" s="56">
        <f>$C91*INDEX(Curves!$P$8:$P$68,AV$4-$B91+1)</f>
        <v/>
      </c>
      <c r="AW91" s="56">
        <f>$C91*INDEX(Curves!$P$8:$P$68,AW$4-$B91+1)</f>
        <v/>
      </c>
      <c r="AX91" s="56">
        <f>$C91*INDEX(Curves!$P$8:$P$68,AX$4-$B91+1)</f>
        <v/>
      </c>
      <c r="AY91" s="56">
        <f>$C91*INDEX(Curves!$P$8:$P$68,AY$4-$B91+1)</f>
        <v/>
      </c>
      <c r="AZ91" s="56">
        <f>$C91*INDEX(Curves!$P$8:$P$68,AZ$4-$B91+1)</f>
        <v/>
      </c>
      <c r="BA91" s="56">
        <f>$C91*INDEX(Curves!$P$8:$P$68,BA$4-$B91+1)</f>
        <v/>
      </c>
      <c r="BB91" s="56">
        <f>$C91*INDEX(Curves!$P$8:$P$68,BB$4-$B91+1)</f>
        <v/>
      </c>
      <c r="BC91" s="56">
        <f>$C91*INDEX(Curves!$P$8:$P$68,BC$4-$B91+1)</f>
        <v/>
      </c>
      <c r="BD91" s="56">
        <f>$C91*INDEX(Curves!$P$8:$P$68,BD$4-$B91+1)</f>
        <v/>
      </c>
      <c r="BE91" s="56">
        <f>$C91*INDEX(Curves!$P$8:$P$68,BE$4-$B91+1)</f>
        <v/>
      </c>
      <c r="BF91" s="56">
        <f>$C91*INDEX(Curves!$P$8:$P$68,BF$4-$B91+1)</f>
        <v/>
      </c>
      <c r="BG91" s="56">
        <f>$C91*INDEX(Curves!$P$8:$P$68,BG$4-$B91+1)</f>
        <v/>
      </c>
      <c r="BH91" s="56">
        <f>$C91*INDEX(Curves!$P$8:$P$68,BH$4-$B91+1)</f>
        <v/>
      </c>
      <c r="BI91" s="56">
        <f>$C91*INDEX(Curves!$P$8:$P$68,BI$4-$B91+1)</f>
        <v/>
      </c>
      <c r="BJ91" s="56">
        <f>$C91*INDEX(Curves!$P$8:$P$68,BJ$4-$B91+1)</f>
        <v/>
      </c>
      <c r="BK91" s="56">
        <f>$C91*INDEX(Curves!$P$8:$P$68,BK$4-$B91+1)</f>
        <v/>
      </c>
      <c r="BL91" s="56">
        <f>$C91*INDEX(Curves!$P$8:$P$68,BL$4-$B91+1)</f>
        <v/>
      </c>
    </row>
    <row r="92">
      <c r="A92" s="55" t="inlineStr">
        <is>
          <t>Cohort month 20</t>
        </is>
      </c>
      <c r="B92" s="55" t="n">
        <v>20</v>
      </c>
      <c r="C92" s="46">
        <f>INDEX(Ops!$E$24:$BL$24,1,$B92)</f>
        <v/>
      </c>
      <c r="Y92" s="56">
        <f>$C92*INDEX(Curves!$P$8:$P$68,Y$4-$B92+1)</f>
        <v/>
      </c>
      <c r="Z92" s="56">
        <f>$C92*INDEX(Curves!$P$8:$P$68,Z$4-$B92+1)</f>
        <v/>
      </c>
      <c r="AA92" s="56">
        <f>$C92*INDEX(Curves!$P$8:$P$68,AA$4-$B92+1)</f>
        <v/>
      </c>
      <c r="AB92" s="56">
        <f>$C92*INDEX(Curves!$P$8:$P$68,AB$4-$B92+1)</f>
        <v/>
      </c>
      <c r="AC92" s="56">
        <f>$C92*INDEX(Curves!$P$8:$P$68,AC$4-$B92+1)</f>
        <v/>
      </c>
      <c r="AD92" s="56">
        <f>$C92*INDEX(Curves!$P$8:$P$68,AD$4-$B92+1)</f>
        <v/>
      </c>
      <c r="AE92" s="56">
        <f>$C92*INDEX(Curves!$P$8:$P$68,AE$4-$B92+1)</f>
        <v/>
      </c>
      <c r="AF92" s="56">
        <f>$C92*INDEX(Curves!$P$8:$P$68,AF$4-$B92+1)</f>
        <v/>
      </c>
      <c r="AG92" s="56">
        <f>$C92*INDEX(Curves!$P$8:$P$68,AG$4-$B92+1)</f>
        <v/>
      </c>
      <c r="AH92" s="56">
        <f>$C92*INDEX(Curves!$P$8:$P$68,AH$4-$B92+1)</f>
        <v/>
      </c>
      <c r="AI92" s="56">
        <f>$C92*INDEX(Curves!$P$8:$P$68,AI$4-$B92+1)</f>
        <v/>
      </c>
      <c r="AJ92" s="56">
        <f>$C92*INDEX(Curves!$P$8:$P$68,AJ$4-$B92+1)</f>
        <v/>
      </c>
      <c r="AK92" s="56">
        <f>$C92*INDEX(Curves!$P$8:$P$68,AK$4-$B92+1)</f>
        <v/>
      </c>
      <c r="AL92" s="56">
        <f>$C92*INDEX(Curves!$P$8:$P$68,AL$4-$B92+1)</f>
        <v/>
      </c>
      <c r="AM92" s="56">
        <f>$C92*INDEX(Curves!$P$8:$P$68,AM$4-$B92+1)</f>
        <v/>
      </c>
      <c r="AN92" s="56">
        <f>$C92*INDEX(Curves!$P$8:$P$68,AN$4-$B92+1)</f>
        <v/>
      </c>
      <c r="AO92" s="56">
        <f>$C92*INDEX(Curves!$P$8:$P$68,AO$4-$B92+1)</f>
        <v/>
      </c>
      <c r="AP92" s="56">
        <f>$C92*INDEX(Curves!$P$8:$P$68,AP$4-$B92+1)</f>
        <v/>
      </c>
      <c r="AQ92" s="56">
        <f>$C92*INDEX(Curves!$P$8:$P$68,AQ$4-$B92+1)</f>
        <v/>
      </c>
      <c r="AR92" s="56">
        <f>$C92*INDEX(Curves!$P$8:$P$68,AR$4-$B92+1)</f>
        <v/>
      </c>
      <c r="AS92" s="56">
        <f>$C92*INDEX(Curves!$P$8:$P$68,AS$4-$B92+1)</f>
        <v/>
      </c>
      <c r="AT92" s="56">
        <f>$C92*INDEX(Curves!$P$8:$P$68,AT$4-$B92+1)</f>
        <v/>
      </c>
      <c r="AU92" s="56">
        <f>$C92*INDEX(Curves!$P$8:$P$68,AU$4-$B92+1)</f>
        <v/>
      </c>
      <c r="AV92" s="56">
        <f>$C92*INDEX(Curves!$P$8:$P$68,AV$4-$B92+1)</f>
        <v/>
      </c>
      <c r="AW92" s="56">
        <f>$C92*INDEX(Curves!$P$8:$P$68,AW$4-$B92+1)</f>
        <v/>
      </c>
      <c r="AX92" s="56">
        <f>$C92*INDEX(Curves!$P$8:$P$68,AX$4-$B92+1)</f>
        <v/>
      </c>
      <c r="AY92" s="56">
        <f>$C92*INDEX(Curves!$P$8:$P$68,AY$4-$B92+1)</f>
        <v/>
      </c>
      <c r="AZ92" s="56">
        <f>$C92*INDEX(Curves!$P$8:$P$68,AZ$4-$B92+1)</f>
        <v/>
      </c>
      <c r="BA92" s="56">
        <f>$C92*INDEX(Curves!$P$8:$P$68,BA$4-$B92+1)</f>
        <v/>
      </c>
      <c r="BB92" s="56">
        <f>$C92*INDEX(Curves!$P$8:$P$68,BB$4-$B92+1)</f>
        <v/>
      </c>
      <c r="BC92" s="56">
        <f>$C92*INDEX(Curves!$P$8:$P$68,BC$4-$B92+1)</f>
        <v/>
      </c>
      <c r="BD92" s="56">
        <f>$C92*INDEX(Curves!$P$8:$P$68,BD$4-$B92+1)</f>
        <v/>
      </c>
      <c r="BE92" s="56">
        <f>$C92*INDEX(Curves!$P$8:$P$68,BE$4-$B92+1)</f>
        <v/>
      </c>
      <c r="BF92" s="56">
        <f>$C92*INDEX(Curves!$P$8:$P$68,BF$4-$B92+1)</f>
        <v/>
      </c>
      <c r="BG92" s="56">
        <f>$C92*INDEX(Curves!$P$8:$P$68,BG$4-$B92+1)</f>
        <v/>
      </c>
      <c r="BH92" s="56">
        <f>$C92*INDEX(Curves!$P$8:$P$68,BH$4-$B92+1)</f>
        <v/>
      </c>
      <c r="BI92" s="56">
        <f>$C92*INDEX(Curves!$P$8:$P$68,BI$4-$B92+1)</f>
        <v/>
      </c>
      <c r="BJ92" s="56">
        <f>$C92*INDEX(Curves!$P$8:$P$68,BJ$4-$B92+1)</f>
        <v/>
      </c>
      <c r="BK92" s="56">
        <f>$C92*INDEX(Curves!$P$8:$P$68,BK$4-$B92+1)</f>
        <v/>
      </c>
      <c r="BL92" s="56">
        <f>$C92*INDEX(Curves!$P$8:$P$68,BL$4-$B92+1)</f>
        <v/>
      </c>
    </row>
    <row r="93">
      <c r="A93" s="55" t="inlineStr">
        <is>
          <t>Cohort month 21</t>
        </is>
      </c>
      <c r="B93" s="55" t="n">
        <v>21</v>
      </c>
      <c r="C93" s="46">
        <f>INDEX(Ops!$E$24:$BL$24,1,$B93)</f>
        <v/>
      </c>
      <c r="Z93" s="56">
        <f>$C93*INDEX(Curves!$P$8:$P$68,Z$4-$B93+1)</f>
        <v/>
      </c>
      <c r="AA93" s="56">
        <f>$C93*INDEX(Curves!$P$8:$P$68,AA$4-$B93+1)</f>
        <v/>
      </c>
      <c r="AB93" s="56">
        <f>$C93*INDEX(Curves!$P$8:$P$68,AB$4-$B93+1)</f>
        <v/>
      </c>
      <c r="AC93" s="56">
        <f>$C93*INDEX(Curves!$P$8:$P$68,AC$4-$B93+1)</f>
        <v/>
      </c>
      <c r="AD93" s="56">
        <f>$C93*INDEX(Curves!$P$8:$P$68,AD$4-$B93+1)</f>
        <v/>
      </c>
      <c r="AE93" s="56">
        <f>$C93*INDEX(Curves!$P$8:$P$68,AE$4-$B93+1)</f>
        <v/>
      </c>
      <c r="AF93" s="56">
        <f>$C93*INDEX(Curves!$P$8:$P$68,AF$4-$B93+1)</f>
        <v/>
      </c>
      <c r="AG93" s="56">
        <f>$C93*INDEX(Curves!$P$8:$P$68,AG$4-$B93+1)</f>
        <v/>
      </c>
      <c r="AH93" s="56">
        <f>$C93*INDEX(Curves!$P$8:$P$68,AH$4-$B93+1)</f>
        <v/>
      </c>
      <c r="AI93" s="56">
        <f>$C93*INDEX(Curves!$P$8:$P$68,AI$4-$B93+1)</f>
        <v/>
      </c>
      <c r="AJ93" s="56">
        <f>$C93*INDEX(Curves!$P$8:$P$68,AJ$4-$B93+1)</f>
        <v/>
      </c>
      <c r="AK93" s="56">
        <f>$C93*INDEX(Curves!$P$8:$P$68,AK$4-$B93+1)</f>
        <v/>
      </c>
      <c r="AL93" s="56">
        <f>$C93*INDEX(Curves!$P$8:$P$68,AL$4-$B93+1)</f>
        <v/>
      </c>
      <c r="AM93" s="56">
        <f>$C93*INDEX(Curves!$P$8:$P$68,AM$4-$B93+1)</f>
        <v/>
      </c>
      <c r="AN93" s="56">
        <f>$C93*INDEX(Curves!$P$8:$P$68,AN$4-$B93+1)</f>
        <v/>
      </c>
      <c r="AO93" s="56">
        <f>$C93*INDEX(Curves!$P$8:$P$68,AO$4-$B93+1)</f>
        <v/>
      </c>
      <c r="AP93" s="56">
        <f>$C93*INDEX(Curves!$P$8:$P$68,AP$4-$B93+1)</f>
        <v/>
      </c>
      <c r="AQ93" s="56">
        <f>$C93*INDEX(Curves!$P$8:$P$68,AQ$4-$B93+1)</f>
        <v/>
      </c>
      <c r="AR93" s="56">
        <f>$C93*INDEX(Curves!$P$8:$P$68,AR$4-$B93+1)</f>
        <v/>
      </c>
      <c r="AS93" s="56">
        <f>$C93*INDEX(Curves!$P$8:$P$68,AS$4-$B93+1)</f>
        <v/>
      </c>
      <c r="AT93" s="56">
        <f>$C93*INDEX(Curves!$P$8:$P$68,AT$4-$B93+1)</f>
        <v/>
      </c>
      <c r="AU93" s="56">
        <f>$C93*INDEX(Curves!$P$8:$P$68,AU$4-$B93+1)</f>
        <v/>
      </c>
      <c r="AV93" s="56">
        <f>$C93*INDEX(Curves!$P$8:$P$68,AV$4-$B93+1)</f>
        <v/>
      </c>
      <c r="AW93" s="56">
        <f>$C93*INDEX(Curves!$P$8:$P$68,AW$4-$B93+1)</f>
        <v/>
      </c>
      <c r="AX93" s="56">
        <f>$C93*INDEX(Curves!$P$8:$P$68,AX$4-$B93+1)</f>
        <v/>
      </c>
      <c r="AY93" s="56">
        <f>$C93*INDEX(Curves!$P$8:$P$68,AY$4-$B93+1)</f>
        <v/>
      </c>
      <c r="AZ93" s="56">
        <f>$C93*INDEX(Curves!$P$8:$P$68,AZ$4-$B93+1)</f>
        <v/>
      </c>
      <c r="BA93" s="56">
        <f>$C93*INDEX(Curves!$P$8:$P$68,BA$4-$B93+1)</f>
        <v/>
      </c>
      <c r="BB93" s="56">
        <f>$C93*INDEX(Curves!$P$8:$P$68,BB$4-$B93+1)</f>
        <v/>
      </c>
      <c r="BC93" s="56">
        <f>$C93*INDEX(Curves!$P$8:$P$68,BC$4-$B93+1)</f>
        <v/>
      </c>
      <c r="BD93" s="56">
        <f>$C93*INDEX(Curves!$P$8:$P$68,BD$4-$B93+1)</f>
        <v/>
      </c>
      <c r="BE93" s="56">
        <f>$C93*INDEX(Curves!$P$8:$P$68,BE$4-$B93+1)</f>
        <v/>
      </c>
      <c r="BF93" s="56">
        <f>$C93*INDEX(Curves!$P$8:$P$68,BF$4-$B93+1)</f>
        <v/>
      </c>
      <c r="BG93" s="56">
        <f>$C93*INDEX(Curves!$P$8:$P$68,BG$4-$B93+1)</f>
        <v/>
      </c>
      <c r="BH93" s="56">
        <f>$C93*INDEX(Curves!$P$8:$P$68,BH$4-$B93+1)</f>
        <v/>
      </c>
      <c r="BI93" s="56">
        <f>$C93*INDEX(Curves!$P$8:$P$68,BI$4-$B93+1)</f>
        <v/>
      </c>
      <c r="BJ93" s="56">
        <f>$C93*INDEX(Curves!$P$8:$P$68,BJ$4-$B93+1)</f>
        <v/>
      </c>
      <c r="BK93" s="56">
        <f>$C93*INDEX(Curves!$P$8:$P$68,BK$4-$B93+1)</f>
        <v/>
      </c>
      <c r="BL93" s="56">
        <f>$C93*INDEX(Curves!$P$8:$P$68,BL$4-$B93+1)</f>
        <v/>
      </c>
    </row>
    <row r="94">
      <c r="A94" s="55" t="inlineStr">
        <is>
          <t>Cohort month 22</t>
        </is>
      </c>
      <c r="B94" s="55" t="n">
        <v>22</v>
      </c>
      <c r="C94" s="46">
        <f>INDEX(Ops!$E$24:$BL$24,1,$B94)</f>
        <v/>
      </c>
      <c r="AA94" s="56">
        <f>$C94*INDEX(Curves!$P$8:$P$68,AA$4-$B94+1)</f>
        <v/>
      </c>
      <c r="AB94" s="56">
        <f>$C94*INDEX(Curves!$P$8:$P$68,AB$4-$B94+1)</f>
        <v/>
      </c>
      <c r="AC94" s="56">
        <f>$C94*INDEX(Curves!$P$8:$P$68,AC$4-$B94+1)</f>
        <v/>
      </c>
      <c r="AD94" s="56">
        <f>$C94*INDEX(Curves!$P$8:$P$68,AD$4-$B94+1)</f>
        <v/>
      </c>
      <c r="AE94" s="56">
        <f>$C94*INDEX(Curves!$P$8:$P$68,AE$4-$B94+1)</f>
        <v/>
      </c>
      <c r="AF94" s="56">
        <f>$C94*INDEX(Curves!$P$8:$P$68,AF$4-$B94+1)</f>
        <v/>
      </c>
      <c r="AG94" s="56">
        <f>$C94*INDEX(Curves!$P$8:$P$68,AG$4-$B94+1)</f>
        <v/>
      </c>
      <c r="AH94" s="56">
        <f>$C94*INDEX(Curves!$P$8:$P$68,AH$4-$B94+1)</f>
        <v/>
      </c>
      <c r="AI94" s="56">
        <f>$C94*INDEX(Curves!$P$8:$P$68,AI$4-$B94+1)</f>
        <v/>
      </c>
      <c r="AJ94" s="56">
        <f>$C94*INDEX(Curves!$P$8:$P$68,AJ$4-$B94+1)</f>
        <v/>
      </c>
      <c r="AK94" s="56">
        <f>$C94*INDEX(Curves!$P$8:$P$68,AK$4-$B94+1)</f>
        <v/>
      </c>
      <c r="AL94" s="56">
        <f>$C94*INDEX(Curves!$P$8:$P$68,AL$4-$B94+1)</f>
        <v/>
      </c>
      <c r="AM94" s="56">
        <f>$C94*INDEX(Curves!$P$8:$P$68,AM$4-$B94+1)</f>
        <v/>
      </c>
      <c r="AN94" s="56">
        <f>$C94*INDEX(Curves!$P$8:$P$68,AN$4-$B94+1)</f>
        <v/>
      </c>
      <c r="AO94" s="56">
        <f>$C94*INDEX(Curves!$P$8:$P$68,AO$4-$B94+1)</f>
        <v/>
      </c>
      <c r="AP94" s="56">
        <f>$C94*INDEX(Curves!$P$8:$P$68,AP$4-$B94+1)</f>
        <v/>
      </c>
      <c r="AQ94" s="56">
        <f>$C94*INDEX(Curves!$P$8:$P$68,AQ$4-$B94+1)</f>
        <v/>
      </c>
      <c r="AR94" s="56">
        <f>$C94*INDEX(Curves!$P$8:$P$68,AR$4-$B94+1)</f>
        <v/>
      </c>
      <c r="AS94" s="56">
        <f>$C94*INDEX(Curves!$P$8:$P$68,AS$4-$B94+1)</f>
        <v/>
      </c>
      <c r="AT94" s="56">
        <f>$C94*INDEX(Curves!$P$8:$P$68,AT$4-$B94+1)</f>
        <v/>
      </c>
      <c r="AU94" s="56">
        <f>$C94*INDEX(Curves!$P$8:$P$68,AU$4-$B94+1)</f>
        <v/>
      </c>
      <c r="AV94" s="56">
        <f>$C94*INDEX(Curves!$P$8:$P$68,AV$4-$B94+1)</f>
        <v/>
      </c>
      <c r="AW94" s="56">
        <f>$C94*INDEX(Curves!$P$8:$P$68,AW$4-$B94+1)</f>
        <v/>
      </c>
      <c r="AX94" s="56">
        <f>$C94*INDEX(Curves!$P$8:$P$68,AX$4-$B94+1)</f>
        <v/>
      </c>
      <c r="AY94" s="56">
        <f>$C94*INDEX(Curves!$P$8:$P$68,AY$4-$B94+1)</f>
        <v/>
      </c>
      <c r="AZ94" s="56">
        <f>$C94*INDEX(Curves!$P$8:$P$68,AZ$4-$B94+1)</f>
        <v/>
      </c>
      <c r="BA94" s="56">
        <f>$C94*INDEX(Curves!$P$8:$P$68,BA$4-$B94+1)</f>
        <v/>
      </c>
      <c r="BB94" s="56">
        <f>$C94*INDEX(Curves!$P$8:$P$68,BB$4-$B94+1)</f>
        <v/>
      </c>
      <c r="BC94" s="56">
        <f>$C94*INDEX(Curves!$P$8:$P$68,BC$4-$B94+1)</f>
        <v/>
      </c>
      <c r="BD94" s="56">
        <f>$C94*INDEX(Curves!$P$8:$P$68,BD$4-$B94+1)</f>
        <v/>
      </c>
      <c r="BE94" s="56">
        <f>$C94*INDEX(Curves!$P$8:$P$68,BE$4-$B94+1)</f>
        <v/>
      </c>
      <c r="BF94" s="56">
        <f>$C94*INDEX(Curves!$P$8:$P$68,BF$4-$B94+1)</f>
        <v/>
      </c>
      <c r="BG94" s="56">
        <f>$C94*INDEX(Curves!$P$8:$P$68,BG$4-$B94+1)</f>
        <v/>
      </c>
      <c r="BH94" s="56">
        <f>$C94*INDEX(Curves!$P$8:$P$68,BH$4-$B94+1)</f>
        <v/>
      </c>
      <c r="BI94" s="56">
        <f>$C94*INDEX(Curves!$P$8:$P$68,BI$4-$B94+1)</f>
        <v/>
      </c>
      <c r="BJ94" s="56">
        <f>$C94*INDEX(Curves!$P$8:$P$68,BJ$4-$B94+1)</f>
        <v/>
      </c>
      <c r="BK94" s="56">
        <f>$C94*INDEX(Curves!$P$8:$P$68,BK$4-$B94+1)</f>
        <v/>
      </c>
      <c r="BL94" s="56">
        <f>$C94*INDEX(Curves!$P$8:$P$68,BL$4-$B94+1)</f>
        <v/>
      </c>
    </row>
    <row r="95">
      <c r="A95" s="55" t="inlineStr">
        <is>
          <t>Cohort month 23</t>
        </is>
      </c>
      <c r="B95" s="55" t="n">
        <v>23</v>
      </c>
      <c r="C95" s="46">
        <f>INDEX(Ops!$E$24:$BL$24,1,$B95)</f>
        <v/>
      </c>
      <c r="AB95" s="56">
        <f>$C95*INDEX(Curves!$P$8:$P$68,AB$4-$B95+1)</f>
        <v/>
      </c>
      <c r="AC95" s="56">
        <f>$C95*INDEX(Curves!$P$8:$P$68,AC$4-$B95+1)</f>
        <v/>
      </c>
      <c r="AD95" s="56">
        <f>$C95*INDEX(Curves!$P$8:$P$68,AD$4-$B95+1)</f>
        <v/>
      </c>
      <c r="AE95" s="56">
        <f>$C95*INDEX(Curves!$P$8:$P$68,AE$4-$B95+1)</f>
        <v/>
      </c>
      <c r="AF95" s="56">
        <f>$C95*INDEX(Curves!$P$8:$P$68,AF$4-$B95+1)</f>
        <v/>
      </c>
      <c r="AG95" s="56">
        <f>$C95*INDEX(Curves!$P$8:$P$68,AG$4-$B95+1)</f>
        <v/>
      </c>
      <c r="AH95" s="56">
        <f>$C95*INDEX(Curves!$P$8:$P$68,AH$4-$B95+1)</f>
        <v/>
      </c>
      <c r="AI95" s="56">
        <f>$C95*INDEX(Curves!$P$8:$P$68,AI$4-$B95+1)</f>
        <v/>
      </c>
      <c r="AJ95" s="56">
        <f>$C95*INDEX(Curves!$P$8:$P$68,AJ$4-$B95+1)</f>
        <v/>
      </c>
      <c r="AK95" s="56">
        <f>$C95*INDEX(Curves!$P$8:$P$68,AK$4-$B95+1)</f>
        <v/>
      </c>
      <c r="AL95" s="56">
        <f>$C95*INDEX(Curves!$P$8:$P$68,AL$4-$B95+1)</f>
        <v/>
      </c>
      <c r="AM95" s="56">
        <f>$C95*INDEX(Curves!$P$8:$P$68,AM$4-$B95+1)</f>
        <v/>
      </c>
      <c r="AN95" s="56">
        <f>$C95*INDEX(Curves!$P$8:$P$68,AN$4-$B95+1)</f>
        <v/>
      </c>
      <c r="AO95" s="56">
        <f>$C95*INDEX(Curves!$P$8:$P$68,AO$4-$B95+1)</f>
        <v/>
      </c>
      <c r="AP95" s="56">
        <f>$C95*INDEX(Curves!$P$8:$P$68,AP$4-$B95+1)</f>
        <v/>
      </c>
      <c r="AQ95" s="56">
        <f>$C95*INDEX(Curves!$P$8:$P$68,AQ$4-$B95+1)</f>
        <v/>
      </c>
      <c r="AR95" s="56">
        <f>$C95*INDEX(Curves!$P$8:$P$68,AR$4-$B95+1)</f>
        <v/>
      </c>
      <c r="AS95" s="56">
        <f>$C95*INDEX(Curves!$P$8:$P$68,AS$4-$B95+1)</f>
        <v/>
      </c>
      <c r="AT95" s="56">
        <f>$C95*INDEX(Curves!$P$8:$P$68,AT$4-$B95+1)</f>
        <v/>
      </c>
      <c r="AU95" s="56">
        <f>$C95*INDEX(Curves!$P$8:$P$68,AU$4-$B95+1)</f>
        <v/>
      </c>
      <c r="AV95" s="56">
        <f>$C95*INDEX(Curves!$P$8:$P$68,AV$4-$B95+1)</f>
        <v/>
      </c>
      <c r="AW95" s="56">
        <f>$C95*INDEX(Curves!$P$8:$P$68,AW$4-$B95+1)</f>
        <v/>
      </c>
      <c r="AX95" s="56">
        <f>$C95*INDEX(Curves!$P$8:$P$68,AX$4-$B95+1)</f>
        <v/>
      </c>
      <c r="AY95" s="56">
        <f>$C95*INDEX(Curves!$P$8:$P$68,AY$4-$B95+1)</f>
        <v/>
      </c>
      <c r="AZ95" s="56">
        <f>$C95*INDEX(Curves!$P$8:$P$68,AZ$4-$B95+1)</f>
        <v/>
      </c>
      <c r="BA95" s="56">
        <f>$C95*INDEX(Curves!$P$8:$P$68,BA$4-$B95+1)</f>
        <v/>
      </c>
      <c r="BB95" s="56">
        <f>$C95*INDEX(Curves!$P$8:$P$68,BB$4-$B95+1)</f>
        <v/>
      </c>
      <c r="BC95" s="56">
        <f>$C95*INDEX(Curves!$P$8:$P$68,BC$4-$B95+1)</f>
        <v/>
      </c>
      <c r="BD95" s="56">
        <f>$C95*INDEX(Curves!$P$8:$P$68,BD$4-$B95+1)</f>
        <v/>
      </c>
      <c r="BE95" s="56">
        <f>$C95*INDEX(Curves!$P$8:$P$68,BE$4-$B95+1)</f>
        <v/>
      </c>
      <c r="BF95" s="56">
        <f>$C95*INDEX(Curves!$P$8:$P$68,BF$4-$B95+1)</f>
        <v/>
      </c>
      <c r="BG95" s="56">
        <f>$C95*INDEX(Curves!$P$8:$P$68,BG$4-$B95+1)</f>
        <v/>
      </c>
      <c r="BH95" s="56">
        <f>$C95*INDEX(Curves!$P$8:$P$68,BH$4-$B95+1)</f>
        <v/>
      </c>
      <c r="BI95" s="56">
        <f>$C95*INDEX(Curves!$P$8:$P$68,BI$4-$B95+1)</f>
        <v/>
      </c>
      <c r="BJ95" s="56">
        <f>$C95*INDEX(Curves!$P$8:$P$68,BJ$4-$B95+1)</f>
        <v/>
      </c>
      <c r="BK95" s="56">
        <f>$C95*INDEX(Curves!$P$8:$P$68,BK$4-$B95+1)</f>
        <v/>
      </c>
      <c r="BL95" s="56">
        <f>$C95*INDEX(Curves!$P$8:$P$68,BL$4-$B95+1)</f>
        <v/>
      </c>
    </row>
    <row r="96">
      <c r="A96" s="55" t="inlineStr">
        <is>
          <t>Cohort month 24</t>
        </is>
      </c>
      <c r="B96" s="55" t="n">
        <v>24</v>
      </c>
      <c r="C96" s="46">
        <f>INDEX(Ops!$E$24:$BL$24,1,$B96)</f>
        <v/>
      </c>
      <c r="AC96" s="56">
        <f>$C96*INDEX(Curves!$P$8:$P$68,AC$4-$B96+1)</f>
        <v/>
      </c>
      <c r="AD96" s="56">
        <f>$C96*INDEX(Curves!$P$8:$P$68,AD$4-$B96+1)</f>
        <v/>
      </c>
      <c r="AE96" s="56">
        <f>$C96*INDEX(Curves!$P$8:$P$68,AE$4-$B96+1)</f>
        <v/>
      </c>
      <c r="AF96" s="56">
        <f>$C96*INDEX(Curves!$P$8:$P$68,AF$4-$B96+1)</f>
        <v/>
      </c>
      <c r="AG96" s="56">
        <f>$C96*INDEX(Curves!$P$8:$P$68,AG$4-$B96+1)</f>
        <v/>
      </c>
      <c r="AH96" s="56">
        <f>$C96*INDEX(Curves!$P$8:$P$68,AH$4-$B96+1)</f>
        <v/>
      </c>
      <c r="AI96" s="56">
        <f>$C96*INDEX(Curves!$P$8:$P$68,AI$4-$B96+1)</f>
        <v/>
      </c>
      <c r="AJ96" s="56">
        <f>$C96*INDEX(Curves!$P$8:$P$68,AJ$4-$B96+1)</f>
        <v/>
      </c>
      <c r="AK96" s="56">
        <f>$C96*INDEX(Curves!$P$8:$P$68,AK$4-$B96+1)</f>
        <v/>
      </c>
      <c r="AL96" s="56">
        <f>$C96*INDEX(Curves!$P$8:$P$68,AL$4-$B96+1)</f>
        <v/>
      </c>
      <c r="AM96" s="56">
        <f>$C96*INDEX(Curves!$P$8:$P$68,AM$4-$B96+1)</f>
        <v/>
      </c>
      <c r="AN96" s="56">
        <f>$C96*INDEX(Curves!$P$8:$P$68,AN$4-$B96+1)</f>
        <v/>
      </c>
      <c r="AO96" s="56">
        <f>$C96*INDEX(Curves!$P$8:$P$68,AO$4-$B96+1)</f>
        <v/>
      </c>
      <c r="AP96" s="56">
        <f>$C96*INDEX(Curves!$P$8:$P$68,AP$4-$B96+1)</f>
        <v/>
      </c>
      <c r="AQ96" s="56">
        <f>$C96*INDEX(Curves!$P$8:$P$68,AQ$4-$B96+1)</f>
        <v/>
      </c>
      <c r="AR96" s="56">
        <f>$C96*INDEX(Curves!$P$8:$P$68,AR$4-$B96+1)</f>
        <v/>
      </c>
      <c r="AS96" s="56">
        <f>$C96*INDEX(Curves!$P$8:$P$68,AS$4-$B96+1)</f>
        <v/>
      </c>
      <c r="AT96" s="56">
        <f>$C96*INDEX(Curves!$P$8:$P$68,AT$4-$B96+1)</f>
        <v/>
      </c>
      <c r="AU96" s="56">
        <f>$C96*INDEX(Curves!$P$8:$P$68,AU$4-$B96+1)</f>
        <v/>
      </c>
      <c r="AV96" s="56">
        <f>$C96*INDEX(Curves!$P$8:$P$68,AV$4-$B96+1)</f>
        <v/>
      </c>
      <c r="AW96" s="56">
        <f>$C96*INDEX(Curves!$P$8:$P$68,AW$4-$B96+1)</f>
        <v/>
      </c>
      <c r="AX96" s="56">
        <f>$C96*INDEX(Curves!$P$8:$P$68,AX$4-$B96+1)</f>
        <v/>
      </c>
      <c r="AY96" s="56">
        <f>$C96*INDEX(Curves!$P$8:$P$68,AY$4-$B96+1)</f>
        <v/>
      </c>
      <c r="AZ96" s="56">
        <f>$C96*INDEX(Curves!$P$8:$P$68,AZ$4-$B96+1)</f>
        <v/>
      </c>
      <c r="BA96" s="56">
        <f>$C96*INDEX(Curves!$P$8:$P$68,BA$4-$B96+1)</f>
        <v/>
      </c>
      <c r="BB96" s="56">
        <f>$C96*INDEX(Curves!$P$8:$P$68,BB$4-$B96+1)</f>
        <v/>
      </c>
      <c r="BC96" s="56">
        <f>$C96*INDEX(Curves!$P$8:$P$68,BC$4-$B96+1)</f>
        <v/>
      </c>
      <c r="BD96" s="56">
        <f>$C96*INDEX(Curves!$P$8:$P$68,BD$4-$B96+1)</f>
        <v/>
      </c>
      <c r="BE96" s="56">
        <f>$C96*INDEX(Curves!$P$8:$P$68,BE$4-$B96+1)</f>
        <v/>
      </c>
      <c r="BF96" s="56">
        <f>$C96*INDEX(Curves!$P$8:$P$68,BF$4-$B96+1)</f>
        <v/>
      </c>
      <c r="BG96" s="56">
        <f>$C96*INDEX(Curves!$P$8:$P$68,BG$4-$B96+1)</f>
        <v/>
      </c>
      <c r="BH96" s="56">
        <f>$C96*INDEX(Curves!$P$8:$P$68,BH$4-$B96+1)</f>
        <v/>
      </c>
      <c r="BI96" s="56">
        <f>$C96*INDEX(Curves!$P$8:$P$68,BI$4-$B96+1)</f>
        <v/>
      </c>
      <c r="BJ96" s="56">
        <f>$C96*INDEX(Curves!$P$8:$P$68,BJ$4-$B96+1)</f>
        <v/>
      </c>
      <c r="BK96" s="56">
        <f>$C96*INDEX(Curves!$P$8:$P$68,BK$4-$B96+1)</f>
        <v/>
      </c>
      <c r="BL96" s="56">
        <f>$C96*INDEX(Curves!$P$8:$P$68,BL$4-$B96+1)</f>
        <v/>
      </c>
    </row>
    <row r="97">
      <c r="A97" s="55" t="inlineStr">
        <is>
          <t>Cohort month 25</t>
        </is>
      </c>
      <c r="B97" s="55" t="n">
        <v>25</v>
      </c>
      <c r="C97" s="46">
        <f>INDEX(Ops!$E$24:$BL$24,1,$B97)</f>
        <v/>
      </c>
      <c r="AD97" s="56">
        <f>$C97*INDEX(Curves!$P$8:$P$68,AD$4-$B97+1)</f>
        <v/>
      </c>
      <c r="AE97" s="56">
        <f>$C97*INDEX(Curves!$P$8:$P$68,AE$4-$B97+1)</f>
        <v/>
      </c>
      <c r="AF97" s="56">
        <f>$C97*INDEX(Curves!$P$8:$P$68,AF$4-$B97+1)</f>
        <v/>
      </c>
      <c r="AG97" s="56">
        <f>$C97*INDEX(Curves!$P$8:$P$68,AG$4-$B97+1)</f>
        <v/>
      </c>
      <c r="AH97" s="56">
        <f>$C97*INDEX(Curves!$P$8:$P$68,AH$4-$B97+1)</f>
        <v/>
      </c>
      <c r="AI97" s="56">
        <f>$C97*INDEX(Curves!$P$8:$P$68,AI$4-$B97+1)</f>
        <v/>
      </c>
      <c r="AJ97" s="56">
        <f>$C97*INDEX(Curves!$P$8:$P$68,AJ$4-$B97+1)</f>
        <v/>
      </c>
      <c r="AK97" s="56">
        <f>$C97*INDEX(Curves!$P$8:$P$68,AK$4-$B97+1)</f>
        <v/>
      </c>
      <c r="AL97" s="56">
        <f>$C97*INDEX(Curves!$P$8:$P$68,AL$4-$B97+1)</f>
        <v/>
      </c>
      <c r="AM97" s="56">
        <f>$C97*INDEX(Curves!$P$8:$P$68,AM$4-$B97+1)</f>
        <v/>
      </c>
      <c r="AN97" s="56">
        <f>$C97*INDEX(Curves!$P$8:$P$68,AN$4-$B97+1)</f>
        <v/>
      </c>
      <c r="AO97" s="56">
        <f>$C97*INDEX(Curves!$P$8:$P$68,AO$4-$B97+1)</f>
        <v/>
      </c>
      <c r="AP97" s="56">
        <f>$C97*INDEX(Curves!$P$8:$P$68,AP$4-$B97+1)</f>
        <v/>
      </c>
      <c r="AQ97" s="56">
        <f>$C97*INDEX(Curves!$P$8:$P$68,AQ$4-$B97+1)</f>
        <v/>
      </c>
      <c r="AR97" s="56">
        <f>$C97*INDEX(Curves!$P$8:$P$68,AR$4-$B97+1)</f>
        <v/>
      </c>
      <c r="AS97" s="56">
        <f>$C97*INDEX(Curves!$P$8:$P$68,AS$4-$B97+1)</f>
        <v/>
      </c>
      <c r="AT97" s="56">
        <f>$C97*INDEX(Curves!$P$8:$P$68,AT$4-$B97+1)</f>
        <v/>
      </c>
      <c r="AU97" s="56">
        <f>$C97*INDEX(Curves!$P$8:$P$68,AU$4-$B97+1)</f>
        <v/>
      </c>
      <c r="AV97" s="56">
        <f>$C97*INDEX(Curves!$P$8:$P$68,AV$4-$B97+1)</f>
        <v/>
      </c>
      <c r="AW97" s="56">
        <f>$C97*INDEX(Curves!$P$8:$P$68,AW$4-$B97+1)</f>
        <v/>
      </c>
      <c r="AX97" s="56">
        <f>$C97*INDEX(Curves!$P$8:$P$68,AX$4-$B97+1)</f>
        <v/>
      </c>
      <c r="AY97" s="56">
        <f>$C97*INDEX(Curves!$P$8:$P$68,AY$4-$B97+1)</f>
        <v/>
      </c>
      <c r="AZ97" s="56">
        <f>$C97*INDEX(Curves!$P$8:$P$68,AZ$4-$B97+1)</f>
        <v/>
      </c>
      <c r="BA97" s="56">
        <f>$C97*INDEX(Curves!$P$8:$P$68,BA$4-$B97+1)</f>
        <v/>
      </c>
      <c r="BB97" s="56">
        <f>$C97*INDEX(Curves!$P$8:$P$68,BB$4-$B97+1)</f>
        <v/>
      </c>
      <c r="BC97" s="56">
        <f>$C97*INDEX(Curves!$P$8:$P$68,BC$4-$B97+1)</f>
        <v/>
      </c>
      <c r="BD97" s="56">
        <f>$C97*INDEX(Curves!$P$8:$P$68,BD$4-$B97+1)</f>
        <v/>
      </c>
      <c r="BE97" s="56">
        <f>$C97*INDEX(Curves!$P$8:$P$68,BE$4-$B97+1)</f>
        <v/>
      </c>
      <c r="BF97" s="56">
        <f>$C97*INDEX(Curves!$P$8:$P$68,BF$4-$B97+1)</f>
        <v/>
      </c>
      <c r="BG97" s="56">
        <f>$C97*INDEX(Curves!$P$8:$P$68,BG$4-$B97+1)</f>
        <v/>
      </c>
      <c r="BH97" s="56">
        <f>$C97*INDEX(Curves!$P$8:$P$68,BH$4-$B97+1)</f>
        <v/>
      </c>
      <c r="BI97" s="56">
        <f>$C97*INDEX(Curves!$P$8:$P$68,BI$4-$B97+1)</f>
        <v/>
      </c>
      <c r="BJ97" s="56">
        <f>$C97*INDEX(Curves!$P$8:$P$68,BJ$4-$B97+1)</f>
        <v/>
      </c>
      <c r="BK97" s="56">
        <f>$C97*INDEX(Curves!$P$8:$P$68,BK$4-$B97+1)</f>
        <v/>
      </c>
      <c r="BL97" s="56">
        <f>$C97*INDEX(Curves!$P$8:$P$68,BL$4-$B97+1)</f>
        <v/>
      </c>
    </row>
    <row r="98">
      <c r="A98" s="55" t="inlineStr">
        <is>
          <t>Cohort month 26</t>
        </is>
      </c>
      <c r="B98" s="55" t="n">
        <v>26</v>
      </c>
      <c r="C98" s="46">
        <f>INDEX(Ops!$E$24:$BL$24,1,$B98)</f>
        <v/>
      </c>
      <c r="AE98" s="56">
        <f>$C98*INDEX(Curves!$P$8:$P$68,AE$4-$B98+1)</f>
        <v/>
      </c>
      <c r="AF98" s="56">
        <f>$C98*INDEX(Curves!$P$8:$P$68,AF$4-$B98+1)</f>
        <v/>
      </c>
      <c r="AG98" s="56">
        <f>$C98*INDEX(Curves!$P$8:$P$68,AG$4-$B98+1)</f>
        <v/>
      </c>
      <c r="AH98" s="56">
        <f>$C98*INDEX(Curves!$P$8:$P$68,AH$4-$B98+1)</f>
        <v/>
      </c>
      <c r="AI98" s="56">
        <f>$C98*INDEX(Curves!$P$8:$P$68,AI$4-$B98+1)</f>
        <v/>
      </c>
      <c r="AJ98" s="56">
        <f>$C98*INDEX(Curves!$P$8:$P$68,AJ$4-$B98+1)</f>
        <v/>
      </c>
      <c r="AK98" s="56">
        <f>$C98*INDEX(Curves!$P$8:$P$68,AK$4-$B98+1)</f>
        <v/>
      </c>
      <c r="AL98" s="56">
        <f>$C98*INDEX(Curves!$P$8:$P$68,AL$4-$B98+1)</f>
        <v/>
      </c>
      <c r="AM98" s="56">
        <f>$C98*INDEX(Curves!$P$8:$P$68,AM$4-$B98+1)</f>
        <v/>
      </c>
      <c r="AN98" s="56">
        <f>$C98*INDEX(Curves!$P$8:$P$68,AN$4-$B98+1)</f>
        <v/>
      </c>
      <c r="AO98" s="56">
        <f>$C98*INDEX(Curves!$P$8:$P$68,AO$4-$B98+1)</f>
        <v/>
      </c>
      <c r="AP98" s="56">
        <f>$C98*INDEX(Curves!$P$8:$P$68,AP$4-$B98+1)</f>
        <v/>
      </c>
      <c r="AQ98" s="56">
        <f>$C98*INDEX(Curves!$P$8:$P$68,AQ$4-$B98+1)</f>
        <v/>
      </c>
      <c r="AR98" s="56">
        <f>$C98*INDEX(Curves!$P$8:$P$68,AR$4-$B98+1)</f>
        <v/>
      </c>
      <c r="AS98" s="56">
        <f>$C98*INDEX(Curves!$P$8:$P$68,AS$4-$B98+1)</f>
        <v/>
      </c>
      <c r="AT98" s="56">
        <f>$C98*INDEX(Curves!$P$8:$P$68,AT$4-$B98+1)</f>
        <v/>
      </c>
      <c r="AU98" s="56">
        <f>$C98*INDEX(Curves!$P$8:$P$68,AU$4-$B98+1)</f>
        <v/>
      </c>
      <c r="AV98" s="56">
        <f>$C98*INDEX(Curves!$P$8:$P$68,AV$4-$B98+1)</f>
        <v/>
      </c>
      <c r="AW98" s="56">
        <f>$C98*INDEX(Curves!$P$8:$P$68,AW$4-$B98+1)</f>
        <v/>
      </c>
      <c r="AX98" s="56">
        <f>$C98*INDEX(Curves!$P$8:$P$68,AX$4-$B98+1)</f>
        <v/>
      </c>
      <c r="AY98" s="56">
        <f>$C98*INDEX(Curves!$P$8:$P$68,AY$4-$B98+1)</f>
        <v/>
      </c>
      <c r="AZ98" s="56">
        <f>$C98*INDEX(Curves!$P$8:$P$68,AZ$4-$B98+1)</f>
        <v/>
      </c>
      <c r="BA98" s="56">
        <f>$C98*INDEX(Curves!$P$8:$P$68,BA$4-$B98+1)</f>
        <v/>
      </c>
      <c r="BB98" s="56">
        <f>$C98*INDEX(Curves!$P$8:$P$68,BB$4-$B98+1)</f>
        <v/>
      </c>
      <c r="BC98" s="56">
        <f>$C98*INDEX(Curves!$P$8:$P$68,BC$4-$B98+1)</f>
        <v/>
      </c>
      <c r="BD98" s="56">
        <f>$C98*INDEX(Curves!$P$8:$P$68,BD$4-$B98+1)</f>
        <v/>
      </c>
      <c r="BE98" s="56">
        <f>$C98*INDEX(Curves!$P$8:$P$68,BE$4-$B98+1)</f>
        <v/>
      </c>
      <c r="BF98" s="56">
        <f>$C98*INDEX(Curves!$P$8:$P$68,BF$4-$B98+1)</f>
        <v/>
      </c>
      <c r="BG98" s="56">
        <f>$C98*INDEX(Curves!$P$8:$P$68,BG$4-$B98+1)</f>
        <v/>
      </c>
      <c r="BH98" s="56">
        <f>$C98*INDEX(Curves!$P$8:$P$68,BH$4-$B98+1)</f>
        <v/>
      </c>
      <c r="BI98" s="56">
        <f>$C98*INDEX(Curves!$P$8:$P$68,BI$4-$B98+1)</f>
        <v/>
      </c>
      <c r="BJ98" s="56">
        <f>$C98*INDEX(Curves!$P$8:$P$68,BJ$4-$B98+1)</f>
        <v/>
      </c>
      <c r="BK98" s="56">
        <f>$C98*INDEX(Curves!$P$8:$P$68,BK$4-$B98+1)</f>
        <v/>
      </c>
      <c r="BL98" s="56">
        <f>$C98*INDEX(Curves!$P$8:$P$68,BL$4-$B98+1)</f>
        <v/>
      </c>
    </row>
    <row r="99">
      <c r="A99" s="55" t="inlineStr">
        <is>
          <t>Cohort month 27</t>
        </is>
      </c>
      <c r="B99" s="55" t="n">
        <v>27</v>
      </c>
      <c r="C99" s="46">
        <f>INDEX(Ops!$E$24:$BL$24,1,$B99)</f>
        <v/>
      </c>
      <c r="AF99" s="56">
        <f>$C99*INDEX(Curves!$P$8:$P$68,AF$4-$B99+1)</f>
        <v/>
      </c>
      <c r="AG99" s="56">
        <f>$C99*INDEX(Curves!$P$8:$P$68,AG$4-$B99+1)</f>
        <v/>
      </c>
      <c r="AH99" s="56">
        <f>$C99*INDEX(Curves!$P$8:$P$68,AH$4-$B99+1)</f>
        <v/>
      </c>
      <c r="AI99" s="56">
        <f>$C99*INDEX(Curves!$P$8:$P$68,AI$4-$B99+1)</f>
        <v/>
      </c>
      <c r="AJ99" s="56">
        <f>$C99*INDEX(Curves!$P$8:$P$68,AJ$4-$B99+1)</f>
        <v/>
      </c>
      <c r="AK99" s="56">
        <f>$C99*INDEX(Curves!$P$8:$P$68,AK$4-$B99+1)</f>
        <v/>
      </c>
      <c r="AL99" s="56">
        <f>$C99*INDEX(Curves!$P$8:$P$68,AL$4-$B99+1)</f>
        <v/>
      </c>
      <c r="AM99" s="56">
        <f>$C99*INDEX(Curves!$P$8:$P$68,AM$4-$B99+1)</f>
        <v/>
      </c>
      <c r="AN99" s="56">
        <f>$C99*INDEX(Curves!$P$8:$P$68,AN$4-$B99+1)</f>
        <v/>
      </c>
      <c r="AO99" s="56">
        <f>$C99*INDEX(Curves!$P$8:$P$68,AO$4-$B99+1)</f>
        <v/>
      </c>
      <c r="AP99" s="56">
        <f>$C99*INDEX(Curves!$P$8:$P$68,AP$4-$B99+1)</f>
        <v/>
      </c>
      <c r="AQ99" s="56">
        <f>$C99*INDEX(Curves!$P$8:$P$68,AQ$4-$B99+1)</f>
        <v/>
      </c>
      <c r="AR99" s="56">
        <f>$C99*INDEX(Curves!$P$8:$P$68,AR$4-$B99+1)</f>
        <v/>
      </c>
      <c r="AS99" s="56">
        <f>$C99*INDEX(Curves!$P$8:$P$68,AS$4-$B99+1)</f>
        <v/>
      </c>
      <c r="AT99" s="56">
        <f>$C99*INDEX(Curves!$P$8:$P$68,AT$4-$B99+1)</f>
        <v/>
      </c>
      <c r="AU99" s="56">
        <f>$C99*INDEX(Curves!$P$8:$P$68,AU$4-$B99+1)</f>
        <v/>
      </c>
      <c r="AV99" s="56">
        <f>$C99*INDEX(Curves!$P$8:$P$68,AV$4-$B99+1)</f>
        <v/>
      </c>
      <c r="AW99" s="56">
        <f>$C99*INDEX(Curves!$P$8:$P$68,AW$4-$B99+1)</f>
        <v/>
      </c>
      <c r="AX99" s="56">
        <f>$C99*INDEX(Curves!$P$8:$P$68,AX$4-$B99+1)</f>
        <v/>
      </c>
      <c r="AY99" s="56">
        <f>$C99*INDEX(Curves!$P$8:$P$68,AY$4-$B99+1)</f>
        <v/>
      </c>
      <c r="AZ99" s="56">
        <f>$C99*INDEX(Curves!$P$8:$P$68,AZ$4-$B99+1)</f>
        <v/>
      </c>
      <c r="BA99" s="56">
        <f>$C99*INDEX(Curves!$P$8:$P$68,BA$4-$B99+1)</f>
        <v/>
      </c>
      <c r="BB99" s="56">
        <f>$C99*INDEX(Curves!$P$8:$P$68,BB$4-$B99+1)</f>
        <v/>
      </c>
      <c r="BC99" s="56">
        <f>$C99*INDEX(Curves!$P$8:$P$68,BC$4-$B99+1)</f>
        <v/>
      </c>
      <c r="BD99" s="56">
        <f>$C99*INDEX(Curves!$P$8:$P$68,BD$4-$B99+1)</f>
        <v/>
      </c>
      <c r="BE99" s="56">
        <f>$C99*INDEX(Curves!$P$8:$P$68,BE$4-$B99+1)</f>
        <v/>
      </c>
      <c r="BF99" s="56">
        <f>$C99*INDEX(Curves!$P$8:$P$68,BF$4-$B99+1)</f>
        <v/>
      </c>
      <c r="BG99" s="56">
        <f>$C99*INDEX(Curves!$P$8:$P$68,BG$4-$B99+1)</f>
        <v/>
      </c>
      <c r="BH99" s="56">
        <f>$C99*INDEX(Curves!$P$8:$P$68,BH$4-$B99+1)</f>
        <v/>
      </c>
      <c r="BI99" s="56">
        <f>$C99*INDEX(Curves!$P$8:$P$68,BI$4-$B99+1)</f>
        <v/>
      </c>
      <c r="BJ99" s="56">
        <f>$C99*INDEX(Curves!$P$8:$P$68,BJ$4-$B99+1)</f>
        <v/>
      </c>
      <c r="BK99" s="56">
        <f>$C99*INDEX(Curves!$P$8:$P$68,BK$4-$B99+1)</f>
        <v/>
      </c>
      <c r="BL99" s="56">
        <f>$C99*INDEX(Curves!$P$8:$P$68,BL$4-$B99+1)</f>
        <v/>
      </c>
    </row>
    <row r="100">
      <c r="A100" s="55" t="inlineStr">
        <is>
          <t>Cohort month 28</t>
        </is>
      </c>
      <c r="B100" s="55" t="n">
        <v>28</v>
      </c>
      <c r="C100" s="46">
        <f>INDEX(Ops!$E$24:$BL$24,1,$B100)</f>
        <v/>
      </c>
      <c r="AG100" s="56">
        <f>$C100*INDEX(Curves!$P$8:$P$68,AG$4-$B100+1)</f>
        <v/>
      </c>
      <c r="AH100" s="56">
        <f>$C100*INDEX(Curves!$P$8:$P$68,AH$4-$B100+1)</f>
        <v/>
      </c>
      <c r="AI100" s="56">
        <f>$C100*INDEX(Curves!$P$8:$P$68,AI$4-$B100+1)</f>
        <v/>
      </c>
      <c r="AJ100" s="56">
        <f>$C100*INDEX(Curves!$P$8:$P$68,AJ$4-$B100+1)</f>
        <v/>
      </c>
      <c r="AK100" s="56">
        <f>$C100*INDEX(Curves!$P$8:$P$68,AK$4-$B100+1)</f>
        <v/>
      </c>
      <c r="AL100" s="56">
        <f>$C100*INDEX(Curves!$P$8:$P$68,AL$4-$B100+1)</f>
        <v/>
      </c>
      <c r="AM100" s="56">
        <f>$C100*INDEX(Curves!$P$8:$P$68,AM$4-$B100+1)</f>
        <v/>
      </c>
      <c r="AN100" s="56">
        <f>$C100*INDEX(Curves!$P$8:$P$68,AN$4-$B100+1)</f>
        <v/>
      </c>
      <c r="AO100" s="56">
        <f>$C100*INDEX(Curves!$P$8:$P$68,AO$4-$B100+1)</f>
        <v/>
      </c>
      <c r="AP100" s="56">
        <f>$C100*INDEX(Curves!$P$8:$P$68,AP$4-$B100+1)</f>
        <v/>
      </c>
      <c r="AQ100" s="56">
        <f>$C100*INDEX(Curves!$P$8:$P$68,AQ$4-$B100+1)</f>
        <v/>
      </c>
      <c r="AR100" s="56">
        <f>$C100*INDEX(Curves!$P$8:$P$68,AR$4-$B100+1)</f>
        <v/>
      </c>
      <c r="AS100" s="56">
        <f>$C100*INDEX(Curves!$P$8:$P$68,AS$4-$B100+1)</f>
        <v/>
      </c>
      <c r="AT100" s="56">
        <f>$C100*INDEX(Curves!$P$8:$P$68,AT$4-$B100+1)</f>
        <v/>
      </c>
      <c r="AU100" s="56">
        <f>$C100*INDEX(Curves!$P$8:$P$68,AU$4-$B100+1)</f>
        <v/>
      </c>
      <c r="AV100" s="56">
        <f>$C100*INDEX(Curves!$P$8:$P$68,AV$4-$B100+1)</f>
        <v/>
      </c>
      <c r="AW100" s="56">
        <f>$C100*INDEX(Curves!$P$8:$P$68,AW$4-$B100+1)</f>
        <v/>
      </c>
      <c r="AX100" s="56">
        <f>$C100*INDEX(Curves!$P$8:$P$68,AX$4-$B100+1)</f>
        <v/>
      </c>
      <c r="AY100" s="56">
        <f>$C100*INDEX(Curves!$P$8:$P$68,AY$4-$B100+1)</f>
        <v/>
      </c>
      <c r="AZ100" s="56">
        <f>$C100*INDEX(Curves!$P$8:$P$68,AZ$4-$B100+1)</f>
        <v/>
      </c>
      <c r="BA100" s="56">
        <f>$C100*INDEX(Curves!$P$8:$P$68,BA$4-$B100+1)</f>
        <v/>
      </c>
      <c r="BB100" s="56">
        <f>$C100*INDEX(Curves!$P$8:$P$68,BB$4-$B100+1)</f>
        <v/>
      </c>
      <c r="BC100" s="56">
        <f>$C100*INDEX(Curves!$P$8:$P$68,BC$4-$B100+1)</f>
        <v/>
      </c>
      <c r="BD100" s="56">
        <f>$C100*INDEX(Curves!$P$8:$P$68,BD$4-$B100+1)</f>
        <v/>
      </c>
      <c r="BE100" s="56">
        <f>$C100*INDEX(Curves!$P$8:$P$68,BE$4-$B100+1)</f>
        <v/>
      </c>
      <c r="BF100" s="56">
        <f>$C100*INDEX(Curves!$P$8:$P$68,BF$4-$B100+1)</f>
        <v/>
      </c>
      <c r="BG100" s="56">
        <f>$C100*INDEX(Curves!$P$8:$P$68,BG$4-$B100+1)</f>
        <v/>
      </c>
      <c r="BH100" s="56">
        <f>$C100*INDEX(Curves!$P$8:$P$68,BH$4-$B100+1)</f>
        <v/>
      </c>
      <c r="BI100" s="56">
        <f>$C100*INDEX(Curves!$P$8:$P$68,BI$4-$B100+1)</f>
        <v/>
      </c>
      <c r="BJ100" s="56">
        <f>$C100*INDEX(Curves!$P$8:$P$68,BJ$4-$B100+1)</f>
        <v/>
      </c>
      <c r="BK100" s="56">
        <f>$C100*INDEX(Curves!$P$8:$P$68,BK$4-$B100+1)</f>
        <v/>
      </c>
      <c r="BL100" s="56">
        <f>$C100*INDEX(Curves!$P$8:$P$68,BL$4-$B100+1)</f>
        <v/>
      </c>
    </row>
    <row r="101">
      <c r="A101" s="55" t="inlineStr">
        <is>
          <t>Cohort month 29</t>
        </is>
      </c>
      <c r="B101" s="55" t="n">
        <v>29</v>
      </c>
      <c r="C101" s="46">
        <f>INDEX(Ops!$E$24:$BL$24,1,$B101)</f>
        <v/>
      </c>
      <c r="AH101" s="56">
        <f>$C101*INDEX(Curves!$P$8:$P$68,AH$4-$B101+1)</f>
        <v/>
      </c>
      <c r="AI101" s="56">
        <f>$C101*INDEX(Curves!$P$8:$P$68,AI$4-$B101+1)</f>
        <v/>
      </c>
      <c r="AJ101" s="56">
        <f>$C101*INDEX(Curves!$P$8:$P$68,AJ$4-$B101+1)</f>
        <v/>
      </c>
      <c r="AK101" s="56">
        <f>$C101*INDEX(Curves!$P$8:$P$68,AK$4-$B101+1)</f>
        <v/>
      </c>
      <c r="AL101" s="56">
        <f>$C101*INDEX(Curves!$P$8:$P$68,AL$4-$B101+1)</f>
        <v/>
      </c>
      <c r="AM101" s="56">
        <f>$C101*INDEX(Curves!$P$8:$P$68,AM$4-$B101+1)</f>
        <v/>
      </c>
      <c r="AN101" s="56">
        <f>$C101*INDEX(Curves!$P$8:$P$68,AN$4-$B101+1)</f>
        <v/>
      </c>
      <c r="AO101" s="56">
        <f>$C101*INDEX(Curves!$P$8:$P$68,AO$4-$B101+1)</f>
        <v/>
      </c>
      <c r="AP101" s="56">
        <f>$C101*INDEX(Curves!$P$8:$P$68,AP$4-$B101+1)</f>
        <v/>
      </c>
      <c r="AQ101" s="56">
        <f>$C101*INDEX(Curves!$P$8:$P$68,AQ$4-$B101+1)</f>
        <v/>
      </c>
      <c r="AR101" s="56">
        <f>$C101*INDEX(Curves!$P$8:$P$68,AR$4-$B101+1)</f>
        <v/>
      </c>
      <c r="AS101" s="56">
        <f>$C101*INDEX(Curves!$P$8:$P$68,AS$4-$B101+1)</f>
        <v/>
      </c>
      <c r="AT101" s="56">
        <f>$C101*INDEX(Curves!$P$8:$P$68,AT$4-$B101+1)</f>
        <v/>
      </c>
      <c r="AU101" s="56">
        <f>$C101*INDEX(Curves!$P$8:$P$68,AU$4-$B101+1)</f>
        <v/>
      </c>
      <c r="AV101" s="56">
        <f>$C101*INDEX(Curves!$P$8:$P$68,AV$4-$B101+1)</f>
        <v/>
      </c>
      <c r="AW101" s="56">
        <f>$C101*INDEX(Curves!$P$8:$P$68,AW$4-$B101+1)</f>
        <v/>
      </c>
      <c r="AX101" s="56">
        <f>$C101*INDEX(Curves!$P$8:$P$68,AX$4-$B101+1)</f>
        <v/>
      </c>
      <c r="AY101" s="56">
        <f>$C101*INDEX(Curves!$P$8:$P$68,AY$4-$B101+1)</f>
        <v/>
      </c>
      <c r="AZ101" s="56">
        <f>$C101*INDEX(Curves!$P$8:$P$68,AZ$4-$B101+1)</f>
        <v/>
      </c>
      <c r="BA101" s="56">
        <f>$C101*INDEX(Curves!$P$8:$P$68,BA$4-$B101+1)</f>
        <v/>
      </c>
      <c r="BB101" s="56">
        <f>$C101*INDEX(Curves!$P$8:$P$68,BB$4-$B101+1)</f>
        <v/>
      </c>
      <c r="BC101" s="56">
        <f>$C101*INDEX(Curves!$P$8:$P$68,BC$4-$B101+1)</f>
        <v/>
      </c>
      <c r="BD101" s="56">
        <f>$C101*INDEX(Curves!$P$8:$P$68,BD$4-$B101+1)</f>
        <v/>
      </c>
      <c r="BE101" s="56">
        <f>$C101*INDEX(Curves!$P$8:$P$68,BE$4-$B101+1)</f>
        <v/>
      </c>
      <c r="BF101" s="56">
        <f>$C101*INDEX(Curves!$P$8:$P$68,BF$4-$B101+1)</f>
        <v/>
      </c>
      <c r="BG101" s="56">
        <f>$C101*INDEX(Curves!$P$8:$P$68,BG$4-$B101+1)</f>
        <v/>
      </c>
      <c r="BH101" s="56">
        <f>$C101*INDEX(Curves!$P$8:$P$68,BH$4-$B101+1)</f>
        <v/>
      </c>
      <c r="BI101" s="56">
        <f>$C101*INDEX(Curves!$P$8:$P$68,BI$4-$B101+1)</f>
        <v/>
      </c>
      <c r="BJ101" s="56">
        <f>$C101*INDEX(Curves!$P$8:$P$68,BJ$4-$B101+1)</f>
        <v/>
      </c>
      <c r="BK101" s="56">
        <f>$C101*INDEX(Curves!$P$8:$P$68,BK$4-$B101+1)</f>
        <v/>
      </c>
      <c r="BL101" s="56">
        <f>$C101*INDEX(Curves!$P$8:$P$68,BL$4-$B101+1)</f>
        <v/>
      </c>
    </row>
    <row r="102">
      <c r="A102" s="55" t="inlineStr">
        <is>
          <t>Cohort month 30</t>
        </is>
      </c>
      <c r="B102" s="55" t="n">
        <v>30</v>
      </c>
      <c r="C102" s="46">
        <f>INDEX(Ops!$E$24:$BL$24,1,$B102)</f>
        <v/>
      </c>
      <c r="AI102" s="56">
        <f>$C102*INDEX(Curves!$P$8:$P$68,AI$4-$B102+1)</f>
        <v/>
      </c>
      <c r="AJ102" s="56">
        <f>$C102*INDEX(Curves!$P$8:$P$68,AJ$4-$B102+1)</f>
        <v/>
      </c>
      <c r="AK102" s="56">
        <f>$C102*INDEX(Curves!$P$8:$P$68,AK$4-$B102+1)</f>
        <v/>
      </c>
      <c r="AL102" s="56">
        <f>$C102*INDEX(Curves!$P$8:$P$68,AL$4-$B102+1)</f>
        <v/>
      </c>
      <c r="AM102" s="56">
        <f>$C102*INDEX(Curves!$P$8:$P$68,AM$4-$B102+1)</f>
        <v/>
      </c>
      <c r="AN102" s="56">
        <f>$C102*INDEX(Curves!$P$8:$P$68,AN$4-$B102+1)</f>
        <v/>
      </c>
      <c r="AO102" s="56">
        <f>$C102*INDEX(Curves!$P$8:$P$68,AO$4-$B102+1)</f>
        <v/>
      </c>
      <c r="AP102" s="56">
        <f>$C102*INDEX(Curves!$P$8:$P$68,AP$4-$B102+1)</f>
        <v/>
      </c>
      <c r="AQ102" s="56">
        <f>$C102*INDEX(Curves!$P$8:$P$68,AQ$4-$B102+1)</f>
        <v/>
      </c>
      <c r="AR102" s="56">
        <f>$C102*INDEX(Curves!$P$8:$P$68,AR$4-$B102+1)</f>
        <v/>
      </c>
      <c r="AS102" s="56">
        <f>$C102*INDEX(Curves!$P$8:$P$68,AS$4-$B102+1)</f>
        <v/>
      </c>
      <c r="AT102" s="56">
        <f>$C102*INDEX(Curves!$P$8:$P$68,AT$4-$B102+1)</f>
        <v/>
      </c>
      <c r="AU102" s="56">
        <f>$C102*INDEX(Curves!$P$8:$P$68,AU$4-$B102+1)</f>
        <v/>
      </c>
      <c r="AV102" s="56">
        <f>$C102*INDEX(Curves!$P$8:$P$68,AV$4-$B102+1)</f>
        <v/>
      </c>
      <c r="AW102" s="56">
        <f>$C102*INDEX(Curves!$P$8:$P$68,AW$4-$B102+1)</f>
        <v/>
      </c>
      <c r="AX102" s="56">
        <f>$C102*INDEX(Curves!$P$8:$P$68,AX$4-$B102+1)</f>
        <v/>
      </c>
      <c r="AY102" s="56">
        <f>$C102*INDEX(Curves!$P$8:$P$68,AY$4-$B102+1)</f>
        <v/>
      </c>
      <c r="AZ102" s="56">
        <f>$C102*INDEX(Curves!$P$8:$P$68,AZ$4-$B102+1)</f>
        <v/>
      </c>
      <c r="BA102" s="56">
        <f>$C102*INDEX(Curves!$P$8:$P$68,BA$4-$B102+1)</f>
        <v/>
      </c>
      <c r="BB102" s="56">
        <f>$C102*INDEX(Curves!$P$8:$P$68,BB$4-$B102+1)</f>
        <v/>
      </c>
      <c r="BC102" s="56">
        <f>$C102*INDEX(Curves!$P$8:$P$68,BC$4-$B102+1)</f>
        <v/>
      </c>
      <c r="BD102" s="56">
        <f>$C102*INDEX(Curves!$P$8:$P$68,BD$4-$B102+1)</f>
        <v/>
      </c>
      <c r="BE102" s="56">
        <f>$C102*INDEX(Curves!$P$8:$P$68,BE$4-$B102+1)</f>
        <v/>
      </c>
      <c r="BF102" s="56">
        <f>$C102*INDEX(Curves!$P$8:$P$68,BF$4-$B102+1)</f>
        <v/>
      </c>
      <c r="BG102" s="56">
        <f>$C102*INDEX(Curves!$P$8:$P$68,BG$4-$B102+1)</f>
        <v/>
      </c>
      <c r="BH102" s="56">
        <f>$C102*INDEX(Curves!$P$8:$P$68,BH$4-$B102+1)</f>
        <v/>
      </c>
      <c r="BI102" s="56">
        <f>$C102*INDEX(Curves!$P$8:$P$68,BI$4-$B102+1)</f>
        <v/>
      </c>
      <c r="BJ102" s="56">
        <f>$C102*INDEX(Curves!$P$8:$P$68,BJ$4-$B102+1)</f>
        <v/>
      </c>
      <c r="BK102" s="56">
        <f>$C102*INDEX(Curves!$P$8:$P$68,BK$4-$B102+1)</f>
        <v/>
      </c>
      <c r="BL102" s="56">
        <f>$C102*INDEX(Curves!$P$8:$P$68,BL$4-$B102+1)</f>
        <v/>
      </c>
    </row>
    <row r="103">
      <c r="A103" s="55" t="inlineStr">
        <is>
          <t>Cohort month 31</t>
        </is>
      </c>
      <c r="B103" s="55" t="n">
        <v>31</v>
      </c>
      <c r="C103" s="46">
        <f>INDEX(Ops!$E$24:$BL$24,1,$B103)</f>
        <v/>
      </c>
      <c r="AJ103" s="56">
        <f>$C103*INDEX(Curves!$P$8:$P$68,AJ$4-$B103+1)</f>
        <v/>
      </c>
      <c r="AK103" s="56">
        <f>$C103*INDEX(Curves!$P$8:$P$68,AK$4-$B103+1)</f>
        <v/>
      </c>
      <c r="AL103" s="56">
        <f>$C103*INDEX(Curves!$P$8:$P$68,AL$4-$B103+1)</f>
        <v/>
      </c>
      <c r="AM103" s="56">
        <f>$C103*INDEX(Curves!$P$8:$P$68,AM$4-$B103+1)</f>
        <v/>
      </c>
      <c r="AN103" s="56">
        <f>$C103*INDEX(Curves!$P$8:$P$68,AN$4-$B103+1)</f>
        <v/>
      </c>
      <c r="AO103" s="56">
        <f>$C103*INDEX(Curves!$P$8:$P$68,AO$4-$B103+1)</f>
        <v/>
      </c>
      <c r="AP103" s="56">
        <f>$C103*INDEX(Curves!$P$8:$P$68,AP$4-$B103+1)</f>
        <v/>
      </c>
      <c r="AQ103" s="56">
        <f>$C103*INDEX(Curves!$P$8:$P$68,AQ$4-$B103+1)</f>
        <v/>
      </c>
      <c r="AR103" s="56">
        <f>$C103*INDEX(Curves!$P$8:$P$68,AR$4-$B103+1)</f>
        <v/>
      </c>
      <c r="AS103" s="56">
        <f>$C103*INDEX(Curves!$P$8:$P$68,AS$4-$B103+1)</f>
        <v/>
      </c>
      <c r="AT103" s="56">
        <f>$C103*INDEX(Curves!$P$8:$P$68,AT$4-$B103+1)</f>
        <v/>
      </c>
      <c r="AU103" s="56">
        <f>$C103*INDEX(Curves!$P$8:$P$68,AU$4-$B103+1)</f>
        <v/>
      </c>
      <c r="AV103" s="56">
        <f>$C103*INDEX(Curves!$P$8:$P$68,AV$4-$B103+1)</f>
        <v/>
      </c>
      <c r="AW103" s="56">
        <f>$C103*INDEX(Curves!$P$8:$P$68,AW$4-$B103+1)</f>
        <v/>
      </c>
      <c r="AX103" s="56">
        <f>$C103*INDEX(Curves!$P$8:$P$68,AX$4-$B103+1)</f>
        <v/>
      </c>
      <c r="AY103" s="56">
        <f>$C103*INDEX(Curves!$P$8:$P$68,AY$4-$B103+1)</f>
        <v/>
      </c>
      <c r="AZ103" s="56">
        <f>$C103*INDEX(Curves!$P$8:$P$68,AZ$4-$B103+1)</f>
        <v/>
      </c>
      <c r="BA103" s="56">
        <f>$C103*INDEX(Curves!$P$8:$P$68,BA$4-$B103+1)</f>
        <v/>
      </c>
      <c r="BB103" s="56">
        <f>$C103*INDEX(Curves!$P$8:$P$68,BB$4-$B103+1)</f>
        <v/>
      </c>
      <c r="BC103" s="56">
        <f>$C103*INDEX(Curves!$P$8:$P$68,BC$4-$B103+1)</f>
        <v/>
      </c>
      <c r="BD103" s="56">
        <f>$C103*INDEX(Curves!$P$8:$P$68,BD$4-$B103+1)</f>
        <v/>
      </c>
      <c r="BE103" s="56">
        <f>$C103*INDEX(Curves!$P$8:$P$68,BE$4-$B103+1)</f>
        <v/>
      </c>
      <c r="BF103" s="56">
        <f>$C103*INDEX(Curves!$P$8:$P$68,BF$4-$B103+1)</f>
        <v/>
      </c>
      <c r="BG103" s="56">
        <f>$C103*INDEX(Curves!$P$8:$P$68,BG$4-$B103+1)</f>
        <v/>
      </c>
      <c r="BH103" s="56">
        <f>$C103*INDEX(Curves!$P$8:$P$68,BH$4-$B103+1)</f>
        <v/>
      </c>
      <c r="BI103" s="56">
        <f>$C103*INDEX(Curves!$P$8:$P$68,BI$4-$B103+1)</f>
        <v/>
      </c>
      <c r="BJ103" s="56">
        <f>$C103*INDEX(Curves!$P$8:$P$68,BJ$4-$B103+1)</f>
        <v/>
      </c>
      <c r="BK103" s="56">
        <f>$C103*INDEX(Curves!$P$8:$P$68,BK$4-$B103+1)</f>
        <v/>
      </c>
      <c r="BL103" s="56">
        <f>$C103*INDEX(Curves!$P$8:$P$68,BL$4-$B103+1)</f>
        <v/>
      </c>
    </row>
    <row r="104">
      <c r="A104" s="55" t="inlineStr">
        <is>
          <t>Cohort month 32</t>
        </is>
      </c>
      <c r="B104" s="55" t="n">
        <v>32</v>
      </c>
      <c r="C104" s="46">
        <f>INDEX(Ops!$E$24:$BL$24,1,$B104)</f>
        <v/>
      </c>
      <c r="AK104" s="56">
        <f>$C104*INDEX(Curves!$P$8:$P$68,AK$4-$B104+1)</f>
        <v/>
      </c>
      <c r="AL104" s="56">
        <f>$C104*INDEX(Curves!$P$8:$P$68,AL$4-$B104+1)</f>
        <v/>
      </c>
      <c r="AM104" s="56">
        <f>$C104*INDEX(Curves!$P$8:$P$68,AM$4-$B104+1)</f>
        <v/>
      </c>
      <c r="AN104" s="56">
        <f>$C104*INDEX(Curves!$P$8:$P$68,AN$4-$B104+1)</f>
        <v/>
      </c>
      <c r="AO104" s="56">
        <f>$C104*INDEX(Curves!$P$8:$P$68,AO$4-$B104+1)</f>
        <v/>
      </c>
      <c r="AP104" s="56">
        <f>$C104*INDEX(Curves!$P$8:$P$68,AP$4-$B104+1)</f>
        <v/>
      </c>
      <c r="AQ104" s="56">
        <f>$C104*INDEX(Curves!$P$8:$P$68,AQ$4-$B104+1)</f>
        <v/>
      </c>
      <c r="AR104" s="56">
        <f>$C104*INDEX(Curves!$P$8:$P$68,AR$4-$B104+1)</f>
        <v/>
      </c>
      <c r="AS104" s="56">
        <f>$C104*INDEX(Curves!$P$8:$P$68,AS$4-$B104+1)</f>
        <v/>
      </c>
      <c r="AT104" s="56">
        <f>$C104*INDEX(Curves!$P$8:$P$68,AT$4-$B104+1)</f>
        <v/>
      </c>
      <c r="AU104" s="56">
        <f>$C104*INDEX(Curves!$P$8:$P$68,AU$4-$B104+1)</f>
        <v/>
      </c>
      <c r="AV104" s="56">
        <f>$C104*INDEX(Curves!$P$8:$P$68,AV$4-$B104+1)</f>
        <v/>
      </c>
      <c r="AW104" s="56">
        <f>$C104*INDEX(Curves!$P$8:$P$68,AW$4-$B104+1)</f>
        <v/>
      </c>
      <c r="AX104" s="56">
        <f>$C104*INDEX(Curves!$P$8:$P$68,AX$4-$B104+1)</f>
        <v/>
      </c>
      <c r="AY104" s="56">
        <f>$C104*INDEX(Curves!$P$8:$P$68,AY$4-$B104+1)</f>
        <v/>
      </c>
      <c r="AZ104" s="56">
        <f>$C104*INDEX(Curves!$P$8:$P$68,AZ$4-$B104+1)</f>
        <v/>
      </c>
      <c r="BA104" s="56">
        <f>$C104*INDEX(Curves!$P$8:$P$68,BA$4-$B104+1)</f>
        <v/>
      </c>
      <c r="BB104" s="56">
        <f>$C104*INDEX(Curves!$P$8:$P$68,BB$4-$B104+1)</f>
        <v/>
      </c>
      <c r="BC104" s="56">
        <f>$C104*INDEX(Curves!$P$8:$P$68,BC$4-$B104+1)</f>
        <v/>
      </c>
      <c r="BD104" s="56">
        <f>$C104*INDEX(Curves!$P$8:$P$68,BD$4-$B104+1)</f>
        <v/>
      </c>
      <c r="BE104" s="56">
        <f>$C104*INDEX(Curves!$P$8:$P$68,BE$4-$B104+1)</f>
        <v/>
      </c>
      <c r="BF104" s="56">
        <f>$C104*INDEX(Curves!$P$8:$P$68,BF$4-$B104+1)</f>
        <v/>
      </c>
      <c r="BG104" s="56">
        <f>$C104*INDEX(Curves!$P$8:$P$68,BG$4-$B104+1)</f>
        <v/>
      </c>
      <c r="BH104" s="56">
        <f>$C104*INDEX(Curves!$P$8:$P$68,BH$4-$B104+1)</f>
        <v/>
      </c>
      <c r="BI104" s="56">
        <f>$C104*INDEX(Curves!$P$8:$P$68,BI$4-$B104+1)</f>
        <v/>
      </c>
      <c r="BJ104" s="56">
        <f>$C104*INDEX(Curves!$P$8:$P$68,BJ$4-$B104+1)</f>
        <v/>
      </c>
      <c r="BK104" s="56">
        <f>$C104*INDEX(Curves!$P$8:$P$68,BK$4-$B104+1)</f>
        <v/>
      </c>
      <c r="BL104" s="56">
        <f>$C104*INDEX(Curves!$P$8:$P$68,BL$4-$B104+1)</f>
        <v/>
      </c>
    </row>
    <row r="105">
      <c r="A105" s="55" t="inlineStr">
        <is>
          <t>Cohort month 33</t>
        </is>
      </c>
      <c r="B105" s="55" t="n">
        <v>33</v>
      </c>
      <c r="C105" s="46">
        <f>INDEX(Ops!$E$24:$BL$24,1,$B105)</f>
        <v/>
      </c>
      <c r="AL105" s="56">
        <f>$C105*INDEX(Curves!$P$8:$P$68,AL$4-$B105+1)</f>
        <v/>
      </c>
      <c r="AM105" s="56">
        <f>$C105*INDEX(Curves!$P$8:$P$68,AM$4-$B105+1)</f>
        <v/>
      </c>
      <c r="AN105" s="56">
        <f>$C105*INDEX(Curves!$P$8:$P$68,AN$4-$B105+1)</f>
        <v/>
      </c>
      <c r="AO105" s="56">
        <f>$C105*INDEX(Curves!$P$8:$P$68,AO$4-$B105+1)</f>
        <v/>
      </c>
      <c r="AP105" s="56">
        <f>$C105*INDEX(Curves!$P$8:$P$68,AP$4-$B105+1)</f>
        <v/>
      </c>
      <c r="AQ105" s="56">
        <f>$C105*INDEX(Curves!$P$8:$P$68,AQ$4-$B105+1)</f>
        <v/>
      </c>
      <c r="AR105" s="56">
        <f>$C105*INDEX(Curves!$P$8:$P$68,AR$4-$B105+1)</f>
        <v/>
      </c>
      <c r="AS105" s="56">
        <f>$C105*INDEX(Curves!$P$8:$P$68,AS$4-$B105+1)</f>
        <v/>
      </c>
      <c r="AT105" s="56">
        <f>$C105*INDEX(Curves!$P$8:$P$68,AT$4-$B105+1)</f>
        <v/>
      </c>
      <c r="AU105" s="56">
        <f>$C105*INDEX(Curves!$P$8:$P$68,AU$4-$B105+1)</f>
        <v/>
      </c>
      <c r="AV105" s="56">
        <f>$C105*INDEX(Curves!$P$8:$P$68,AV$4-$B105+1)</f>
        <v/>
      </c>
      <c r="AW105" s="56">
        <f>$C105*INDEX(Curves!$P$8:$P$68,AW$4-$B105+1)</f>
        <v/>
      </c>
      <c r="AX105" s="56">
        <f>$C105*INDEX(Curves!$P$8:$P$68,AX$4-$B105+1)</f>
        <v/>
      </c>
      <c r="AY105" s="56">
        <f>$C105*INDEX(Curves!$P$8:$P$68,AY$4-$B105+1)</f>
        <v/>
      </c>
      <c r="AZ105" s="56">
        <f>$C105*INDEX(Curves!$P$8:$P$68,AZ$4-$B105+1)</f>
        <v/>
      </c>
      <c r="BA105" s="56">
        <f>$C105*INDEX(Curves!$P$8:$P$68,BA$4-$B105+1)</f>
        <v/>
      </c>
      <c r="BB105" s="56">
        <f>$C105*INDEX(Curves!$P$8:$P$68,BB$4-$B105+1)</f>
        <v/>
      </c>
      <c r="BC105" s="56">
        <f>$C105*INDEX(Curves!$P$8:$P$68,BC$4-$B105+1)</f>
        <v/>
      </c>
      <c r="BD105" s="56">
        <f>$C105*INDEX(Curves!$P$8:$P$68,BD$4-$B105+1)</f>
        <v/>
      </c>
      <c r="BE105" s="56">
        <f>$C105*INDEX(Curves!$P$8:$P$68,BE$4-$B105+1)</f>
        <v/>
      </c>
      <c r="BF105" s="56">
        <f>$C105*INDEX(Curves!$P$8:$P$68,BF$4-$B105+1)</f>
        <v/>
      </c>
      <c r="BG105" s="56">
        <f>$C105*INDEX(Curves!$P$8:$P$68,BG$4-$B105+1)</f>
        <v/>
      </c>
      <c r="BH105" s="56">
        <f>$C105*INDEX(Curves!$P$8:$P$68,BH$4-$B105+1)</f>
        <v/>
      </c>
      <c r="BI105" s="56">
        <f>$C105*INDEX(Curves!$P$8:$P$68,BI$4-$B105+1)</f>
        <v/>
      </c>
      <c r="BJ105" s="56">
        <f>$C105*INDEX(Curves!$P$8:$P$68,BJ$4-$B105+1)</f>
        <v/>
      </c>
      <c r="BK105" s="56">
        <f>$C105*INDEX(Curves!$P$8:$P$68,BK$4-$B105+1)</f>
        <v/>
      </c>
      <c r="BL105" s="56">
        <f>$C105*INDEX(Curves!$P$8:$P$68,BL$4-$B105+1)</f>
        <v/>
      </c>
    </row>
    <row r="106">
      <c r="A106" s="55" t="inlineStr">
        <is>
          <t>Cohort month 34</t>
        </is>
      </c>
      <c r="B106" s="55" t="n">
        <v>34</v>
      </c>
      <c r="C106" s="46">
        <f>INDEX(Ops!$E$24:$BL$24,1,$B106)</f>
        <v/>
      </c>
      <c r="AM106" s="56">
        <f>$C106*INDEX(Curves!$P$8:$P$68,AM$4-$B106+1)</f>
        <v/>
      </c>
      <c r="AN106" s="56">
        <f>$C106*INDEX(Curves!$P$8:$P$68,AN$4-$B106+1)</f>
        <v/>
      </c>
      <c r="AO106" s="56">
        <f>$C106*INDEX(Curves!$P$8:$P$68,AO$4-$B106+1)</f>
        <v/>
      </c>
      <c r="AP106" s="56">
        <f>$C106*INDEX(Curves!$P$8:$P$68,AP$4-$B106+1)</f>
        <v/>
      </c>
      <c r="AQ106" s="56">
        <f>$C106*INDEX(Curves!$P$8:$P$68,AQ$4-$B106+1)</f>
        <v/>
      </c>
      <c r="AR106" s="56">
        <f>$C106*INDEX(Curves!$P$8:$P$68,AR$4-$B106+1)</f>
        <v/>
      </c>
      <c r="AS106" s="56">
        <f>$C106*INDEX(Curves!$P$8:$P$68,AS$4-$B106+1)</f>
        <v/>
      </c>
      <c r="AT106" s="56">
        <f>$C106*INDEX(Curves!$P$8:$P$68,AT$4-$B106+1)</f>
        <v/>
      </c>
      <c r="AU106" s="56">
        <f>$C106*INDEX(Curves!$P$8:$P$68,AU$4-$B106+1)</f>
        <v/>
      </c>
      <c r="AV106" s="56">
        <f>$C106*INDEX(Curves!$P$8:$P$68,AV$4-$B106+1)</f>
        <v/>
      </c>
      <c r="AW106" s="56">
        <f>$C106*INDEX(Curves!$P$8:$P$68,AW$4-$B106+1)</f>
        <v/>
      </c>
      <c r="AX106" s="56">
        <f>$C106*INDEX(Curves!$P$8:$P$68,AX$4-$B106+1)</f>
        <v/>
      </c>
      <c r="AY106" s="56">
        <f>$C106*INDEX(Curves!$P$8:$P$68,AY$4-$B106+1)</f>
        <v/>
      </c>
      <c r="AZ106" s="56">
        <f>$C106*INDEX(Curves!$P$8:$P$68,AZ$4-$B106+1)</f>
        <v/>
      </c>
      <c r="BA106" s="56">
        <f>$C106*INDEX(Curves!$P$8:$P$68,BA$4-$B106+1)</f>
        <v/>
      </c>
      <c r="BB106" s="56">
        <f>$C106*INDEX(Curves!$P$8:$P$68,BB$4-$B106+1)</f>
        <v/>
      </c>
      <c r="BC106" s="56">
        <f>$C106*INDEX(Curves!$P$8:$P$68,BC$4-$B106+1)</f>
        <v/>
      </c>
      <c r="BD106" s="56">
        <f>$C106*INDEX(Curves!$P$8:$P$68,BD$4-$B106+1)</f>
        <v/>
      </c>
      <c r="BE106" s="56">
        <f>$C106*INDEX(Curves!$P$8:$P$68,BE$4-$B106+1)</f>
        <v/>
      </c>
      <c r="BF106" s="56">
        <f>$C106*INDEX(Curves!$P$8:$P$68,BF$4-$B106+1)</f>
        <v/>
      </c>
      <c r="BG106" s="56">
        <f>$C106*INDEX(Curves!$P$8:$P$68,BG$4-$B106+1)</f>
        <v/>
      </c>
      <c r="BH106" s="56">
        <f>$C106*INDEX(Curves!$P$8:$P$68,BH$4-$B106+1)</f>
        <v/>
      </c>
      <c r="BI106" s="56">
        <f>$C106*INDEX(Curves!$P$8:$P$68,BI$4-$B106+1)</f>
        <v/>
      </c>
      <c r="BJ106" s="56">
        <f>$C106*INDEX(Curves!$P$8:$P$68,BJ$4-$B106+1)</f>
        <v/>
      </c>
      <c r="BK106" s="56">
        <f>$C106*INDEX(Curves!$P$8:$P$68,BK$4-$B106+1)</f>
        <v/>
      </c>
      <c r="BL106" s="56">
        <f>$C106*INDEX(Curves!$P$8:$P$68,BL$4-$B106+1)</f>
        <v/>
      </c>
    </row>
    <row r="107">
      <c r="A107" s="55" t="inlineStr">
        <is>
          <t>Cohort month 35</t>
        </is>
      </c>
      <c r="B107" s="55" t="n">
        <v>35</v>
      </c>
      <c r="C107" s="46">
        <f>INDEX(Ops!$E$24:$BL$24,1,$B107)</f>
        <v/>
      </c>
      <c r="AN107" s="56">
        <f>$C107*INDEX(Curves!$P$8:$P$68,AN$4-$B107+1)</f>
        <v/>
      </c>
      <c r="AO107" s="56">
        <f>$C107*INDEX(Curves!$P$8:$P$68,AO$4-$B107+1)</f>
        <v/>
      </c>
      <c r="AP107" s="56">
        <f>$C107*INDEX(Curves!$P$8:$P$68,AP$4-$B107+1)</f>
        <v/>
      </c>
      <c r="AQ107" s="56">
        <f>$C107*INDEX(Curves!$P$8:$P$68,AQ$4-$B107+1)</f>
        <v/>
      </c>
      <c r="AR107" s="56">
        <f>$C107*INDEX(Curves!$P$8:$P$68,AR$4-$B107+1)</f>
        <v/>
      </c>
      <c r="AS107" s="56">
        <f>$C107*INDEX(Curves!$P$8:$P$68,AS$4-$B107+1)</f>
        <v/>
      </c>
      <c r="AT107" s="56">
        <f>$C107*INDEX(Curves!$P$8:$P$68,AT$4-$B107+1)</f>
        <v/>
      </c>
      <c r="AU107" s="56">
        <f>$C107*INDEX(Curves!$P$8:$P$68,AU$4-$B107+1)</f>
        <v/>
      </c>
      <c r="AV107" s="56">
        <f>$C107*INDEX(Curves!$P$8:$P$68,AV$4-$B107+1)</f>
        <v/>
      </c>
      <c r="AW107" s="56">
        <f>$C107*INDEX(Curves!$P$8:$P$68,AW$4-$B107+1)</f>
        <v/>
      </c>
      <c r="AX107" s="56">
        <f>$C107*INDEX(Curves!$P$8:$P$68,AX$4-$B107+1)</f>
        <v/>
      </c>
      <c r="AY107" s="56">
        <f>$C107*INDEX(Curves!$P$8:$P$68,AY$4-$B107+1)</f>
        <v/>
      </c>
      <c r="AZ107" s="56">
        <f>$C107*INDEX(Curves!$P$8:$P$68,AZ$4-$B107+1)</f>
        <v/>
      </c>
      <c r="BA107" s="56">
        <f>$C107*INDEX(Curves!$P$8:$P$68,BA$4-$B107+1)</f>
        <v/>
      </c>
      <c r="BB107" s="56">
        <f>$C107*INDEX(Curves!$P$8:$P$68,BB$4-$B107+1)</f>
        <v/>
      </c>
      <c r="BC107" s="56">
        <f>$C107*INDEX(Curves!$P$8:$P$68,BC$4-$B107+1)</f>
        <v/>
      </c>
      <c r="BD107" s="56">
        <f>$C107*INDEX(Curves!$P$8:$P$68,BD$4-$B107+1)</f>
        <v/>
      </c>
      <c r="BE107" s="56">
        <f>$C107*INDEX(Curves!$P$8:$P$68,BE$4-$B107+1)</f>
        <v/>
      </c>
      <c r="BF107" s="56">
        <f>$C107*INDEX(Curves!$P$8:$P$68,BF$4-$B107+1)</f>
        <v/>
      </c>
      <c r="BG107" s="56">
        <f>$C107*INDEX(Curves!$P$8:$P$68,BG$4-$B107+1)</f>
        <v/>
      </c>
      <c r="BH107" s="56">
        <f>$C107*INDEX(Curves!$P$8:$P$68,BH$4-$B107+1)</f>
        <v/>
      </c>
      <c r="BI107" s="56">
        <f>$C107*INDEX(Curves!$P$8:$P$68,BI$4-$B107+1)</f>
        <v/>
      </c>
      <c r="BJ107" s="56">
        <f>$C107*INDEX(Curves!$P$8:$P$68,BJ$4-$B107+1)</f>
        <v/>
      </c>
      <c r="BK107" s="56">
        <f>$C107*INDEX(Curves!$P$8:$P$68,BK$4-$B107+1)</f>
        <v/>
      </c>
      <c r="BL107" s="56">
        <f>$C107*INDEX(Curves!$P$8:$P$68,BL$4-$B107+1)</f>
        <v/>
      </c>
    </row>
    <row r="108">
      <c r="A108" s="55" t="inlineStr">
        <is>
          <t>Cohort month 36</t>
        </is>
      </c>
      <c r="B108" s="55" t="n">
        <v>36</v>
      </c>
      <c r="C108" s="46">
        <f>INDEX(Ops!$E$24:$BL$24,1,$B108)</f>
        <v/>
      </c>
      <c r="AO108" s="56">
        <f>$C108*INDEX(Curves!$P$8:$P$68,AO$4-$B108+1)</f>
        <v/>
      </c>
      <c r="AP108" s="56">
        <f>$C108*INDEX(Curves!$P$8:$P$68,AP$4-$B108+1)</f>
        <v/>
      </c>
      <c r="AQ108" s="56">
        <f>$C108*INDEX(Curves!$P$8:$P$68,AQ$4-$B108+1)</f>
        <v/>
      </c>
      <c r="AR108" s="56">
        <f>$C108*INDEX(Curves!$P$8:$P$68,AR$4-$B108+1)</f>
        <v/>
      </c>
      <c r="AS108" s="56">
        <f>$C108*INDEX(Curves!$P$8:$P$68,AS$4-$B108+1)</f>
        <v/>
      </c>
      <c r="AT108" s="56">
        <f>$C108*INDEX(Curves!$P$8:$P$68,AT$4-$B108+1)</f>
        <v/>
      </c>
      <c r="AU108" s="56">
        <f>$C108*INDEX(Curves!$P$8:$P$68,AU$4-$B108+1)</f>
        <v/>
      </c>
      <c r="AV108" s="56">
        <f>$C108*INDEX(Curves!$P$8:$P$68,AV$4-$B108+1)</f>
        <v/>
      </c>
      <c r="AW108" s="56">
        <f>$C108*INDEX(Curves!$P$8:$P$68,AW$4-$B108+1)</f>
        <v/>
      </c>
      <c r="AX108" s="56">
        <f>$C108*INDEX(Curves!$P$8:$P$68,AX$4-$B108+1)</f>
        <v/>
      </c>
      <c r="AY108" s="56">
        <f>$C108*INDEX(Curves!$P$8:$P$68,AY$4-$B108+1)</f>
        <v/>
      </c>
      <c r="AZ108" s="56">
        <f>$C108*INDEX(Curves!$P$8:$P$68,AZ$4-$B108+1)</f>
        <v/>
      </c>
      <c r="BA108" s="56">
        <f>$C108*INDEX(Curves!$P$8:$P$68,BA$4-$B108+1)</f>
        <v/>
      </c>
      <c r="BB108" s="56">
        <f>$C108*INDEX(Curves!$P$8:$P$68,BB$4-$B108+1)</f>
        <v/>
      </c>
      <c r="BC108" s="56">
        <f>$C108*INDEX(Curves!$P$8:$P$68,BC$4-$B108+1)</f>
        <v/>
      </c>
      <c r="BD108" s="56">
        <f>$C108*INDEX(Curves!$P$8:$P$68,BD$4-$B108+1)</f>
        <v/>
      </c>
      <c r="BE108" s="56">
        <f>$C108*INDEX(Curves!$P$8:$P$68,BE$4-$B108+1)</f>
        <v/>
      </c>
      <c r="BF108" s="56">
        <f>$C108*INDEX(Curves!$P$8:$P$68,BF$4-$B108+1)</f>
        <v/>
      </c>
      <c r="BG108" s="56">
        <f>$C108*INDEX(Curves!$P$8:$P$68,BG$4-$B108+1)</f>
        <v/>
      </c>
      <c r="BH108" s="56">
        <f>$C108*INDEX(Curves!$P$8:$P$68,BH$4-$B108+1)</f>
        <v/>
      </c>
      <c r="BI108" s="56">
        <f>$C108*INDEX(Curves!$P$8:$P$68,BI$4-$B108+1)</f>
        <v/>
      </c>
      <c r="BJ108" s="56">
        <f>$C108*INDEX(Curves!$P$8:$P$68,BJ$4-$B108+1)</f>
        <v/>
      </c>
      <c r="BK108" s="56">
        <f>$C108*INDEX(Curves!$P$8:$P$68,BK$4-$B108+1)</f>
        <v/>
      </c>
      <c r="BL108" s="56">
        <f>$C108*INDEX(Curves!$P$8:$P$68,BL$4-$B108+1)</f>
        <v/>
      </c>
    </row>
    <row r="109">
      <c r="A109" s="55" t="inlineStr">
        <is>
          <t>Cohort month 37</t>
        </is>
      </c>
      <c r="B109" s="55" t="n">
        <v>37</v>
      </c>
      <c r="C109" s="46">
        <f>INDEX(Ops!$E$24:$BL$24,1,$B109)</f>
        <v/>
      </c>
      <c r="AP109" s="56">
        <f>$C109*INDEX(Curves!$P$8:$P$68,AP$4-$B109+1)</f>
        <v/>
      </c>
      <c r="AQ109" s="56">
        <f>$C109*INDEX(Curves!$P$8:$P$68,AQ$4-$B109+1)</f>
        <v/>
      </c>
      <c r="AR109" s="56">
        <f>$C109*INDEX(Curves!$P$8:$P$68,AR$4-$B109+1)</f>
        <v/>
      </c>
      <c r="AS109" s="56">
        <f>$C109*INDEX(Curves!$P$8:$P$68,AS$4-$B109+1)</f>
        <v/>
      </c>
      <c r="AT109" s="56">
        <f>$C109*INDEX(Curves!$P$8:$P$68,AT$4-$B109+1)</f>
        <v/>
      </c>
      <c r="AU109" s="56">
        <f>$C109*INDEX(Curves!$P$8:$P$68,AU$4-$B109+1)</f>
        <v/>
      </c>
      <c r="AV109" s="56">
        <f>$C109*INDEX(Curves!$P$8:$P$68,AV$4-$B109+1)</f>
        <v/>
      </c>
      <c r="AW109" s="56">
        <f>$C109*INDEX(Curves!$P$8:$P$68,AW$4-$B109+1)</f>
        <v/>
      </c>
      <c r="AX109" s="56">
        <f>$C109*INDEX(Curves!$P$8:$P$68,AX$4-$B109+1)</f>
        <v/>
      </c>
      <c r="AY109" s="56">
        <f>$C109*INDEX(Curves!$P$8:$P$68,AY$4-$B109+1)</f>
        <v/>
      </c>
      <c r="AZ109" s="56">
        <f>$C109*INDEX(Curves!$P$8:$P$68,AZ$4-$B109+1)</f>
        <v/>
      </c>
      <c r="BA109" s="56">
        <f>$C109*INDEX(Curves!$P$8:$P$68,BA$4-$B109+1)</f>
        <v/>
      </c>
      <c r="BB109" s="56">
        <f>$C109*INDEX(Curves!$P$8:$P$68,BB$4-$B109+1)</f>
        <v/>
      </c>
      <c r="BC109" s="56">
        <f>$C109*INDEX(Curves!$P$8:$P$68,BC$4-$B109+1)</f>
        <v/>
      </c>
      <c r="BD109" s="56">
        <f>$C109*INDEX(Curves!$P$8:$P$68,BD$4-$B109+1)</f>
        <v/>
      </c>
      <c r="BE109" s="56">
        <f>$C109*INDEX(Curves!$P$8:$P$68,BE$4-$B109+1)</f>
        <v/>
      </c>
      <c r="BF109" s="56">
        <f>$C109*INDEX(Curves!$P$8:$P$68,BF$4-$B109+1)</f>
        <v/>
      </c>
      <c r="BG109" s="56">
        <f>$C109*INDEX(Curves!$P$8:$P$68,BG$4-$B109+1)</f>
        <v/>
      </c>
      <c r="BH109" s="56">
        <f>$C109*INDEX(Curves!$P$8:$P$68,BH$4-$B109+1)</f>
        <v/>
      </c>
      <c r="BI109" s="56">
        <f>$C109*INDEX(Curves!$P$8:$P$68,BI$4-$B109+1)</f>
        <v/>
      </c>
      <c r="BJ109" s="56">
        <f>$C109*INDEX(Curves!$P$8:$P$68,BJ$4-$B109+1)</f>
        <v/>
      </c>
      <c r="BK109" s="56">
        <f>$C109*INDEX(Curves!$P$8:$P$68,BK$4-$B109+1)</f>
        <v/>
      </c>
      <c r="BL109" s="56">
        <f>$C109*INDEX(Curves!$P$8:$P$68,BL$4-$B109+1)</f>
        <v/>
      </c>
    </row>
    <row r="110">
      <c r="A110" s="55" t="inlineStr">
        <is>
          <t>Cohort month 38</t>
        </is>
      </c>
      <c r="B110" s="55" t="n">
        <v>38</v>
      </c>
      <c r="C110" s="46">
        <f>INDEX(Ops!$E$24:$BL$24,1,$B110)</f>
        <v/>
      </c>
      <c r="AQ110" s="56">
        <f>$C110*INDEX(Curves!$P$8:$P$68,AQ$4-$B110+1)</f>
        <v/>
      </c>
      <c r="AR110" s="56">
        <f>$C110*INDEX(Curves!$P$8:$P$68,AR$4-$B110+1)</f>
        <v/>
      </c>
      <c r="AS110" s="56">
        <f>$C110*INDEX(Curves!$P$8:$P$68,AS$4-$B110+1)</f>
        <v/>
      </c>
      <c r="AT110" s="56">
        <f>$C110*INDEX(Curves!$P$8:$P$68,AT$4-$B110+1)</f>
        <v/>
      </c>
      <c r="AU110" s="56">
        <f>$C110*INDEX(Curves!$P$8:$P$68,AU$4-$B110+1)</f>
        <v/>
      </c>
      <c r="AV110" s="56">
        <f>$C110*INDEX(Curves!$P$8:$P$68,AV$4-$B110+1)</f>
        <v/>
      </c>
      <c r="AW110" s="56">
        <f>$C110*INDEX(Curves!$P$8:$P$68,AW$4-$B110+1)</f>
        <v/>
      </c>
      <c r="AX110" s="56">
        <f>$C110*INDEX(Curves!$P$8:$P$68,AX$4-$B110+1)</f>
        <v/>
      </c>
      <c r="AY110" s="56">
        <f>$C110*INDEX(Curves!$P$8:$P$68,AY$4-$B110+1)</f>
        <v/>
      </c>
      <c r="AZ110" s="56">
        <f>$C110*INDEX(Curves!$P$8:$P$68,AZ$4-$B110+1)</f>
        <v/>
      </c>
      <c r="BA110" s="56">
        <f>$C110*INDEX(Curves!$P$8:$P$68,BA$4-$B110+1)</f>
        <v/>
      </c>
      <c r="BB110" s="56">
        <f>$C110*INDEX(Curves!$P$8:$P$68,BB$4-$B110+1)</f>
        <v/>
      </c>
      <c r="BC110" s="56">
        <f>$C110*INDEX(Curves!$P$8:$P$68,BC$4-$B110+1)</f>
        <v/>
      </c>
      <c r="BD110" s="56">
        <f>$C110*INDEX(Curves!$P$8:$P$68,BD$4-$B110+1)</f>
        <v/>
      </c>
      <c r="BE110" s="56">
        <f>$C110*INDEX(Curves!$P$8:$P$68,BE$4-$B110+1)</f>
        <v/>
      </c>
      <c r="BF110" s="56">
        <f>$C110*INDEX(Curves!$P$8:$P$68,BF$4-$B110+1)</f>
        <v/>
      </c>
      <c r="BG110" s="56">
        <f>$C110*INDEX(Curves!$P$8:$P$68,BG$4-$B110+1)</f>
        <v/>
      </c>
      <c r="BH110" s="56">
        <f>$C110*INDEX(Curves!$P$8:$P$68,BH$4-$B110+1)</f>
        <v/>
      </c>
      <c r="BI110" s="56">
        <f>$C110*INDEX(Curves!$P$8:$P$68,BI$4-$B110+1)</f>
        <v/>
      </c>
      <c r="BJ110" s="56">
        <f>$C110*INDEX(Curves!$P$8:$P$68,BJ$4-$B110+1)</f>
        <v/>
      </c>
      <c r="BK110" s="56">
        <f>$C110*INDEX(Curves!$P$8:$P$68,BK$4-$B110+1)</f>
        <v/>
      </c>
      <c r="BL110" s="56">
        <f>$C110*INDEX(Curves!$P$8:$P$68,BL$4-$B110+1)</f>
        <v/>
      </c>
    </row>
    <row r="111">
      <c r="A111" s="55" t="inlineStr">
        <is>
          <t>Cohort month 39</t>
        </is>
      </c>
      <c r="B111" s="55" t="n">
        <v>39</v>
      </c>
      <c r="C111" s="46">
        <f>INDEX(Ops!$E$24:$BL$24,1,$B111)</f>
        <v/>
      </c>
      <c r="AR111" s="56">
        <f>$C111*INDEX(Curves!$P$8:$P$68,AR$4-$B111+1)</f>
        <v/>
      </c>
      <c r="AS111" s="56">
        <f>$C111*INDEX(Curves!$P$8:$P$68,AS$4-$B111+1)</f>
        <v/>
      </c>
      <c r="AT111" s="56">
        <f>$C111*INDEX(Curves!$P$8:$P$68,AT$4-$B111+1)</f>
        <v/>
      </c>
      <c r="AU111" s="56">
        <f>$C111*INDEX(Curves!$P$8:$P$68,AU$4-$B111+1)</f>
        <v/>
      </c>
      <c r="AV111" s="56">
        <f>$C111*INDEX(Curves!$P$8:$P$68,AV$4-$B111+1)</f>
        <v/>
      </c>
      <c r="AW111" s="56">
        <f>$C111*INDEX(Curves!$P$8:$P$68,AW$4-$B111+1)</f>
        <v/>
      </c>
      <c r="AX111" s="56">
        <f>$C111*INDEX(Curves!$P$8:$P$68,AX$4-$B111+1)</f>
        <v/>
      </c>
      <c r="AY111" s="56">
        <f>$C111*INDEX(Curves!$P$8:$P$68,AY$4-$B111+1)</f>
        <v/>
      </c>
      <c r="AZ111" s="56">
        <f>$C111*INDEX(Curves!$P$8:$P$68,AZ$4-$B111+1)</f>
        <v/>
      </c>
      <c r="BA111" s="56">
        <f>$C111*INDEX(Curves!$P$8:$P$68,BA$4-$B111+1)</f>
        <v/>
      </c>
      <c r="BB111" s="56">
        <f>$C111*INDEX(Curves!$P$8:$P$68,BB$4-$B111+1)</f>
        <v/>
      </c>
      <c r="BC111" s="56">
        <f>$C111*INDEX(Curves!$P$8:$P$68,BC$4-$B111+1)</f>
        <v/>
      </c>
      <c r="BD111" s="56">
        <f>$C111*INDEX(Curves!$P$8:$P$68,BD$4-$B111+1)</f>
        <v/>
      </c>
      <c r="BE111" s="56">
        <f>$C111*INDEX(Curves!$P$8:$P$68,BE$4-$B111+1)</f>
        <v/>
      </c>
      <c r="BF111" s="56">
        <f>$C111*INDEX(Curves!$P$8:$P$68,BF$4-$B111+1)</f>
        <v/>
      </c>
      <c r="BG111" s="56">
        <f>$C111*INDEX(Curves!$P$8:$P$68,BG$4-$B111+1)</f>
        <v/>
      </c>
      <c r="BH111" s="56">
        <f>$C111*INDEX(Curves!$P$8:$P$68,BH$4-$B111+1)</f>
        <v/>
      </c>
      <c r="BI111" s="56">
        <f>$C111*INDEX(Curves!$P$8:$P$68,BI$4-$B111+1)</f>
        <v/>
      </c>
      <c r="BJ111" s="56">
        <f>$C111*INDEX(Curves!$P$8:$P$68,BJ$4-$B111+1)</f>
        <v/>
      </c>
      <c r="BK111" s="56">
        <f>$C111*INDEX(Curves!$P$8:$P$68,BK$4-$B111+1)</f>
        <v/>
      </c>
      <c r="BL111" s="56">
        <f>$C111*INDEX(Curves!$P$8:$P$68,BL$4-$B111+1)</f>
        <v/>
      </c>
    </row>
    <row r="112">
      <c r="A112" s="55" t="inlineStr">
        <is>
          <t>Cohort month 40</t>
        </is>
      </c>
      <c r="B112" s="55" t="n">
        <v>40</v>
      </c>
      <c r="C112" s="46">
        <f>INDEX(Ops!$E$24:$BL$24,1,$B112)</f>
        <v/>
      </c>
      <c r="AS112" s="56">
        <f>$C112*INDEX(Curves!$P$8:$P$68,AS$4-$B112+1)</f>
        <v/>
      </c>
      <c r="AT112" s="56">
        <f>$C112*INDEX(Curves!$P$8:$P$68,AT$4-$B112+1)</f>
        <v/>
      </c>
      <c r="AU112" s="56">
        <f>$C112*INDEX(Curves!$P$8:$P$68,AU$4-$B112+1)</f>
        <v/>
      </c>
      <c r="AV112" s="56">
        <f>$C112*INDEX(Curves!$P$8:$P$68,AV$4-$B112+1)</f>
        <v/>
      </c>
      <c r="AW112" s="56">
        <f>$C112*INDEX(Curves!$P$8:$P$68,AW$4-$B112+1)</f>
        <v/>
      </c>
      <c r="AX112" s="56">
        <f>$C112*INDEX(Curves!$P$8:$P$68,AX$4-$B112+1)</f>
        <v/>
      </c>
      <c r="AY112" s="56">
        <f>$C112*INDEX(Curves!$P$8:$P$68,AY$4-$B112+1)</f>
        <v/>
      </c>
      <c r="AZ112" s="56">
        <f>$C112*INDEX(Curves!$P$8:$P$68,AZ$4-$B112+1)</f>
        <v/>
      </c>
      <c r="BA112" s="56">
        <f>$C112*INDEX(Curves!$P$8:$P$68,BA$4-$B112+1)</f>
        <v/>
      </c>
      <c r="BB112" s="56">
        <f>$C112*INDEX(Curves!$P$8:$P$68,BB$4-$B112+1)</f>
        <v/>
      </c>
      <c r="BC112" s="56">
        <f>$C112*INDEX(Curves!$P$8:$P$68,BC$4-$B112+1)</f>
        <v/>
      </c>
      <c r="BD112" s="56">
        <f>$C112*INDEX(Curves!$P$8:$P$68,BD$4-$B112+1)</f>
        <v/>
      </c>
      <c r="BE112" s="56">
        <f>$C112*INDEX(Curves!$P$8:$P$68,BE$4-$B112+1)</f>
        <v/>
      </c>
      <c r="BF112" s="56">
        <f>$C112*INDEX(Curves!$P$8:$P$68,BF$4-$B112+1)</f>
        <v/>
      </c>
      <c r="BG112" s="56">
        <f>$C112*INDEX(Curves!$P$8:$P$68,BG$4-$B112+1)</f>
        <v/>
      </c>
      <c r="BH112" s="56">
        <f>$C112*INDEX(Curves!$P$8:$P$68,BH$4-$B112+1)</f>
        <v/>
      </c>
      <c r="BI112" s="56">
        <f>$C112*INDEX(Curves!$P$8:$P$68,BI$4-$B112+1)</f>
        <v/>
      </c>
      <c r="BJ112" s="56">
        <f>$C112*INDEX(Curves!$P$8:$P$68,BJ$4-$B112+1)</f>
        <v/>
      </c>
      <c r="BK112" s="56">
        <f>$C112*INDEX(Curves!$P$8:$P$68,BK$4-$B112+1)</f>
        <v/>
      </c>
      <c r="BL112" s="56">
        <f>$C112*INDEX(Curves!$P$8:$P$68,BL$4-$B112+1)</f>
        <v/>
      </c>
    </row>
    <row r="113">
      <c r="A113" s="55" t="inlineStr">
        <is>
          <t>Cohort month 41</t>
        </is>
      </c>
      <c r="B113" s="55" t="n">
        <v>41</v>
      </c>
      <c r="C113" s="46">
        <f>INDEX(Ops!$E$24:$BL$24,1,$B113)</f>
        <v/>
      </c>
      <c r="AT113" s="56">
        <f>$C113*INDEX(Curves!$P$8:$P$68,AT$4-$B113+1)</f>
        <v/>
      </c>
      <c r="AU113" s="56">
        <f>$C113*INDEX(Curves!$P$8:$P$68,AU$4-$B113+1)</f>
        <v/>
      </c>
      <c r="AV113" s="56">
        <f>$C113*INDEX(Curves!$P$8:$P$68,AV$4-$B113+1)</f>
        <v/>
      </c>
      <c r="AW113" s="56">
        <f>$C113*INDEX(Curves!$P$8:$P$68,AW$4-$B113+1)</f>
        <v/>
      </c>
      <c r="AX113" s="56">
        <f>$C113*INDEX(Curves!$P$8:$P$68,AX$4-$B113+1)</f>
        <v/>
      </c>
      <c r="AY113" s="56">
        <f>$C113*INDEX(Curves!$P$8:$P$68,AY$4-$B113+1)</f>
        <v/>
      </c>
      <c r="AZ113" s="56">
        <f>$C113*INDEX(Curves!$P$8:$P$68,AZ$4-$B113+1)</f>
        <v/>
      </c>
      <c r="BA113" s="56">
        <f>$C113*INDEX(Curves!$P$8:$P$68,BA$4-$B113+1)</f>
        <v/>
      </c>
      <c r="BB113" s="56">
        <f>$C113*INDEX(Curves!$P$8:$P$68,BB$4-$B113+1)</f>
        <v/>
      </c>
      <c r="BC113" s="56">
        <f>$C113*INDEX(Curves!$P$8:$P$68,BC$4-$B113+1)</f>
        <v/>
      </c>
      <c r="BD113" s="56">
        <f>$C113*INDEX(Curves!$P$8:$P$68,BD$4-$B113+1)</f>
        <v/>
      </c>
      <c r="BE113" s="56">
        <f>$C113*INDEX(Curves!$P$8:$P$68,BE$4-$B113+1)</f>
        <v/>
      </c>
      <c r="BF113" s="56">
        <f>$C113*INDEX(Curves!$P$8:$P$68,BF$4-$B113+1)</f>
        <v/>
      </c>
      <c r="BG113" s="56">
        <f>$C113*INDEX(Curves!$P$8:$P$68,BG$4-$B113+1)</f>
        <v/>
      </c>
      <c r="BH113" s="56">
        <f>$C113*INDEX(Curves!$P$8:$P$68,BH$4-$B113+1)</f>
        <v/>
      </c>
      <c r="BI113" s="56">
        <f>$C113*INDEX(Curves!$P$8:$P$68,BI$4-$B113+1)</f>
        <v/>
      </c>
      <c r="BJ113" s="56">
        <f>$C113*INDEX(Curves!$P$8:$P$68,BJ$4-$B113+1)</f>
        <v/>
      </c>
      <c r="BK113" s="56">
        <f>$C113*INDEX(Curves!$P$8:$P$68,BK$4-$B113+1)</f>
        <v/>
      </c>
      <c r="BL113" s="56">
        <f>$C113*INDEX(Curves!$P$8:$P$68,BL$4-$B113+1)</f>
        <v/>
      </c>
    </row>
    <row r="114">
      <c r="A114" s="55" t="inlineStr">
        <is>
          <t>Cohort month 42</t>
        </is>
      </c>
      <c r="B114" s="55" t="n">
        <v>42</v>
      </c>
      <c r="C114" s="46">
        <f>INDEX(Ops!$E$24:$BL$24,1,$B114)</f>
        <v/>
      </c>
      <c r="AU114" s="56">
        <f>$C114*INDEX(Curves!$P$8:$P$68,AU$4-$B114+1)</f>
        <v/>
      </c>
      <c r="AV114" s="56">
        <f>$C114*INDEX(Curves!$P$8:$P$68,AV$4-$B114+1)</f>
        <v/>
      </c>
      <c r="AW114" s="56">
        <f>$C114*INDEX(Curves!$P$8:$P$68,AW$4-$B114+1)</f>
        <v/>
      </c>
      <c r="AX114" s="56">
        <f>$C114*INDEX(Curves!$P$8:$P$68,AX$4-$B114+1)</f>
        <v/>
      </c>
      <c r="AY114" s="56">
        <f>$C114*INDEX(Curves!$P$8:$P$68,AY$4-$B114+1)</f>
        <v/>
      </c>
      <c r="AZ114" s="56">
        <f>$C114*INDEX(Curves!$P$8:$P$68,AZ$4-$B114+1)</f>
        <v/>
      </c>
      <c r="BA114" s="56">
        <f>$C114*INDEX(Curves!$P$8:$P$68,BA$4-$B114+1)</f>
        <v/>
      </c>
      <c r="BB114" s="56">
        <f>$C114*INDEX(Curves!$P$8:$P$68,BB$4-$B114+1)</f>
        <v/>
      </c>
      <c r="BC114" s="56">
        <f>$C114*INDEX(Curves!$P$8:$P$68,BC$4-$B114+1)</f>
        <v/>
      </c>
      <c r="BD114" s="56">
        <f>$C114*INDEX(Curves!$P$8:$P$68,BD$4-$B114+1)</f>
        <v/>
      </c>
      <c r="BE114" s="56">
        <f>$C114*INDEX(Curves!$P$8:$P$68,BE$4-$B114+1)</f>
        <v/>
      </c>
      <c r="BF114" s="56">
        <f>$C114*INDEX(Curves!$P$8:$P$68,BF$4-$B114+1)</f>
        <v/>
      </c>
      <c r="BG114" s="56">
        <f>$C114*INDEX(Curves!$P$8:$P$68,BG$4-$B114+1)</f>
        <v/>
      </c>
      <c r="BH114" s="56">
        <f>$C114*INDEX(Curves!$P$8:$P$68,BH$4-$B114+1)</f>
        <v/>
      </c>
      <c r="BI114" s="56">
        <f>$C114*INDEX(Curves!$P$8:$P$68,BI$4-$B114+1)</f>
        <v/>
      </c>
      <c r="BJ114" s="56">
        <f>$C114*INDEX(Curves!$P$8:$P$68,BJ$4-$B114+1)</f>
        <v/>
      </c>
      <c r="BK114" s="56">
        <f>$C114*INDEX(Curves!$P$8:$P$68,BK$4-$B114+1)</f>
        <v/>
      </c>
      <c r="BL114" s="56">
        <f>$C114*INDEX(Curves!$P$8:$P$68,BL$4-$B114+1)</f>
        <v/>
      </c>
    </row>
    <row r="115">
      <c r="A115" s="55" t="inlineStr">
        <is>
          <t>Cohort month 43</t>
        </is>
      </c>
      <c r="B115" s="55" t="n">
        <v>43</v>
      </c>
      <c r="C115" s="46">
        <f>INDEX(Ops!$E$24:$BL$24,1,$B115)</f>
        <v/>
      </c>
      <c r="AV115" s="56">
        <f>$C115*INDEX(Curves!$P$8:$P$68,AV$4-$B115+1)</f>
        <v/>
      </c>
      <c r="AW115" s="56">
        <f>$C115*INDEX(Curves!$P$8:$P$68,AW$4-$B115+1)</f>
        <v/>
      </c>
      <c r="AX115" s="56">
        <f>$C115*INDEX(Curves!$P$8:$P$68,AX$4-$B115+1)</f>
        <v/>
      </c>
      <c r="AY115" s="56">
        <f>$C115*INDEX(Curves!$P$8:$P$68,AY$4-$B115+1)</f>
        <v/>
      </c>
      <c r="AZ115" s="56">
        <f>$C115*INDEX(Curves!$P$8:$P$68,AZ$4-$B115+1)</f>
        <v/>
      </c>
      <c r="BA115" s="56">
        <f>$C115*INDEX(Curves!$P$8:$P$68,BA$4-$B115+1)</f>
        <v/>
      </c>
      <c r="BB115" s="56">
        <f>$C115*INDEX(Curves!$P$8:$P$68,BB$4-$B115+1)</f>
        <v/>
      </c>
      <c r="BC115" s="56">
        <f>$C115*INDEX(Curves!$P$8:$P$68,BC$4-$B115+1)</f>
        <v/>
      </c>
      <c r="BD115" s="56">
        <f>$C115*INDEX(Curves!$P$8:$P$68,BD$4-$B115+1)</f>
        <v/>
      </c>
      <c r="BE115" s="56">
        <f>$C115*INDEX(Curves!$P$8:$P$68,BE$4-$B115+1)</f>
        <v/>
      </c>
      <c r="BF115" s="56">
        <f>$C115*INDEX(Curves!$P$8:$P$68,BF$4-$B115+1)</f>
        <v/>
      </c>
      <c r="BG115" s="56">
        <f>$C115*INDEX(Curves!$P$8:$P$68,BG$4-$B115+1)</f>
        <v/>
      </c>
      <c r="BH115" s="56">
        <f>$C115*INDEX(Curves!$P$8:$P$68,BH$4-$B115+1)</f>
        <v/>
      </c>
      <c r="BI115" s="56">
        <f>$C115*INDEX(Curves!$P$8:$P$68,BI$4-$B115+1)</f>
        <v/>
      </c>
      <c r="BJ115" s="56">
        <f>$C115*INDEX(Curves!$P$8:$P$68,BJ$4-$B115+1)</f>
        <v/>
      </c>
      <c r="BK115" s="56">
        <f>$C115*INDEX(Curves!$P$8:$P$68,BK$4-$B115+1)</f>
        <v/>
      </c>
      <c r="BL115" s="56">
        <f>$C115*INDEX(Curves!$P$8:$P$68,BL$4-$B115+1)</f>
        <v/>
      </c>
    </row>
    <row r="116">
      <c r="A116" s="55" t="inlineStr">
        <is>
          <t>Cohort month 44</t>
        </is>
      </c>
      <c r="B116" s="55" t="n">
        <v>44</v>
      </c>
      <c r="C116" s="46">
        <f>INDEX(Ops!$E$24:$BL$24,1,$B116)</f>
        <v/>
      </c>
      <c r="AW116" s="56">
        <f>$C116*INDEX(Curves!$P$8:$P$68,AW$4-$B116+1)</f>
        <v/>
      </c>
      <c r="AX116" s="56">
        <f>$C116*INDEX(Curves!$P$8:$P$68,AX$4-$B116+1)</f>
        <v/>
      </c>
      <c r="AY116" s="56">
        <f>$C116*INDEX(Curves!$P$8:$P$68,AY$4-$B116+1)</f>
        <v/>
      </c>
      <c r="AZ116" s="56">
        <f>$C116*INDEX(Curves!$P$8:$P$68,AZ$4-$B116+1)</f>
        <v/>
      </c>
      <c r="BA116" s="56">
        <f>$C116*INDEX(Curves!$P$8:$P$68,BA$4-$B116+1)</f>
        <v/>
      </c>
      <c r="BB116" s="56">
        <f>$C116*INDEX(Curves!$P$8:$P$68,BB$4-$B116+1)</f>
        <v/>
      </c>
      <c r="BC116" s="56">
        <f>$C116*INDEX(Curves!$P$8:$P$68,BC$4-$B116+1)</f>
        <v/>
      </c>
      <c r="BD116" s="56">
        <f>$C116*INDEX(Curves!$P$8:$P$68,BD$4-$B116+1)</f>
        <v/>
      </c>
      <c r="BE116" s="56">
        <f>$C116*INDEX(Curves!$P$8:$P$68,BE$4-$B116+1)</f>
        <v/>
      </c>
      <c r="BF116" s="56">
        <f>$C116*INDEX(Curves!$P$8:$P$68,BF$4-$B116+1)</f>
        <v/>
      </c>
      <c r="BG116" s="56">
        <f>$C116*INDEX(Curves!$P$8:$P$68,BG$4-$B116+1)</f>
        <v/>
      </c>
      <c r="BH116" s="56">
        <f>$C116*INDEX(Curves!$P$8:$P$68,BH$4-$B116+1)</f>
        <v/>
      </c>
      <c r="BI116" s="56">
        <f>$C116*INDEX(Curves!$P$8:$P$68,BI$4-$B116+1)</f>
        <v/>
      </c>
      <c r="BJ116" s="56">
        <f>$C116*INDEX(Curves!$P$8:$P$68,BJ$4-$B116+1)</f>
        <v/>
      </c>
      <c r="BK116" s="56">
        <f>$C116*INDEX(Curves!$P$8:$P$68,BK$4-$B116+1)</f>
        <v/>
      </c>
      <c r="BL116" s="56">
        <f>$C116*INDEX(Curves!$P$8:$P$68,BL$4-$B116+1)</f>
        <v/>
      </c>
    </row>
    <row r="117">
      <c r="A117" s="55" t="inlineStr">
        <is>
          <t>Cohort month 45</t>
        </is>
      </c>
      <c r="B117" s="55" t="n">
        <v>45</v>
      </c>
      <c r="C117" s="46">
        <f>INDEX(Ops!$E$24:$BL$24,1,$B117)</f>
        <v/>
      </c>
      <c r="AX117" s="56">
        <f>$C117*INDEX(Curves!$P$8:$P$68,AX$4-$B117+1)</f>
        <v/>
      </c>
      <c r="AY117" s="56">
        <f>$C117*INDEX(Curves!$P$8:$P$68,AY$4-$B117+1)</f>
        <v/>
      </c>
      <c r="AZ117" s="56">
        <f>$C117*INDEX(Curves!$P$8:$P$68,AZ$4-$B117+1)</f>
        <v/>
      </c>
      <c r="BA117" s="56">
        <f>$C117*INDEX(Curves!$P$8:$P$68,BA$4-$B117+1)</f>
        <v/>
      </c>
      <c r="BB117" s="56">
        <f>$C117*INDEX(Curves!$P$8:$P$68,BB$4-$B117+1)</f>
        <v/>
      </c>
      <c r="BC117" s="56">
        <f>$C117*INDEX(Curves!$P$8:$P$68,BC$4-$B117+1)</f>
        <v/>
      </c>
      <c r="BD117" s="56">
        <f>$C117*INDEX(Curves!$P$8:$P$68,BD$4-$B117+1)</f>
        <v/>
      </c>
      <c r="BE117" s="56">
        <f>$C117*INDEX(Curves!$P$8:$P$68,BE$4-$B117+1)</f>
        <v/>
      </c>
      <c r="BF117" s="56">
        <f>$C117*INDEX(Curves!$P$8:$P$68,BF$4-$B117+1)</f>
        <v/>
      </c>
      <c r="BG117" s="56">
        <f>$C117*INDEX(Curves!$P$8:$P$68,BG$4-$B117+1)</f>
        <v/>
      </c>
      <c r="BH117" s="56">
        <f>$C117*INDEX(Curves!$P$8:$P$68,BH$4-$B117+1)</f>
        <v/>
      </c>
      <c r="BI117" s="56">
        <f>$C117*INDEX(Curves!$P$8:$P$68,BI$4-$B117+1)</f>
        <v/>
      </c>
      <c r="BJ117" s="56">
        <f>$C117*INDEX(Curves!$P$8:$P$68,BJ$4-$B117+1)</f>
        <v/>
      </c>
      <c r="BK117" s="56">
        <f>$C117*INDEX(Curves!$P$8:$P$68,BK$4-$B117+1)</f>
        <v/>
      </c>
      <c r="BL117" s="56">
        <f>$C117*INDEX(Curves!$P$8:$P$68,BL$4-$B117+1)</f>
        <v/>
      </c>
    </row>
    <row r="118">
      <c r="A118" s="55" t="inlineStr">
        <is>
          <t>Cohort month 46</t>
        </is>
      </c>
      <c r="B118" s="55" t="n">
        <v>46</v>
      </c>
      <c r="C118" s="46">
        <f>INDEX(Ops!$E$24:$BL$24,1,$B118)</f>
        <v/>
      </c>
      <c r="AY118" s="56">
        <f>$C118*INDEX(Curves!$P$8:$P$68,AY$4-$B118+1)</f>
        <v/>
      </c>
      <c r="AZ118" s="56">
        <f>$C118*INDEX(Curves!$P$8:$P$68,AZ$4-$B118+1)</f>
        <v/>
      </c>
      <c r="BA118" s="56">
        <f>$C118*INDEX(Curves!$P$8:$P$68,BA$4-$B118+1)</f>
        <v/>
      </c>
      <c r="BB118" s="56">
        <f>$C118*INDEX(Curves!$P$8:$P$68,BB$4-$B118+1)</f>
        <v/>
      </c>
      <c r="BC118" s="56">
        <f>$C118*INDEX(Curves!$P$8:$P$68,BC$4-$B118+1)</f>
        <v/>
      </c>
      <c r="BD118" s="56">
        <f>$C118*INDEX(Curves!$P$8:$P$68,BD$4-$B118+1)</f>
        <v/>
      </c>
      <c r="BE118" s="56">
        <f>$C118*INDEX(Curves!$P$8:$P$68,BE$4-$B118+1)</f>
        <v/>
      </c>
      <c r="BF118" s="56">
        <f>$C118*INDEX(Curves!$P$8:$P$68,BF$4-$B118+1)</f>
        <v/>
      </c>
      <c r="BG118" s="56">
        <f>$C118*INDEX(Curves!$P$8:$P$68,BG$4-$B118+1)</f>
        <v/>
      </c>
      <c r="BH118" s="56">
        <f>$C118*INDEX(Curves!$P$8:$P$68,BH$4-$B118+1)</f>
        <v/>
      </c>
      <c r="BI118" s="56">
        <f>$C118*INDEX(Curves!$P$8:$P$68,BI$4-$B118+1)</f>
        <v/>
      </c>
      <c r="BJ118" s="56">
        <f>$C118*INDEX(Curves!$P$8:$P$68,BJ$4-$B118+1)</f>
        <v/>
      </c>
      <c r="BK118" s="56">
        <f>$C118*INDEX(Curves!$P$8:$P$68,BK$4-$B118+1)</f>
        <v/>
      </c>
      <c r="BL118" s="56">
        <f>$C118*INDEX(Curves!$P$8:$P$68,BL$4-$B118+1)</f>
        <v/>
      </c>
    </row>
    <row r="119">
      <c r="A119" s="55" t="inlineStr">
        <is>
          <t>Cohort month 47</t>
        </is>
      </c>
      <c r="B119" s="55" t="n">
        <v>47</v>
      </c>
      <c r="C119" s="46">
        <f>INDEX(Ops!$E$24:$BL$24,1,$B119)</f>
        <v/>
      </c>
      <c r="AZ119" s="56">
        <f>$C119*INDEX(Curves!$P$8:$P$68,AZ$4-$B119+1)</f>
        <v/>
      </c>
      <c r="BA119" s="56">
        <f>$C119*INDEX(Curves!$P$8:$P$68,BA$4-$B119+1)</f>
        <v/>
      </c>
      <c r="BB119" s="56">
        <f>$C119*INDEX(Curves!$P$8:$P$68,BB$4-$B119+1)</f>
        <v/>
      </c>
      <c r="BC119" s="56">
        <f>$C119*INDEX(Curves!$P$8:$P$68,BC$4-$B119+1)</f>
        <v/>
      </c>
      <c r="BD119" s="56">
        <f>$C119*INDEX(Curves!$P$8:$P$68,BD$4-$B119+1)</f>
        <v/>
      </c>
      <c r="BE119" s="56">
        <f>$C119*INDEX(Curves!$P$8:$P$68,BE$4-$B119+1)</f>
        <v/>
      </c>
      <c r="BF119" s="56">
        <f>$C119*INDEX(Curves!$P$8:$P$68,BF$4-$B119+1)</f>
        <v/>
      </c>
      <c r="BG119" s="56">
        <f>$C119*INDEX(Curves!$P$8:$P$68,BG$4-$B119+1)</f>
        <v/>
      </c>
      <c r="BH119" s="56">
        <f>$C119*INDEX(Curves!$P$8:$P$68,BH$4-$B119+1)</f>
        <v/>
      </c>
      <c r="BI119" s="56">
        <f>$C119*INDEX(Curves!$P$8:$P$68,BI$4-$B119+1)</f>
        <v/>
      </c>
      <c r="BJ119" s="56">
        <f>$C119*INDEX(Curves!$P$8:$P$68,BJ$4-$B119+1)</f>
        <v/>
      </c>
      <c r="BK119" s="56">
        <f>$C119*INDEX(Curves!$P$8:$P$68,BK$4-$B119+1)</f>
        <v/>
      </c>
      <c r="BL119" s="56">
        <f>$C119*INDEX(Curves!$P$8:$P$68,BL$4-$B119+1)</f>
        <v/>
      </c>
    </row>
    <row r="120">
      <c r="A120" s="55" t="inlineStr">
        <is>
          <t>Cohort month 48</t>
        </is>
      </c>
      <c r="B120" s="55" t="n">
        <v>48</v>
      </c>
      <c r="C120" s="46">
        <f>INDEX(Ops!$E$24:$BL$24,1,$B120)</f>
        <v/>
      </c>
      <c r="BA120" s="56">
        <f>$C120*INDEX(Curves!$P$8:$P$68,BA$4-$B120+1)</f>
        <v/>
      </c>
      <c r="BB120" s="56">
        <f>$C120*INDEX(Curves!$P$8:$P$68,BB$4-$B120+1)</f>
        <v/>
      </c>
      <c r="BC120" s="56">
        <f>$C120*INDEX(Curves!$P$8:$P$68,BC$4-$B120+1)</f>
        <v/>
      </c>
      <c r="BD120" s="56">
        <f>$C120*INDEX(Curves!$P$8:$P$68,BD$4-$B120+1)</f>
        <v/>
      </c>
      <c r="BE120" s="56">
        <f>$C120*INDEX(Curves!$P$8:$P$68,BE$4-$B120+1)</f>
        <v/>
      </c>
      <c r="BF120" s="56">
        <f>$C120*INDEX(Curves!$P$8:$P$68,BF$4-$B120+1)</f>
        <v/>
      </c>
      <c r="BG120" s="56">
        <f>$C120*INDEX(Curves!$P$8:$P$68,BG$4-$B120+1)</f>
        <v/>
      </c>
      <c r="BH120" s="56">
        <f>$C120*INDEX(Curves!$P$8:$P$68,BH$4-$B120+1)</f>
        <v/>
      </c>
      <c r="BI120" s="56">
        <f>$C120*INDEX(Curves!$P$8:$P$68,BI$4-$B120+1)</f>
        <v/>
      </c>
      <c r="BJ120" s="56">
        <f>$C120*INDEX(Curves!$P$8:$P$68,BJ$4-$B120+1)</f>
        <v/>
      </c>
      <c r="BK120" s="56">
        <f>$C120*INDEX(Curves!$P$8:$P$68,BK$4-$B120+1)</f>
        <v/>
      </c>
      <c r="BL120" s="56">
        <f>$C120*INDEX(Curves!$P$8:$P$68,BL$4-$B120+1)</f>
        <v/>
      </c>
    </row>
    <row r="121">
      <c r="A121" s="55" t="inlineStr">
        <is>
          <t>Cohort month 49</t>
        </is>
      </c>
      <c r="B121" s="55" t="n">
        <v>49</v>
      </c>
      <c r="C121" s="46">
        <f>INDEX(Ops!$E$24:$BL$24,1,$B121)</f>
        <v/>
      </c>
      <c r="BB121" s="56">
        <f>$C121*INDEX(Curves!$P$8:$P$68,BB$4-$B121+1)</f>
        <v/>
      </c>
      <c r="BC121" s="56">
        <f>$C121*INDEX(Curves!$P$8:$P$68,BC$4-$B121+1)</f>
        <v/>
      </c>
      <c r="BD121" s="56">
        <f>$C121*INDEX(Curves!$P$8:$P$68,BD$4-$B121+1)</f>
        <v/>
      </c>
      <c r="BE121" s="56">
        <f>$C121*INDEX(Curves!$P$8:$P$68,BE$4-$B121+1)</f>
        <v/>
      </c>
      <c r="BF121" s="56">
        <f>$C121*INDEX(Curves!$P$8:$P$68,BF$4-$B121+1)</f>
        <v/>
      </c>
      <c r="BG121" s="56">
        <f>$C121*INDEX(Curves!$P$8:$P$68,BG$4-$B121+1)</f>
        <v/>
      </c>
      <c r="BH121" s="56">
        <f>$C121*INDEX(Curves!$P$8:$P$68,BH$4-$B121+1)</f>
        <v/>
      </c>
      <c r="BI121" s="56">
        <f>$C121*INDEX(Curves!$P$8:$P$68,BI$4-$B121+1)</f>
        <v/>
      </c>
      <c r="BJ121" s="56">
        <f>$C121*INDEX(Curves!$P$8:$P$68,BJ$4-$B121+1)</f>
        <v/>
      </c>
      <c r="BK121" s="56">
        <f>$C121*INDEX(Curves!$P$8:$P$68,BK$4-$B121+1)</f>
        <v/>
      </c>
      <c r="BL121" s="56">
        <f>$C121*INDEX(Curves!$P$8:$P$68,BL$4-$B121+1)</f>
        <v/>
      </c>
    </row>
    <row r="122">
      <c r="A122" s="55" t="inlineStr">
        <is>
          <t>Cohort month 50</t>
        </is>
      </c>
      <c r="B122" s="55" t="n">
        <v>50</v>
      </c>
      <c r="C122" s="46">
        <f>INDEX(Ops!$E$24:$BL$24,1,$B122)</f>
        <v/>
      </c>
      <c r="BC122" s="56">
        <f>$C122*INDEX(Curves!$P$8:$P$68,BC$4-$B122+1)</f>
        <v/>
      </c>
      <c r="BD122" s="56">
        <f>$C122*INDEX(Curves!$P$8:$P$68,BD$4-$B122+1)</f>
        <v/>
      </c>
      <c r="BE122" s="56">
        <f>$C122*INDEX(Curves!$P$8:$P$68,BE$4-$B122+1)</f>
        <v/>
      </c>
      <c r="BF122" s="56">
        <f>$C122*INDEX(Curves!$P$8:$P$68,BF$4-$B122+1)</f>
        <v/>
      </c>
      <c r="BG122" s="56">
        <f>$C122*INDEX(Curves!$P$8:$P$68,BG$4-$B122+1)</f>
        <v/>
      </c>
      <c r="BH122" s="56">
        <f>$C122*INDEX(Curves!$P$8:$P$68,BH$4-$B122+1)</f>
        <v/>
      </c>
      <c r="BI122" s="56">
        <f>$C122*INDEX(Curves!$P$8:$P$68,BI$4-$B122+1)</f>
        <v/>
      </c>
      <c r="BJ122" s="56">
        <f>$C122*INDEX(Curves!$P$8:$P$68,BJ$4-$B122+1)</f>
        <v/>
      </c>
      <c r="BK122" s="56">
        <f>$C122*INDEX(Curves!$P$8:$P$68,BK$4-$B122+1)</f>
        <v/>
      </c>
      <c r="BL122" s="56">
        <f>$C122*INDEX(Curves!$P$8:$P$68,BL$4-$B122+1)</f>
        <v/>
      </c>
    </row>
    <row r="123">
      <c r="A123" s="55" t="inlineStr">
        <is>
          <t>Cohort month 51</t>
        </is>
      </c>
      <c r="B123" s="55" t="n">
        <v>51</v>
      </c>
      <c r="C123" s="46">
        <f>INDEX(Ops!$E$24:$BL$24,1,$B123)</f>
        <v/>
      </c>
      <c r="BD123" s="56">
        <f>$C123*INDEX(Curves!$P$8:$P$68,BD$4-$B123+1)</f>
        <v/>
      </c>
      <c r="BE123" s="56">
        <f>$C123*INDEX(Curves!$P$8:$P$68,BE$4-$B123+1)</f>
        <v/>
      </c>
      <c r="BF123" s="56">
        <f>$C123*INDEX(Curves!$P$8:$P$68,BF$4-$B123+1)</f>
        <v/>
      </c>
      <c r="BG123" s="56">
        <f>$C123*INDEX(Curves!$P$8:$P$68,BG$4-$B123+1)</f>
        <v/>
      </c>
      <c r="BH123" s="56">
        <f>$C123*INDEX(Curves!$P$8:$P$68,BH$4-$B123+1)</f>
        <v/>
      </c>
      <c r="BI123" s="56">
        <f>$C123*INDEX(Curves!$P$8:$P$68,BI$4-$B123+1)</f>
        <v/>
      </c>
      <c r="BJ123" s="56">
        <f>$C123*INDEX(Curves!$P$8:$P$68,BJ$4-$B123+1)</f>
        <v/>
      </c>
      <c r="BK123" s="56">
        <f>$C123*INDEX(Curves!$P$8:$P$68,BK$4-$B123+1)</f>
        <v/>
      </c>
      <c r="BL123" s="56">
        <f>$C123*INDEX(Curves!$P$8:$P$68,BL$4-$B123+1)</f>
        <v/>
      </c>
    </row>
    <row r="124">
      <c r="A124" s="55" t="inlineStr">
        <is>
          <t>Cohort month 52</t>
        </is>
      </c>
      <c r="B124" s="55" t="n">
        <v>52</v>
      </c>
      <c r="C124" s="46">
        <f>INDEX(Ops!$E$24:$BL$24,1,$B124)</f>
        <v/>
      </c>
      <c r="BE124" s="56">
        <f>$C124*INDEX(Curves!$P$8:$P$68,BE$4-$B124+1)</f>
        <v/>
      </c>
      <c r="BF124" s="56">
        <f>$C124*INDEX(Curves!$P$8:$P$68,BF$4-$B124+1)</f>
        <v/>
      </c>
      <c r="BG124" s="56">
        <f>$C124*INDEX(Curves!$P$8:$P$68,BG$4-$B124+1)</f>
        <v/>
      </c>
      <c r="BH124" s="56">
        <f>$C124*INDEX(Curves!$P$8:$P$68,BH$4-$B124+1)</f>
        <v/>
      </c>
      <c r="BI124" s="56">
        <f>$C124*INDEX(Curves!$P$8:$P$68,BI$4-$B124+1)</f>
        <v/>
      </c>
      <c r="BJ124" s="56">
        <f>$C124*INDEX(Curves!$P$8:$P$68,BJ$4-$B124+1)</f>
        <v/>
      </c>
      <c r="BK124" s="56">
        <f>$C124*INDEX(Curves!$P$8:$P$68,BK$4-$B124+1)</f>
        <v/>
      </c>
      <c r="BL124" s="56">
        <f>$C124*INDEX(Curves!$P$8:$P$68,BL$4-$B124+1)</f>
        <v/>
      </c>
    </row>
    <row r="125">
      <c r="A125" s="55" t="inlineStr">
        <is>
          <t>Cohort month 53</t>
        </is>
      </c>
      <c r="B125" s="55" t="n">
        <v>53</v>
      </c>
      <c r="C125" s="46">
        <f>INDEX(Ops!$E$24:$BL$24,1,$B125)</f>
        <v/>
      </c>
      <c r="BF125" s="56">
        <f>$C125*INDEX(Curves!$P$8:$P$68,BF$4-$B125+1)</f>
        <v/>
      </c>
      <c r="BG125" s="56">
        <f>$C125*INDEX(Curves!$P$8:$P$68,BG$4-$B125+1)</f>
        <v/>
      </c>
      <c r="BH125" s="56">
        <f>$C125*INDEX(Curves!$P$8:$P$68,BH$4-$B125+1)</f>
        <v/>
      </c>
      <c r="BI125" s="56">
        <f>$C125*INDEX(Curves!$P$8:$P$68,BI$4-$B125+1)</f>
        <v/>
      </c>
      <c r="BJ125" s="56">
        <f>$C125*INDEX(Curves!$P$8:$P$68,BJ$4-$B125+1)</f>
        <v/>
      </c>
      <c r="BK125" s="56">
        <f>$C125*INDEX(Curves!$P$8:$P$68,BK$4-$B125+1)</f>
        <v/>
      </c>
      <c r="BL125" s="56">
        <f>$C125*INDEX(Curves!$P$8:$P$68,BL$4-$B125+1)</f>
        <v/>
      </c>
    </row>
    <row r="126">
      <c r="A126" s="55" t="inlineStr">
        <is>
          <t>Cohort month 54</t>
        </is>
      </c>
      <c r="B126" s="55" t="n">
        <v>54</v>
      </c>
      <c r="C126" s="46">
        <f>INDEX(Ops!$E$24:$BL$24,1,$B126)</f>
        <v/>
      </c>
      <c r="BG126" s="56">
        <f>$C126*INDEX(Curves!$P$8:$P$68,BG$4-$B126+1)</f>
        <v/>
      </c>
      <c r="BH126" s="56">
        <f>$C126*INDEX(Curves!$P$8:$P$68,BH$4-$B126+1)</f>
        <v/>
      </c>
      <c r="BI126" s="56">
        <f>$C126*INDEX(Curves!$P$8:$P$68,BI$4-$B126+1)</f>
        <v/>
      </c>
      <c r="BJ126" s="56">
        <f>$C126*INDEX(Curves!$P$8:$P$68,BJ$4-$B126+1)</f>
        <v/>
      </c>
      <c r="BK126" s="56">
        <f>$C126*INDEX(Curves!$P$8:$P$68,BK$4-$B126+1)</f>
        <v/>
      </c>
      <c r="BL126" s="56">
        <f>$C126*INDEX(Curves!$P$8:$P$68,BL$4-$B126+1)</f>
        <v/>
      </c>
    </row>
    <row r="127">
      <c r="A127" s="55" t="inlineStr">
        <is>
          <t>Cohort month 55</t>
        </is>
      </c>
      <c r="B127" s="55" t="n">
        <v>55</v>
      </c>
      <c r="C127" s="46">
        <f>INDEX(Ops!$E$24:$BL$24,1,$B127)</f>
        <v/>
      </c>
      <c r="BH127" s="56">
        <f>$C127*INDEX(Curves!$P$8:$P$68,BH$4-$B127+1)</f>
        <v/>
      </c>
      <c r="BI127" s="56">
        <f>$C127*INDEX(Curves!$P$8:$P$68,BI$4-$B127+1)</f>
        <v/>
      </c>
      <c r="BJ127" s="56">
        <f>$C127*INDEX(Curves!$P$8:$P$68,BJ$4-$B127+1)</f>
        <v/>
      </c>
      <c r="BK127" s="56">
        <f>$C127*INDEX(Curves!$P$8:$P$68,BK$4-$B127+1)</f>
        <v/>
      </c>
      <c r="BL127" s="56">
        <f>$C127*INDEX(Curves!$P$8:$P$68,BL$4-$B127+1)</f>
        <v/>
      </c>
    </row>
    <row r="128">
      <c r="A128" s="55" t="inlineStr">
        <is>
          <t>Cohort month 56</t>
        </is>
      </c>
      <c r="B128" s="55" t="n">
        <v>56</v>
      </c>
      <c r="C128" s="46">
        <f>INDEX(Ops!$E$24:$BL$24,1,$B128)</f>
        <v/>
      </c>
      <c r="BI128" s="56">
        <f>$C128*INDEX(Curves!$P$8:$P$68,BI$4-$B128+1)</f>
        <v/>
      </c>
      <c r="BJ128" s="56">
        <f>$C128*INDEX(Curves!$P$8:$P$68,BJ$4-$B128+1)</f>
        <v/>
      </c>
      <c r="BK128" s="56">
        <f>$C128*INDEX(Curves!$P$8:$P$68,BK$4-$B128+1)</f>
        <v/>
      </c>
      <c r="BL128" s="56">
        <f>$C128*INDEX(Curves!$P$8:$P$68,BL$4-$B128+1)</f>
        <v/>
      </c>
    </row>
    <row r="129">
      <c r="A129" s="55" t="inlineStr">
        <is>
          <t>Cohort month 57</t>
        </is>
      </c>
      <c r="B129" s="55" t="n">
        <v>57</v>
      </c>
      <c r="C129" s="46">
        <f>INDEX(Ops!$E$24:$BL$24,1,$B129)</f>
        <v/>
      </c>
      <c r="BJ129" s="56">
        <f>$C129*INDEX(Curves!$P$8:$P$68,BJ$4-$B129+1)</f>
        <v/>
      </c>
      <c r="BK129" s="56">
        <f>$C129*INDEX(Curves!$P$8:$P$68,BK$4-$B129+1)</f>
        <v/>
      </c>
      <c r="BL129" s="56">
        <f>$C129*INDEX(Curves!$P$8:$P$68,BL$4-$B129+1)</f>
        <v/>
      </c>
    </row>
    <row r="130">
      <c r="A130" s="55" t="inlineStr">
        <is>
          <t>Cohort month 58</t>
        </is>
      </c>
      <c r="B130" s="55" t="n">
        <v>58</v>
      </c>
      <c r="C130" s="46">
        <f>INDEX(Ops!$E$24:$BL$24,1,$B130)</f>
        <v/>
      </c>
      <c r="BK130" s="56">
        <f>$C130*INDEX(Curves!$P$8:$P$68,BK$4-$B130+1)</f>
        <v/>
      </c>
      <c r="BL130" s="56">
        <f>$C130*INDEX(Curves!$P$8:$P$68,BL$4-$B130+1)</f>
        <v/>
      </c>
    </row>
    <row r="131">
      <c r="A131" s="55" t="inlineStr">
        <is>
          <t>Cohort month 59</t>
        </is>
      </c>
      <c r="B131" s="55" t="n">
        <v>59</v>
      </c>
      <c r="C131" s="46">
        <f>INDEX(Ops!$E$24:$BL$24,1,$B131)</f>
        <v/>
      </c>
      <c r="BL131" s="56">
        <f>$C131*INDEX(Curves!$P$8:$P$68,BL$4-$B131+1)</f>
        <v/>
      </c>
    </row>
    <row r="132">
      <c r="A132" s="55" t="inlineStr">
        <is>
          <t>Cohort month 60</t>
        </is>
      </c>
      <c r="B132" s="55" t="n">
        <v>60</v>
      </c>
      <c r="C132" s="46">
        <f>INDEX(Ops!$E$24:$BL$24,1,$B132)</f>
        <v/>
      </c>
    </row>
    <row r="133"/>
    <row r="134">
      <c r="A134" s="11" t="inlineStr">
        <is>
          <t>Receivables at risk by cohort (LCY)</t>
        </is>
      </c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  <c r="BJ134" s="12" t="n"/>
      <c r="BK134" s="12" t="n"/>
      <c r="BL134" s="12" t="n"/>
    </row>
    <row r="135">
      <c r="A135" s="47" t="inlineStr">
        <is>
          <t>Total</t>
        </is>
      </c>
      <c r="B135" s="48" t="inlineStr"/>
      <c r="C135" s="50" t="n"/>
      <c r="D135" s="50" t="n"/>
      <c r="E135" s="51">
        <f>SUM(E136:E195)</f>
        <v/>
      </c>
      <c r="F135" s="51">
        <f>SUM(F136:F195)</f>
        <v/>
      </c>
      <c r="G135" s="51">
        <f>SUM(G136:G195)</f>
        <v/>
      </c>
      <c r="H135" s="51">
        <f>SUM(H136:H195)</f>
        <v/>
      </c>
      <c r="I135" s="51">
        <f>SUM(I136:I195)</f>
        <v/>
      </c>
      <c r="J135" s="51">
        <f>SUM(J136:J195)</f>
        <v/>
      </c>
      <c r="K135" s="51">
        <f>SUM(K136:K195)</f>
        <v/>
      </c>
      <c r="L135" s="51">
        <f>SUM(L136:L195)</f>
        <v/>
      </c>
      <c r="M135" s="51">
        <f>SUM(M136:M195)</f>
        <v/>
      </c>
      <c r="N135" s="51">
        <f>SUM(N136:N195)</f>
        <v/>
      </c>
      <c r="O135" s="51">
        <f>SUM(O136:O195)</f>
        <v/>
      </c>
      <c r="P135" s="51">
        <f>SUM(P136:P195)</f>
        <v/>
      </c>
      <c r="Q135" s="51">
        <f>SUM(Q136:Q195)</f>
        <v/>
      </c>
      <c r="R135" s="51">
        <f>SUM(R136:R195)</f>
        <v/>
      </c>
      <c r="S135" s="51">
        <f>SUM(S136:S195)</f>
        <v/>
      </c>
      <c r="T135" s="51">
        <f>SUM(T136:T195)</f>
        <v/>
      </c>
      <c r="U135" s="51">
        <f>SUM(U136:U195)</f>
        <v/>
      </c>
      <c r="V135" s="51">
        <f>SUM(V136:V195)</f>
        <v/>
      </c>
      <c r="W135" s="51">
        <f>SUM(W136:W195)</f>
        <v/>
      </c>
      <c r="X135" s="51">
        <f>SUM(X136:X195)</f>
        <v/>
      </c>
      <c r="Y135" s="51">
        <f>SUM(Y136:Y195)</f>
        <v/>
      </c>
      <c r="Z135" s="51">
        <f>SUM(Z136:Z195)</f>
        <v/>
      </c>
      <c r="AA135" s="51">
        <f>SUM(AA136:AA195)</f>
        <v/>
      </c>
      <c r="AB135" s="51">
        <f>SUM(AB136:AB195)</f>
        <v/>
      </c>
      <c r="AC135" s="51">
        <f>SUM(AC136:AC195)</f>
        <v/>
      </c>
      <c r="AD135" s="51">
        <f>SUM(AD136:AD195)</f>
        <v/>
      </c>
      <c r="AE135" s="51">
        <f>SUM(AE136:AE195)</f>
        <v/>
      </c>
      <c r="AF135" s="51">
        <f>SUM(AF136:AF195)</f>
        <v/>
      </c>
      <c r="AG135" s="51">
        <f>SUM(AG136:AG195)</f>
        <v/>
      </c>
      <c r="AH135" s="51">
        <f>SUM(AH136:AH195)</f>
        <v/>
      </c>
      <c r="AI135" s="51">
        <f>SUM(AI136:AI195)</f>
        <v/>
      </c>
      <c r="AJ135" s="51">
        <f>SUM(AJ136:AJ195)</f>
        <v/>
      </c>
      <c r="AK135" s="51">
        <f>SUM(AK136:AK195)</f>
        <v/>
      </c>
      <c r="AL135" s="51">
        <f>SUM(AL136:AL195)</f>
        <v/>
      </c>
      <c r="AM135" s="51">
        <f>SUM(AM136:AM195)</f>
        <v/>
      </c>
      <c r="AN135" s="51">
        <f>SUM(AN136:AN195)</f>
        <v/>
      </c>
      <c r="AO135" s="51">
        <f>SUM(AO136:AO195)</f>
        <v/>
      </c>
      <c r="AP135" s="51">
        <f>SUM(AP136:AP195)</f>
        <v/>
      </c>
      <c r="AQ135" s="51">
        <f>SUM(AQ136:AQ195)</f>
        <v/>
      </c>
      <c r="AR135" s="51">
        <f>SUM(AR136:AR195)</f>
        <v/>
      </c>
      <c r="AS135" s="51">
        <f>SUM(AS136:AS195)</f>
        <v/>
      </c>
      <c r="AT135" s="51">
        <f>SUM(AT136:AT195)</f>
        <v/>
      </c>
      <c r="AU135" s="51">
        <f>SUM(AU136:AU195)</f>
        <v/>
      </c>
      <c r="AV135" s="51">
        <f>SUM(AV136:AV195)</f>
        <v/>
      </c>
      <c r="AW135" s="51">
        <f>SUM(AW136:AW195)</f>
        <v/>
      </c>
      <c r="AX135" s="51">
        <f>SUM(AX136:AX195)</f>
        <v/>
      </c>
      <c r="AY135" s="51">
        <f>SUM(AY136:AY195)</f>
        <v/>
      </c>
      <c r="AZ135" s="51">
        <f>SUM(AZ136:AZ195)</f>
        <v/>
      </c>
      <c r="BA135" s="51">
        <f>SUM(BA136:BA195)</f>
        <v/>
      </c>
      <c r="BB135" s="51">
        <f>SUM(BB136:BB195)</f>
        <v/>
      </c>
      <c r="BC135" s="51">
        <f>SUM(BC136:BC195)</f>
        <v/>
      </c>
      <c r="BD135" s="51">
        <f>SUM(BD136:BD195)</f>
        <v/>
      </c>
      <c r="BE135" s="51">
        <f>SUM(BE136:BE195)</f>
        <v/>
      </c>
      <c r="BF135" s="51">
        <f>SUM(BF136:BF195)</f>
        <v/>
      </c>
      <c r="BG135" s="51">
        <f>SUM(BG136:BG195)</f>
        <v/>
      </c>
      <c r="BH135" s="51">
        <f>SUM(BH136:BH195)</f>
        <v/>
      </c>
      <c r="BI135" s="51">
        <f>SUM(BI136:BI195)</f>
        <v/>
      </c>
      <c r="BJ135" s="51">
        <f>SUM(BJ136:BJ195)</f>
        <v/>
      </c>
      <c r="BK135" s="51">
        <f>SUM(BK136:BK195)</f>
        <v/>
      </c>
      <c r="BL135" s="51">
        <f>SUM(BL136:BL195)</f>
        <v/>
      </c>
    </row>
    <row r="136">
      <c r="A136" s="55" t="inlineStr">
        <is>
          <t>Cohort month 1</t>
        </is>
      </c>
      <c r="B136" s="55" t="n">
        <v>1</v>
      </c>
      <c r="C136" s="46">
        <f>INDEX(Ops!$E$25:$BL$25,1,$B136)</f>
        <v/>
      </c>
      <c r="F136" s="56">
        <f>$C136*INDEX(Curves!$O$8:$O$68,F$4-$B136+1)</f>
        <v/>
      </c>
      <c r="G136" s="56">
        <f>$C136*INDEX(Curves!$O$8:$O$68,G$4-$B136+1)</f>
        <v/>
      </c>
      <c r="H136" s="56">
        <f>$C136*INDEX(Curves!$O$8:$O$68,H$4-$B136+1)</f>
        <v/>
      </c>
      <c r="I136" s="56">
        <f>$C136*INDEX(Curves!$O$8:$O$68,I$4-$B136+1)</f>
        <v/>
      </c>
      <c r="J136" s="56">
        <f>$C136*INDEX(Curves!$O$8:$O$68,J$4-$B136+1)</f>
        <v/>
      </c>
      <c r="K136" s="56">
        <f>$C136*INDEX(Curves!$O$8:$O$68,K$4-$B136+1)</f>
        <v/>
      </c>
      <c r="L136" s="56">
        <f>$C136*INDEX(Curves!$O$8:$O$68,L$4-$B136+1)</f>
        <v/>
      </c>
      <c r="M136" s="56">
        <f>$C136*INDEX(Curves!$O$8:$O$68,M$4-$B136+1)</f>
        <v/>
      </c>
      <c r="N136" s="56">
        <f>$C136*INDEX(Curves!$O$8:$O$68,N$4-$B136+1)</f>
        <v/>
      </c>
      <c r="O136" s="56">
        <f>$C136*INDEX(Curves!$O$8:$O$68,O$4-$B136+1)</f>
        <v/>
      </c>
      <c r="P136" s="56">
        <f>$C136*INDEX(Curves!$O$8:$O$68,P$4-$B136+1)</f>
        <v/>
      </c>
      <c r="Q136" s="56">
        <f>$C136*INDEX(Curves!$O$8:$O$68,Q$4-$B136+1)</f>
        <v/>
      </c>
      <c r="R136" s="56">
        <f>$C136*INDEX(Curves!$O$8:$O$68,R$4-$B136+1)</f>
        <v/>
      </c>
      <c r="S136" s="56">
        <f>$C136*INDEX(Curves!$O$8:$O$68,S$4-$B136+1)</f>
        <v/>
      </c>
      <c r="T136" s="56">
        <f>$C136*INDEX(Curves!$O$8:$O$68,T$4-$B136+1)</f>
        <v/>
      </c>
      <c r="U136" s="56">
        <f>$C136*INDEX(Curves!$O$8:$O$68,U$4-$B136+1)</f>
        <v/>
      </c>
      <c r="V136" s="56">
        <f>$C136*INDEX(Curves!$O$8:$O$68,V$4-$B136+1)</f>
        <v/>
      </c>
      <c r="W136" s="56">
        <f>$C136*INDEX(Curves!$O$8:$O$68,W$4-$B136+1)</f>
        <v/>
      </c>
      <c r="X136" s="56">
        <f>$C136*INDEX(Curves!$O$8:$O$68,X$4-$B136+1)</f>
        <v/>
      </c>
      <c r="Y136" s="56">
        <f>$C136*INDEX(Curves!$O$8:$O$68,Y$4-$B136+1)</f>
        <v/>
      </c>
      <c r="Z136" s="56">
        <f>$C136*INDEX(Curves!$O$8:$O$68,Z$4-$B136+1)</f>
        <v/>
      </c>
      <c r="AA136" s="56">
        <f>$C136*INDEX(Curves!$O$8:$O$68,AA$4-$B136+1)</f>
        <v/>
      </c>
      <c r="AB136" s="56">
        <f>$C136*INDEX(Curves!$O$8:$O$68,AB$4-$B136+1)</f>
        <v/>
      </c>
      <c r="AC136" s="56">
        <f>$C136*INDEX(Curves!$O$8:$O$68,AC$4-$B136+1)</f>
        <v/>
      </c>
      <c r="AD136" s="56">
        <f>$C136*INDEX(Curves!$O$8:$O$68,AD$4-$B136+1)</f>
        <v/>
      </c>
      <c r="AE136" s="56">
        <f>$C136*INDEX(Curves!$O$8:$O$68,AE$4-$B136+1)</f>
        <v/>
      </c>
      <c r="AF136" s="56">
        <f>$C136*INDEX(Curves!$O$8:$O$68,AF$4-$B136+1)</f>
        <v/>
      </c>
      <c r="AG136" s="56">
        <f>$C136*INDEX(Curves!$O$8:$O$68,AG$4-$B136+1)</f>
        <v/>
      </c>
      <c r="AH136" s="56">
        <f>$C136*INDEX(Curves!$O$8:$O$68,AH$4-$B136+1)</f>
        <v/>
      </c>
      <c r="AI136" s="56">
        <f>$C136*INDEX(Curves!$O$8:$O$68,AI$4-$B136+1)</f>
        <v/>
      </c>
      <c r="AJ136" s="56">
        <f>$C136*INDEX(Curves!$O$8:$O$68,AJ$4-$B136+1)</f>
        <v/>
      </c>
      <c r="AK136" s="56">
        <f>$C136*INDEX(Curves!$O$8:$O$68,AK$4-$B136+1)</f>
        <v/>
      </c>
      <c r="AL136" s="56">
        <f>$C136*INDEX(Curves!$O$8:$O$68,AL$4-$B136+1)</f>
        <v/>
      </c>
      <c r="AM136" s="56">
        <f>$C136*INDEX(Curves!$O$8:$O$68,AM$4-$B136+1)</f>
        <v/>
      </c>
      <c r="AN136" s="56">
        <f>$C136*INDEX(Curves!$O$8:$O$68,AN$4-$B136+1)</f>
        <v/>
      </c>
      <c r="AO136" s="56">
        <f>$C136*INDEX(Curves!$O$8:$O$68,AO$4-$B136+1)</f>
        <v/>
      </c>
      <c r="AP136" s="56">
        <f>$C136*INDEX(Curves!$O$8:$O$68,AP$4-$B136+1)</f>
        <v/>
      </c>
      <c r="AQ136" s="56">
        <f>$C136*INDEX(Curves!$O$8:$O$68,AQ$4-$B136+1)</f>
        <v/>
      </c>
      <c r="AR136" s="56">
        <f>$C136*INDEX(Curves!$O$8:$O$68,AR$4-$B136+1)</f>
        <v/>
      </c>
      <c r="AS136" s="56">
        <f>$C136*INDEX(Curves!$O$8:$O$68,AS$4-$B136+1)</f>
        <v/>
      </c>
      <c r="AT136" s="56">
        <f>$C136*INDEX(Curves!$O$8:$O$68,AT$4-$B136+1)</f>
        <v/>
      </c>
      <c r="AU136" s="56">
        <f>$C136*INDEX(Curves!$O$8:$O$68,AU$4-$B136+1)</f>
        <v/>
      </c>
      <c r="AV136" s="56">
        <f>$C136*INDEX(Curves!$O$8:$O$68,AV$4-$B136+1)</f>
        <v/>
      </c>
      <c r="AW136" s="56">
        <f>$C136*INDEX(Curves!$O$8:$O$68,AW$4-$B136+1)</f>
        <v/>
      </c>
      <c r="AX136" s="56">
        <f>$C136*INDEX(Curves!$O$8:$O$68,AX$4-$B136+1)</f>
        <v/>
      </c>
      <c r="AY136" s="56">
        <f>$C136*INDEX(Curves!$O$8:$O$68,AY$4-$B136+1)</f>
        <v/>
      </c>
      <c r="AZ136" s="56">
        <f>$C136*INDEX(Curves!$O$8:$O$68,AZ$4-$B136+1)</f>
        <v/>
      </c>
      <c r="BA136" s="56">
        <f>$C136*INDEX(Curves!$O$8:$O$68,BA$4-$B136+1)</f>
        <v/>
      </c>
      <c r="BB136" s="56">
        <f>$C136*INDEX(Curves!$O$8:$O$68,BB$4-$B136+1)</f>
        <v/>
      </c>
      <c r="BC136" s="56">
        <f>$C136*INDEX(Curves!$O$8:$O$68,BC$4-$B136+1)</f>
        <v/>
      </c>
      <c r="BD136" s="56">
        <f>$C136*INDEX(Curves!$O$8:$O$68,BD$4-$B136+1)</f>
        <v/>
      </c>
      <c r="BE136" s="56">
        <f>$C136*INDEX(Curves!$O$8:$O$68,BE$4-$B136+1)</f>
        <v/>
      </c>
      <c r="BF136" s="56">
        <f>$C136*INDEX(Curves!$O$8:$O$68,BF$4-$B136+1)</f>
        <v/>
      </c>
      <c r="BG136" s="56">
        <f>$C136*INDEX(Curves!$O$8:$O$68,BG$4-$B136+1)</f>
        <v/>
      </c>
      <c r="BH136" s="56">
        <f>$C136*INDEX(Curves!$O$8:$O$68,BH$4-$B136+1)</f>
        <v/>
      </c>
      <c r="BI136" s="56">
        <f>$C136*INDEX(Curves!$O$8:$O$68,BI$4-$B136+1)</f>
        <v/>
      </c>
      <c r="BJ136" s="56">
        <f>$C136*INDEX(Curves!$O$8:$O$68,BJ$4-$B136+1)</f>
        <v/>
      </c>
      <c r="BK136" s="56">
        <f>$C136*INDEX(Curves!$O$8:$O$68,BK$4-$B136+1)</f>
        <v/>
      </c>
      <c r="BL136" s="56">
        <f>$C136*INDEX(Curves!$O$8:$O$68,BL$4-$B136+1)</f>
        <v/>
      </c>
    </row>
    <row r="137">
      <c r="A137" s="55" t="inlineStr">
        <is>
          <t>Cohort month 2</t>
        </is>
      </c>
      <c r="B137" s="55" t="n">
        <v>2</v>
      </c>
      <c r="C137" s="46">
        <f>INDEX(Ops!$E$25:$BL$25,1,$B137)</f>
        <v/>
      </c>
      <c r="G137" s="56">
        <f>$C137*INDEX(Curves!$O$8:$O$68,G$4-$B137+1)</f>
        <v/>
      </c>
      <c r="H137" s="56">
        <f>$C137*INDEX(Curves!$O$8:$O$68,H$4-$B137+1)</f>
        <v/>
      </c>
      <c r="I137" s="56">
        <f>$C137*INDEX(Curves!$O$8:$O$68,I$4-$B137+1)</f>
        <v/>
      </c>
      <c r="J137" s="56">
        <f>$C137*INDEX(Curves!$O$8:$O$68,J$4-$B137+1)</f>
        <v/>
      </c>
      <c r="K137" s="56">
        <f>$C137*INDEX(Curves!$O$8:$O$68,K$4-$B137+1)</f>
        <v/>
      </c>
      <c r="L137" s="56">
        <f>$C137*INDEX(Curves!$O$8:$O$68,L$4-$B137+1)</f>
        <v/>
      </c>
      <c r="M137" s="56">
        <f>$C137*INDEX(Curves!$O$8:$O$68,M$4-$B137+1)</f>
        <v/>
      </c>
      <c r="N137" s="56">
        <f>$C137*INDEX(Curves!$O$8:$O$68,N$4-$B137+1)</f>
        <v/>
      </c>
      <c r="O137" s="56">
        <f>$C137*INDEX(Curves!$O$8:$O$68,O$4-$B137+1)</f>
        <v/>
      </c>
      <c r="P137" s="56">
        <f>$C137*INDEX(Curves!$O$8:$O$68,P$4-$B137+1)</f>
        <v/>
      </c>
      <c r="Q137" s="56">
        <f>$C137*INDEX(Curves!$O$8:$O$68,Q$4-$B137+1)</f>
        <v/>
      </c>
      <c r="R137" s="56">
        <f>$C137*INDEX(Curves!$O$8:$O$68,R$4-$B137+1)</f>
        <v/>
      </c>
      <c r="S137" s="56">
        <f>$C137*INDEX(Curves!$O$8:$O$68,S$4-$B137+1)</f>
        <v/>
      </c>
      <c r="T137" s="56">
        <f>$C137*INDEX(Curves!$O$8:$O$68,T$4-$B137+1)</f>
        <v/>
      </c>
      <c r="U137" s="56">
        <f>$C137*INDEX(Curves!$O$8:$O$68,U$4-$B137+1)</f>
        <v/>
      </c>
      <c r="V137" s="56">
        <f>$C137*INDEX(Curves!$O$8:$O$68,V$4-$B137+1)</f>
        <v/>
      </c>
      <c r="W137" s="56">
        <f>$C137*INDEX(Curves!$O$8:$O$68,W$4-$B137+1)</f>
        <v/>
      </c>
      <c r="X137" s="56">
        <f>$C137*INDEX(Curves!$O$8:$O$68,X$4-$B137+1)</f>
        <v/>
      </c>
      <c r="Y137" s="56">
        <f>$C137*INDEX(Curves!$O$8:$O$68,Y$4-$B137+1)</f>
        <v/>
      </c>
      <c r="Z137" s="56">
        <f>$C137*INDEX(Curves!$O$8:$O$68,Z$4-$B137+1)</f>
        <v/>
      </c>
      <c r="AA137" s="56">
        <f>$C137*INDEX(Curves!$O$8:$O$68,AA$4-$B137+1)</f>
        <v/>
      </c>
      <c r="AB137" s="56">
        <f>$C137*INDEX(Curves!$O$8:$O$68,AB$4-$B137+1)</f>
        <v/>
      </c>
      <c r="AC137" s="56">
        <f>$C137*INDEX(Curves!$O$8:$O$68,AC$4-$B137+1)</f>
        <v/>
      </c>
      <c r="AD137" s="56">
        <f>$C137*INDEX(Curves!$O$8:$O$68,AD$4-$B137+1)</f>
        <v/>
      </c>
      <c r="AE137" s="56">
        <f>$C137*INDEX(Curves!$O$8:$O$68,AE$4-$B137+1)</f>
        <v/>
      </c>
      <c r="AF137" s="56">
        <f>$C137*INDEX(Curves!$O$8:$O$68,AF$4-$B137+1)</f>
        <v/>
      </c>
      <c r="AG137" s="56">
        <f>$C137*INDEX(Curves!$O$8:$O$68,AG$4-$B137+1)</f>
        <v/>
      </c>
      <c r="AH137" s="56">
        <f>$C137*INDEX(Curves!$O$8:$O$68,AH$4-$B137+1)</f>
        <v/>
      </c>
      <c r="AI137" s="56">
        <f>$C137*INDEX(Curves!$O$8:$O$68,AI$4-$B137+1)</f>
        <v/>
      </c>
      <c r="AJ137" s="56">
        <f>$C137*INDEX(Curves!$O$8:$O$68,AJ$4-$B137+1)</f>
        <v/>
      </c>
      <c r="AK137" s="56">
        <f>$C137*INDEX(Curves!$O$8:$O$68,AK$4-$B137+1)</f>
        <v/>
      </c>
      <c r="AL137" s="56">
        <f>$C137*INDEX(Curves!$O$8:$O$68,AL$4-$B137+1)</f>
        <v/>
      </c>
      <c r="AM137" s="56">
        <f>$C137*INDEX(Curves!$O$8:$O$68,AM$4-$B137+1)</f>
        <v/>
      </c>
      <c r="AN137" s="56">
        <f>$C137*INDEX(Curves!$O$8:$O$68,AN$4-$B137+1)</f>
        <v/>
      </c>
      <c r="AO137" s="56">
        <f>$C137*INDEX(Curves!$O$8:$O$68,AO$4-$B137+1)</f>
        <v/>
      </c>
      <c r="AP137" s="56">
        <f>$C137*INDEX(Curves!$O$8:$O$68,AP$4-$B137+1)</f>
        <v/>
      </c>
      <c r="AQ137" s="56">
        <f>$C137*INDEX(Curves!$O$8:$O$68,AQ$4-$B137+1)</f>
        <v/>
      </c>
      <c r="AR137" s="56">
        <f>$C137*INDEX(Curves!$O$8:$O$68,AR$4-$B137+1)</f>
        <v/>
      </c>
      <c r="AS137" s="56">
        <f>$C137*INDEX(Curves!$O$8:$O$68,AS$4-$B137+1)</f>
        <v/>
      </c>
      <c r="AT137" s="56">
        <f>$C137*INDEX(Curves!$O$8:$O$68,AT$4-$B137+1)</f>
        <v/>
      </c>
      <c r="AU137" s="56">
        <f>$C137*INDEX(Curves!$O$8:$O$68,AU$4-$B137+1)</f>
        <v/>
      </c>
      <c r="AV137" s="56">
        <f>$C137*INDEX(Curves!$O$8:$O$68,AV$4-$B137+1)</f>
        <v/>
      </c>
      <c r="AW137" s="56">
        <f>$C137*INDEX(Curves!$O$8:$O$68,AW$4-$B137+1)</f>
        <v/>
      </c>
      <c r="AX137" s="56">
        <f>$C137*INDEX(Curves!$O$8:$O$68,AX$4-$B137+1)</f>
        <v/>
      </c>
      <c r="AY137" s="56">
        <f>$C137*INDEX(Curves!$O$8:$O$68,AY$4-$B137+1)</f>
        <v/>
      </c>
      <c r="AZ137" s="56">
        <f>$C137*INDEX(Curves!$O$8:$O$68,AZ$4-$B137+1)</f>
        <v/>
      </c>
      <c r="BA137" s="56">
        <f>$C137*INDEX(Curves!$O$8:$O$68,BA$4-$B137+1)</f>
        <v/>
      </c>
      <c r="BB137" s="56">
        <f>$C137*INDEX(Curves!$O$8:$O$68,BB$4-$B137+1)</f>
        <v/>
      </c>
      <c r="BC137" s="56">
        <f>$C137*INDEX(Curves!$O$8:$O$68,BC$4-$B137+1)</f>
        <v/>
      </c>
      <c r="BD137" s="56">
        <f>$C137*INDEX(Curves!$O$8:$O$68,BD$4-$B137+1)</f>
        <v/>
      </c>
      <c r="BE137" s="56">
        <f>$C137*INDEX(Curves!$O$8:$O$68,BE$4-$B137+1)</f>
        <v/>
      </c>
      <c r="BF137" s="56">
        <f>$C137*INDEX(Curves!$O$8:$O$68,BF$4-$B137+1)</f>
        <v/>
      </c>
      <c r="BG137" s="56">
        <f>$C137*INDEX(Curves!$O$8:$O$68,BG$4-$B137+1)</f>
        <v/>
      </c>
      <c r="BH137" s="56">
        <f>$C137*INDEX(Curves!$O$8:$O$68,BH$4-$B137+1)</f>
        <v/>
      </c>
      <c r="BI137" s="56">
        <f>$C137*INDEX(Curves!$O$8:$O$68,BI$4-$B137+1)</f>
        <v/>
      </c>
      <c r="BJ137" s="56">
        <f>$C137*INDEX(Curves!$O$8:$O$68,BJ$4-$B137+1)</f>
        <v/>
      </c>
      <c r="BK137" s="56">
        <f>$C137*INDEX(Curves!$O$8:$O$68,BK$4-$B137+1)</f>
        <v/>
      </c>
      <c r="BL137" s="56">
        <f>$C137*INDEX(Curves!$O$8:$O$68,BL$4-$B137+1)</f>
        <v/>
      </c>
    </row>
    <row r="138">
      <c r="A138" s="55" t="inlineStr">
        <is>
          <t>Cohort month 3</t>
        </is>
      </c>
      <c r="B138" s="55" t="n">
        <v>3</v>
      </c>
      <c r="C138" s="46">
        <f>INDEX(Ops!$E$25:$BL$25,1,$B138)</f>
        <v/>
      </c>
      <c r="H138" s="56">
        <f>$C138*INDEX(Curves!$O$8:$O$68,H$4-$B138+1)</f>
        <v/>
      </c>
      <c r="I138" s="56">
        <f>$C138*INDEX(Curves!$O$8:$O$68,I$4-$B138+1)</f>
        <v/>
      </c>
      <c r="J138" s="56">
        <f>$C138*INDEX(Curves!$O$8:$O$68,J$4-$B138+1)</f>
        <v/>
      </c>
      <c r="K138" s="56">
        <f>$C138*INDEX(Curves!$O$8:$O$68,K$4-$B138+1)</f>
        <v/>
      </c>
      <c r="L138" s="56">
        <f>$C138*INDEX(Curves!$O$8:$O$68,L$4-$B138+1)</f>
        <v/>
      </c>
      <c r="M138" s="56">
        <f>$C138*INDEX(Curves!$O$8:$O$68,M$4-$B138+1)</f>
        <v/>
      </c>
      <c r="N138" s="56">
        <f>$C138*INDEX(Curves!$O$8:$O$68,N$4-$B138+1)</f>
        <v/>
      </c>
      <c r="O138" s="56">
        <f>$C138*INDEX(Curves!$O$8:$O$68,O$4-$B138+1)</f>
        <v/>
      </c>
      <c r="P138" s="56">
        <f>$C138*INDEX(Curves!$O$8:$O$68,P$4-$B138+1)</f>
        <v/>
      </c>
      <c r="Q138" s="56">
        <f>$C138*INDEX(Curves!$O$8:$O$68,Q$4-$B138+1)</f>
        <v/>
      </c>
      <c r="R138" s="56">
        <f>$C138*INDEX(Curves!$O$8:$O$68,R$4-$B138+1)</f>
        <v/>
      </c>
      <c r="S138" s="56">
        <f>$C138*INDEX(Curves!$O$8:$O$68,S$4-$B138+1)</f>
        <v/>
      </c>
      <c r="T138" s="56">
        <f>$C138*INDEX(Curves!$O$8:$O$68,T$4-$B138+1)</f>
        <v/>
      </c>
      <c r="U138" s="56">
        <f>$C138*INDEX(Curves!$O$8:$O$68,U$4-$B138+1)</f>
        <v/>
      </c>
      <c r="V138" s="56">
        <f>$C138*INDEX(Curves!$O$8:$O$68,V$4-$B138+1)</f>
        <v/>
      </c>
      <c r="W138" s="56">
        <f>$C138*INDEX(Curves!$O$8:$O$68,W$4-$B138+1)</f>
        <v/>
      </c>
      <c r="X138" s="56">
        <f>$C138*INDEX(Curves!$O$8:$O$68,X$4-$B138+1)</f>
        <v/>
      </c>
      <c r="Y138" s="56">
        <f>$C138*INDEX(Curves!$O$8:$O$68,Y$4-$B138+1)</f>
        <v/>
      </c>
      <c r="Z138" s="56">
        <f>$C138*INDEX(Curves!$O$8:$O$68,Z$4-$B138+1)</f>
        <v/>
      </c>
      <c r="AA138" s="56">
        <f>$C138*INDEX(Curves!$O$8:$O$68,AA$4-$B138+1)</f>
        <v/>
      </c>
      <c r="AB138" s="56">
        <f>$C138*INDEX(Curves!$O$8:$O$68,AB$4-$B138+1)</f>
        <v/>
      </c>
      <c r="AC138" s="56">
        <f>$C138*INDEX(Curves!$O$8:$O$68,AC$4-$B138+1)</f>
        <v/>
      </c>
      <c r="AD138" s="56">
        <f>$C138*INDEX(Curves!$O$8:$O$68,AD$4-$B138+1)</f>
        <v/>
      </c>
      <c r="AE138" s="56">
        <f>$C138*INDEX(Curves!$O$8:$O$68,AE$4-$B138+1)</f>
        <v/>
      </c>
      <c r="AF138" s="56">
        <f>$C138*INDEX(Curves!$O$8:$O$68,AF$4-$B138+1)</f>
        <v/>
      </c>
      <c r="AG138" s="56">
        <f>$C138*INDEX(Curves!$O$8:$O$68,AG$4-$B138+1)</f>
        <v/>
      </c>
      <c r="AH138" s="56">
        <f>$C138*INDEX(Curves!$O$8:$O$68,AH$4-$B138+1)</f>
        <v/>
      </c>
      <c r="AI138" s="56">
        <f>$C138*INDEX(Curves!$O$8:$O$68,AI$4-$B138+1)</f>
        <v/>
      </c>
      <c r="AJ138" s="56">
        <f>$C138*INDEX(Curves!$O$8:$O$68,AJ$4-$B138+1)</f>
        <v/>
      </c>
      <c r="AK138" s="56">
        <f>$C138*INDEX(Curves!$O$8:$O$68,AK$4-$B138+1)</f>
        <v/>
      </c>
      <c r="AL138" s="56">
        <f>$C138*INDEX(Curves!$O$8:$O$68,AL$4-$B138+1)</f>
        <v/>
      </c>
      <c r="AM138" s="56">
        <f>$C138*INDEX(Curves!$O$8:$O$68,AM$4-$B138+1)</f>
        <v/>
      </c>
      <c r="AN138" s="56">
        <f>$C138*INDEX(Curves!$O$8:$O$68,AN$4-$B138+1)</f>
        <v/>
      </c>
      <c r="AO138" s="56">
        <f>$C138*INDEX(Curves!$O$8:$O$68,AO$4-$B138+1)</f>
        <v/>
      </c>
      <c r="AP138" s="56">
        <f>$C138*INDEX(Curves!$O$8:$O$68,AP$4-$B138+1)</f>
        <v/>
      </c>
      <c r="AQ138" s="56">
        <f>$C138*INDEX(Curves!$O$8:$O$68,AQ$4-$B138+1)</f>
        <v/>
      </c>
      <c r="AR138" s="56">
        <f>$C138*INDEX(Curves!$O$8:$O$68,AR$4-$B138+1)</f>
        <v/>
      </c>
      <c r="AS138" s="56">
        <f>$C138*INDEX(Curves!$O$8:$O$68,AS$4-$B138+1)</f>
        <v/>
      </c>
      <c r="AT138" s="56">
        <f>$C138*INDEX(Curves!$O$8:$O$68,AT$4-$B138+1)</f>
        <v/>
      </c>
      <c r="AU138" s="56">
        <f>$C138*INDEX(Curves!$O$8:$O$68,AU$4-$B138+1)</f>
        <v/>
      </c>
      <c r="AV138" s="56">
        <f>$C138*INDEX(Curves!$O$8:$O$68,AV$4-$B138+1)</f>
        <v/>
      </c>
      <c r="AW138" s="56">
        <f>$C138*INDEX(Curves!$O$8:$O$68,AW$4-$B138+1)</f>
        <v/>
      </c>
      <c r="AX138" s="56">
        <f>$C138*INDEX(Curves!$O$8:$O$68,AX$4-$B138+1)</f>
        <v/>
      </c>
      <c r="AY138" s="56">
        <f>$C138*INDEX(Curves!$O$8:$O$68,AY$4-$B138+1)</f>
        <v/>
      </c>
      <c r="AZ138" s="56">
        <f>$C138*INDEX(Curves!$O$8:$O$68,AZ$4-$B138+1)</f>
        <v/>
      </c>
      <c r="BA138" s="56">
        <f>$C138*INDEX(Curves!$O$8:$O$68,BA$4-$B138+1)</f>
        <v/>
      </c>
      <c r="BB138" s="56">
        <f>$C138*INDEX(Curves!$O$8:$O$68,BB$4-$B138+1)</f>
        <v/>
      </c>
      <c r="BC138" s="56">
        <f>$C138*INDEX(Curves!$O$8:$O$68,BC$4-$B138+1)</f>
        <v/>
      </c>
      <c r="BD138" s="56">
        <f>$C138*INDEX(Curves!$O$8:$O$68,BD$4-$B138+1)</f>
        <v/>
      </c>
      <c r="BE138" s="56">
        <f>$C138*INDEX(Curves!$O$8:$O$68,BE$4-$B138+1)</f>
        <v/>
      </c>
      <c r="BF138" s="56">
        <f>$C138*INDEX(Curves!$O$8:$O$68,BF$4-$B138+1)</f>
        <v/>
      </c>
      <c r="BG138" s="56">
        <f>$C138*INDEX(Curves!$O$8:$O$68,BG$4-$B138+1)</f>
        <v/>
      </c>
      <c r="BH138" s="56">
        <f>$C138*INDEX(Curves!$O$8:$O$68,BH$4-$B138+1)</f>
        <v/>
      </c>
      <c r="BI138" s="56">
        <f>$C138*INDEX(Curves!$O$8:$O$68,BI$4-$B138+1)</f>
        <v/>
      </c>
      <c r="BJ138" s="56">
        <f>$C138*INDEX(Curves!$O$8:$O$68,BJ$4-$B138+1)</f>
        <v/>
      </c>
      <c r="BK138" s="56">
        <f>$C138*INDEX(Curves!$O$8:$O$68,BK$4-$B138+1)</f>
        <v/>
      </c>
      <c r="BL138" s="56">
        <f>$C138*INDEX(Curves!$O$8:$O$68,BL$4-$B138+1)</f>
        <v/>
      </c>
    </row>
    <row r="139">
      <c r="A139" s="55" t="inlineStr">
        <is>
          <t>Cohort month 4</t>
        </is>
      </c>
      <c r="B139" s="55" t="n">
        <v>4</v>
      </c>
      <c r="C139" s="46">
        <f>INDEX(Ops!$E$25:$BL$25,1,$B139)</f>
        <v/>
      </c>
      <c r="I139" s="56">
        <f>$C139*INDEX(Curves!$O$8:$O$68,I$4-$B139+1)</f>
        <v/>
      </c>
      <c r="J139" s="56">
        <f>$C139*INDEX(Curves!$O$8:$O$68,J$4-$B139+1)</f>
        <v/>
      </c>
      <c r="K139" s="56">
        <f>$C139*INDEX(Curves!$O$8:$O$68,K$4-$B139+1)</f>
        <v/>
      </c>
      <c r="L139" s="56">
        <f>$C139*INDEX(Curves!$O$8:$O$68,L$4-$B139+1)</f>
        <v/>
      </c>
      <c r="M139" s="56">
        <f>$C139*INDEX(Curves!$O$8:$O$68,M$4-$B139+1)</f>
        <v/>
      </c>
      <c r="N139" s="56">
        <f>$C139*INDEX(Curves!$O$8:$O$68,N$4-$B139+1)</f>
        <v/>
      </c>
      <c r="O139" s="56">
        <f>$C139*INDEX(Curves!$O$8:$O$68,O$4-$B139+1)</f>
        <v/>
      </c>
      <c r="P139" s="56">
        <f>$C139*INDEX(Curves!$O$8:$O$68,P$4-$B139+1)</f>
        <v/>
      </c>
      <c r="Q139" s="56">
        <f>$C139*INDEX(Curves!$O$8:$O$68,Q$4-$B139+1)</f>
        <v/>
      </c>
      <c r="R139" s="56">
        <f>$C139*INDEX(Curves!$O$8:$O$68,R$4-$B139+1)</f>
        <v/>
      </c>
      <c r="S139" s="56">
        <f>$C139*INDEX(Curves!$O$8:$O$68,S$4-$B139+1)</f>
        <v/>
      </c>
      <c r="T139" s="56">
        <f>$C139*INDEX(Curves!$O$8:$O$68,T$4-$B139+1)</f>
        <v/>
      </c>
      <c r="U139" s="56">
        <f>$C139*INDEX(Curves!$O$8:$O$68,U$4-$B139+1)</f>
        <v/>
      </c>
      <c r="V139" s="56">
        <f>$C139*INDEX(Curves!$O$8:$O$68,V$4-$B139+1)</f>
        <v/>
      </c>
      <c r="W139" s="56">
        <f>$C139*INDEX(Curves!$O$8:$O$68,W$4-$B139+1)</f>
        <v/>
      </c>
      <c r="X139" s="56">
        <f>$C139*INDEX(Curves!$O$8:$O$68,X$4-$B139+1)</f>
        <v/>
      </c>
      <c r="Y139" s="56">
        <f>$C139*INDEX(Curves!$O$8:$O$68,Y$4-$B139+1)</f>
        <v/>
      </c>
      <c r="Z139" s="56">
        <f>$C139*INDEX(Curves!$O$8:$O$68,Z$4-$B139+1)</f>
        <v/>
      </c>
      <c r="AA139" s="56">
        <f>$C139*INDEX(Curves!$O$8:$O$68,AA$4-$B139+1)</f>
        <v/>
      </c>
      <c r="AB139" s="56">
        <f>$C139*INDEX(Curves!$O$8:$O$68,AB$4-$B139+1)</f>
        <v/>
      </c>
      <c r="AC139" s="56">
        <f>$C139*INDEX(Curves!$O$8:$O$68,AC$4-$B139+1)</f>
        <v/>
      </c>
      <c r="AD139" s="56">
        <f>$C139*INDEX(Curves!$O$8:$O$68,AD$4-$B139+1)</f>
        <v/>
      </c>
      <c r="AE139" s="56">
        <f>$C139*INDEX(Curves!$O$8:$O$68,AE$4-$B139+1)</f>
        <v/>
      </c>
      <c r="AF139" s="56">
        <f>$C139*INDEX(Curves!$O$8:$O$68,AF$4-$B139+1)</f>
        <v/>
      </c>
      <c r="AG139" s="56">
        <f>$C139*INDEX(Curves!$O$8:$O$68,AG$4-$B139+1)</f>
        <v/>
      </c>
      <c r="AH139" s="56">
        <f>$C139*INDEX(Curves!$O$8:$O$68,AH$4-$B139+1)</f>
        <v/>
      </c>
      <c r="AI139" s="56">
        <f>$C139*INDEX(Curves!$O$8:$O$68,AI$4-$B139+1)</f>
        <v/>
      </c>
      <c r="AJ139" s="56">
        <f>$C139*INDEX(Curves!$O$8:$O$68,AJ$4-$B139+1)</f>
        <v/>
      </c>
      <c r="AK139" s="56">
        <f>$C139*INDEX(Curves!$O$8:$O$68,AK$4-$B139+1)</f>
        <v/>
      </c>
      <c r="AL139" s="56">
        <f>$C139*INDEX(Curves!$O$8:$O$68,AL$4-$B139+1)</f>
        <v/>
      </c>
      <c r="AM139" s="56">
        <f>$C139*INDEX(Curves!$O$8:$O$68,AM$4-$B139+1)</f>
        <v/>
      </c>
      <c r="AN139" s="56">
        <f>$C139*INDEX(Curves!$O$8:$O$68,AN$4-$B139+1)</f>
        <v/>
      </c>
      <c r="AO139" s="56">
        <f>$C139*INDEX(Curves!$O$8:$O$68,AO$4-$B139+1)</f>
        <v/>
      </c>
      <c r="AP139" s="56">
        <f>$C139*INDEX(Curves!$O$8:$O$68,AP$4-$B139+1)</f>
        <v/>
      </c>
      <c r="AQ139" s="56">
        <f>$C139*INDEX(Curves!$O$8:$O$68,AQ$4-$B139+1)</f>
        <v/>
      </c>
      <c r="AR139" s="56">
        <f>$C139*INDEX(Curves!$O$8:$O$68,AR$4-$B139+1)</f>
        <v/>
      </c>
      <c r="AS139" s="56">
        <f>$C139*INDEX(Curves!$O$8:$O$68,AS$4-$B139+1)</f>
        <v/>
      </c>
      <c r="AT139" s="56">
        <f>$C139*INDEX(Curves!$O$8:$O$68,AT$4-$B139+1)</f>
        <v/>
      </c>
      <c r="AU139" s="56">
        <f>$C139*INDEX(Curves!$O$8:$O$68,AU$4-$B139+1)</f>
        <v/>
      </c>
      <c r="AV139" s="56">
        <f>$C139*INDEX(Curves!$O$8:$O$68,AV$4-$B139+1)</f>
        <v/>
      </c>
      <c r="AW139" s="56">
        <f>$C139*INDEX(Curves!$O$8:$O$68,AW$4-$B139+1)</f>
        <v/>
      </c>
      <c r="AX139" s="56">
        <f>$C139*INDEX(Curves!$O$8:$O$68,AX$4-$B139+1)</f>
        <v/>
      </c>
      <c r="AY139" s="56">
        <f>$C139*INDEX(Curves!$O$8:$O$68,AY$4-$B139+1)</f>
        <v/>
      </c>
      <c r="AZ139" s="56">
        <f>$C139*INDEX(Curves!$O$8:$O$68,AZ$4-$B139+1)</f>
        <v/>
      </c>
      <c r="BA139" s="56">
        <f>$C139*INDEX(Curves!$O$8:$O$68,BA$4-$B139+1)</f>
        <v/>
      </c>
      <c r="BB139" s="56">
        <f>$C139*INDEX(Curves!$O$8:$O$68,BB$4-$B139+1)</f>
        <v/>
      </c>
      <c r="BC139" s="56">
        <f>$C139*INDEX(Curves!$O$8:$O$68,BC$4-$B139+1)</f>
        <v/>
      </c>
      <c r="BD139" s="56">
        <f>$C139*INDEX(Curves!$O$8:$O$68,BD$4-$B139+1)</f>
        <v/>
      </c>
      <c r="BE139" s="56">
        <f>$C139*INDEX(Curves!$O$8:$O$68,BE$4-$B139+1)</f>
        <v/>
      </c>
      <c r="BF139" s="56">
        <f>$C139*INDEX(Curves!$O$8:$O$68,BF$4-$B139+1)</f>
        <v/>
      </c>
      <c r="BG139" s="56">
        <f>$C139*INDEX(Curves!$O$8:$O$68,BG$4-$B139+1)</f>
        <v/>
      </c>
      <c r="BH139" s="56">
        <f>$C139*INDEX(Curves!$O$8:$O$68,BH$4-$B139+1)</f>
        <v/>
      </c>
      <c r="BI139" s="56">
        <f>$C139*INDEX(Curves!$O$8:$O$68,BI$4-$B139+1)</f>
        <v/>
      </c>
      <c r="BJ139" s="56">
        <f>$C139*INDEX(Curves!$O$8:$O$68,BJ$4-$B139+1)</f>
        <v/>
      </c>
      <c r="BK139" s="56">
        <f>$C139*INDEX(Curves!$O$8:$O$68,BK$4-$B139+1)</f>
        <v/>
      </c>
      <c r="BL139" s="56">
        <f>$C139*INDEX(Curves!$O$8:$O$68,BL$4-$B139+1)</f>
        <v/>
      </c>
    </row>
    <row r="140">
      <c r="A140" s="55" t="inlineStr">
        <is>
          <t>Cohort month 5</t>
        </is>
      </c>
      <c r="B140" s="55" t="n">
        <v>5</v>
      </c>
      <c r="C140" s="46">
        <f>INDEX(Ops!$E$25:$BL$25,1,$B140)</f>
        <v/>
      </c>
      <c r="J140" s="56">
        <f>$C140*INDEX(Curves!$O$8:$O$68,J$4-$B140+1)</f>
        <v/>
      </c>
      <c r="K140" s="56">
        <f>$C140*INDEX(Curves!$O$8:$O$68,K$4-$B140+1)</f>
        <v/>
      </c>
      <c r="L140" s="56">
        <f>$C140*INDEX(Curves!$O$8:$O$68,L$4-$B140+1)</f>
        <v/>
      </c>
      <c r="M140" s="56">
        <f>$C140*INDEX(Curves!$O$8:$O$68,M$4-$B140+1)</f>
        <v/>
      </c>
      <c r="N140" s="56">
        <f>$C140*INDEX(Curves!$O$8:$O$68,N$4-$B140+1)</f>
        <v/>
      </c>
      <c r="O140" s="56">
        <f>$C140*INDEX(Curves!$O$8:$O$68,O$4-$B140+1)</f>
        <v/>
      </c>
      <c r="P140" s="56">
        <f>$C140*INDEX(Curves!$O$8:$O$68,P$4-$B140+1)</f>
        <v/>
      </c>
      <c r="Q140" s="56">
        <f>$C140*INDEX(Curves!$O$8:$O$68,Q$4-$B140+1)</f>
        <v/>
      </c>
      <c r="R140" s="56">
        <f>$C140*INDEX(Curves!$O$8:$O$68,R$4-$B140+1)</f>
        <v/>
      </c>
      <c r="S140" s="56">
        <f>$C140*INDEX(Curves!$O$8:$O$68,S$4-$B140+1)</f>
        <v/>
      </c>
      <c r="T140" s="56">
        <f>$C140*INDEX(Curves!$O$8:$O$68,T$4-$B140+1)</f>
        <v/>
      </c>
      <c r="U140" s="56">
        <f>$C140*INDEX(Curves!$O$8:$O$68,U$4-$B140+1)</f>
        <v/>
      </c>
      <c r="V140" s="56">
        <f>$C140*INDEX(Curves!$O$8:$O$68,V$4-$B140+1)</f>
        <v/>
      </c>
      <c r="W140" s="56">
        <f>$C140*INDEX(Curves!$O$8:$O$68,W$4-$B140+1)</f>
        <v/>
      </c>
      <c r="X140" s="56">
        <f>$C140*INDEX(Curves!$O$8:$O$68,X$4-$B140+1)</f>
        <v/>
      </c>
      <c r="Y140" s="56">
        <f>$C140*INDEX(Curves!$O$8:$O$68,Y$4-$B140+1)</f>
        <v/>
      </c>
      <c r="Z140" s="56">
        <f>$C140*INDEX(Curves!$O$8:$O$68,Z$4-$B140+1)</f>
        <v/>
      </c>
      <c r="AA140" s="56">
        <f>$C140*INDEX(Curves!$O$8:$O$68,AA$4-$B140+1)</f>
        <v/>
      </c>
      <c r="AB140" s="56">
        <f>$C140*INDEX(Curves!$O$8:$O$68,AB$4-$B140+1)</f>
        <v/>
      </c>
      <c r="AC140" s="56">
        <f>$C140*INDEX(Curves!$O$8:$O$68,AC$4-$B140+1)</f>
        <v/>
      </c>
      <c r="AD140" s="56">
        <f>$C140*INDEX(Curves!$O$8:$O$68,AD$4-$B140+1)</f>
        <v/>
      </c>
      <c r="AE140" s="56">
        <f>$C140*INDEX(Curves!$O$8:$O$68,AE$4-$B140+1)</f>
        <v/>
      </c>
      <c r="AF140" s="56">
        <f>$C140*INDEX(Curves!$O$8:$O$68,AF$4-$B140+1)</f>
        <v/>
      </c>
      <c r="AG140" s="56">
        <f>$C140*INDEX(Curves!$O$8:$O$68,AG$4-$B140+1)</f>
        <v/>
      </c>
      <c r="AH140" s="56">
        <f>$C140*INDEX(Curves!$O$8:$O$68,AH$4-$B140+1)</f>
        <v/>
      </c>
      <c r="AI140" s="56">
        <f>$C140*INDEX(Curves!$O$8:$O$68,AI$4-$B140+1)</f>
        <v/>
      </c>
      <c r="AJ140" s="56">
        <f>$C140*INDEX(Curves!$O$8:$O$68,AJ$4-$B140+1)</f>
        <v/>
      </c>
      <c r="AK140" s="56">
        <f>$C140*INDEX(Curves!$O$8:$O$68,AK$4-$B140+1)</f>
        <v/>
      </c>
      <c r="AL140" s="56">
        <f>$C140*INDEX(Curves!$O$8:$O$68,AL$4-$B140+1)</f>
        <v/>
      </c>
      <c r="AM140" s="56">
        <f>$C140*INDEX(Curves!$O$8:$O$68,AM$4-$B140+1)</f>
        <v/>
      </c>
      <c r="AN140" s="56">
        <f>$C140*INDEX(Curves!$O$8:$O$68,AN$4-$B140+1)</f>
        <v/>
      </c>
      <c r="AO140" s="56">
        <f>$C140*INDEX(Curves!$O$8:$O$68,AO$4-$B140+1)</f>
        <v/>
      </c>
      <c r="AP140" s="56">
        <f>$C140*INDEX(Curves!$O$8:$O$68,AP$4-$B140+1)</f>
        <v/>
      </c>
      <c r="AQ140" s="56">
        <f>$C140*INDEX(Curves!$O$8:$O$68,AQ$4-$B140+1)</f>
        <v/>
      </c>
      <c r="AR140" s="56">
        <f>$C140*INDEX(Curves!$O$8:$O$68,AR$4-$B140+1)</f>
        <v/>
      </c>
      <c r="AS140" s="56">
        <f>$C140*INDEX(Curves!$O$8:$O$68,AS$4-$B140+1)</f>
        <v/>
      </c>
      <c r="AT140" s="56">
        <f>$C140*INDEX(Curves!$O$8:$O$68,AT$4-$B140+1)</f>
        <v/>
      </c>
      <c r="AU140" s="56">
        <f>$C140*INDEX(Curves!$O$8:$O$68,AU$4-$B140+1)</f>
        <v/>
      </c>
      <c r="AV140" s="56">
        <f>$C140*INDEX(Curves!$O$8:$O$68,AV$4-$B140+1)</f>
        <v/>
      </c>
      <c r="AW140" s="56">
        <f>$C140*INDEX(Curves!$O$8:$O$68,AW$4-$B140+1)</f>
        <v/>
      </c>
      <c r="AX140" s="56">
        <f>$C140*INDEX(Curves!$O$8:$O$68,AX$4-$B140+1)</f>
        <v/>
      </c>
      <c r="AY140" s="56">
        <f>$C140*INDEX(Curves!$O$8:$O$68,AY$4-$B140+1)</f>
        <v/>
      </c>
      <c r="AZ140" s="56">
        <f>$C140*INDEX(Curves!$O$8:$O$68,AZ$4-$B140+1)</f>
        <v/>
      </c>
      <c r="BA140" s="56">
        <f>$C140*INDEX(Curves!$O$8:$O$68,BA$4-$B140+1)</f>
        <v/>
      </c>
      <c r="BB140" s="56">
        <f>$C140*INDEX(Curves!$O$8:$O$68,BB$4-$B140+1)</f>
        <v/>
      </c>
      <c r="BC140" s="56">
        <f>$C140*INDEX(Curves!$O$8:$O$68,BC$4-$B140+1)</f>
        <v/>
      </c>
      <c r="BD140" s="56">
        <f>$C140*INDEX(Curves!$O$8:$O$68,BD$4-$B140+1)</f>
        <v/>
      </c>
      <c r="BE140" s="56">
        <f>$C140*INDEX(Curves!$O$8:$O$68,BE$4-$B140+1)</f>
        <v/>
      </c>
      <c r="BF140" s="56">
        <f>$C140*INDEX(Curves!$O$8:$O$68,BF$4-$B140+1)</f>
        <v/>
      </c>
      <c r="BG140" s="56">
        <f>$C140*INDEX(Curves!$O$8:$O$68,BG$4-$B140+1)</f>
        <v/>
      </c>
      <c r="BH140" s="56">
        <f>$C140*INDEX(Curves!$O$8:$O$68,BH$4-$B140+1)</f>
        <v/>
      </c>
      <c r="BI140" s="56">
        <f>$C140*INDEX(Curves!$O$8:$O$68,BI$4-$B140+1)</f>
        <v/>
      </c>
      <c r="BJ140" s="56">
        <f>$C140*INDEX(Curves!$O$8:$O$68,BJ$4-$B140+1)</f>
        <v/>
      </c>
      <c r="BK140" s="56">
        <f>$C140*INDEX(Curves!$O$8:$O$68,BK$4-$B140+1)</f>
        <v/>
      </c>
      <c r="BL140" s="56">
        <f>$C140*INDEX(Curves!$O$8:$O$68,BL$4-$B140+1)</f>
        <v/>
      </c>
    </row>
    <row r="141">
      <c r="A141" s="55" t="inlineStr">
        <is>
          <t>Cohort month 6</t>
        </is>
      </c>
      <c r="B141" s="55" t="n">
        <v>6</v>
      </c>
      <c r="C141" s="46">
        <f>INDEX(Ops!$E$25:$BL$25,1,$B141)</f>
        <v/>
      </c>
      <c r="K141" s="56">
        <f>$C141*INDEX(Curves!$O$8:$O$68,K$4-$B141+1)</f>
        <v/>
      </c>
      <c r="L141" s="56">
        <f>$C141*INDEX(Curves!$O$8:$O$68,L$4-$B141+1)</f>
        <v/>
      </c>
      <c r="M141" s="56">
        <f>$C141*INDEX(Curves!$O$8:$O$68,M$4-$B141+1)</f>
        <v/>
      </c>
      <c r="N141" s="56">
        <f>$C141*INDEX(Curves!$O$8:$O$68,N$4-$B141+1)</f>
        <v/>
      </c>
      <c r="O141" s="56">
        <f>$C141*INDEX(Curves!$O$8:$O$68,O$4-$B141+1)</f>
        <v/>
      </c>
      <c r="P141" s="56">
        <f>$C141*INDEX(Curves!$O$8:$O$68,P$4-$B141+1)</f>
        <v/>
      </c>
      <c r="Q141" s="56">
        <f>$C141*INDEX(Curves!$O$8:$O$68,Q$4-$B141+1)</f>
        <v/>
      </c>
      <c r="R141" s="56">
        <f>$C141*INDEX(Curves!$O$8:$O$68,R$4-$B141+1)</f>
        <v/>
      </c>
      <c r="S141" s="56">
        <f>$C141*INDEX(Curves!$O$8:$O$68,S$4-$B141+1)</f>
        <v/>
      </c>
      <c r="T141" s="56">
        <f>$C141*INDEX(Curves!$O$8:$O$68,T$4-$B141+1)</f>
        <v/>
      </c>
      <c r="U141" s="56">
        <f>$C141*INDEX(Curves!$O$8:$O$68,U$4-$B141+1)</f>
        <v/>
      </c>
      <c r="V141" s="56">
        <f>$C141*INDEX(Curves!$O$8:$O$68,V$4-$B141+1)</f>
        <v/>
      </c>
      <c r="W141" s="56">
        <f>$C141*INDEX(Curves!$O$8:$O$68,W$4-$B141+1)</f>
        <v/>
      </c>
      <c r="X141" s="56">
        <f>$C141*INDEX(Curves!$O$8:$O$68,X$4-$B141+1)</f>
        <v/>
      </c>
      <c r="Y141" s="56">
        <f>$C141*INDEX(Curves!$O$8:$O$68,Y$4-$B141+1)</f>
        <v/>
      </c>
      <c r="Z141" s="56">
        <f>$C141*INDEX(Curves!$O$8:$O$68,Z$4-$B141+1)</f>
        <v/>
      </c>
      <c r="AA141" s="56">
        <f>$C141*INDEX(Curves!$O$8:$O$68,AA$4-$B141+1)</f>
        <v/>
      </c>
      <c r="AB141" s="56">
        <f>$C141*INDEX(Curves!$O$8:$O$68,AB$4-$B141+1)</f>
        <v/>
      </c>
      <c r="AC141" s="56">
        <f>$C141*INDEX(Curves!$O$8:$O$68,AC$4-$B141+1)</f>
        <v/>
      </c>
      <c r="AD141" s="56">
        <f>$C141*INDEX(Curves!$O$8:$O$68,AD$4-$B141+1)</f>
        <v/>
      </c>
      <c r="AE141" s="56">
        <f>$C141*INDEX(Curves!$O$8:$O$68,AE$4-$B141+1)</f>
        <v/>
      </c>
      <c r="AF141" s="56">
        <f>$C141*INDEX(Curves!$O$8:$O$68,AF$4-$B141+1)</f>
        <v/>
      </c>
      <c r="AG141" s="56">
        <f>$C141*INDEX(Curves!$O$8:$O$68,AG$4-$B141+1)</f>
        <v/>
      </c>
      <c r="AH141" s="56">
        <f>$C141*INDEX(Curves!$O$8:$O$68,AH$4-$B141+1)</f>
        <v/>
      </c>
      <c r="AI141" s="56">
        <f>$C141*INDEX(Curves!$O$8:$O$68,AI$4-$B141+1)</f>
        <v/>
      </c>
      <c r="AJ141" s="56">
        <f>$C141*INDEX(Curves!$O$8:$O$68,AJ$4-$B141+1)</f>
        <v/>
      </c>
      <c r="AK141" s="56">
        <f>$C141*INDEX(Curves!$O$8:$O$68,AK$4-$B141+1)</f>
        <v/>
      </c>
      <c r="AL141" s="56">
        <f>$C141*INDEX(Curves!$O$8:$O$68,AL$4-$B141+1)</f>
        <v/>
      </c>
      <c r="AM141" s="56">
        <f>$C141*INDEX(Curves!$O$8:$O$68,AM$4-$B141+1)</f>
        <v/>
      </c>
      <c r="AN141" s="56">
        <f>$C141*INDEX(Curves!$O$8:$O$68,AN$4-$B141+1)</f>
        <v/>
      </c>
      <c r="AO141" s="56">
        <f>$C141*INDEX(Curves!$O$8:$O$68,AO$4-$B141+1)</f>
        <v/>
      </c>
      <c r="AP141" s="56">
        <f>$C141*INDEX(Curves!$O$8:$O$68,AP$4-$B141+1)</f>
        <v/>
      </c>
      <c r="AQ141" s="56">
        <f>$C141*INDEX(Curves!$O$8:$O$68,AQ$4-$B141+1)</f>
        <v/>
      </c>
      <c r="AR141" s="56">
        <f>$C141*INDEX(Curves!$O$8:$O$68,AR$4-$B141+1)</f>
        <v/>
      </c>
      <c r="AS141" s="56">
        <f>$C141*INDEX(Curves!$O$8:$O$68,AS$4-$B141+1)</f>
        <v/>
      </c>
      <c r="AT141" s="56">
        <f>$C141*INDEX(Curves!$O$8:$O$68,AT$4-$B141+1)</f>
        <v/>
      </c>
      <c r="AU141" s="56">
        <f>$C141*INDEX(Curves!$O$8:$O$68,AU$4-$B141+1)</f>
        <v/>
      </c>
      <c r="AV141" s="56">
        <f>$C141*INDEX(Curves!$O$8:$O$68,AV$4-$B141+1)</f>
        <v/>
      </c>
      <c r="AW141" s="56">
        <f>$C141*INDEX(Curves!$O$8:$O$68,AW$4-$B141+1)</f>
        <v/>
      </c>
      <c r="AX141" s="56">
        <f>$C141*INDEX(Curves!$O$8:$O$68,AX$4-$B141+1)</f>
        <v/>
      </c>
      <c r="AY141" s="56">
        <f>$C141*INDEX(Curves!$O$8:$O$68,AY$4-$B141+1)</f>
        <v/>
      </c>
      <c r="AZ141" s="56">
        <f>$C141*INDEX(Curves!$O$8:$O$68,AZ$4-$B141+1)</f>
        <v/>
      </c>
      <c r="BA141" s="56">
        <f>$C141*INDEX(Curves!$O$8:$O$68,BA$4-$B141+1)</f>
        <v/>
      </c>
      <c r="BB141" s="56">
        <f>$C141*INDEX(Curves!$O$8:$O$68,BB$4-$B141+1)</f>
        <v/>
      </c>
      <c r="BC141" s="56">
        <f>$C141*INDEX(Curves!$O$8:$O$68,BC$4-$B141+1)</f>
        <v/>
      </c>
      <c r="BD141" s="56">
        <f>$C141*INDEX(Curves!$O$8:$O$68,BD$4-$B141+1)</f>
        <v/>
      </c>
      <c r="BE141" s="56">
        <f>$C141*INDEX(Curves!$O$8:$O$68,BE$4-$B141+1)</f>
        <v/>
      </c>
      <c r="BF141" s="56">
        <f>$C141*INDEX(Curves!$O$8:$O$68,BF$4-$B141+1)</f>
        <v/>
      </c>
      <c r="BG141" s="56">
        <f>$C141*INDEX(Curves!$O$8:$O$68,BG$4-$B141+1)</f>
        <v/>
      </c>
      <c r="BH141" s="56">
        <f>$C141*INDEX(Curves!$O$8:$O$68,BH$4-$B141+1)</f>
        <v/>
      </c>
      <c r="BI141" s="56">
        <f>$C141*INDEX(Curves!$O$8:$O$68,BI$4-$B141+1)</f>
        <v/>
      </c>
      <c r="BJ141" s="56">
        <f>$C141*INDEX(Curves!$O$8:$O$68,BJ$4-$B141+1)</f>
        <v/>
      </c>
      <c r="BK141" s="56">
        <f>$C141*INDEX(Curves!$O$8:$O$68,BK$4-$B141+1)</f>
        <v/>
      </c>
      <c r="BL141" s="56">
        <f>$C141*INDEX(Curves!$O$8:$O$68,BL$4-$B141+1)</f>
        <v/>
      </c>
    </row>
    <row r="142">
      <c r="A142" s="55" t="inlineStr">
        <is>
          <t>Cohort month 7</t>
        </is>
      </c>
      <c r="B142" s="55" t="n">
        <v>7</v>
      </c>
      <c r="C142" s="46">
        <f>INDEX(Ops!$E$25:$BL$25,1,$B142)</f>
        <v/>
      </c>
      <c r="L142" s="56">
        <f>$C142*INDEX(Curves!$O$8:$O$68,L$4-$B142+1)</f>
        <v/>
      </c>
      <c r="M142" s="56">
        <f>$C142*INDEX(Curves!$O$8:$O$68,M$4-$B142+1)</f>
        <v/>
      </c>
      <c r="N142" s="56">
        <f>$C142*INDEX(Curves!$O$8:$O$68,N$4-$B142+1)</f>
        <v/>
      </c>
      <c r="O142" s="56">
        <f>$C142*INDEX(Curves!$O$8:$O$68,O$4-$B142+1)</f>
        <v/>
      </c>
      <c r="P142" s="56">
        <f>$C142*INDEX(Curves!$O$8:$O$68,P$4-$B142+1)</f>
        <v/>
      </c>
      <c r="Q142" s="56">
        <f>$C142*INDEX(Curves!$O$8:$O$68,Q$4-$B142+1)</f>
        <v/>
      </c>
      <c r="R142" s="56">
        <f>$C142*INDEX(Curves!$O$8:$O$68,R$4-$B142+1)</f>
        <v/>
      </c>
      <c r="S142" s="56">
        <f>$C142*INDEX(Curves!$O$8:$O$68,S$4-$B142+1)</f>
        <v/>
      </c>
      <c r="T142" s="56">
        <f>$C142*INDEX(Curves!$O$8:$O$68,T$4-$B142+1)</f>
        <v/>
      </c>
      <c r="U142" s="56">
        <f>$C142*INDEX(Curves!$O$8:$O$68,U$4-$B142+1)</f>
        <v/>
      </c>
      <c r="V142" s="56">
        <f>$C142*INDEX(Curves!$O$8:$O$68,V$4-$B142+1)</f>
        <v/>
      </c>
      <c r="W142" s="56">
        <f>$C142*INDEX(Curves!$O$8:$O$68,W$4-$B142+1)</f>
        <v/>
      </c>
      <c r="X142" s="56">
        <f>$C142*INDEX(Curves!$O$8:$O$68,X$4-$B142+1)</f>
        <v/>
      </c>
      <c r="Y142" s="56">
        <f>$C142*INDEX(Curves!$O$8:$O$68,Y$4-$B142+1)</f>
        <v/>
      </c>
      <c r="Z142" s="56">
        <f>$C142*INDEX(Curves!$O$8:$O$68,Z$4-$B142+1)</f>
        <v/>
      </c>
      <c r="AA142" s="56">
        <f>$C142*INDEX(Curves!$O$8:$O$68,AA$4-$B142+1)</f>
        <v/>
      </c>
      <c r="AB142" s="56">
        <f>$C142*INDEX(Curves!$O$8:$O$68,AB$4-$B142+1)</f>
        <v/>
      </c>
      <c r="AC142" s="56">
        <f>$C142*INDEX(Curves!$O$8:$O$68,AC$4-$B142+1)</f>
        <v/>
      </c>
      <c r="AD142" s="56">
        <f>$C142*INDEX(Curves!$O$8:$O$68,AD$4-$B142+1)</f>
        <v/>
      </c>
      <c r="AE142" s="56">
        <f>$C142*INDEX(Curves!$O$8:$O$68,AE$4-$B142+1)</f>
        <v/>
      </c>
      <c r="AF142" s="56">
        <f>$C142*INDEX(Curves!$O$8:$O$68,AF$4-$B142+1)</f>
        <v/>
      </c>
      <c r="AG142" s="56">
        <f>$C142*INDEX(Curves!$O$8:$O$68,AG$4-$B142+1)</f>
        <v/>
      </c>
      <c r="AH142" s="56">
        <f>$C142*INDEX(Curves!$O$8:$O$68,AH$4-$B142+1)</f>
        <v/>
      </c>
      <c r="AI142" s="56">
        <f>$C142*INDEX(Curves!$O$8:$O$68,AI$4-$B142+1)</f>
        <v/>
      </c>
      <c r="AJ142" s="56">
        <f>$C142*INDEX(Curves!$O$8:$O$68,AJ$4-$B142+1)</f>
        <v/>
      </c>
      <c r="AK142" s="56">
        <f>$C142*INDEX(Curves!$O$8:$O$68,AK$4-$B142+1)</f>
        <v/>
      </c>
      <c r="AL142" s="56">
        <f>$C142*INDEX(Curves!$O$8:$O$68,AL$4-$B142+1)</f>
        <v/>
      </c>
      <c r="AM142" s="56">
        <f>$C142*INDEX(Curves!$O$8:$O$68,AM$4-$B142+1)</f>
        <v/>
      </c>
      <c r="AN142" s="56">
        <f>$C142*INDEX(Curves!$O$8:$O$68,AN$4-$B142+1)</f>
        <v/>
      </c>
      <c r="AO142" s="56">
        <f>$C142*INDEX(Curves!$O$8:$O$68,AO$4-$B142+1)</f>
        <v/>
      </c>
      <c r="AP142" s="56">
        <f>$C142*INDEX(Curves!$O$8:$O$68,AP$4-$B142+1)</f>
        <v/>
      </c>
      <c r="AQ142" s="56">
        <f>$C142*INDEX(Curves!$O$8:$O$68,AQ$4-$B142+1)</f>
        <v/>
      </c>
      <c r="AR142" s="56">
        <f>$C142*INDEX(Curves!$O$8:$O$68,AR$4-$B142+1)</f>
        <v/>
      </c>
      <c r="AS142" s="56">
        <f>$C142*INDEX(Curves!$O$8:$O$68,AS$4-$B142+1)</f>
        <v/>
      </c>
      <c r="AT142" s="56">
        <f>$C142*INDEX(Curves!$O$8:$O$68,AT$4-$B142+1)</f>
        <v/>
      </c>
      <c r="AU142" s="56">
        <f>$C142*INDEX(Curves!$O$8:$O$68,AU$4-$B142+1)</f>
        <v/>
      </c>
      <c r="AV142" s="56">
        <f>$C142*INDEX(Curves!$O$8:$O$68,AV$4-$B142+1)</f>
        <v/>
      </c>
      <c r="AW142" s="56">
        <f>$C142*INDEX(Curves!$O$8:$O$68,AW$4-$B142+1)</f>
        <v/>
      </c>
      <c r="AX142" s="56">
        <f>$C142*INDEX(Curves!$O$8:$O$68,AX$4-$B142+1)</f>
        <v/>
      </c>
      <c r="AY142" s="56">
        <f>$C142*INDEX(Curves!$O$8:$O$68,AY$4-$B142+1)</f>
        <v/>
      </c>
      <c r="AZ142" s="56">
        <f>$C142*INDEX(Curves!$O$8:$O$68,AZ$4-$B142+1)</f>
        <v/>
      </c>
      <c r="BA142" s="56">
        <f>$C142*INDEX(Curves!$O$8:$O$68,BA$4-$B142+1)</f>
        <v/>
      </c>
      <c r="BB142" s="56">
        <f>$C142*INDEX(Curves!$O$8:$O$68,BB$4-$B142+1)</f>
        <v/>
      </c>
      <c r="BC142" s="56">
        <f>$C142*INDEX(Curves!$O$8:$O$68,BC$4-$B142+1)</f>
        <v/>
      </c>
      <c r="BD142" s="56">
        <f>$C142*INDEX(Curves!$O$8:$O$68,BD$4-$B142+1)</f>
        <v/>
      </c>
      <c r="BE142" s="56">
        <f>$C142*INDEX(Curves!$O$8:$O$68,BE$4-$B142+1)</f>
        <v/>
      </c>
      <c r="BF142" s="56">
        <f>$C142*INDEX(Curves!$O$8:$O$68,BF$4-$B142+1)</f>
        <v/>
      </c>
      <c r="BG142" s="56">
        <f>$C142*INDEX(Curves!$O$8:$O$68,BG$4-$B142+1)</f>
        <v/>
      </c>
      <c r="BH142" s="56">
        <f>$C142*INDEX(Curves!$O$8:$O$68,BH$4-$B142+1)</f>
        <v/>
      </c>
      <c r="BI142" s="56">
        <f>$C142*INDEX(Curves!$O$8:$O$68,BI$4-$B142+1)</f>
        <v/>
      </c>
      <c r="BJ142" s="56">
        <f>$C142*INDEX(Curves!$O$8:$O$68,BJ$4-$B142+1)</f>
        <v/>
      </c>
      <c r="BK142" s="56">
        <f>$C142*INDEX(Curves!$O$8:$O$68,BK$4-$B142+1)</f>
        <v/>
      </c>
      <c r="BL142" s="56">
        <f>$C142*INDEX(Curves!$O$8:$O$68,BL$4-$B142+1)</f>
        <v/>
      </c>
    </row>
    <row r="143">
      <c r="A143" s="55" t="inlineStr">
        <is>
          <t>Cohort month 8</t>
        </is>
      </c>
      <c r="B143" s="55" t="n">
        <v>8</v>
      </c>
      <c r="C143" s="46">
        <f>INDEX(Ops!$E$25:$BL$25,1,$B143)</f>
        <v/>
      </c>
      <c r="M143" s="56">
        <f>$C143*INDEX(Curves!$O$8:$O$68,M$4-$B143+1)</f>
        <v/>
      </c>
      <c r="N143" s="56">
        <f>$C143*INDEX(Curves!$O$8:$O$68,N$4-$B143+1)</f>
        <v/>
      </c>
      <c r="O143" s="56">
        <f>$C143*INDEX(Curves!$O$8:$O$68,O$4-$B143+1)</f>
        <v/>
      </c>
      <c r="P143" s="56">
        <f>$C143*INDEX(Curves!$O$8:$O$68,P$4-$B143+1)</f>
        <v/>
      </c>
      <c r="Q143" s="56">
        <f>$C143*INDEX(Curves!$O$8:$O$68,Q$4-$B143+1)</f>
        <v/>
      </c>
      <c r="R143" s="56">
        <f>$C143*INDEX(Curves!$O$8:$O$68,R$4-$B143+1)</f>
        <v/>
      </c>
      <c r="S143" s="56">
        <f>$C143*INDEX(Curves!$O$8:$O$68,S$4-$B143+1)</f>
        <v/>
      </c>
      <c r="T143" s="56">
        <f>$C143*INDEX(Curves!$O$8:$O$68,T$4-$B143+1)</f>
        <v/>
      </c>
      <c r="U143" s="56">
        <f>$C143*INDEX(Curves!$O$8:$O$68,U$4-$B143+1)</f>
        <v/>
      </c>
      <c r="V143" s="56">
        <f>$C143*INDEX(Curves!$O$8:$O$68,V$4-$B143+1)</f>
        <v/>
      </c>
      <c r="W143" s="56">
        <f>$C143*INDEX(Curves!$O$8:$O$68,W$4-$B143+1)</f>
        <v/>
      </c>
      <c r="X143" s="56">
        <f>$C143*INDEX(Curves!$O$8:$O$68,X$4-$B143+1)</f>
        <v/>
      </c>
      <c r="Y143" s="56">
        <f>$C143*INDEX(Curves!$O$8:$O$68,Y$4-$B143+1)</f>
        <v/>
      </c>
      <c r="Z143" s="56">
        <f>$C143*INDEX(Curves!$O$8:$O$68,Z$4-$B143+1)</f>
        <v/>
      </c>
      <c r="AA143" s="56">
        <f>$C143*INDEX(Curves!$O$8:$O$68,AA$4-$B143+1)</f>
        <v/>
      </c>
      <c r="AB143" s="56">
        <f>$C143*INDEX(Curves!$O$8:$O$68,AB$4-$B143+1)</f>
        <v/>
      </c>
      <c r="AC143" s="56">
        <f>$C143*INDEX(Curves!$O$8:$O$68,AC$4-$B143+1)</f>
        <v/>
      </c>
      <c r="AD143" s="56">
        <f>$C143*INDEX(Curves!$O$8:$O$68,AD$4-$B143+1)</f>
        <v/>
      </c>
      <c r="AE143" s="56">
        <f>$C143*INDEX(Curves!$O$8:$O$68,AE$4-$B143+1)</f>
        <v/>
      </c>
      <c r="AF143" s="56">
        <f>$C143*INDEX(Curves!$O$8:$O$68,AF$4-$B143+1)</f>
        <v/>
      </c>
      <c r="AG143" s="56">
        <f>$C143*INDEX(Curves!$O$8:$O$68,AG$4-$B143+1)</f>
        <v/>
      </c>
      <c r="AH143" s="56">
        <f>$C143*INDEX(Curves!$O$8:$O$68,AH$4-$B143+1)</f>
        <v/>
      </c>
      <c r="AI143" s="56">
        <f>$C143*INDEX(Curves!$O$8:$O$68,AI$4-$B143+1)</f>
        <v/>
      </c>
      <c r="AJ143" s="56">
        <f>$C143*INDEX(Curves!$O$8:$O$68,AJ$4-$B143+1)</f>
        <v/>
      </c>
      <c r="AK143" s="56">
        <f>$C143*INDEX(Curves!$O$8:$O$68,AK$4-$B143+1)</f>
        <v/>
      </c>
      <c r="AL143" s="56">
        <f>$C143*INDEX(Curves!$O$8:$O$68,AL$4-$B143+1)</f>
        <v/>
      </c>
      <c r="AM143" s="56">
        <f>$C143*INDEX(Curves!$O$8:$O$68,AM$4-$B143+1)</f>
        <v/>
      </c>
      <c r="AN143" s="56">
        <f>$C143*INDEX(Curves!$O$8:$O$68,AN$4-$B143+1)</f>
        <v/>
      </c>
      <c r="AO143" s="56">
        <f>$C143*INDEX(Curves!$O$8:$O$68,AO$4-$B143+1)</f>
        <v/>
      </c>
      <c r="AP143" s="56">
        <f>$C143*INDEX(Curves!$O$8:$O$68,AP$4-$B143+1)</f>
        <v/>
      </c>
      <c r="AQ143" s="56">
        <f>$C143*INDEX(Curves!$O$8:$O$68,AQ$4-$B143+1)</f>
        <v/>
      </c>
      <c r="AR143" s="56">
        <f>$C143*INDEX(Curves!$O$8:$O$68,AR$4-$B143+1)</f>
        <v/>
      </c>
      <c r="AS143" s="56">
        <f>$C143*INDEX(Curves!$O$8:$O$68,AS$4-$B143+1)</f>
        <v/>
      </c>
      <c r="AT143" s="56">
        <f>$C143*INDEX(Curves!$O$8:$O$68,AT$4-$B143+1)</f>
        <v/>
      </c>
      <c r="AU143" s="56">
        <f>$C143*INDEX(Curves!$O$8:$O$68,AU$4-$B143+1)</f>
        <v/>
      </c>
      <c r="AV143" s="56">
        <f>$C143*INDEX(Curves!$O$8:$O$68,AV$4-$B143+1)</f>
        <v/>
      </c>
      <c r="AW143" s="56">
        <f>$C143*INDEX(Curves!$O$8:$O$68,AW$4-$B143+1)</f>
        <v/>
      </c>
      <c r="AX143" s="56">
        <f>$C143*INDEX(Curves!$O$8:$O$68,AX$4-$B143+1)</f>
        <v/>
      </c>
      <c r="AY143" s="56">
        <f>$C143*INDEX(Curves!$O$8:$O$68,AY$4-$B143+1)</f>
        <v/>
      </c>
      <c r="AZ143" s="56">
        <f>$C143*INDEX(Curves!$O$8:$O$68,AZ$4-$B143+1)</f>
        <v/>
      </c>
      <c r="BA143" s="56">
        <f>$C143*INDEX(Curves!$O$8:$O$68,BA$4-$B143+1)</f>
        <v/>
      </c>
      <c r="BB143" s="56">
        <f>$C143*INDEX(Curves!$O$8:$O$68,BB$4-$B143+1)</f>
        <v/>
      </c>
      <c r="BC143" s="56">
        <f>$C143*INDEX(Curves!$O$8:$O$68,BC$4-$B143+1)</f>
        <v/>
      </c>
      <c r="BD143" s="56">
        <f>$C143*INDEX(Curves!$O$8:$O$68,BD$4-$B143+1)</f>
        <v/>
      </c>
      <c r="BE143" s="56">
        <f>$C143*INDEX(Curves!$O$8:$O$68,BE$4-$B143+1)</f>
        <v/>
      </c>
      <c r="BF143" s="56">
        <f>$C143*INDEX(Curves!$O$8:$O$68,BF$4-$B143+1)</f>
        <v/>
      </c>
      <c r="BG143" s="56">
        <f>$C143*INDEX(Curves!$O$8:$O$68,BG$4-$B143+1)</f>
        <v/>
      </c>
      <c r="BH143" s="56">
        <f>$C143*INDEX(Curves!$O$8:$O$68,BH$4-$B143+1)</f>
        <v/>
      </c>
      <c r="BI143" s="56">
        <f>$C143*INDEX(Curves!$O$8:$O$68,BI$4-$B143+1)</f>
        <v/>
      </c>
      <c r="BJ143" s="56">
        <f>$C143*INDEX(Curves!$O$8:$O$68,BJ$4-$B143+1)</f>
        <v/>
      </c>
      <c r="BK143" s="56">
        <f>$C143*INDEX(Curves!$O$8:$O$68,BK$4-$B143+1)</f>
        <v/>
      </c>
      <c r="BL143" s="56">
        <f>$C143*INDEX(Curves!$O$8:$O$68,BL$4-$B143+1)</f>
        <v/>
      </c>
    </row>
    <row r="144">
      <c r="A144" s="55" t="inlineStr">
        <is>
          <t>Cohort month 9</t>
        </is>
      </c>
      <c r="B144" s="55" t="n">
        <v>9</v>
      </c>
      <c r="C144" s="46">
        <f>INDEX(Ops!$E$25:$BL$25,1,$B144)</f>
        <v/>
      </c>
      <c r="N144" s="56">
        <f>$C144*INDEX(Curves!$O$8:$O$68,N$4-$B144+1)</f>
        <v/>
      </c>
      <c r="O144" s="56">
        <f>$C144*INDEX(Curves!$O$8:$O$68,O$4-$B144+1)</f>
        <v/>
      </c>
      <c r="P144" s="56">
        <f>$C144*INDEX(Curves!$O$8:$O$68,P$4-$B144+1)</f>
        <v/>
      </c>
      <c r="Q144" s="56">
        <f>$C144*INDEX(Curves!$O$8:$O$68,Q$4-$B144+1)</f>
        <v/>
      </c>
      <c r="R144" s="56">
        <f>$C144*INDEX(Curves!$O$8:$O$68,R$4-$B144+1)</f>
        <v/>
      </c>
      <c r="S144" s="56">
        <f>$C144*INDEX(Curves!$O$8:$O$68,S$4-$B144+1)</f>
        <v/>
      </c>
      <c r="T144" s="56">
        <f>$C144*INDEX(Curves!$O$8:$O$68,T$4-$B144+1)</f>
        <v/>
      </c>
      <c r="U144" s="56">
        <f>$C144*INDEX(Curves!$O$8:$O$68,U$4-$B144+1)</f>
        <v/>
      </c>
      <c r="V144" s="56">
        <f>$C144*INDEX(Curves!$O$8:$O$68,V$4-$B144+1)</f>
        <v/>
      </c>
      <c r="W144" s="56">
        <f>$C144*INDEX(Curves!$O$8:$O$68,W$4-$B144+1)</f>
        <v/>
      </c>
      <c r="X144" s="56">
        <f>$C144*INDEX(Curves!$O$8:$O$68,X$4-$B144+1)</f>
        <v/>
      </c>
      <c r="Y144" s="56">
        <f>$C144*INDEX(Curves!$O$8:$O$68,Y$4-$B144+1)</f>
        <v/>
      </c>
      <c r="Z144" s="56">
        <f>$C144*INDEX(Curves!$O$8:$O$68,Z$4-$B144+1)</f>
        <v/>
      </c>
      <c r="AA144" s="56">
        <f>$C144*INDEX(Curves!$O$8:$O$68,AA$4-$B144+1)</f>
        <v/>
      </c>
      <c r="AB144" s="56">
        <f>$C144*INDEX(Curves!$O$8:$O$68,AB$4-$B144+1)</f>
        <v/>
      </c>
      <c r="AC144" s="56">
        <f>$C144*INDEX(Curves!$O$8:$O$68,AC$4-$B144+1)</f>
        <v/>
      </c>
      <c r="AD144" s="56">
        <f>$C144*INDEX(Curves!$O$8:$O$68,AD$4-$B144+1)</f>
        <v/>
      </c>
      <c r="AE144" s="56">
        <f>$C144*INDEX(Curves!$O$8:$O$68,AE$4-$B144+1)</f>
        <v/>
      </c>
      <c r="AF144" s="56">
        <f>$C144*INDEX(Curves!$O$8:$O$68,AF$4-$B144+1)</f>
        <v/>
      </c>
      <c r="AG144" s="56">
        <f>$C144*INDEX(Curves!$O$8:$O$68,AG$4-$B144+1)</f>
        <v/>
      </c>
      <c r="AH144" s="56">
        <f>$C144*INDEX(Curves!$O$8:$O$68,AH$4-$B144+1)</f>
        <v/>
      </c>
      <c r="AI144" s="56">
        <f>$C144*INDEX(Curves!$O$8:$O$68,AI$4-$B144+1)</f>
        <v/>
      </c>
      <c r="AJ144" s="56">
        <f>$C144*INDEX(Curves!$O$8:$O$68,AJ$4-$B144+1)</f>
        <v/>
      </c>
      <c r="AK144" s="56">
        <f>$C144*INDEX(Curves!$O$8:$O$68,AK$4-$B144+1)</f>
        <v/>
      </c>
      <c r="AL144" s="56">
        <f>$C144*INDEX(Curves!$O$8:$O$68,AL$4-$B144+1)</f>
        <v/>
      </c>
      <c r="AM144" s="56">
        <f>$C144*INDEX(Curves!$O$8:$O$68,AM$4-$B144+1)</f>
        <v/>
      </c>
      <c r="AN144" s="56">
        <f>$C144*INDEX(Curves!$O$8:$O$68,AN$4-$B144+1)</f>
        <v/>
      </c>
      <c r="AO144" s="56">
        <f>$C144*INDEX(Curves!$O$8:$O$68,AO$4-$B144+1)</f>
        <v/>
      </c>
      <c r="AP144" s="56">
        <f>$C144*INDEX(Curves!$O$8:$O$68,AP$4-$B144+1)</f>
        <v/>
      </c>
      <c r="AQ144" s="56">
        <f>$C144*INDEX(Curves!$O$8:$O$68,AQ$4-$B144+1)</f>
        <v/>
      </c>
      <c r="AR144" s="56">
        <f>$C144*INDEX(Curves!$O$8:$O$68,AR$4-$B144+1)</f>
        <v/>
      </c>
      <c r="AS144" s="56">
        <f>$C144*INDEX(Curves!$O$8:$O$68,AS$4-$B144+1)</f>
        <v/>
      </c>
      <c r="AT144" s="56">
        <f>$C144*INDEX(Curves!$O$8:$O$68,AT$4-$B144+1)</f>
        <v/>
      </c>
      <c r="AU144" s="56">
        <f>$C144*INDEX(Curves!$O$8:$O$68,AU$4-$B144+1)</f>
        <v/>
      </c>
      <c r="AV144" s="56">
        <f>$C144*INDEX(Curves!$O$8:$O$68,AV$4-$B144+1)</f>
        <v/>
      </c>
      <c r="AW144" s="56">
        <f>$C144*INDEX(Curves!$O$8:$O$68,AW$4-$B144+1)</f>
        <v/>
      </c>
      <c r="AX144" s="56">
        <f>$C144*INDEX(Curves!$O$8:$O$68,AX$4-$B144+1)</f>
        <v/>
      </c>
      <c r="AY144" s="56">
        <f>$C144*INDEX(Curves!$O$8:$O$68,AY$4-$B144+1)</f>
        <v/>
      </c>
      <c r="AZ144" s="56">
        <f>$C144*INDEX(Curves!$O$8:$O$68,AZ$4-$B144+1)</f>
        <v/>
      </c>
      <c r="BA144" s="56">
        <f>$C144*INDEX(Curves!$O$8:$O$68,BA$4-$B144+1)</f>
        <v/>
      </c>
      <c r="BB144" s="56">
        <f>$C144*INDEX(Curves!$O$8:$O$68,BB$4-$B144+1)</f>
        <v/>
      </c>
      <c r="BC144" s="56">
        <f>$C144*INDEX(Curves!$O$8:$O$68,BC$4-$B144+1)</f>
        <v/>
      </c>
      <c r="BD144" s="56">
        <f>$C144*INDEX(Curves!$O$8:$O$68,BD$4-$B144+1)</f>
        <v/>
      </c>
      <c r="BE144" s="56">
        <f>$C144*INDEX(Curves!$O$8:$O$68,BE$4-$B144+1)</f>
        <v/>
      </c>
      <c r="BF144" s="56">
        <f>$C144*INDEX(Curves!$O$8:$O$68,BF$4-$B144+1)</f>
        <v/>
      </c>
      <c r="BG144" s="56">
        <f>$C144*INDEX(Curves!$O$8:$O$68,BG$4-$B144+1)</f>
        <v/>
      </c>
      <c r="BH144" s="56">
        <f>$C144*INDEX(Curves!$O$8:$O$68,BH$4-$B144+1)</f>
        <v/>
      </c>
      <c r="BI144" s="56">
        <f>$C144*INDEX(Curves!$O$8:$O$68,BI$4-$B144+1)</f>
        <v/>
      </c>
      <c r="BJ144" s="56">
        <f>$C144*INDEX(Curves!$O$8:$O$68,BJ$4-$B144+1)</f>
        <v/>
      </c>
      <c r="BK144" s="56">
        <f>$C144*INDEX(Curves!$O$8:$O$68,BK$4-$B144+1)</f>
        <v/>
      </c>
      <c r="BL144" s="56">
        <f>$C144*INDEX(Curves!$O$8:$O$68,BL$4-$B144+1)</f>
        <v/>
      </c>
    </row>
    <row r="145">
      <c r="A145" s="55" t="inlineStr">
        <is>
          <t>Cohort month 10</t>
        </is>
      </c>
      <c r="B145" s="55" t="n">
        <v>10</v>
      </c>
      <c r="C145" s="46">
        <f>INDEX(Ops!$E$25:$BL$25,1,$B145)</f>
        <v/>
      </c>
      <c r="O145" s="56">
        <f>$C145*INDEX(Curves!$O$8:$O$68,O$4-$B145+1)</f>
        <v/>
      </c>
      <c r="P145" s="56">
        <f>$C145*INDEX(Curves!$O$8:$O$68,P$4-$B145+1)</f>
        <v/>
      </c>
      <c r="Q145" s="56">
        <f>$C145*INDEX(Curves!$O$8:$O$68,Q$4-$B145+1)</f>
        <v/>
      </c>
      <c r="R145" s="56">
        <f>$C145*INDEX(Curves!$O$8:$O$68,R$4-$B145+1)</f>
        <v/>
      </c>
      <c r="S145" s="56">
        <f>$C145*INDEX(Curves!$O$8:$O$68,S$4-$B145+1)</f>
        <v/>
      </c>
      <c r="T145" s="56">
        <f>$C145*INDEX(Curves!$O$8:$O$68,T$4-$B145+1)</f>
        <v/>
      </c>
      <c r="U145" s="56">
        <f>$C145*INDEX(Curves!$O$8:$O$68,U$4-$B145+1)</f>
        <v/>
      </c>
      <c r="V145" s="56">
        <f>$C145*INDEX(Curves!$O$8:$O$68,V$4-$B145+1)</f>
        <v/>
      </c>
      <c r="W145" s="56">
        <f>$C145*INDEX(Curves!$O$8:$O$68,W$4-$B145+1)</f>
        <v/>
      </c>
      <c r="X145" s="56">
        <f>$C145*INDEX(Curves!$O$8:$O$68,X$4-$B145+1)</f>
        <v/>
      </c>
      <c r="Y145" s="56">
        <f>$C145*INDEX(Curves!$O$8:$O$68,Y$4-$B145+1)</f>
        <v/>
      </c>
      <c r="Z145" s="56">
        <f>$C145*INDEX(Curves!$O$8:$O$68,Z$4-$B145+1)</f>
        <v/>
      </c>
      <c r="AA145" s="56">
        <f>$C145*INDEX(Curves!$O$8:$O$68,AA$4-$B145+1)</f>
        <v/>
      </c>
      <c r="AB145" s="56">
        <f>$C145*INDEX(Curves!$O$8:$O$68,AB$4-$B145+1)</f>
        <v/>
      </c>
      <c r="AC145" s="56">
        <f>$C145*INDEX(Curves!$O$8:$O$68,AC$4-$B145+1)</f>
        <v/>
      </c>
      <c r="AD145" s="56">
        <f>$C145*INDEX(Curves!$O$8:$O$68,AD$4-$B145+1)</f>
        <v/>
      </c>
      <c r="AE145" s="56">
        <f>$C145*INDEX(Curves!$O$8:$O$68,AE$4-$B145+1)</f>
        <v/>
      </c>
      <c r="AF145" s="56">
        <f>$C145*INDEX(Curves!$O$8:$O$68,AF$4-$B145+1)</f>
        <v/>
      </c>
      <c r="AG145" s="56">
        <f>$C145*INDEX(Curves!$O$8:$O$68,AG$4-$B145+1)</f>
        <v/>
      </c>
      <c r="AH145" s="56">
        <f>$C145*INDEX(Curves!$O$8:$O$68,AH$4-$B145+1)</f>
        <v/>
      </c>
      <c r="AI145" s="56">
        <f>$C145*INDEX(Curves!$O$8:$O$68,AI$4-$B145+1)</f>
        <v/>
      </c>
      <c r="AJ145" s="56">
        <f>$C145*INDEX(Curves!$O$8:$O$68,AJ$4-$B145+1)</f>
        <v/>
      </c>
      <c r="AK145" s="56">
        <f>$C145*INDEX(Curves!$O$8:$O$68,AK$4-$B145+1)</f>
        <v/>
      </c>
      <c r="AL145" s="56">
        <f>$C145*INDEX(Curves!$O$8:$O$68,AL$4-$B145+1)</f>
        <v/>
      </c>
      <c r="AM145" s="56">
        <f>$C145*INDEX(Curves!$O$8:$O$68,AM$4-$B145+1)</f>
        <v/>
      </c>
      <c r="AN145" s="56">
        <f>$C145*INDEX(Curves!$O$8:$O$68,AN$4-$B145+1)</f>
        <v/>
      </c>
      <c r="AO145" s="56">
        <f>$C145*INDEX(Curves!$O$8:$O$68,AO$4-$B145+1)</f>
        <v/>
      </c>
      <c r="AP145" s="56">
        <f>$C145*INDEX(Curves!$O$8:$O$68,AP$4-$B145+1)</f>
        <v/>
      </c>
      <c r="AQ145" s="56">
        <f>$C145*INDEX(Curves!$O$8:$O$68,AQ$4-$B145+1)</f>
        <v/>
      </c>
      <c r="AR145" s="56">
        <f>$C145*INDEX(Curves!$O$8:$O$68,AR$4-$B145+1)</f>
        <v/>
      </c>
      <c r="AS145" s="56">
        <f>$C145*INDEX(Curves!$O$8:$O$68,AS$4-$B145+1)</f>
        <v/>
      </c>
      <c r="AT145" s="56">
        <f>$C145*INDEX(Curves!$O$8:$O$68,AT$4-$B145+1)</f>
        <v/>
      </c>
      <c r="AU145" s="56">
        <f>$C145*INDEX(Curves!$O$8:$O$68,AU$4-$B145+1)</f>
        <v/>
      </c>
      <c r="AV145" s="56">
        <f>$C145*INDEX(Curves!$O$8:$O$68,AV$4-$B145+1)</f>
        <v/>
      </c>
      <c r="AW145" s="56">
        <f>$C145*INDEX(Curves!$O$8:$O$68,AW$4-$B145+1)</f>
        <v/>
      </c>
      <c r="AX145" s="56">
        <f>$C145*INDEX(Curves!$O$8:$O$68,AX$4-$B145+1)</f>
        <v/>
      </c>
      <c r="AY145" s="56">
        <f>$C145*INDEX(Curves!$O$8:$O$68,AY$4-$B145+1)</f>
        <v/>
      </c>
      <c r="AZ145" s="56">
        <f>$C145*INDEX(Curves!$O$8:$O$68,AZ$4-$B145+1)</f>
        <v/>
      </c>
      <c r="BA145" s="56">
        <f>$C145*INDEX(Curves!$O$8:$O$68,BA$4-$B145+1)</f>
        <v/>
      </c>
      <c r="BB145" s="56">
        <f>$C145*INDEX(Curves!$O$8:$O$68,BB$4-$B145+1)</f>
        <v/>
      </c>
      <c r="BC145" s="56">
        <f>$C145*INDEX(Curves!$O$8:$O$68,BC$4-$B145+1)</f>
        <v/>
      </c>
      <c r="BD145" s="56">
        <f>$C145*INDEX(Curves!$O$8:$O$68,BD$4-$B145+1)</f>
        <v/>
      </c>
      <c r="BE145" s="56">
        <f>$C145*INDEX(Curves!$O$8:$O$68,BE$4-$B145+1)</f>
        <v/>
      </c>
      <c r="BF145" s="56">
        <f>$C145*INDEX(Curves!$O$8:$O$68,BF$4-$B145+1)</f>
        <v/>
      </c>
      <c r="BG145" s="56">
        <f>$C145*INDEX(Curves!$O$8:$O$68,BG$4-$B145+1)</f>
        <v/>
      </c>
      <c r="BH145" s="56">
        <f>$C145*INDEX(Curves!$O$8:$O$68,BH$4-$B145+1)</f>
        <v/>
      </c>
      <c r="BI145" s="56">
        <f>$C145*INDEX(Curves!$O$8:$O$68,BI$4-$B145+1)</f>
        <v/>
      </c>
      <c r="BJ145" s="56">
        <f>$C145*INDEX(Curves!$O$8:$O$68,BJ$4-$B145+1)</f>
        <v/>
      </c>
      <c r="BK145" s="56">
        <f>$C145*INDEX(Curves!$O$8:$O$68,BK$4-$B145+1)</f>
        <v/>
      </c>
      <c r="BL145" s="56">
        <f>$C145*INDEX(Curves!$O$8:$O$68,BL$4-$B145+1)</f>
        <v/>
      </c>
    </row>
    <row r="146">
      <c r="A146" s="55" t="inlineStr">
        <is>
          <t>Cohort month 11</t>
        </is>
      </c>
      <c r="B146" s="55" t="n">
        <v>11</v>
      </c>
      <c r="C146" s="46">
        <f>INDEX(Ops!$E$25:$BL$25,1,$B146)</f>
        <v/>
      </c>
      <c r="P146" s="56">
        <f>$C146*INDEX(Curves!$O$8:$O$68,P$4-$B146+1)</f>
        <v/>
      </c>
      <c r="Q146" s="56">
        <f>$C146*INDEX(Curves!$O$8:$O$68,Q$4-$B146+1)</f>
        <v/>
      </c>
      <c r="R146" s="56">
        <f>$C146*INDEX(Curves!$O$8:$O$68,R$4-$B146+1)</f>
        <v/>
      </c>
      <c r="S146" s="56">
        <f>$C146*INDEX(Curves!$O$8:$O$68,S$4-$B146+1)</f>
        <v/>
      </c>
      <c r="T146" s="56">
        <f>$C146*INDEX(Curves!$O$8:$O$68,T$4-$B146+1)</f>
        <v/>
      </c>
      <c r="U146" s="56">
        <f>$C146*INDEX(Curves!$O$8:$O$68,U$4-$B146+1)</f>
        <v/>
      </c>
      <c r="V146" s="56">
        <f>$C146*INDEX(Curves!$O$8:$O$68,V$4-$B146+1)</f>
        <v/>
      </c>
      <c r="W146" s="56">
        <f>$C146*INDEX(Curves!$O$8:$O$68,W$4-$B146+1)</f>
        <v/>
      </c>
      <c r="X146" s="56">
        <f>$C146*INDEX(Curves!$O$8:$O$68,X$4-$B146+1)</f>
        <v/>
      </c>
      <c r="Y146" s="56">
        <f>$C146*INDEX(Curves!$O$8:$O$68,Y$4-$B146+1)</f>
        <v/>
      </c>
      <c r="Z146" s="56">
        <f>$C146*INDEX(Curves!$O$8:$O$68,Z$4-$B146+1)</f>
        <v/>
      </c>
      <c r="AA146" s="56">
        <f>$C146*INDEX(Curves!$O$8:$O$68,AA$4-$B146+1)</f>
        <v/>
      </c>
      <c r="AB146" s="56">
        <f>$C146*INDEX(Curves!$O$8:$O$68,AB$4-$B146+1)</f>
        <v/>
      </c>
      <c r="AC146" s="56">
        <f>$C146*INDEX(Curves!$O$8:$O$68,AC$4-$B146+1)</f>
        <v/>
      </c>
      <c r="AD146" s="56">
        <f>$C146*INDEX(Curves!$O$8:$O$68,AD$4-$B146+1)</f>
        <v/>
      </c>
      <c r="AE146" s="56">
        <f>$C146*INDEX(Curves!$O$8:$O$68,AE$4-$B146+1)</f>
        <v/>
      </c>
      <c r="AF146" s="56">
        <f>$C146*INDEX(Curves!$O$8:$O$68,AF$4-$B146+1)</f>
        <v/>
      </c>
      <c r="AG146" s="56">
        <f>$C146*INDEX(Curves!$O$8:$O$68,AG$4-$B146+1)</f>
        <v/>
      </c>
      <c r="AH146" s="56">
        <f>$C146*INDEX(Curves!$O$8:$O$68,AH$4-$B146+1)</f>
        <v/>
      </c>
      <c r="AI146" s="56">
        <f>$C146*INDEX(Curves!$O$8:$O$68,AI$4-$B146+1)</f>
        <v/>
      </c>
      <c r="AJ146" s="56">
        <f>$C146*INDEX(Curves!$O$8:$O$68,AJ$4-$B146+1)</f>
        <v/>
      </c>
      <c r="AK146" s="56">
        <f>$C146*INDEX(Curves!$O$8:$O$68,AK$4-$B146+1)</f>
        <v/>
      </c>
      <c r="AL146" s="56">
        <f>$C146*INDEX(Curves!$O$8:$O$68,AL$4-$B146+1)</f>
        <v/>
      </c>
      <c r="AM146" s="56">
        <f>$C146*INDEX(Curves!$O$8:$O$68,AM$4-$B146+1)</f>
        <v/>
      </c>
      <c r="AN146" s="56">
        <f>$C146*INDEX(Curves!$O$8:$O$68,AN$4-$B146+1)</f>
        <v/>
      </c>
      <c r="AO146" s="56">
        <f>$C146*INDEX(Curves!$O$8:$O$68,AO$4-$B146+1)</f>
        <v/>
      </c>
      <c r="AP146" s="56">
        <f>$C146*INDEX(Curves!$O$8:$O$68,AP$4-$B146+1)</f>
        <v/>
      </c>
      <c r="AQ146" s="56">
        <f>$C146*INDEX(Curves!$O$8:$O$68,AQ$4-$B146+1)</f>
        <v/>
      </c>
      <c r="AR146" s="56">
        <f>$C146*INDEX(Curves!$O$8:$O$68,AR$4-$B146+1)</f>
        <v/>
      </c>
      <c r="AS146" s="56">
        <f>$C146*INDEX(Curves!$O$8:$O$68,AS$4-$B146+1)</f>
        <v/>
      </c>
      <c r="AT146" s="56">
        <f>$C146*INDEX(Curves!$O$8:$O$68,AT$4-$B146+1)</f>
        <v/>
      </c>
      <c r="AU146" s="56">
        <f>$C146*INDEX(Curves!$O$8:$O$68,AU$4-$B146+1)</f>
        <v/>
      </c>
      <c r="AV146" s="56">
        <f>$C146*INDEX(Curves!$O$8:$O$68,AV$4-$B146+1)</f>
        <v/>
      </c>
      <c r="AW146" s="56">
        <f>$C146*INDEX(Curves!$O$8:$O$68,AW$4-$B146+1)</f>
        <v/>
      </c>
      <c r="AX146" s="56">
        <f>$C146*INDEX(Curves!$O$8:$O$68,AX$4-$B146+1)</f>
        <v/>
      </c>
      <c r="AY146" s="56">
        <f>$C146*INDEX(Curves!$O$8:$O$68,AY$4-$B146+1)</f>
        <v/>
      </c>
      <c r="AZ146" s="56">
        <f>$C146*INDEX(Curves!$O$8:$O$68,AZ$4-$B146+1)</f>
        <v/>
      </c>
      <c r="BA146" s="56">
        <f>$C146*INDEX(Curves!$O$8:$O$68,BA$4-$B146+1)</f>
        <v/>
      </c>
      <c r="BB146" s="56">
        <f>$C146*INDEX(Curves!$O$8:$O$68,BB$4-$B146+1)</f>
        <v/>
      </c>
      <c r="BC146" s="56">
        <f>$C146*INDEX(Curves!$O$8:$O$68,BC$4-$B146+1)</f>
        <v/>
      </c>
      <c r="BD146" s="56">
        <f>$C146*INDEX(Curves!$O$8:$O$68,BD$4-$B146+1)</f>
        <v/>
      </c>
      <c r="BE146" s="56">
        <f>$C146*INDEX(Curves!$O$8:$O$68,BE$4-$B146+1)</f>
        <v/>
      </c>
      <c r="BF146" s="56">
        <f>$C146*INDEX(Curves!$O$8:$O$68,BF$4-$B146+1)</f>
        <v/>
      </c>
      <c r="BG146" s="56">
        <f>$C146*INDEX(Curves!$O$8:$O$68,BG$4-$B146+1)</f>
        <v/>
      </c>
      <c r="BH146" s="56">
        <f>$C146*INDEX(Curves!$O$8:$O$68,BH$4-$B146+1)</f>
        <v/>
      </c>
      <c r="BI146" s="56">
        <f>$C146*INDEX(Curves!$O$8:$O$68,BI$4-$B146+1)</f>
        <v/>
      </c>
      <c r="BJ146" s="56">
        <f>$C146*INDEX(Curves!$O$8:$O$68,BJ$4-$B146+1)</f>
        <v/>
      </c>
      <c r="BK146" s="56">
        <f>$C146*INDEX(Curves!$O$8:$O$68,BK$4-$B146+1)</f>
        <v/>
      </c>
      <c r="BL146" s="56">
        <f>$C146*INDEX(Curves!$O$8:$O$68,BL$4-$B146+1)</f>
        <v/>
      </c>
    </row>
    <row r="147">
      <c r="A147" s="55" t="inlineStr">
        <is>
          <t>Cohort month 12</t>
        </is>
      </c>
      <c r="B147" s="55" t="n">
        <v>12</v>
      </c>
      <c r="C147" s="46">
        <f>INDEX(Ops!$E$25:$BL$25,1,$B147)</f>
        <v/>
      </c>
      <c r="Q147" s="56">
        <f>$C147*INDEX(Curves!$O$8:$O$68,Q$4-$B147+1)</f>
        <v/>
      </c>
      <c r="R147" s="56">
        <f>$C147*INDEX(Curves!$O$8:$O$68,R$4-$B147+1)</f>
        <v/>
      </c>
      <c r="S147" s="56">
        <f>$C147*INDEX(Curves!$O$8:$O$68,S$4-$B147+1)</f>
        <v/>
      </c>
      <c r="T147" s="56">
        <f>$C147*INDEX(Curves!$O$8:$O$68,T$4-$B147+1)</f>
        <v/>
      </c>
      <c r="U147" s="56">
        <f>$C147*INDEX(Curves!$O$8:$O$68,U$4-$B147+1)</f>
        <v/>
      </c>
      <c r="V147" s="56">
        <f>$C147*INDEX(Curves!$O$8:$O$68,V$4-$B147+1)</f>
        <v/>
      </c>
      <c r="W147" s="56">
        <f>$C147*INDEX(Curves!$O$8:$O$68,W$4-$B147+1)</f>
        <v/>
      </c>
      <c r="X147" s="56">
        <f>$C147*INDEX(Curves!$O$8:$O$68,X$4-$B147+1)</f>
        <v/>
      </c>
      <c r="Y147" s="56">
        <f>$C147*INDEX(Curves!$O$8:$O$68,Y$4-$B147+1)</f>
        <v/>
      </c>
      <c r="Z147" s="56">
        <f>$C147*INDEX(Curves!$O$8:$O$68,Z$4-$B147+1)</f>
        <v/>
      </c>
      <c r="AA147" s="56">
        <f>$C147*INDEX(Curves!$O$8:$O$68,AA$4-$B147+1)</f>
        <v/>
      </c>
      <c r="AB147" s="56">
        <f>$C147*INDEX(Curves!$O$8:$O$68,AB$4-$B147+1)</f>
        <v/>
      </c>
      <c r="AC147" s="56">
        <f>$C147*INDEX(Curves!$O$8:$O$68,AC$4-$B147+1)</f>
        <v/>
      </c>
      <c r="AD147" s="56">
        <f>$C147*INDEX(Curves!$O$8:$O$68,AD$4-$B147+1)</f>
        <v/>
      </c>
      <c r="AE147" s="56">
        <f>$C147*INDEX(Curves!$O$8:$O$68,AE$4-$B147+1)</f>
        <v/>
      </c>
      <c r="AF147" s="56">
        <f>$C147*INDEX(Curves!$O$8:$O$68,AF$4-$B147+1)</f>
        <v/>
      </c>
      <c r="AG147" s="56">
        <f>$C147*INDEX(Curves!$O$8:$O$68,AG$4-$B147+1)</f>
        <v/>
      </c>
      <c r="AH147" s="56">
        <f>$C147*INDEX(Curves!$O$8:$O$68,AH$4-$B147+1)</f>
        <v/>
      </c>
      <c r="AI147" s="56">
        <f>$C147*INDEX(Curves!$O$8:$O$68,AI$4-$B147+1)</f>
        <v/>
      </c>
      <c r="AJ147" s="56">
        <f>$C147*INDEX(Curves!$O$8:$O$68,AJ$4-$B147+1)</f>
        <v/>
      </c>
      <c r="AK147" s="56">
        <f>$C147*INDEX(Curves!$O$8:$O$68,AK$4-$B147+1)</f>
        <v/>
      </c>
      <c r="AL147" s="56">
        <f>$C147*INDEX(Curves!$O$8:$O$68,AL$4-$B147+1)</f>
        <v/>
      </c>
      <c r="AM147" s="56">
        <f>$C147*INDEX(Curves!$O$8:$O$68,AM$4-$B147+1)</f>
        <v/>
      </c>
      <c r="AN147" s="56">
        <f>$C147*INDEX(Curves!$O$8:$O$68,AN$4-$B147+1)</f>
        <v/>
      </c>
      <c r="AO147" s="56">
        <f>$C147*INDEX(Curves!$O$8:$O$68,AO$4-$B147+1)</f>
        <v/>
      </c>
      <c r="AP147" s="56">
        <f>$C147*INDEX(Curves!$O$8:$O$68,AP$4-$B147+1)</f>
        <v/>
      </c>
      <c r="AQ147" s="56">
        <f>$C147*INDEX(Curves!$O$8:$O$68,AQ$4-$B147+1)</f>
        <v/>
      </c>
      <c r="AR147" s="56">
        <f>$C147*INDEX(Curves!$O$8:$O$68,AR$4-$B147+1)</f>
        <v/>
      </c>
      <c r="AS147" s="56">
        <f>$C147*INDEX(Curves!$O$8:$O$68,AS$4-$B147+1)</f>
        <v/>
      </c>
      <c r="AT147" s="56">
        <f>$C147*INDEX(Curves!$O$8:$O$68,AT$4-$B147+1)</f>
        <v/>
      </c>
      <c r="AU147" s="56">
        <f>$C147*INDEX(Curves!$O$8:$O$68,AU$4-$B147+1)</f>
        <v/>
      </c>
      <c r="AV147" s="56">
        <f>$C147*INDEX(Curves!$O$8:$O$68,AV$4-$B147+1)</f>
        <v/>
      </c>
      <c r="AW147" s="56">
        <f>$C147*INDEX(Curves!$O$8:$O$68,AW$4-$B147+1)</f>
        <v/>
      </c>
      <c r="AX147" s="56">
        <f>$C147*INDEX(Curves!$O$8:$O$68,AX$4-$B147+1)</f>
        <v/>
      </c>
      <c r="AY147" s="56">
        <f>$C147*INDEX(Curves!$O$8:$O$68,AY$4-$B147+1)</f>
        <v/>
      </c>
      <c r="AZ147" s="56">
        <f>$C147*INDEX(Curves!$O$8:$O$68,AZ$4-$B147+1)</f>
        <v/>
      </c>
      <c r="BA147" s="56">
        <f>$C147*INDEX(Curves!$O$8:$O$68,BA$4-$B147+1)</f>
        <v/>
      </c>
      <c r="BB147" s="56">
        <f>$C147*INDEX(Curves!$O$8:$O$68,BB$4-$B147+1)</f>
        <v/>
      </c>
      <c r="BC147" s="56">
        <f>$C147*INDEX(Curves!$O$8:$O$68,BC$4-$B147+1)</f>
        <v/>
      </c>
      <c r="BD147" s="56">
        <f>$C147*INDEX(Curves!$O$8:$O$68,BD$4-$B147+1)</f>
        <v/>
      </c>
      <c r="BE147" s="56">
        <f>$C147*INDEX(Curves!$O$8:$O$68,BE$4-$B147+1)</f>
        <v/>
      </c>
      <c r="BF147" s="56">
        <f>$C147*INDEX(Curves!$O$8:$O$68,BF$4-$B147+1)</f>
        <v/>
      </c>
      <c r="BG147" s="56">
        <f>$C147*INDEX(Curves!$O$8:$O$68,BG$4-$B147+1)</f>
        <v/>
      </c>
      <c r="BH147" s="56">
        <f>$C147*INDEX(Curves!$O$8:$O$68,BH$4-$B147+1)</f>
        <v/>
      </c>
      <c r="BI147" s="56">
        <f>$C147*INDEX(Curves!$O$8:$O$68,BI$4-$B147+1)</f>
        <v/>
      </c>
      <c r="BJ147" s="56">
        <f>$C147*INDEX(Curves!$O$8:$O$68,BJ$4-$B147+1)</f>
        <v/>
      </c>
      <c r="BK147" s="56">
        <f>$C147*INDEX(Curves!$O$8:$O$68,BK$4-$B147+1)</f>
        <v/>
      </c>
      <c r="BL147" s="56">
        <f>$C147*INDEX(Curves!$O$8:$O$68,BL$4-$B147+1)</f>
        <v/>
      </c>
    </row>
    <row r="148">
      <c r="A148" s="55" t="inlineStr">
        <is>
          <t>Cohort month 13</t>
        </is>
      </c>
      <c r="B148" s="55" t="n">
        <v>13</v>
      </c>
      <c r="C148" s="46">
        <f>INDEX(Ops!$E$25:$BL$25,1,$B148)</f>
        <v/>
      </c>
      <c r="R148" s="56">
        <f>$C148*INDEX(Curves!$O$8:$O$68,R$4-$B148+1)</f>
        <v/>
      </c>
      <c r="S148" s="56">
        <f>$C148*INDEX(Curves!$O$8:$O$68,S$4-$B148+1)</f>
        <v/>
      </c>
      <c r="T148" s="56">
        <f>$C148*INDEX(Curves!$O$8:$O$68,T$4-$B148+1)</f>
        <v/>
      </c>
      <c r="U148" s="56">
        <f>$C148*INDEX(Curves!$O$8:$O$68,U$4-$B148+1)</f>
        <v/>
      </c>
      <c r="V148" s="56">
        <f>$C148*INDEX(Curves!$O$8:$O$68,V$4-$B148+1)</f>
        <v/>
      </c>
      <c r="W148" s="56">
        <f>$C148*INDEX(Curves!$O$8:$O$68,W$4-$B148+1)</f>
        <v/>
      </c>
      <c r="X148" s="56">
        <f>$C148*INDEX(Curves!$O$8:$O$68,X$4-$B148+1)</f>
        <v/>
      </c>
      <c r="Y148" s="56">
        <f>$C148*INDEX(Curves!$O$8:$O$68,Y$4-$B148+1)</f>
        <v/>
      </c>
      <c r="Z148" s="56">
        <f>$C148*INDEX(Curves!$O$8:$O$68,Z$4-$B148+1)</f>
        <v/>
      </c>
      <c r="AA148" s="56">
        <f>$C148*INDEX(Curves!$O$8:$O$68,AA$4-$B148+1)</f>
        <v/>
      </c>
      <c r="AB148" s="56">
        <f>$C148*INDEX(Curves!$O$8:$O$68,AB$4-$B148+1)</f>
        <v/>
      </c>
      <c r="AC148" s="56">
        <f>$C148*INDEX(Curves!$O$8:$O$68,AC$4-$B148+1)</f>
        <v/>
      </c>
      <c r="AD148" s="56">
        <f>$C148*INDEX(Curves!$O$8:$O$68,AD$4-$B148+1)</f>
        <v/>
      </c>
      <c r="AE148" s="56">
        <f>$C148*INDEX(Curves!$O$8:$O$68,AE$4-$B148+1)</f>
        <v/>
      </c>
      <c r="AF148" s="56">
        <f>$C148*INDEX(Curves!$O$8:$O$68,AF$4-$B148+1)</f>
        <v/>
      </c>
      <c r="AG148" s="56">
        <f>$C148*INDEX(Curves!$O$8:$O$68,AG$4-$B148+1)</f>
        <v/>
      </c>
      <c r="AH148" s="56">
        <f>$C148*INDEX(Curves!$O$8:$O$68,AH$4-$B148+1)</f>
        <v/>
      </c>
      <c r="AI148" s="56">
        <f>$C148*INDEX(Curves!$O$8:$O$68,AI$4-$B148+1)</f>
        <v/>
      </c>
      <c r="AJ148" s="56">
        <f>$C148*INDEX(Curves!$O$8:$O$68,AJ$4-$B148+1)</f>
        <v/>
      </c>
      <c r="AK148" s="56">
        <f>$C148*INDEX(Curves!$O$8:$O$68,AK$4-$B148+1)</f>
        <v/>
      </c>
      <c r="AL148" s="56">
        <f>$C148*INDEX(Curves!$O$8:$O$68,AL$4-$B148+1)</f>
        <v/>
      </c>
      <c r="AM148" s="56">
        <f>$C148*INDEX(Curves!$O$8:$O$68,AM$4-$B148+1)</f>
        <v/>
      </c>
      <c r="AN148" s="56">
        <f>$C148*INDEX(Curves!$O$8:$O$68,AN$4-$B148+1)</f>
        <v/>
      </c>
      <c r="AO148" s="56">
        <f>$C148*INDEX(Curves!$O$8:$O$68,AO$4-$B148+1)</f>
        <v/>
      </c>
      <c r="AP148" s="56">
        <f>$C148*INDEX(Curves!$O$8:$O$68,AP$4-$B148+1)</f>
        <v/>
      </c>
      <c r="AQ148" s="56">
        <f>$C148*INDEX(Curves!$O$8:$O$68,AQ$4-$B148+1)</f>
        <v/>
      </c>
      <c r="AR148" s="56">
        <f>$C148*INDEX(Curves!$O$8:$O$68,AR$4-$B148+1)</f>
        <v/>
      </c>
      <c r="AS148" s="56">
        <f>$C148*INDEX(Curves!$O$8:$O$68,AS$4-$B148+1)</f>
        <v/>
      </c>
      <c r="AT148" s="56">
        <f>$C148*INDEX(Curves!$O$8:$O$68,AT$4-$B148+1)</f>
        <v/>
      </c>
      <c r="AU148" s="56">
        <f>$C148*INDEX(Curves!$O$8:$O$68,AU$4-$B148+1)</f>
        <v/>
      </c>
      <c r="AV148" s="56">
        <f>$C148*INDEX(Curves!$O$8:$O$68,AV$4-$B148+1)</f>
        <v/>
      </c>
      <c r="AW148" s="56">
        <f>$C148*INDEX(Curves!$O$8:$O$68,AW$4-$B148+1)</f>
        <v/>
      </c>
      <c r="AX148" s="56">
        <f>$C148*INDEX(Curves!$O$8:$O$68,AX$4-$B148+1)</f>
        <v/>
      </c>
      <c r="AY148" s="56">
        <f>$C148*INDEX(Curves!$O$8:$O$68,AY$4-$B148+1)</f>
        <v/>
      </c>
      <c r="AZ148" s="56">
        <f>$C148*INDEX(Curves!$O$8:$O$68,AZ$4-$B148+1)</f>
        <v/>
      </c>
      <c r="BA148" s="56">
        <f>$C148*INDEX(Curves!$O$8:$O$68,BA$4-$B148+1)</f>
        <v/>
      </c>
      <c r="BB148" s="56">
        <f>$C148*INDEX(Curves!$O$8:$O$68,BB$4-$B148+1)</f>
        <v/>
      </c>
      <c r="BC148" s="56">
        <f>$C148*INDEX(Curves!$O$8:$O$68,BC$4-$B148+1)</f>
        <v/>
      </c>
      <c r="BD148" s="56">
        <f>$C148*INDEX(Curves!$O$8:$O$68,BD$4-$B148+1)</f>
        <v/>
      </c>
      <c r="BE148" s="56">
        <f>$C148*INDEX(Curves!$O$8:$O$68,BE$4-$B148+1)</f>
        <v/>
      </c>
      <c r="BF148" s="56">
        <f>$C148*INDEX(Curves!$O$8:$O$68,BF$4-$B148+1)</f>
        <v/>
      </c>
      <c r="BG148" s="56">
        <f>$C148*INDEX(Curves!$O$8:$O$68,BG$4-$B148+1)</f>
        <v/>
      </c>
      <c r="BH148" s="56">
        <f>$C148*INDEX(Curves!$O$8:$O$68,BH$4-$B148+1)</f>
        <v/>
      </c>
      <c r="BI148" s="56">
        <f>$C148*INDEX(Curves!$O$8:$O$68,BI$4-$B148+1)</f>
        <v/>
      </c>
      <c r="BJ148" s="56">
        <f>$C148*INDEX(Curves!$O$8:$O$68,BJ$4-$B148+1)</f>
        <v/>
      </c>
      <c r="BK148" s="56">
        <f>$C148*INDEX(Curves!$O$8:$O$68,BK$4-$B148+1)</f>
        <v/>
      </c>
      <c r="BL148" s="56">
        <f>$C148*INDEX(Curves!$O$8:$O$68,BL$4-$B148+1)</f>
        <v/>
      </c>
    </row>
    <row r="149">
      <c r="A149" s="55" t="inlineStr">
        <is>
          <t>Cohort month 14</t>
        </is>
      </c>
      <c r="B149" s="55" t="n">
        <v>14</v>
      </c>
      <c r="C149" s="46">
        <f>INDEX(Ops!$E$25:$BL$25,1,$B149)</f>
        <v/>
      </c>
      <c r="S149" s="56">
        <f>$C149*INDEX(Curves!$O$8:$O$68,S$4-$B149+1)</f>
        <v/>
      </c>
      <c r="T149" s="56">
        <f>$C149*INDEX(Curves!$O$8:$O$68,T$4-$B149+1)</f>
        <v/>
      </c>
      <c r="U149" s="56">
        <f>$C149*INDEX(Curves!$O$8:$O$68,U$4-$B149+1)</f>
        <v/>
      </c>
      <c r="V149" s="56">
        <f>$C149*INDEX(Curves!$O$8:$O$68,V$4-$B149+1)</f>
        <v/>
      </c>
      <c r="W149" s="56">
        <f>$C149*INDEX(Curves!$O$8:$O$68,W$4-$B149+1)</f>
        <v/>
      </c>
      <c r="X149" s="56">
        <f>$C149*INDEX(Curves!$O$8:$O$68,X$4-$B149+1)</f>
        <v/>
      </c>
      <c r="Y149" s="56">
        <f>$C149*INDEX(Curves!$O$8:$O$68,Y$4-$B149+1)</f>
        <v/>
      </c>
      <c r="Z149" s="56">
        <f>$C149*INDEX(Curves!$O$8:$O$68,Z$4-$B149+1)</f>
        <v/>
      </c>
      <c r="AA149" s="56">
        <f>$C149*INDEX(Curves!$O$8:$O$68,AA$4-$B149+1)</f>
        <v/>
      </c>
      <c r="AB149" s="56">
        <f>$C149*INDEX(Curves!$O$8:$O$68,AB$4-$B149+1)</f>
        <v/>
      </c>
      <c r="AC149" s="56">
        <f>$C149*INDEX(Curves!$O$8:$O$68,AC$4-$B149+1)</f>
        <v/>
      </c>
      <c r="AD149" s="56">
        <f>$C149*INDEX(Curves!$O$8:$O$68,AD$4-$B149+1)</f>
        <v/>
      </c>
      <c r="AE149" s="56">
        <f>$C149*INDEX(Curves!$O$8:$O$68,AE$4-$B149+1)</f>
        <v/>
      </c>
      <c r="AF149" s="56">
        <f>$C149*INDEX(Curves!$O$8:$O$68,AF$4-$B149+1)</f>
        <v/>
      </c>
      <c r="AG149" s="56">
        <f>$C149*INDEX(Curves!$O$8:$O$68,AG$4-$B149+1)</f>
        <v/>
      </c>
      <c r="AH149" s="56">
        <f>$C149*INDEX(Curves!$O$8:$O$68,AH$4-$B149+1)</f>
        <v/>
      </c>
      <c r="AI149" s="56">
        <f>$C149*INDEX(Curves!$O$8:$O$68,AI$4-$B149+1)</f>
        <v/>
      </c>
      <c r="AJ149" s="56">
        <f>$C149*INDEX(Curves!$O$8:$O$68,AJ$4-$B149+1)</f>
        <v/>
      </c>
      <c r="AK149" s="56">
        <f>$C149*INDEX(Curves!$O$8:$O$68,AK$4-$B149+1)</f>
        <v/>
      </c>
      <c r="AL149" s="56">
        <f>$C149*INDEX(Curves!$O$8:$O$68,AL$4-$B149+1)</f>
        <v/>
      </c>
      <c r="AM149" s="56">
        <f>$C149*INDEX(Curves!$O$8:$O$68,AM$4-$B149+1)</f>
        <v/>
      </c>
      <c r="AN149" s="56">
        <f>$C149*INDEX(Curves!$O$8:$O$68,AN$4-$B149+1)</f>
        <v/>
      </c>
      <c r="AO149" s="56">
        <f>$C149*INDEX(Curves!$O$8:$O$68,AO$4-$B149+1)</f>
        <v/>
      </c>
      <c r="AP149" s="56">
        <f>$C149*INDEX(Curves!$O$8:$O$68,AP$4-$B149+1)</f>
        <v/>
      </c>
      <c r="AQ149" s="56">
        <f>$C149*INDEX(Curves!$O$8:$O$68,AQ$4-$B149+1)</f>
        <v/>
      </c>
      <c r="AR149" s="56">
        <f>$C149*INDEX(Curves!$O$8:$O$68,AR$4-$B149+1)</f>
        <v/>
      </c>
      <c r="AS149" s="56">
        <f>$C149*INDEX(Curves!$O$8:$O$68,AS$4-$B149+1)</f>
        <v/>
      </c>
      <c r="AT149" s="56">
        <f>$C149*INDEX(Curves!$O$8:$O$68,AT$4-$B149+1)</f>
        <v/>
      </c>
      <c r="AU149" s="56">
        <f>$C149*INDEX(Curves!$O$8:$O$68,AU$4-$B149+1)</f>
        <v/>
      </c>
      <c r="AV149" s="56">
        <f>$C149*INDEX(Curves!$O$8:$O$68,AV$4-$B149+1)</f>
        <v/>
      </c>
      <c r="AW149" s="56">
        <f>$C149*INDEX(Curves!$O$8:$O$68,AW$4-$B149+1)</f>
        <v/>
      </c>
      <c r="AX149" s="56">
        <f>$C149*INDEX(Curves!$O$8:$O$68,AX$4-$B149+1)</f>
        <v/>
      </c>
      <c r="AY149" s="56">
        <f>$C149*INDEX(Curves!$O$8:$O$68,AY$4-$B149+1)</f>
        <v/>
      </c>
      <c r="AZ149" s="56">
        <f>$C149*INDEX(Curves!$O$8:$O$68,AZ$4-$B149+1)</f>
        <v/>
      </c>
      <c r="BA149" s="56">
        <f>$C149*INDEX(Curves!$O$8:$O$68,BA$4-$B149+1)</f>
        <v/>
      </c>
      <c r="BB149" s="56">
        <f>$C149*INDEX(Curves!$O$8:$O$68,BB$4-$B149+1)</f>
        <v/>
      </c>
      <c r="BC149" s="56">
        <f>$C149*INDEX(Curves!$O$8:$O$68,BC$4-$B149+1)</f>
        <v/>
      </c>
      <c r="BD149" s="56">
        <f>$C149*INDEX(Curves!$O$8:$O$68,BD$4-$B149+1)</f>
        <v/>
      </c>
      <c r="BE149" s="56">
        <f>$C149*INDEX(Curves!$O$8:$O$68,BE$4-$B149+1)</f>
        <v/>
      </c>
      <c r="BF149" s="56">
        <f>$C149*INDEX(Curves!$O$8:$O$68,BF$4-$B149+1)</f>
        <v/>
      </c>
      <c r="BG149" s="56">
        <f>$C149*INDEX(Curves!$O$8:$O$68,BG$4-$B149+1)</f>
        <v/>
      </c>
      <c r="BH149" s="56">
        <f>$C149*INDEX(Curves!$O$8:$O$68,BH$4-$B149+1)</f>
        <v/>
      </c>
      <c r="BI149" s="56">
        <f>$C149*INDEX(Curves!$O$8:$O$68,BI$4-$B149+1)</f>
        <v/>
      </c>
      <c r="BJ149" s="56">
        <f>$C149*INDEX(Curves!$O$8:$O$68,BJ$4-$B149+1)</f>
        <v/>
      </c>
      <c r="BK149" s="56">
        <f>$C149*INDEX(Curves!$O$8:$O$68,BK$4-$B149+1)</f>
        <v/>
      </c>
      <c r="BL149" s="56">
        <f>$C149*INDEX(Curves!$O$8:$O$68,BL$4-$B149+1)</f>
        <v/>
      </c>
    </row>
    <row r="150">
      <c r="A150" s="55" t="inlineStr">
        <is>
          <t>Cohort month 15</t>
        </is>
      </c>
      <c r="B150" s="55" t="n">
        <v>15</v>
      </c>
      <c r="C150" s="46">
        <f>INDEX(Ops!$E$25:$BL$25,1,$B150)</f>
        <v/>
      </c>
      <c r="T150" s="56">
        <f>$C150*INDEX(Curves!$O$8:$O$68,T$4-$B150+1)</f>
        <v/>
      </c>
      <c r="U150" s="56">
        <f>$C150*INDEX(Curves!$O$8:$O$68,U$4-$B150+1)</f>
        <v/>
      </c>
      <c r="V150" s="56">
        <f>$C150*INDEX(Curves!$O$8:$O$68,V$4-$B150+1)</f>
        <v/>
      </c>
      <c r="W150" s="56">
        <f>$C150*INDEX(Curves!$O$8:$O$68,W$4-$B150+1)</f>
        <v/>
      </c>
      <c r="X150" s="56">
        <f>$C150*INDEX(Curves!$O$8:$O$68,X$4-$B150+1)</f>
        <v/>
      </c>
      <c r="Y150" s="56">
        <f>$C150*INDEX(Curves!$O$8:$O$68,Y$4-$B150+1)</f>
        <v/>
      </c>
      <c r="Z150" s="56">
        <f>$C150*INDEX(Curves!$O$8:$O$68,Z$4-$B150+1)</f>
        <v/>
      </c>
      <c r="AA150" s="56">
        <f>$C150*INDEX(Curves!$O$8:$O$68,AA$4-$B150+1)</f>
        <v/>
      </c>
      <c r="AB150" s="56">
        <f>$C150*INDEX(Curves!$O$8:$O$68,AB$4-$B150+1)</f>
        <v/>
      </c>
      <c r="AC150" s="56">
        <f>$C150*INDEX(Curves!$O$8:$O$68,AC$4-$B150+1)</f>
        <v/>
      </c>
      <c r="AD150" s="56">
        <f>$C150*INDEX(Curves!$O$8:$O$68,AD$4-$B150+1)</f>
        <v/>
      </c>
      <c r="AE150" s="56">
        <f>$C150*INDEX(Curves!$O$8:$O$68,AE$4-$B150+1)</f>
        <v/>
      </c>
      <c r="AF150" s="56">
        <f>$C150*INDEX(Curves!$O$8:$O$68,AF$4-$B150+1)</f>
        <v/>
      </c>
      <c r="AG150" s="56">
        <f>$C150*INDEX(Curves!$O$8:$O$68,AG$4-$B150+1)</f>
        <v/>
      </c>
      <c r="AH150" s="56">
        <f>$C150*INDEX(Curves!$O$8:$O$68,AH$4-$B150+1)</f>
        <v/>
      </c>
      <c r="AI150" s="56">
        <f>$C150*INDEX(Curves!$O$8:$O$68,AI$4-$B150+1)</f>
        <v/>
      </c>
      <c r="AJ150" s="56">
        <f>$C150*INDEX(Curves!$O$8:$O$68,AJ$4-$B150+1)</f>
        <v/>
      </c>
      <c r="AK150" s="56">
        <f>$C150*INDEX(Curves!$O$8:$O$68,AK$4-$B150+1)</f>
        <v/>
      </c>
      <c r="AL150" s="56">
        <f>$C150*INDEX(Curves!$O$8:$O$68,AL$4-$B150+1)</f>
        <v/>
      </c>
      <c r="AM150" s="56">
        <f>$C150*INDEX(Curves!$O$8:$O$68,AM$4-$B150+1)</f>
        <v/>
      </c>
      <c r="AN150" s="56">
        <f>$C150*INDEX(Curves!$O$8:$O$68,AN$4-$B150+1)</f>
        <v/>
      </c>
      <c r="AO150" s="56">
        <f>$C150*INDEX(Curves!$O$8:$O$68,AO$4-$B150+1)</f>
        <v/>
      </c>
      <c r="AP150" s="56">
        <f>$C150*INDEX(Curves!$O$8:$O$68,AP$4-$B150+1)</f>
        <v/>
      </c>
      <c r="AQ150" s="56">
        <f>$C150*INDEX(Curves!$O$8:$O$68,AQ$4-$B150+1)</f>
        <v/>
      </c>
      <c r="AR150" s="56">
        <f>$C150*INDEX(Curves!$O$8:$O$68,AR$4-$B150+1)</f>
        <v/>
      </c>
      <c r="AS150" s="56">
        <f>$C150*INDEX(Curves!$O$8:$O$68,AS$4-$B150+1)</f>
        <v/>
      </c>
      <c r="AT150" s="56">
        <f>$C150*INDEX(Curves!$O$8:$O$68,AT$4-$B150+1)</f>
        <v/>
      </c>
      <c r="AU150" s="56">
        <f>$C150*INDEX(Curves!$O$8:$O$68,AU$4-$B150+1)</f>
        <v/>
      </c>
      <c r="AV150" s="56">
        <f>$C150*INDEX(Curves!$O$8:$O$68,AV$4-$B150+1)</f>
        <v/>
      </c>
      <c r="AW150" s="56">
        <f>$C150*INDEX(Curves!$O$8:$O$68,AW$4-$B150+1)</f>
        <v/>
      </c>
      <c r="AX150" s="56">
        <f>$C150*INDEX(Curves!$O$8:$O$68,AX$4-$B150+1)</f>
        <v/>
      </c>
      <c r="AY150" s="56">
        <f>$C150*INDEX(Curves!$O$8:$O$68,AY$4-$B150+1)</f>
        <v/>
      </c>
      <c r="AZ150" s="56">
        <f>$C150*INDEX(Curves!$O$8:$O$68,AZ$4-$B150+1)</f>
        <v/>
      </c>
      <c r="BA150" s="56">
        <f>$C150*INDEX(Curves!$O$8:$O$68,BA$4-$B150+1)</f>
        <v/>
      </c>
      <c r="BB150" s="56">
        <f>$C150*INDEX(Curves!$O$8:$O$68,BB$4-$B150+1)</f>
        <v/>
      </c>
      <c r="BC150" s="56">
        <f>$C150*INDEX(Curves!$O$8:$O$68,BC$4-$B150+1)</f>
        <v/>
      </c>
      <c r="BD150" s="56">
        <f>$C150*INDEX(Curves!$O$8:$O$68,BD$4-$B150+1)</f>
        <v/>
      </c>
      <c r="BE150" s="56">
        <f>$C150*INDEX(Curves!$O$8:$O$68,BE$4-$B150+1)</f>
        <v/>
      </c>
      <c r="BF150" s="56">
        <f>$C150*INDEX(Curves!$O$8:$O$68,BF$4-$B150+1)</f>
        <v/>
      </c>
      <c r="BG150" s="56">
        <f>$C150*INDEX(Curves!$O$8:$O$68,BG$4-$B150+1)</f>
        <v/>
      </c>
      <c r="BH150" s="56">
        <f>$C150*INDEX(Curves!$O$8:$O$68,BH$4-$B150+1)</f>
        <v/>
      </c>
      <c r="BI150" s="56">
        <f>$C150*INDEX(Curves!$O$8:$O$68,BI$4-$B150+1)</f>
        <v/>
      </c>
      <c r="BJ150" s="56">
        <f>$C150*INDEX(Curves!$O$8:$O$68,BJ$4-$B150+1)</f>
        <v/>
      </c>
      <c r="BK150" s="56">
        <f>$C150*INDEX(Curves!$O$8:$O$68,BK$4-$B150+1)</f>
        <v/>
      </c>
      <c r="BL150" s="56">
        <f>$C150*INDEX(Curves!$O$8:$O$68,BL$4-$B150+1)</f>
        <v/>
      </c>
    </row>
    <row r="151">
      <c r="A151" s="55" t="inlineStr">
        <is>
          <t>Cohort month 16</t>
        </is>
      </c>
      <c r="B151" s="55" t="n">
        <v>16</v>
      </c>
      <c r="C151" s="46">
        <f>INDEX(Ops!$E$25:$BL$25,1,$B151)</f>
        <v/>
      </c>
      <c r="U151" s="56">
        <f>$C151*INDEX(Curves!$O$8:$O$68,U$4-$B151+1)</f>
        <v/>
      </c>
      <c r="V151" s="56">
        <f>$C151*INDEX(Curves!$O$8:$O$68,V$4-$B151+1)</f>
        <v/>
      </c>
      <c r="W151" s="56">
        <f>$C151*INDEX(Curves!$O$8:$O$68,W$4-$B151+1)</f>
        <v/>
      </c>
      <c r="X151" s="56">
        <f>$C151*INDEX(Curves!$O$8:$O$68,X$4-$B151+1)</f>
        <v/>
      </c>
      <c r="Y151" s="56">
        <f>$C151*INDEX(Curves!$O$8:$O$68,Y$4-$B151+1)</f>
        <v/>
      </c>
      <c r="Z151" s="56">
        <f>$C151*INDEX(Curves!$O$8:$O$68,Z$4-$B151+1)</f>
        <v/>
      </c>
      <c r="AA151" s="56">
        <f>$C151*INDEX(Curves!$O$8:$O$68,AA$4-$B151+1)</f>
        <v/>
      </c>
      <c r="AB151" s="56">
        <f>$C151*INDEX(Curves!$O$8:$O$68,AB$4-$B151+1)</f>
        <v/>
      </c>
      <c r="AC151" s="56">
        <f>$C151*INDEX(Curves!$O$8:$O$68,AC$4-$B151+1)</f>
        <v/>
      </c>
      <c r="AD151" s="56">
        <f>$C151*INDEX(Curves!$O$8:$O$68,AD$4-$B151+1)</f>
        <v/>
      </c>
      <c r="AE151" s="56">
        <f>$C151*INDEX(Curves!$O$8:$O$68,AE$4-$B151+1)</f>
        <v/>
      </c>
      <c r="AF151" s="56">
        <f>$C151*INDEX(Curves!$O$8:$O$68,AF$4-$B151+1)</f>
        <v/>
      </c>
      <c r="AG151" s="56">
        <f>$C151*INDEX(Curves!$O$8:$O$68,AG$4-$B151+1)</f>
        <v/>
      </c>
      <c r="AH151" s="56">
        <f>$C151*INDEX(Curves!$O$8:$O$68,AH$4-$B151+1)</f>
        <v/>
      </c>
      <c r="AI151" s="56">
        <f>$C151*INDEX(Curves!$O$8:$O$68,AI$4-$B151+1)</f>
        <v/>
      </c>
      <c r="AJ151" s="56">
        <f>$C151*INDEX(Curves!$O$8:$O$68,AJ$4-$B151+1)</f>
        <v/>
      </c>
      <c r="AK151" s="56">
        <f>$C151*INDEX(Curves!$O$8:$O$68,AK$4-$B151+1)</f>
        <v/>
      </c>
      <c r="AL151" s="56">
        <f>$C151*INDEX(Curves!$O$8:$O$68,AL$4-$B151+1)</f>
        <v/>
      </c>
      <c r="AM151" s="56">
        <f>$C151*INDEX(Curves!$O$8:$O$68,AM$4-$B151+1)</f>
        <v/>
      </c>
      <c r="AN151" s="56">
        <f>$C151*INDEX(Curves!$O$8:$O$68,AN$4-$B151+1)</f>
        <v/>
      </c>
      <c r="AO151" s="56">
        <f>$C151*INDEX(Curves!$O$8:$O$68,AO$4-$B151+1)</f>
        <v/>
      </c>
      <c r="AP151" s="56">
        <f>$C151*INDEX(Curves!$O$8:$O$68,AP$4-$B151+1)</f>
        <v/>
      </c>
      <c r="AQ151" s="56">
        <f>$C151*INDEX(Curves!$O$8:$O$68,AQ$4-$B151+1)</f>
        <v/>
      </c>
      <c r="AR151" s="56">
        <f>$C151*INDEX(Curves!$O$8:$O$68,AR$4-$B151+1)</f>
        <v/>
      </c>
      <c r="AS151" s="56">
        <f>$C151*INDEX(Curves!$O$8:$O$68,AS$4-$B151+1)</f>
        <v/>
      </c>
      <c r="AT151" s="56">
        <f>$C151*INDEX(Curves!$O$8:$O$68,AT$4-$B151+1)</f>
        <v/>
      </c>
      <c r="AU151" s="56">
        <f>$C151*INDEX(Curves!$O$8:$O$68,AU$4-$B151+1)</f>
        <v/>
      </c>
      <c r="AV151" s="56">
        <f>$C151*INDEX(Curves!$O$8:$O$68,AV$4-$B151+1)</f>
        <v/>
      </c>
      <c r="AW151" s="56">
        <f>$C151*INDEX(Curves!$O$8:$O$68,AW$4-$B151+1)</f>
        <v/>
      </c>
      <c r="AX151" s="56">
        <f>$C151*INDEX(Curves!$O$8:$O$68,AX$4-$B151+1)</f>
        <v/>
      </c>
      <c r="AY151" s="56">
        <f>$C151*INDEX(Curves!$O$8:$O$68,AY$4-$B151+1)</f>
        <v/>
      </c>
      <c r="AZ151" s="56">
        <f>$C151*INDEX(Curves!$O$8:$O$68,AZ$4-$B151+1)</f>
        <v/>
      </c>
      <c r="BA151" s="56">
        <f>$C151*INDEX(Curves!$O$8:$O$68,BA$4-$B151+1)</f>
        <v/>
      </c>
      <c r="BB151" s="56">
        <f>$C151*INDEX(Curves!$O$8:$O$68,BB$4-$B151+1)</f>
        <v/>
      </c>
      <c r="BC151" s="56">
        <f>$C151*INDEX(Curves!$O$8:$O$68,BC$4-$B151+1)</f>
        <v/>
      </c>
      <c r="BD151" s="56">
        <f>$C151*INDEX(Curves!$O$8:$O$68,BD$4-$B151+1)</f>
        <v/>
      </c>
      <c r="BE151" s="56">
        <f>$C151*INDEX(Curves!$O$8:$O$68,BE$4-$B151+1)</f>
        <v/>
      </c>
      <c r="BF151" s="56">
        <f>$C151*INDEX(Curves!$O$8:$O$68,BF$4-$B151+1)</f>
        <v/>
      </c>
      <c r="BG151" s="56">
        <f>$C151*INDEX(Curves!$O$8:$O$68,BG$4-$B151+1)</f>
        <v/>
      </c>
      <c r="BH151" s="56">
        <f>$C151*INDEX(Curves!$O$8:$O$68,BH$4-$B151+1)</f>
        <v/>
      </c>
      <c r="BI151" s="56">
        <f>$C151*INDEX(Curves!$O$8:$O$68,BI$4-$B151+1)</f>
        <v/>
      </c>
      <c r="BJ151" s="56">
        <f>$C151*INDEX(Curves!$O$8:$O$68,BJ$4-$B151+1)</f>
        <v/>
      </c>
      <c r="BK151" s="56">
        <f>$C151*INDEX(Curves!$O$8:$O$68,BK$4-$B151+1)</f>
        <v/>
      </c>
      <c r="BL151" s="56">
        <f>$C151*INDEX(Curves!$O$8:$O$68,BL$4-$B151+1)</f>
        <v/>
      </c>
    </row>
    <row r="152">
      <c r="A152" s="55" t="inlineStr">
        <is>
          <t>Cohort month 17</t>
        </is>
      </c>
      <c r="B152" s="55" t="n">
        <v>17</v>
      </c>
      <c r="C152" s="46">
        <f>INDEX(Ops!$E$25:$BL$25,1,$B152)</f>
        <v/>
      </c>
      <c r="V152" s="56">
        <f>$C152*INDEX(Curves!$O$8:$O$68,V$4-$B152+1)</f>
        <v/>
      </c>
      <c r="W152" s="56">
        <f>$C152*INDEX(Curves!$O$8:$O$68,W$4-$B152+1)</f>
        <v/>
      </c>
      <c r="X152" s="56">
        <f>$C152*INDEX(Curves!$O$8:$O$68,X$4-$B152+1)</f>
        <v/>
      </c>
      <c r="Y152" s="56">
        <f>$C152*INDEX(Curves!$O$8:$O$68,Y$4-$B152+1)</f>
        <v/>
      </c>
      <c r="Z152" s="56">
        <f>$C152*INDEX(Curves!$O$8:$O$68,Z$4-$B152+1)</f>
        <v/>
      </c>
      <c r="AA152" s="56">
        <f>$C152*INDEX(Curves!$O$8:$O$68,AA$4-$B152+1)</f>
        <v/>
      </c>
      <c r="AB152" s="56">
        <f>$C152*INDEX(Curves!$O$8:$O$68,AB$4-$B152+1)</f>
        <v/>
      </c>
      <c r="AC152" s="56">
        <f>$C152*INDEX(Curves!$O$8:$O$68,AC$4-$B152+1)</f>
        <v/>
      </c>
      <c r="AD152" s="56">
        <f>$C152*INDEX(Curves!$O$8:$O$68,AD$4-$B152+1)</f>
        <v/>
      </c>
      <c r="AE152" s="56">
        <f>$C152*INDEX(Curves!$O$8:$O$68,AE$4-$B152+1)</f>
        <v/>
      </c>
      <c r="AF152" s="56">
        <f>$C152*INDEX(Curves!$O$8:$O$68,AF$4-$B152+1)</f>
        <v/>
      </c>
      <c r="AG152" s="56">
        <f>$C152*INDEX(Curves!$O$8:$O$68,AG$4-$B152+1)</f>
        <v/>
      </c>
      <c r="AH152" s="56">
        <f>$C152*INDEX(Curves!$O$8:$O$68,AH$4-$B152+1)</f>
        <v/>
      </c>
      <c r="AI152" s="56">
        <f>$C152*INDEX(Curves!$O$8:$O$68,AI$4-$B152+1)</f>
        <v/>
      </c>
      <c r="AJ152" s="56">
        <f>$C152*INDEX(Curves!$O$8:$O$68,AJ$4-$B152+1)</f>
        <v/>
      </c>
      <c r="AK152" s="56">
        <f>$C152*INDEX(Curves!$O$8:$O$68,AK$4-$B152+1)</f>
        <v/>
      </c>
      <c r="AL152" s="56">
        <f>$C152*INDEX(Curves!$O$8:$O$68,AL$4-$B152+1)</f>
        <v/>
      </c>
      <c r="AM152" s="56">
        <f>$C152*INDEX(Curves!$O$8:$O$68,AM$4-$B152+1)</f>
        <v/>
      </c>
      <c r="AN152" s="56">
        <f>$C152*INDEX(Curves!$O$8:$O$68,AN$4-$B152+1)</f>
        <v/>
      </c>
      <c r="AO152" s="56">
        <f>$C152*INDEX(Curves!$O$8:$O$68,AO$4-$B152+1)</f>
        <v/>
      </c>
      <c r="AP152" s="56">
        <f>$C152*INDEX(Curves!$O$8:$O$68,AP$4-$B152+1)</f>
        <v/>
      </c>
      <c r="AQ152" s="56">
        <f>$C152*INDEX(Curves!$O$8:$O$68,AQ$4-$B152+1)</f>
        <v/>
      </c>
      <c r="AR152" s="56">
        <f>$C152*INDEX(Curves!$O$8:$O$68,AR$4-$B152+1)</f>
        <v/>
      </c>
      <c r="AS152" s="56">
        <f>$C152*INDEX(Curves!$O$8:$O$68,AS$4-$B152+1)</f>
        <v/>
      </c>
      <c r="AT152" s="56">
        <f>$C152*INDEX(Curves!$O$8:$O$68,AT$4-$B152+1)</f>
        <v/>
      </c>
      <c r="AU152" s="56">
        <f>$C152*INDEX(Curves!$O$8:$O$68,AU$4-$B152+1)</f>
        <v/>
      </c>
      <c r="AV152" s="56">
        <f>$C152*INDEX(Curves!$O$8:$O$68,AV$4-$B152+1)</f>
        <v/>
      </c>
      <c r="AW152" s="56">
        <f>$C152*INDEX(Curves!$O$8:$O$68,AW$4-$B152+1)</f>
        <v/>
      </c>
      <c r="AX152" s="56">
        <f>$C152*INDEX(Curves!$O$8:$O$68,AX$4-$B152+1)</f>
        <v/>
      </c>
      <c r="AY152" s="56">
        <f>$C152*INDEX(Curves!$O$8:$O$68,AY$4-$B152+1)</f>
        <v/>
      </c>
      <c r="AZ152" s="56">
        <f>$C152*INDEX(Curves!$O$8:$O$68,AZ$4-$B152+1)</f>
        <v/>
      </c>
      <c r="BA152" s="56">
        <f>$C152*INDEX(Curves!$O$8:$O$68,BA$4-$B152+1)</f>
        <v/>
      </c>
      <c r="BB152" s="56">
        <f>$C152*INDEX(Curves!$O$8:$O$68,BB$4-$B152+1)</f>
        <v/>
      </c>
      <c r="BC152" s="56">
        <f>$C152*INDEX(Curves!$O$8:$O$68,BC$4-$B152+1)</f>
        <v/>
      </c>
      <c r="BD152" s="56">
        <f>$C152*INDEX(Curves!$O$8:$O$68,BD$4-$B152+1)</f>
        <v/>
      </c>
      <c r="BE152" s="56">
        <f>$C152*INDEX(Curves!$O$8:$O$68,BE$4-$B152+1)</f>
        <v/>
      </c>
      <c r="BF152" s="56">
        <f>$C152*INDEX(Curves!$O$8:$O$68,BF$4-$B152+1)</f>
        <v/>
      </c>
      <c r="BG152" s="56">
        <f>$C152*INDEX(Curves!$O$8:$O$68,BG$4-$B152+1)</f>
        <v/>
      </c>
      <c r="BH152" s="56">
        <f>$C152*INDEX(Curves!$O$8:$O$68,BH$4-$B152+1)</f>
        <v/>
      </c>
      <c r="BI152" s="56">
        <f>$C152*INDEX(Curves!$O$8:$O$68,BI$4-$B152+1)</f>
        <v/>
      </c>
      <c r="BJ152" s="56">
        <f>$C152*INDEX(Curves!$O$8:$O$68,BJ$4-$B152+1)</f>
        <v/>
      </c>
      <c r="BK152" s="56">
        <f>$C152*INDEX(Curves!$O$8:$O$68,BK$4-$B152+1)</f>
        <v/>
      </c>
      <c r="BL152" s="56">
        <f>$C152*INDEX(Curves!$O$8:$O$68,BL$4-$B152+1)</f>
        <v/>
      </c>
    </row>
    <row r="153">
      <c r="A153" s="55" t="inlineStr">
        <is>
          <t>Cohort month 18</t>
        </is>
      </c>
      <c r="B153" s="55" t="n">
        <v>18</v>
      </c>
      <c r="C153" s="46">
        <f>INDEX(Ops!$E$25:$BL$25,1,$B153)</f>
        <v/>
      </c>
      <c r="W153" s="56">
        <f>$C153*INDEX(Curves!$O$8:$O$68,W$4-$B153+1)</f>
        <v/>
      </c>
      <c r="X153" s="56">
        <f>$C153*INDEX(Curves!$O$8:$O$68,X$4-$B153+1)</f>
        <v/>
      </c>
      <c r="Y153" s="56">
        <f>$C153*INDEX(Curves!$O$8:$O$68,Y$4-$B153+1)</f>
        <v/>
      </c>
      <c r="Z153" s="56">
        <f>$C153*INDEX(Curves!$O$8:$O$68,Z$4-$B153+1)</f>
        <v/>
      </c>
      <c r="AA153" s="56">
        <f>$C153*INDEX(Curves!$O$8:$O$68,AA$4-$B153+1)</f>
        <v/>
      </c>
      <c r="AB153" s="56">
        <f>$C153*INDEX(Curves!$O$8:$O$68,AB$4-$B153+1)</f>
        <v/>
      </c>
      <c r="AC153" s="56">
        <f>$C153*INDEX(Curves!$O$8:$O$68,AC$4-$B153+1)</f>
        <v/>
      </c>
      <c r="AD153" s="56">
        <f>$C153*INDEX(Curves!$O$8:$O$68,AD$4-$B153+1)</f>
        <v/>
      </c>
      <c r="AE153" s="56">
        <f>$C153*INDEX(Curves!$O$8:$O$68,AE$4-$B153+1)</f>
        <v/>
      </c>
      <c r="AF153" s="56">
        <f>$C153*INDEX(Curves!$O$8:$O$68,AF$4-$B153+1)</f>
        <v/>
      </c>
      <c r="AG153" s="56">
        <f>$C153*INDEX(Curves!$O$8:$O$68,AG$4-$B153+1)</f>
        <v/>
      </c>
      <c r="AH153" s="56">
        <f>$C153*INDEX(Curves!$O$8:$O$68,AH$4-$B153+1)</f>
        <v/>
      </c>
      <c r="AI153" s="56">
        <f>$C153*INDEX(Curves!$O$8:$O$68,AI$4-$B153+1)</f>
        <v/>
      </c>
      <c r="AJ153" s="56">
        <f>$C153*INDEX(Curves!$O$8:$O$68,AJ$4-$B153+1)</f>
        <v/>
      </c>
      <c r="AK153" s="56">
        <f>$C153*INDEX(Curves!$O$8:$O$68,AK$4-$B153+1)</f>
        <v/>
      </c>
      <c r="AL153" s="56">
        <f>$C153*INDEX(Curves!$O$8:$O$68,AL$4-$B153+1)</f>
        <v/>
      </c>
      <c r="AM153" s="56">
        <f>$C153*INDEX(Curves!$O$8:$O$68,AM$4-$B153+1)</f>
        <v/>
      </c>
      <c r="AN153" s="56">
        <f>$C153*INDEX(Curves!$O$8:$O$68,AN$4-$B153+1)</f>
        <v/>
      </c>
      <c r="AO153" s="56">
        <f>$C153*INDEX(Curves!$O$8:$O$68,AO$4-$B153+1)</f>
        <v/>
      </c>
      <c r="AP153" s="56">
        <f>$C153*INDEX(Curves!$O$8:$O$68,AP$4-$B153+1)</f>
        <v/>
      </c>
      <c r="AQ153" s="56">
        <f>$C153*INDEX(Curves!$O$8:$O$68,AQ$4-$B153+1)</f>
        <v/>
      </c>
      <c r="AR153" s="56">
        <f>$C153*INDEX(Curves!$O$8:$O$68,AR$4-$B153+1)</f>
        <v/>
      </c>
      <c r="AS153" s="56">
        <f>$C153*INDEX(Curves!$O$8:$O$68,AS$4-$B153+1)</f>
        <v/>
      </c>
      <c r="AT153" s="56">
        <f>$C153*INDEX(Curves!$O$8:$O$68,AT$4-$B153+1)</f>
        <v/>
      </c>
      <c r="AU153" s="56">
        <f>$C153*INDEX(Curves!$O$8:$O$68,AU$4-$B153+1)</f>
        <v/>
      </c>
      <c r="AV153" s="56">
        <f>$C153*INDEX(Curves!$O$8:$O$68,AV$4-$B153+1)</f>
        <v/>
      </c>
      <c r="AW153" s="56">
        <f>$C153*INDEX(Curves!$O$8:$O$68,AW$4-$B153+1)</f>
        <v/>
      </c>
      <c r="AX153" s="56">
        <f>$C153*INDEX(Curves!$O$8:$O$68,AX$4-$B153+1)</f>
        <v/>
      </c>
      <c r="AY153" s="56">
        <f>$C153*INDEX(Curves!$O$8:$O$68,AY$4-$B153+1)</f>
        <v/>
      </c>
      <c r="AZ153" s="56">
        <f>$C153*INDEX(Curves!$O$8:$O$68,AZ$4-$B153+1)</f>
        <v/>
      </c>
      <c r="BA153" s="56">
        <f>$C153*INDEX(Curves!$O$8:$O$68,BA$4-$B153+1)</f>
        <v/>
      </c>
      <c r="BB153" s="56">
        <f>$C153*INDEX(Curves!$O$8:$O$68,BB$4-$B153+1)</f>
        <v/>
      </c>
      <c r="BC153" s="56">
        <f>$C153*INDEX(Curves!$O$8:$O$68,BC$4-$B153+1)</f>
        <v/>
      </c>
      <c r="BD153" s="56">
        <f>$C153*INDEX(Curves!$O$8:$O$68,BD$4-$B153+1)</f>
        <v/>
      </c>
      <c r="BE153" s="56">
        <f>$C153*INDEX(Curves!$O$8:$O$68,BE$4-$B153+1)</f>
        <v/>
      </c>
      <c r="BF153" s="56">
        <f>$C153*INDEX(Curves!$O$8:$O$68,BF$4-$B153+1)</f>
        <v/>
      </c>
      <c r="BG153" s="56">
        <f>$C153*INDEX(Curves!$O$8:$O$68,BG$4-$B153+1)</f>
        <v/>
      </c>
      <c r="BH153" s="56">
        <f>$C153*INDEX(Curves!$O$8:$O$68,BH$4-$B153+1)</f>
        <v/>
      </c>
      <c r="BI153" s="56">
        <f>$C153*INDEX(Curves!$O$8:$O$68,BI$4-$B153+1)</f>
        <v/>
      </c>
      <c r="BJ153" s="56">
        <f>$C153*INDEX(Curves!$O$8:$O$68,BJ$4-$B153+1)</f>
        <v/>
      </c>
      <c r="BK153" s="56">
        <f>$C153*INDEX(Curves!$O$8:$O$68,BK$4-$B153+1)</f>
        <v/>
      </c>
      <c r="BL153" s="56">
        <f>$C153*INDEX(Curves!$O$8:$O$68,BL$4-$B153+1)</f>
        <v/>
      </c>
    </row>
    <row r="154">
      <c r="A154" s="55" t="inlineStr">
        <is>
          <t>Cohort month 19</t>
        </is>
      </c>
      <c r="B154" s="55" t="n">
        <v>19</v>
      </c>
      <c r="C154" s="46">
        <f>INDEX(Ops!$E$25:$BL$25,1,$B154)</f>
        <v/>
      </c>
      <c r="X154" s="56">
        <f>$C154*INDEX(Curves!$O$8:$O$68,X$4-$B154+1)</f>
        <v/>
      </c>
      <c r="Y154" s="56">
        <f>$C154*INDEX(Curves!$O$8:$O$68,Y$4-$B154+1)</f>
        <v/>
      </c>
      <c r="Z154" s="56">
        <f>$C154*INDEX(Curves!$O$8:$O$68,Z$4-$B154+1)</f>
        <v/>
      </c>
      <c r="AA154" s="56">
        <f>$C154*INDEX(Curves!$O$8:$O$68,AA$4-$B154+1)</f>
        <v/>
      </c>
      <c r="AB154" s="56">
        <f>$C154*INDEX(Curves!$O$8:$O$68,AB$4-$B154+1)</f>
        <v/>
      </c>
      <c r="AC154" s="56">
        <f>$C154*INDEX(Curves!$O$8:$O$68,AC$4-$B154+1)</f>
        <v/>
      </c>
      <c r="AD154" s="56">
        <f>$C154*INDEX(Curves!$O$8:$O$68,AD$4-$B154+1)</f>
        <v/>
      </c>
      <c r="AE154" s="56">
        <f>$C154*INDEX(Curves!$O$8:$O$68,AE$4-$B154+1)</f>
        <v/>
      </c>
      <c r="AF154" s="56">
        <f>$C154*INDEX(Curves!$O$8:$O$68,AF$4-$B154+1)</f>
        <v/>
      </c>
      <c r="AG154" s="56">
        <f>$C154*INDEX(Curves!$O$8:$O$68,AG$4-$B154+1)</f>
        <v/>
      </c>
      <c r="AH154" s="56">
        <f>$C154*INDEX(Curves!$O$8:$O$68,AH$4-$B154+1)</f>
        <v/>
      </c>
      <c r="AI154" s="56">
        <f>$C154*INDEX(Curves!$O$8:$O$68,AI$4-$B154+1)</f>
        <v/>
      </c>
      <c r="AJ154" s="56">
        <f>$C154*INDEX(Curves!$O$8:$O$68,AJ$4-$B154+1)</f>
        <v/>
      </c>
      <c r="AK154" s="56">
        <f>$C154*INDEX(Curves!$O$8:$O$68,AK$4-$B154+1)</f>
        <v/>
      </c>
      <c r="AL154" s="56">
        <f>$C154*INDEX(Curves!$O$8:$O$68,AL$4-$B154+1)</f>
        <v/>
      </c>
      <c r="AM154" s="56">
        <f>$C154*INDEX(Curves!$O$8:$O$68,AM$4-$B154+1)</f>
        <v/>
      </c>
      <c r="AN154" s="56">
        <f>$C154*INDEX(Curves!$O$8:$O$68,AN$4-$B154+1)</f>
        <v/>
      </c>
      <c r="AO154" s="56">
        <f>$C154*INDEX(Curves!$O$8:$O$68,AO$4-$B154+1)</f>
        <v/>
      </c>
      <c r="AP154" s="56">
        <f>$C154*INDEX(Curves!$O$8:$O$68,AP$4-$B154+1)</f>
        <v/>
      </c>
      <c r="AQ154" s="56">
        <f>$C154*INDEX(Curves!$O$8:$O$68,AQ$4-$B154+1)</f>
        <v/>
      </c>
      <c r="AR154" s="56">
        <f>$C154*INDEX(Curves!$O$8:$O$68,AR$4-$B154+1)</f>
        <v/>
      </c>
      <c r="AS154" s="56">
        <f>$C154*INDEX(Curves!$O$8:$O$68,AS$4-$B154+1)</f>
        <v/>
      </c>
      <c r="AT154" s="56">
        <f>$C154*INDEX(Curves!$O$8:$O$68,AT$4-$B154+1)</f>
        <v/>
      </c>
      <c r="AU154" s="56">
        <f>$C154*INDEX(Curves!$O$8:$O$68,AU$4-$B154+1)</f>
        <v/>
      </c>
      <c r="AV154" s="56">
        <f>$C154*INDEX(Curves!$O$8:$O$68,AV$4-$B154+1)</f>
        <v/>
      </c>
      <c r="AW154" s="56">
        <f>$C154*INDEX(Curves!$O$8:$O$68,AW$4-$B154+1)</f>
        <v/>
      </c>
      <c r="AX154" s="56">
        <f>$C154*INDEX(Curves!$O$8:$O$68,AX$4-$B154+1)</f>
        <v/>
      </c>
      <c r="AY154" s="56">
        <f>$C154*INDEX(Curves!$O$8:$O$68,AY$4-$B154+1)</f>
        <v/>
      </c>
      <c r="AZ154" s="56">
        <f>$C154*INDEX(Curves!$O$8:$O$68,AZ$4-$B154+1)</f>
        <v/>
      </c>
      <c r="BA154" s="56">
        <f>$C154*INDEX(Curves!$O$8:$O$68,BA$4-$B154+1)</f>
        <v/>
      </c>
      <c r="BB154" s="56">
        <f>$C154*INDEX(Curves!$O$8:$O$68,BB$4-$B154+1)</f>
        <v/>
      </c>
      <c r="BC154" s="56">
        <f>$C154*INDEX(Curves!$O$8:$O$68,BC$4-$B154+1)</f>
        <v/>
      </c>
      <c r="BD154" s="56">
        <f>$C154*INDEX(Curves!$O$8:$O$68,BD$4-$B154+1)</f>
        <v/>
      </c>
      <c r="BE154" s="56">
        <f>$C154*INDEX(Curves!$O$8:$O$68,BE$4-$B154+1)</f>
        <v/>
      </c>
      <c r="BF154" s="56">
        <f>$C154*INDEX(Curves!$O$8:$O$68,BF$4-$B154+1)</f>
        <v/>
      </c>
      <c r="BG154" s="56">
        <f>$C154*INDEX(Curves!$O$8:$O$68,BG$4-$B154+1)</f>
        <v/>
      </c>
      <c r="BH154" s="56">
        <f>$C154*INDEX(Curves!$O$8:$O$68,BH$4-$B154+1)</f>
        <v/>
      </c>
      <c r="BI154" s="56">
        <f>$C154*INDEX(Curves!$O$8:$O$68,BI$4-$B154+1)</f>
        <v/>
      </c>
      <c r="BJ154" s="56">
        <f>$C154*INDEX(Curves!$O$8:$O$68,BJ$4-$B154+1)</f>
        <v/>
      </c>
      <c r="BK154" s="56">
        <f>$C154*INDEX(Curves!$O$8:$O$68,BK$4-$B154+1)</f>
        <v/>
      </c>
      <c r="BL154" s="56">
        <f>$C154*INDEX(Curves!$O$8:$O$68,BL$4-$B154+1)</f>
        <v/>
      </c>
    </row>
    <row r="155">
      <c r="A155" s="55" t="inlineStr">
        <is>
          <t>Cohort month 20</t>
        </is>
      </c>
      <c r="B155" s="55" t="n">
        <v>20</v>
      </c>
      <c r="C155" s="46">
        <f>INDEX(Ops!$E$25:$BL$25,1,$B155)</f>
        <v/>
      </c>
      <c r="Y155" s="56">
        <f>$C155*INDEX(Curves!$O$8:$O$68,Y$4-$B155+1)</f>
        <v/>
      </c>
      <c r="Z155" s="56">
        <f>$C155*INDEX(Curves!$O$8:$O$68,Z$4-$B155+1)</f>
        <v/>
      </c>
      <c r="AA155" s="56">
        <f>$C155*INDEX(Curves!$O$8:$O$68,AA$4-$B155+1)</f>
        <v/>
      </c>
      <c r="AB155" s="56">
        <f>$C155*INDEX(Curves!$O$8:$O$68,AB$4-$B155+1)</f>
        <v/>
      </c>
      <c r="AC155" s="56">
        <f>$C155*INDEX(Curves!$O$8:$O$68,AC$4-$B155+1)</f>
        <v/>
      </c>
      <c r="AD155" s="56">
        <f>$C155*INDEX(Curves!$O$8:$O$68,AD$4-$B155+1)</f>
        <v/>
      </c>
      <c r="AE155" s="56">
        <f>$C155*INDEX(Curves!$O$8:$O$68,AE$4-$B155+1)</f>
        <v/>
      </c>
      <c r="AF155" s="56">
        <f>$C155*INDEX(Curves!$O$8:$O$68,AF$4-$B155+1)</f>
        <v/>
      </c>
      <c r="AG155" s="56">
        <f>$C155*INDEX(Curves!$O$8:$O$68,AG$4-$B155+1)</f>
        <v/>
      </c>
      <c r="AH155" s="56">
        <f>$C155*INDEX(Curves!$O$8:$O$68,AH$4-$B155+1)</f>
        <v/>
      </c>
      <c r="AI155" s="56">
        <f>$C155*INDEX(Curves!$O$8:$O$68,AI$4-$B155+1)</f>
        <v/>
      </c>
      <c r="AJ155" s="56">
        <f>$C155*INDEX(Curves!$O$8:$O$68,AJ$4-$B155+1)</f>
        <v/>
      </c>
      <c r="AK155" s="56">
        <f>$C155*INDEX(Curves!$O$8:$O$68,AK$4-$B155+1)</f>
        <v/>
      </c>
      <c r="AL155" s="56">
        <f>$C155*INDEX(Curves!$O$8:$O$68,AL$4-$B155+1)</f>
        <v/>
      </c>
      <c r="AM155" s="56">
        <f>$C155*INDEX(Curves!$O$8:$O$68,AM$4-$B155+1)</f>
        <v/>
      </c>
      <c r="AN155" s="56">
        <f>$C155*INDEX(Curves!$O$8:$O$68,AN$4-$B155+1)</f>
        <v/>
      </c>
      <c r="AO155" s="56">
        <f>$C155*INDEX(Curves!$O$8:$O$68,AO$4-$B155+1)</f>
        <v/>
      </c>
      <c r="AP155" s="56">
        <f>$C155*INDEX(Curves!$O$8:$O$68,AP$4-$B155+1)</f>
        <v/>
      </c>
      <c r="AQ155" s="56">
        <f>$C155*INDEX(Curves!$O$8:$O$68,AQ$4-$B155+1)</f>
        <v/>
      </c>
      <c r="AR155" s="56">
        <f>$C155*INDEX(Curves!$O$8:$O$68,AR$4-$B155+1)</f>
        <v/>
      </c>
      <c r="AS155" s="56">
        <f>$C155*INDEX(Curves!$O$8:$O$68,AS$4-$B155+1)</f>
        <v/>
      </c>
      <c r="AT155" s="56">
        <f>$C155*INDEX(Curves!$O$8:$O$68,AT$4-$B155+1)</f>
        <v/>
      </c>
      <c r="AU155" s="56">
        <f>$C155*INDEX(Curves!$O$8:$O$68,AU$4-$B155+1)</f>
        <v/>
      </c>
      <c r="AV155" s="56">
        <f>$C155*INDEX(Curves!$O$8:$O$68,AV$4-$B155+1)</f>
        <v/>
      </c>
      <c r="AW155" s="56">
        <f>$C155*INDEX(Curves!$O$8:$O$68,AW$4-$B155+1)</f>
        <v/>
      </c>
      <c r="AX155" s="56">
        <f>$C155*INDEX(Curves!$O$8:$O$68,AX$4-$B155+1)</f>
        <v/>
      </c>
      <c r="AY155" s="56">
        <f>$C155*INDEX(Curves!$O$8:$O$68,AY$4-$B155+1)</f>
        <v/>
      </c>
      <c r="AZ155" s="56">
        <f>$C155*INDEX(Curves!$O$8:$O$68,AZ$4-$B155+1)</f>
        <v/>
      </c>
      <c r="BA155" s="56">
        <f>$C155*INDEX(Curves!$O$8:$O$68,BA$4-$B155+1)</f>
        <v/>
      </c>
      <c r="BB155" s="56">
        <f>$C155*INDEX(Curves!$O$8:$O$68,BB$4-$B155+1)</f>
        <v/>
      </c>
      <c r="BC155" s="56">
        <f>$C155*INDEX(Curves!$O$8:$O$68,BC$4-$B155+1)</f>
        <v/>
      </c>
      <c r="BD155" s="56">
        <f>$C155*INDEX(Curves!$O$8:$O$68,BD$4-$B155+1)</f>
        <v/>
      </c>
      <c r="BE155" s="56">
        <f>$C155*INDEX(Curves!$O$8:$O$68,BE$4-$B155+1)</f>
        <v/>
      </c>
      <c r="BF155" s="56">
        <f>$C155*INDEX(Curves!$O$8:$O$68,BF$4-$B155+1)</f>
        <v/>
      </c>
      <c r="BG155" s="56">
        <f>$C155*INDEX(Curves!$O$8:$O$68,BG$4-$B155+1)</f>
        <v/>
      </c>
      <c r="BH155" s="56">
        <f>$C155*INDEX(Curves!$O$8:$O$68,BH$4-$B155+1)</f>
        <v/>
      </c>
      <c r="BI155" s="56">
        <f>$C155*INDEX(Curves!$O$8:$O$68,BI$4-$B155+1)</f>
        <v/>
      </c>
      <c r="BJ155" s="56">
        <f>$C155*INDEX(Curves!$O$8:$O$68,BJ$4-$B155+1)</f>
        <v/>
      </c>
      <c r="BK155" s="56">
        <f>$C155*INDEX(Curves!$O$8:$O$68,BK$4-$B155+1)</f>
        <v/>
      </c>
      <c r="BL155" s="56">
        <f>$C155*INDEX(Curves!$O$8:$O$68,BL$4-$B155+1)</f>
        <v/>
      </c>
    </row>
    <row r="156">
      <c r="A156" s="55" t="inlineStr">
        <is>
          <t>Cohort month 21</t>
        </is>
      </c>
      <c r="B156" s="55" t="n">
        <v>21</v>
      </c>
      <c r="C156" s="46">
        <f>INDEX(Ops!$E$25:$BL$25,1,$B156)</f>
        <v/>
      </c>
      <c r="Z156" s="56">
        <f>$C156*INDEX(Curves!$O$8:$O$68,Z$4-$B156+1)</f>
        <v/>
      </c>
      <c r="AA156" s="56">
        <f>$C156*INDEX(Curves!$O$8:$O$68,AA$4-$B156+1)</f>
        <v/>
      </c>
      <c r="AB156" s="56">
        <f>$C156*INDEX(Curves!$O$8:$O$68,AB$4-$B156+1)</f>
        <v/>
      </c>
      <c r="AC156" s="56">
        <f>$C156*INDEX(Curves!$O$8:$O$68,AC$4-$B156+1)</f>
        <v/>
      </c>
      <c r="AD156" s="56">
        <f>$C156*INDEX(Curves!$O$8:$O$68,AD$4-$B156+1)</f>
        <v/>
      </c>
      <c r="AE156" s="56">
        <f>$C156*INDEX(Curves!$O$8:$O$68,AE$4-$B156+1)</f>
        <v/>
      </c>
      <c r="AF156" s="56">
        <f>$C156*INDEX(Curves!$O$8:$O$68,AF$4-$B156+1)</f>
        <v/>
      </c>
      <c r="AG156" s="56">
        <f>$C156*INDEX(Curves!$O$8:$O$68,AG$4-$B156+1)</f>
        <v/>
      </c>
      <c r="AH156" s="56">
        <f>$C156*INDEX(Curves!$O$8:$O$68,AH$4-$B156+1)</f>
        <v/>
      </c>
      <c r="AI156" s="56">
        <f>$C156*INDEX(Curves!$O$8:$O$68,AI$4-$B156+1)</f>
        <v/>
      </c>
      <c r="AJ156" s="56">
        <f>$C156*INDEX(Curves!$O$8:$O$68,AJ$4-$B156+1)</f>
        <v/>
      </c>
      <c r="AK156" s="56">
        <f>$C156*INDEX(Curves!$O$8:$O$68,AK$4-$B156+1)</f>
        <v/>
      </c>
      <c r="AL156" s="56">
        <f>$C156*INDEX(Curves!$O$8:$O$68,AL$4-$B156+1)</f>
        <v/>
      </c>
      <c r="AM156" s="56">
        <f>$C156*INDEX(Curves!$O$8:$O$68,AM$4-$B156+1)</f>
        <v/>
      </c>
      <c r="AN156" s="56">
        <f>$C156*INDEX(Curves!$O$8:$O$68,AN$4-$B156+1)</f>
        <v/>
      </c>
      <c r="AO156" s="56">
        <f>$C156*INDEX(Curves!$O$8:$O$68,AO$4-$B156+1)</f>
        <v/>
      </c>
      <c r="AP156" s="56">
        <f>$C156*INDEX(Curves!$O$8:$O$68,AP$4-$B156+1)</f>
        <v/>
      </c>
      <c r="AQ156" s="56">
        <f>$C156*INDEX(Curves!$O$8:$O$68,AQ$4-$B156+1)</f>
        <v/>
      </c>
      <c r="AR156" s="56">
        <f>$C156*INDEX(Curves!$O$8:$O$68,AR$4-$B156+1)</f>
        <v/>
      </c>
      <c r="AS156" s="56">
        <f>$C156*INDEX(Curves!$O$8:$O$68,AS$4-$B156+1)</f>
        <v/>
      </c>
      <c r="AT156" s="56">
        <f>$C156*INDEX(Curves!$O$8:$O$68,AT$4-$B156+1)</f>
        <v/>
      </c>
      <c r="AU156" s="56">
        <f>$C156*INDEX(Curves!$O$8:$O$68,AU$4-$B156+1)</f>
        <v/>
      </c>
      <c r="AV156" s="56">
        <f>$C156*INDEX(Curves!$O$8:$O$68,AV$4-$B156+1)</f>
        <v/>
      </c>
      <c r="AW156" s="56">
        <f>$C156*INDEX(Curves!$O$8:$O$68,AW$4-$B156+1)</f>
        <v/>
      </c>
      <c r="AX156" s="56">
        <f>$C156*INDEX(Curves!$O$8:$O$68,AX$4-$B156+1)</f>
        <v/>
      </c>
      <c r="AY156" s="56">
        <f>$C156*INDEX(Curves!$O$8:$O$68,AY$4-$B156+1)</f>
        <v/>
      </c>
      <c r="AZ156" s="56">
        <f>$C156*INDEX(Curves!$O$8:$O$68,AZ$4-$B156+1)</f>
        <v/>
      </c>
      <c r="BA156" s="56">
        <f>$C156*INDEX(Curves!$O$8:$O$68,BA$4-$B156+1)</f>
        <v/>
      </c>
      <c r="BB156" s="56">
        <f>$C156*INDEX(Curves!$O$8:$O$68,BB$4-$B156+1)</f>
        <v/>
      </c>
      <c r="BC156" s="56">
        <f>$C156*INDEX(Curves!$O$8:$O$68,BC$4-$B156+1)</f>
        <v/>
      </c>
      <c r="BD156" s="56">
        <f>$C156*INDEX(Curves!$O$8:$O$68,BD$4-$B156+1)</f>
        <v/>
      </c>
      <c r="BE156" s="56">
        <f>$C156*INDEX(Curves!$O$8:$O$68,BE$4-$B156+1)</f>
        <v/>
      </c>
      <c r="BF156" s="56">
        <f>$C156*INDEX(Curves!$O$8:$O$68,BF$4-$B156+1)</f>
        <v/>
      </c>
      <c r="BG156" s="56">
        <f>$C156*INDEX(Curves!$O$8:$O$68,BG$4-$B156+1)</f>
        <v/>
      </c>
      <c r="BH156" s="56">
        <f>$C156*INDEX(Curves!$O$8:$O$68,BH$4-$B156+1)</f>
        <v/>
      </c>
      <c r="BI156" s="56">
        <f>$C156*INDEX(Curves!$O$8:$O$68,BI$4-$B156+1)</f>
        <v/>
      </c>
      <c r="BJ156" s="56">
        <f>$C156*INDEX(Curves!$O$8:$O$68,BJ$4-$B156+1)</f>
        <v/>
      </c>
      <c r="BK156" s="56">
        <f>$C156*INDEX(Curves!$O$8:$O$68,BK$4-$B156+1)</f>
        <v/>
      </c>
      <c r="BL156" s="56">
        <f>$C156*INDEX(Curves!$O$8:$O$68,BL$4-$B156+1)</f>
        <v/>
      </c>
    </row>
    <row r="157">
      <c r="A157" s="55" t="inlineStr">
        <is>
          <t>Cohort month 22</t>
        </is>
      </c>
      <c r="B157" s="55" t="n">
        <v>22</v>
      </c>
      <c r="C157" s="46">
        <f>INDEX(Ops!$E$25:$BL$25,1,$B157)</f>
        <v/>
      </c>
      <c r="AA157" s="56">
        <f>$C157*INDEX(Curves!$O$8:$O$68,AA$4-$B157+1)</f>
        <v/>
      </c>
      <c r="AB157" s="56">
        <f>$C157*INDEX(Curves!$O$8:$O$68,AB$4-$B157+1)</f>
        <v/>
      </c>
      <c r="AC157" s="56">
        <f>$C157*INDEX(Curves!$O$8:$O$68,AC$4-$B157+1)</f>
        <v/>
      </c>
      <c r="AD157" s="56">
        <f>$C157*INDEX(Curves!$O$8:$O$68,AD$4-$B157+1)</f>
        <v/>
      </c>
      <c r="AE157" s="56">
        <f>$C157*INDEX(Curves!$O$8:$O$68,AE$4-$B157+1)</f>
        <v/>
      </c>
      <c r="AF157" s="56">
        <f>$C157*INDEX(Curves!$O$8:$O$68,AF$4-$B157+1)</f>
        <v/>
      </c>
      <c r="AG157" s="56">
        <f>$C157*INDEX(Curves!$O$8:$O$68,AG$4-$B157+1)</f>
        <v/>
      </c>
      <c r="AH157" s="56">
        <f>$C157*INDEX(Curves!$O$8:$O$68,AH$4-$B157+1)</f>
        <v/>
      </c>
      <c r="AI157" s="56">
        <f>$C157*INDEX(Curves!$O$8:$O$68,AI$4-$B157+1)</f>
        <v/>
      </c>
      <c r="AJ157" s="56">
        <f>$C157*INDEX(Curves!$O$8:$O$68,AJ$4-$B157+1)</f>
        <v/>
      </c>
      <c r="AK157" s="56">
        <f>$C157*INDEX(Curves!$O$8:$O$68,AK$4-$B157+1)</f>
        <v/>
      </c>
      <c r="AL157" s="56">
        <f>$C157*INDEX(Curves!$O$8:$O$68,AL$4-$B157+1)</f>
        <v/>
      </c>
      <c r="AM157" s="56">
        <f>$C157*INDEX(Curves!$O$8:$O$68,AM$4-$B157+1)</f>
        <v/>
      </c>
      <c r="AN157" s="56">
        <f>$C157*INDEX(Curves!$O$8:$O$68,AN$4-$B157+1)</f>
        <v/>
      </c>
      <c r="AO157" s="56">
        <f>$C157*INDEX(Curves!$O$8:$O$68,AO$4-$B157+1)</f>
        <v/>
      </c>
      <c r="AP157" s="56">
        <f>$C157*INDEX(Curves!$O$8:$O$68,AP$4-$B157+1)</f>
        <v/>
      </c>
      <c r="AQ157" s="56">
        <f>$C157*INDEX(Curves!$O$8:$O$68,AQ$4-$B157+1)</f>
        <v/>
      </c>
      <c r="AR157" s="56">
        <f>$C157*INDEX(Curves!$O$8:$O$68,AR$4-$B157+1)</f>
        <v/>
      </c>
      <c r="AS157" s="56">
        <f>$C157*INDEX(Curves!$O$8:$O$68,AS$4-$B157+1)</f>
        <v/>
      </c>
      <c r="AT157" s="56">
        <f>$C157*INDEX(Curves!$O$8:$O$68,AT$4-$B157+1)</f>
        <v/>
      </c>
      <c r="AU157" s="56">
        <f>$C157*INDEX(Curves!$O$8:$O$68,AU$4-$B157+1)</f>
        <v/>
      </c>
      <c r="AV157" s="56">
        <f>$C157*INDEX(Curves!$O$8:$O$68,AV$4-$B157+1)</f>
        <v/>
      </c>
      <c r="AW157" s="56">
        <f>$C157*INDEX(Curves!$O$8:$O$68,AW$4-$B157+1)</f>
        <v/>
      </c>
      <c r="AX157" s="56">
        <f>$C157*INDEX(Curves!$O$8:$O$68,AX$4-$B157+1)</f>
        <v/>
      </c>
      <c r="AY157" s="56">
        <f>$C157*INDEX(Curves!$O$8:$O$68,AY$4-$B157+1)</f>
        <v/>
      </c>
      <c r="AZ157" s="56">
        <f>$C157*INDEX(Curves!$O$8:$O$68,AZ$4-$B157+1)</f>
        <v/>
      </c>
      <c r="BA157" s="56">
        <f>$C157*INDEX(Curves!$O$8:$O$68,BA$4-$B157+1)</f>
        <v/>
      </c>
      <c r="BB157" s="56">
        <f>$C157*INDEX(Curves!$O$8:$O$68,BB$4-$B157+1)</f>
        <v/>
      </c>
      <c r="BC157" s="56">
        <f>$C157*INDEX(Curves!$O$8:$O$68,BC$4-$B157+1)</f>
        <v/>
      </c>
      <c r="BD157" s="56">
        <f>$C157*INDEX(Curves!$O$8:$O$68,BD$4-$B157+1)</f>
        <v/>
      </c>
      <c r="BE157" s="56">
        <f>$C157*INDEX(Curves!$O$8:$O$68,BE$4-$B157+1)</f>
        <v/>
      </c>
      <c r="BF157" s="56">
        <f>$C157*INDEX(Curves!$O$8:$O$68,BF$4-$B157+1)</f>
        <v/>
      </c>
      <c r="BG157" s="56">
        <f>$C157*INDEX(Curves!$O$8:$O$68,BG$4-$B157+1)</f>
        <v/>
      </c>
      <c r="BH157" s="56">
        <f>$C157*INDEX(Curves!$O$8:$O$68,BH$4-$B157+1)</f>
        <v/>
      </c>
      <c r="BI157" s="56">
        <f>$C157*INDEX(Curves!$O$8:$O$68,BI$4-$B157+1)</f>
        <v/>
      </c>
      <c r="BJ157" s="56">
        <f>$C157*INDEX(Curves!$O$8:$O$68,BJ$4-$B157+1)</f>
        <v/>
      </c>
      <c r="BK157" s="56">
        <f>$C157*INDEX(Curves!$O$8:$O$68,BK$4-$B157+1)</f>
        <v/>
      </c>
      <c r="BL157" s="56">
        <f>$C157*INDEX(Curves!$O$8:$O$68,BL$4-$B157+1)</f>
        <v/>
      </c>
    </row>
    <row r="158">
      <c r="A158" s="55" t="inlineStr">
        <is>
          <t>Cohort month 23</t>
        </is>
      </c>
      <c r="B158" s="55" t="n">
        <v>23</v>
      </c>
      <c r="C158" s="46">
        <f>INDEX(Ops!$E$25:$BL$25,1,$B158)</f>
        <v/>
      </c>
      <c r="AB158" s="56">
        <f>$C158*INDEX(Curves!$O$8:$O$68,AB$4-$B158+1)</f>
        <v/>
      </c>
      <c r="AC158" s="56">
        <f>$C158*INDEX(Curves!$O$8:$O$68,AC$4-$B158+1)</f>
        <v/>
      </c>
      <c r="AD158" s="56">
        <f>$C158*INDEX(Curves!$O$8:$O$68,AD$4-$B158+1)</f>
        <v/>
      </c>
      <c r="AE158" s="56">
        <f>$C158*INDEX(Curves!$O$8:$O$68,AE$4-$B158+1)</f>
        <v/>
      </c>
      <c r="AF158" s="56">
        <f>$C158*INDEX(Curves!$O$8:$O$68,AF$4-$B158+1)</f>
        <v/>
      </c>
      <c r="AG158" s="56">
        <f>$C158*INDEX(Curves!$O$8:$O$68,AG$4-$B158+1)</f>
        <v/>
      </c>
      <c r="AH158" s="56">
        <f>$C158*INDEX(Curves!$O$8:$O$68,AH$4-$B158+1)</f>
        <v/>
      </c>
      <c r="AI158" s="56">
        <f>$C158*INDEX(Curves!$O$8:$O$68,AI$4-$B158+1)</f>
        <v/>
      </c>
      <c r="AJ158" s="56">
        <f>$C158*INDEX(Curves!$O$8:$O$68,AJ$4-$B158+1)</f>
        <v/>
      </c>
      <c r="AK158" s="56">
        <f>$C158*INDEX(Curves!$O$8:$O$68,AK$4-$B158+1)</f>
        <v/>
      </c>
      <c r="AL158" s="56">
        <f>$C158*INDEX(Curves!$O$8:$O$68,AL$4-$B158+1)</f>
        <v/>
      </c>
      <c r="AM158" s="56">
        <f>$C158*INDEX(Curves!$O$8:$O$68,AM$4-$B158+1)</f>
        <v/>
      </c>
      <c r="AN158" s="56">
        <f>$C158*INDEX(Curves!$O$8:$O$68,AN$4-$B158+1)</f>
        <v/>
      </c>
      <c r="AO158" s="56">
        <f>$C158*INDEX(Curves!$O$8:$O$68,AO$4-$B158+1)</f>
        <v/>
      </c>
      <c r="AP158" s="56">
        <f>$C158*INDEX(Curves!$O$8:$O$68,AP$4-$B158+1)</f>
        <v/>
      </c>
      <c r="AQ158" s="56">
        <f>$C158*INDEX(Curves!$O$8:$O$68,AQ$4-$B158+1)</f>
        <v/>
      </c>
      <c r="AR158" s="56">
        <f>$C158*INDEX(Curves!$O$8:$O$68,AR$4-$B158+1)</f>
        <v/>
      </c>
      <c r="AS158" s="56">
        <f>$C158*INDEX(Curves!$O$8:$O$68,AS$4-$B158+1)</f>
        <v/>
      </c>
      <c r="AT158" s="56">
        <f>$C158*INDEX(Curves!$O$8:$O$68,AT$4-$B158+1)</f>
        <v/>
      </c>
      <c r="AU158" s="56">
        <f>$C158*INDEX(Curves!$O$8:$O$68,AU$4-$B158+1)</f>
        <v/>
      </c>
      <c r="AV158" s="56">
        <f>$C158*INDEX(Curves!$O$8:$O$68,AV$4-$B158+1)</f>
        <v/>
      </c>
      <c r="AW158" s="56">
        <f>$C158*INDEX(Curves!$O$8:$O$68,AW$4-$B158+1)</f>
        <v/>
      </c>
      <c r="AX158" s="56">
        <f>$C158*INDEX(Curves!$O$8:$O$68,AX$4-$B158+1)</f>
        <v/>
      </c>
      <c r="AY158" s="56">
        <f>$C158*INDEX(Curves!$O$8:$O$68,AY$4-$B158+1)</f>
        <v/>
      </c>
      <c r="AZ158" s="56">
        <f>$C158*INDEX(Curves!$O$8:$O$68,AZ$4-$B158+1)</f>
        <v/>
      </c>
      <c r="BA158" s="56">
        <f>$C158*INDEX(Curves!$O$8:$O$68,BA$4-$B158+1)</f>
        <v/>
      </c>
      <c r="BB158" s="56">
        <f>$C158*INDEX(Curves!$O$8:$O$68,BB$4-$B158+1)</f>
        <v/>
      </c>
      <c r="BC158" s="56">
        <f>$C158*INDEX(Curves!$O$8:$O$68,BC$4-$B158+1)</f>
        <v/>
      </c>
      <c r="BD158" s="56">
        <f>$C158*INDEX(Curves!$O$8:$O$68,BD$4-$B158+1)</f>
        <v/>
      </c>
      <c r="BE158" s="56">
        <f>$C158*INDEX(Curves!$O$8:$O$68,BE$4-$B158+1)</f>
        <v/>
      </c>
      <c r="BF158" s="56">
        <f>$C158*INDEX(Curves!$O$8:$O$68,BF$4-$B158+1)</f>
        <v/>
      </c>
      <c r="BG158" s="56">
        <f>$C158*INDEX(Curves!$O$8:$O$68,BG$4-$B158+1)</f>
        <v/>
      </c>
      <c r="BH158" s="56">
        <f>$C158*INDEX(Curves!$O$8:$O$68,BH$4-$B158+1)</f>
        <v/>
      </c>
      <c r="BI158" s="56">
        <f>$C158*INDEX(Curves!$O$8:$O$68,BI$4-$B158+1)</f>
        <v/>
      </c>
      <c r="BJ158" s="56">
        <f>$C158*INDEX(Curves!$O$8:$O$68,BJ$4-$B158+1)</f>
        <v/>
      </c>
      <c r="BK158" s="56">
        <f>$C158*INDEX(Curves!$O$8:$O$68,BK$4-$B158+1)</f>
        <v/>
      </c>
      <c r="BL158" s="56">
        <f>$C158*INDEX(Curves!$O$8:$O$68,BL$4-$B158+1)</f>
        <v/>
      </c>
    </row>
    <row r="159">
      <c r="A159" s="55" t="inlineStr">
        <is>
          <t>Cohort month 24</t>
        </is>
      </c>
      <c r="B159" s="55" t="n">
        <v>24</v>
      </c>
      <c r="C159" s="46">
        <f>INDEX(Ops!$E$25:$BL$25,1,$B159)</f>
        <v/>
      </c>
      <c r="AC159" s="56">
        <f>$C159*INDEX(Curves!$O$8:$O$68,AC$4-$B159+1)</f>
        <v/>
      </c>
      <c r="AD159" s="56">
        <f>$C159*INDEX(Curves!$O$8:$O$68,AD$4-$B159+1)</f>
        <v/>
      </c>
      <c r="AE159" s="56">
        <f>$C159*INDEX(Curves!$O$8:$O$68,AE$4-$B159+1)</f>
        <v/>
      </c>
      <c r="AF159" s="56">
        <f>$C159*INDEX(Curves!$O$8:$O$68,AF$4-$B159+1)</f>
        <v/>
      </c>
      <c r="AG159" s="56">
        <f>$C159*INDEX(Curves!$O$8:$O$68,AG$4-$B159+1)</f>
        <v/>
      </c>
      <c r="AH159" s="56">
        <f>$C159*INDEX(Curves!$O$8:$O$68,AH$4-$B159+1)</f>
        <v/>
      </c>
      <c r="AI159" s="56">
        <f>$C159*INDEX(Curves!$O$8:$O$68,AI$4-$B159+1)</f>
        <v/>
      </c>
      <c r="AJ159" s="56">
        <f>$C159*INDEX(Curves!$O$8:$O$68,AJ$4-$B159+1)</f>
        <v/>
      </c>
      <c r="AK159" s="56">
        <f>$C159*INDEX(Curves!$O$8:$O$68,AK$4-$B159+1)</f>
        <v/>
      </c>
      <c r="AL159" s="56">
        <f>$C159*INDEX(Curves!$O$8:$O$68,AL$4-$B159+1)</f>
        <v/>
      </c>
      <c r="AM159" s="56">
        <f>$C159*INDEX(Curves!$O$8:$O$68,AM$4-$B159+1)</f>
        <v/>
      </c>
      <c r="AN159" s="56">
        <f>$C159*INDEX(Curves!$O$8:$O$68,AN$4-$B159+1)</f>
        <v/>
      </c>
      <c r="AO159" s="56">
        <f>$C159*INDEX(Curves!$O$8:$O$68,AO$4-$B159+1)</f>
        <v/>
      </c>
      <c r="AP159" s="56">
        <f>$C159*INDEX(Curves!$O$8:$O$68,AP$4-$B159+1)</f>
        <v/>
      </c>
      <c r="AQ159" s="56">
        <f>$C159*INDEX(Curves!$O$8:$O$68,AQ$4-$B159+1)</f>
        <v/>
      </c>
      <c r="AR159" s="56">
        <f>$C159*INDEX(Curves!$O$8:$O$68,AR$4-$B159+1)</f>
        <v/>
      </c>
      <c r="AS159" s="56">
        <f>$C159*INDEX(Curves!$O$8:$O$68,AS$4-$B159+1)</f>
        <v/>
      </c>
      <c r="AT159" s="56">
        <f>$C159*INDEX(Curves!$O$8:$O$68,AT$4-$B159+1)</f>
        <v/>
      </c>
      <c r="AU159" s="56">
        <f>$C159*INDEX(Curves!$O$8:$O$68,AU$4-$B159+1)</f>
        <v/>
      </c>
      <c r="AV159" s="56">
        <f>$C159*INDEX(Curves!$O$8:$O$68,AV$4-$B159+1)</f>
        <v/>
      </c>
      <c r="AW159" s="56">
        <f>$C159*INDEX(Curves!$O$8:$O$68,AW$4-$B159+1)</f>
        <v/>
      </c>
      <c r="AX159" s="56">
        <f>$C159*INDEX(Curves!$O$8:$O$68,AX$4-$B159+1)</f>
        <v/>
      </c>
      <c r="AY159" s="56">
        <f>$C159*INDEX(Curves!$O$8:$O$68,AY$4-$B159+1)</f>
        <v/>
      </c>
      <c r="AZ159" s="56">
        <f>$C159*INDEX(Curves!$O$8:$O$68,AZ$4-$B159+1)</f>
        <v/>
      </c>
      <c r="BA159" s="56">
        <f>$C159*INDEX(Curves!$O$8:$O$68,BA$4-$B159+1)</f>
        <v/>
      </c>
      <c r="BB159" s="56">
        <f>$C159*INDEX(Curves!$O$8:$O$68,BB$4-$B159+1)</f>
        <v/>
      </c>
      <c r="BC159" s="56">
        <f>$C159*INDEX(Curves!$O$8:$O$68,BC$4-$B159+1)</f>
        <v/>
      </c>
      <c r="BD159" s="56">
        <f>$C159*INDEX(Curves!$O$8:$O$68,BD$4-$B159+1)</f>
        <v/>
      </c>
      <c r="BE159" s="56">
        <f>$C159*INDEX(Curves!$O$8:$O$68,BE$4-$B159+1)</f>
        <v/>
      </c>
      <c r="BF159" s="56">
        <f>$C159*INDEX(Curves!$O$8:$O$68,BF$4-$B159+1)</f>
        <v/>
      </c>
      <c r="BG159" s="56">
        <f>$C159*INDEX(Curves!$O$8:$O$68,BG$4-$B159+1)</f>
        <v/>
      </c>
      <c r="BH159" s="56">
        <f>$C159*INDEX(Curves!$O$8:$O$68,BH$4-$B159+1)</f>
        <v/>
      </c>
      <c r="BI159" s="56">
        <f>$C159*INDEX(Curves!$O$8:$O$68,BI$4-$B159+1)</f>
        <v/>
      </c>
      <c r="BJ159" s="56">
        <f>$C159*INDEX(Curves!$O$8:$O$68,BJ$4-$B159+1)</f>
        <v/>
      </c>
      <c r="BK159" s="56">
        <f>$C159*INDEX(Curves!$O$8:$O$68,BK$4-$B159+1)</f>
        <v/>
      </c>
      <c r="BL159" s="56">
        <f>$C159*INDEX(Curves!$O$8:$O$68,BL$4-$B159+1)</f>
        <v/>
      </c>
    </row>
    <row r="160">
      <c r="A160" s="55" t="inlineStr">
        <is>
          <t>Cohort month 25</t>
        </is>
      </c>
      <c r="B160" s="55" t="n">
        <v>25</v>
      </c>
      <c r="C160" s="46">
        <f>INDEX(Ops!$E$25:$BL$25,1,$B160)</f>
        <v/>
      </c>
      <c r="AD160" s="56">
        <f>$C160*INDEX(Curves!$O$8:$O$68,AD$4-$B160+1)</f>
        <v/>
      </c>
      <c r="AE160" s="56">
        <f>$C160*INDEX(Curves!$O$8:$O$68,AE$4-$B160+1)</f>
        <v/>
      </c>
      <c r="AF160" s="56">
        <f>$C160*INDEX(Curves!$O$8:$O$68,AF$4-$B160+1)</f>
        <v/>
      </c>
      <c r="AG160" s="56">
        <f>$C160*INDEX(Curves!$O$8:$O$68,AG$4-$B160+1)</f>
        <v/>
      </c>
      <c r="AH160" s="56">
        <f>$C160*INDEX(Curves!$O$8:$O$68,AH$4-$B160+1)</f>
        <v/>
      </c>
      <c r="AI160" s="56">
        <f>$C160*INDEX(Curves!$O$8:$O$68,AI$4-$B160+1)</f>
        <v/>
      </c>
      <c r="AJ160" s="56">
        <f>$C160*INDEX(Curves!$O$8:$O$68,AJ$4-$B160+1)</f>
        <v/>
      </c>
      <c r="AK160" s="56">
        <f>$C160*INDEX(Curves!$O$8:$O$68,AK$4-$B160+1)</f>
        <v/>
      </c>
      <c r="AL160" s="56">
        <f>$C160*INDEX(Curves!$O$8:$O$68,AL$4-$B160+1)</f>
        <v/>
      </c>
      <c r="AM160" s="56">
        <f>$C160*INDEX(Curves!$O$8:$O$68,AM$4-$B160+1)</f>
        <v/>
      </c>
      <c r="AN160" s="56">
        <f>$C160*INDEX(Curves!$O$8:$O$68,AN$4-$B160+1)</f>
        <v/>
      </c>
      <c r="AO160" s="56">
        <f>$C160*INDEX(Curves!$O$8:$O$68,AO$4-$B160+1)</f>
        <v/>
      </c>
      <c r="AP160" s="56">
        <f>$C160*INDEX(Curves!$O$8:$O$68,AP$4-$B160+1)</f>
        <v/>
      </c>
      <c r="AQ160" s="56">
        <f>$C160*INDEX(Curves!$O$8:$O$68,AQ$4-$B160+1)</f>
        <v/>
      </c>
      <c r="AR160" s="56">
        <f>$C160*INDEX(Curves!$O$8:$O$68,AR$4-$B160+1)</f>
        <v/>
      </c>
      <c r="AS160" s="56">
        <f>$C160*INDEX(Curves!$O$8:$O$68,AS$4-$B160+1)</f>
        <v/>
      </c>
      <c r="AT160" s="56">
        <f>$C160*INDEX(Curves!$O$8:$O$68,AT$4-$B160+1)</f>
        <v/>
      </c>
      <c r="AU160" s="56">
        <f>$C160*INDEX(Curves!$O$8:$O$68,AU$4-$B160+1)</f>
        <v/>
      </c>
      <c r="AV160" s="56">
        <f>$C160*INDEX(Curves!$O$8:$O$68,AV$4-$B160+1)</f>
        <v/>
      </c>
      <c r="AW160" s="56">
        <f>$C160*INDEX(Curves!$O$8:$O$68,AW$4-$B160+1)</f>
        <v/>
      </c>
      <c r="AX160" s="56">
        <f>$C160*INDEX(Curves!$O$8:$O$68,AX$4-$B160+1)</f>
        <v/>
      </c>
      <c r="AY160" s="56">
        <f>$C160*INDEX(Curves!$O$8:$O$68,AY$4-$B160+1)</f>
        <v/>
      </c>
      <c r="AZ160" s="56">
        <f>$C160*INDEX(Curves!$O$8:$O$68,AZ$4-$B160+1)</f>
        <v/>
      </c>
      <c r="BA160" s="56">
        <f>$C160*INDEX(Curves!$O$8:$O$68,BA$4-$B160+1)</f>
        <v/>
      </c>
      <c r="BB160" s="56">
        <f>$C160*INDEX(Curves!$O$8:$O$68,BB$4-$B160+1)</f>
        <v/>
      </c>
      <c r="BC160" s="56">
        <f>$C160*INDEX(Curves!$O$8:$O$68,BC$4-$B160+1)</f>
        <v/>
      </c>
      <c r="BD160" s="56">
        <f>$C160*INDEX(Curves!$O$8:$O$68,BD$4-$B160+1)</f>
        <v/>
      </c>
      <c r="BE160" s="56">
        <f>$C160*INDEX(Curves!$O$8:$O$68,BE$4-$B160+1)</f>
        <v/>
      </c>
      <c r="BF160" s="56">
        <f>$C160*INDEX(Curves!$O$8:$O$68,BF$4-$B160+1)</f>
        <v/>
      </c>
      <c r="BG160" s="56">
        <f>$C160*INDEX(Curves!$O$8:$O$68,BG$4-$B160+1)</f>
        <v/>
      </c>
      <c r="BH160" s="56">
        <f>$C160*INDEX(Curves!$O$8:$O$68,BH$4-$B160+1)</f>
        <v/>
      </c>
      <c r="BI160" s="56">
        <f>$C160*INDEX(Curves!$O$8:$O$68,BI$4-$B160+1)</f>
        <v/>
      </c>
      <c r="BJ160" s="56">
        <f>$C160*INDEX(Curves!$O$8:$O$68,BJ$4-$B160+1)</f>
        <v/>
      </c>
      <c r="BK160" s="56">
        <f>$C160*INDEX(Curves!$O$8:$O$68,BK$4-$B160+1)</f>
        <v/>
      </c>
      <c r="BL160" s="56">
        <f>$C160*INDEX(Curves!$O$8:$O$68,BL$4-$B160+1)</f>
        <v/>
      </c>
    </row>
    <row r="161">
      <c r="A161" s="55" t="inlineStr">
        <is>
          <t>Cohort month 26</t>
        </is>
      </c>
      <c r="B161" s="55" t="n">
        <v>26</v>
      </c>
      <c r="C161" s="46">
        <f>INDEX(Ops!$E$25:$BL$25,1,$B161)</f>
        <v/>
      </c>
      <c r="AE161" s="56">
        <f>$C161*INDEX(Curves!$O$8:$O$68,AE$4-$B161+1)</f>
        <v/>
      </c>
      <c r="AF161" s="56">
        <f>$C161*INDEX(Curves!$O$8:$O$68,AF$4-$B161+1)</f>
        <v/>
      </c>
      <c r="AG161" s="56">
        <f>$C161*INDEX(Curves!$O$8:$O$68,AG$4-$B161+1)</f>
        <v/>
      </c>
      <c r="AH161" s="56">
        <f>$C161*INDEX(Curves!$O$8:$O$68,AH$4-$B161+1)</f>
        <v/>
      </c>
      <c r="AI161" s="56">
        <f>$C161*INDEX(Curves!$O$8:$O$68,AI$4-$B161+1)</f>
        <v/>
      </c>
      <c r="AJ161" s="56">
        <f>$C161*INDEX(Curves!$O$8:$O$68,AJ$4-$B161+1)</f>
        <v/>
      </c>
      <c r="AK161" s="56">
        <f>$C161*INDEX(Curves!$O$8:$O$68,AK$4-$B161+1)</f>
        <v/>
      </c>
      <c r="AL161" s="56">
        <f>$C161*INDEX(Curves!$O$8:$O$68,AL$4-$B161+1)</f>
        <v/>
      </c>
      <c r="AM161" s="56">
        <f>$C161*INDEX(Curves!$O$8:$O$68,AM$4-$B161+1)</f>
        <v/>
      </c>
      <c r="AN161" s="56">
        <f>$C161*INDEX(Curves!$O$8:$O$68,AN$4-$B161+1)</f>
        <v/>
      </c>
      <c r="AO161" s="56">
        <f>$C161*INDEX(Curves!$O$8:$O$68,AO$4-$B161+1)</f>
        <v/>
      </c>
      <c r="AP161" s="56">
        <f>$C161*INDEX(Curves!$O$8:$O$68,AP$4-$B161+1)</f>
        <v/>
      </c>
      <c r="AQ161" s="56">
        <f>$C161*INDEX(Curves!$O$8:$O$68,AQ$4-$B161+1)</f>
        <v/>
      </c>
      <c r="AR161" s="56">
        <f>$C161*INDEX(Curves!$O$8:$O$68,AR$4-$B161+1)</f>
        <v/>
      </c>
      <c r="AS161" s="56">
        <f>$C161*INDEX(Curves!$O$8:$O$68,AS$4-$B161+1)</f>
        <v/>
      </c>
      <c r="AT161" s="56">
        <f>$C161*INDEX(Curves!$O$8:$O$68,AT$4-$B161+1)</f>
        <v/>
      </c>
      <c r="AU161" s="56">
        <f>$C161*INDEX(Curves!$O$8:$O$68,AU$4-$B161+1)</f>
        <v/>
      </c>
      <c r="AV161" s="56">
        <f>$C161*INDEX(Curves!$O$8:$O$68,AV$4-$B161+1)</f>
        <v/>
      </c>
      <c r="AW161" s="56">
        <f>$C161*INDEX(Curves!$O$8:$O$68,AW$4-$B161+1)</f>
        <v/>
      </c>
      <c r="AX161" s="56">
        <f>$C161*INDEX(Curves!$O$8:$O$68,AX$4-$B161+1)</f>
        <v/>
      </c>
      <c r="AY161" s="56">
        <f>$C161*INDEX(Curves!$O$8:$O$68,AY$4-$B161+1)</f>
        <v/>
      </c>
      <c r="AZ161" s="56">
        <f>$C161*INDEX(Curves!$O$8:$O$68,AZ$4-$B161+1)</f>
        <v/>
      </c>
      <c r="BA161" s="56">
        <f>$C161*INDEX(Curves!$O$8:$O$68,BA$4-$B161+1)</f>
        <v/>
      </c>
      <c r="BB161" s="56">
        <f>$C161*INDEX(Curves!$O$8:$O$68,BB$4-$B161+1)</f>
        <v/>
      </c>
      <c r="BC161" s="56">
        <f>$C161*INDEX(Curves!$O$8:$O$68,BC$4-$B161+1)</f>
        <v/>
      </c>
      <c r="BD161" s="56">
        <f>$C161*INDEX(Curves!$O$8:$O$68,BD$4-$B161+1)</f>
        <v/>
      </c>
      <c r="BE161" s="56">
        <f>$C161*INDEX(Curves!$O$8:$O$68,BE$4-$B161+1)</f>
        <v/>
      </c>
      <c r="BF161" s="56">
        <f>$C161*INDEX(Curves!$O$8:$O$68,BF$4-$B161+1)</f>
        <v/>
      </c>
      <c r="BG161" s="56">
        <f>$C161*INDEX(Curves!$O$8:$O$68,BG$4-$B161+1)</f>
        <v/>
      </c>
      <c r="BH161" s="56">
        <f>$C161*INDEX(Curves!$O$8:$O$68,BH$4-$B161+1)</f>
        <v/>
      </c>
      <c r="BI161" s="56">
        <f>$C161*INDEX(Curves!$O$8:$O$68,BI$4-$B161+1)</f>
        <v/>
      </c>
      <c r="BJ161" s="56">
        <f>$C161*INDEX(Curves!$O$8:$O$68,BJ$4-$B161+1)</f>
        <v/>
      </c>
      <c r="BK161" s="56">
        <f>$C161*INDEX(Curves!$O$8:$O$68,BK$4-$B161+1)</f>
        <v/>
      </c>
      <c r="BL161" s="56">
        <f>$C161*INDEX(Curves!$O$8:$O$68,BL$4-$B161+1)</f>
        <v/>
      </c>
    </row>
    <row r="162">
      <c r="A162" s="55" t="inlineStr">
        <is>
          <t>Cohort month 27</t>
        </is>
      </c>
      <c r="B162" s="55" t="n">
        <v>27</v>
      </c>
      <c r="C162" s="46">
        <f>INDEX(Ops!$E$25:$BL$25,1,$B162)</f>
        <v/>
      </c>
      <c r="AF162" s="56">
        <f>$C162*INDEX(Curves!$O$8:$O$68,AF$4-$B162+1)</f>
        <v/>
      </c>
      <c r="AG162" s="56">
        <f>$C162*INDEX(Curves!$O$8:$O$68,AG$4-$B162+1)</f>
        <v/>
      </c>
      <c r="AH162" s="56">
        <f>$C162*INDEX(Curves!$O$8:$O$68,AH$4-$B162+1)</f>
        <v/>
      </c>
      <c r="AI162" s="56">
        <f>$C162*INDEX(Curves!$O$8:$O$68,AI$4-$B162+1)</f>
        <v/>
      </c>
      <c r="AJ162" s="56">
        <f>$C162*INDEX(Curves!$O$8:$O$68,AJ$4-$B162+1)</f>
        <v/>
      </c>
      <c r="AK162" s="56">
        <f>$C162*INDEX(Curves!$O$8:$O$68,AK$4-$B162+1)</f>
        <v/>
      </c>
      <c r="AL162" s="56">
        <f>$C162*INDEX(Curves!$O$8:$O$68,AL$4-$B162+1)</f>
        <v/>
      </c>
      <c r="AM162" s="56">
        <f>$C162*INDEX(Curves!$O$8:$O$68,AM$4-$B162+1)</f>
        <v/>
      </c>
      <c r="AN162" s="56">
        <f>$C162*INDEX(Curves!$O$8:$O$68,AN$4-$B162+1)</f>
        <v/>
      </c>
      <c r="AO162" s="56">
        <f>$C162*INDEX(Curves!$O$8:$O$68,AO$4-$B162+1)</f>
        <v/>
      </c>
      <c r="AP162" s="56">
        <f>$C162*INDEX(Curves!$O$8:$O$68,AP$4-$B162+1)</f>
        <v/>
      </c>
      <c r="AQ162" s="56">
        <f>$C162*INDEX(Curves!$O$8:$O$68,AQ$4-$B162+1)</f>
        <v/>
      </c>
      <c r="AR162" s="56">
        <f>$C162*INDEX(Curves!$O$8:$O$68,AR$4-$B162+1)</f>
        <v/>
      </c>
      <c r="AS162" s="56">
        <f>$C162*INDEX(Curves!$O$8:$O$68,AS$4-$B162+1)</f>
        <v/>
      </c>
      <c r="AT162" s="56">
        <f>$C162*INDEX(Curves!$O$8:$O$68,AT$4-$B162+1)</f>
        <v/>
      </c>
      <c r="AU162" s="56">
        <f>$C162*INDEX(Curves!$O$8:$O$68,AU$4-$B162+1)</f>
        <v/>
      </c>
      <c r="AV162" s="56">
        <f>$C162*INDEX(Curves!$O$8:$O$68,AV$4-$B162+1)</f>
        <v/>
      </c>
      <c r="AW162" s="56">
        <f>$C162*INDEX(Curves!$O$8:$O$68,AW$4-$B162+1)</f>
        <v/>
      </c>
      <c r="AX162" s="56">
        <f>$C162*INDEX(Curves!$O$8:$O$68,AX$4-$B162+1)</f>
        <v/>
      </c>
      <c r="AY162" s="56">
        <f>$C162*INDEX(Curves!$O$8:$O$68,AY$4-$B162+1)</f>
        <v/>
      </c>
      <c r="AZ162" s="56">
        <f>$C162*INDEX(Curves!$O$8:$O$68,AZ$4-$B162+1)</f>
        <v/>
      </c>
      <c r="BA162" s="56">
        <f>$C162*INDEX(Curves!$O$8:$O$68,BA$4-$B162+1)</f>
        <v/>
      </c>
      <c r="BB162" s="56">
        <f>$C162*INDEX(Curves!$O$8:$O$68,BB$4-$B162+1)</f>
        <v/>
      </c>
      <c r="BC162" s="56">
        <f>$C162*INDEX(Curves!$O$8:$O$68,BC$4-$B162+1)</f>
        <v/>
      </c>
      <c r="BD162" s="56">
        <f>$C162*INDEX(Curves!$O$8:$O$68,BD$4-$B162+1)</f>
        <v/>
      </c>
      <c r="BE162" s="56">
        <f>$C162*INDEX(Curves!$O$8:$O$68,BE$4-$B162+1)</f>
        <v/>
      </c>
      <c r="BF162" s="56">
        <f>$C162*INDEX(Curves!$O$8:$O$68,BF$4-$B162+1)</f>
        <v/>
      </c>
      <c r="BG162" s="56">
        <f>$C162*INDEX(Curves!$O$8:$O$68,BG$4-$B162+1)</f>
        <v/>
      </c>
      <c r="BH162" s="56">
        <f>$C162*INDEX(Curves!$O$8:$O$68,BH$4-$B162+1)</f>
        <v/>
      </c>
      <c r="BI162" s="56">
        <f>$C162*INDEX(Curves!$O$8:$O$68,BI$4-$B162+1)</f>
        <v/>
      </c>
      <c r="BJ162" s="56">
        <f>$C162*INDEX(Curves!$O$8:$O$68,BJ$4-$B162+1)</f>
        <v/>
      </c>
      <c r="BK162" s="56">
        <f>$C162*INDEX(Curves!$O$8:$O$68,BK$4-$B162+1)</f>
        <v/>
      </c>
      <c r="BL162" s="56">
        <f>$C162*INDEX(Curves!$O$8:$O$68,BL$4-$B162+1)</f>
        <v/>
      </c>
    </row>
    <row r="163">
      <c r="A163" s="55" t="inlineStr">
        <is>
          <t>Cohort month 28</t>
        </is>
      </c>
      <c r="B163" s="55" t="n">
        <v>28</v>
      </c>
      <c r="C163" s="46">
        <f>INDEX(Ops!$E$25:$BL$25,1,$B163)</f>
        <v/>
      </c>
      <c r="AG163" s="56">
        <f>$C163*INDEX(Curves!$O$8:$O$68,AG$4-$B163+1)</f>
        <v/>
      </c>
      <c r="AH163" s="56">
        <f>$C163*INDEX(Curves!$O$8:$O$68,AH$4-$B163+1)</f>
        <v/>
      </c>
      <c r="AI163" s="56">
        <f>$C163*INDEX(Curves!$O$8:$O$68,AI$4-$B163+1)</f>
        <v/>
      </c>
      <c r="AJ163" s="56">
        <f>$C163*INDEX(Curves!$O$8:$O$68,AJ$4-$B163+1)</f>
        <v/>
      </c>
      <c r="AK163" s="56">
        <f>$C163*INDEX(Curves!$O$8:$O$68,AK$4-$B163+1)</f>
        <v/>
      </c>
      <c r="AL163" s="56">
        <f>$C163*INDEX(Curves!$O$8:$O$68,AL$4-$B163+1)</f>
        <v/>
      </c>
      <c r="AM163" s="56">
        <f>$C163*INDEX(Curves!$O$8:$O$68,AM$4-$B163+1)</f>
        <v/>
      </c>
      <c r="AN163" s="56">
        <f>$C163*INDEX(Curves!$O$8:$O$68,AN$4-$B163+1)</f>
        <v/>
      </c>
      <c r="AO163" s="56">
        <f>$C163*INDEX(Curves!$O$8:$O$68,AO$4-$B163+1)</f>
        <v/>
      </c>
      <c r="AP163" s="56">
        <f>$C163*INDEX(Curves!$O$8:$O$68,AP$4-$B163+1)</f>
        <v/>
      </c>
      <c r="AQ163" s="56">
        <f>$C163*INDEX(Curves!$O$8:$O$68,AQ$4-$B163+1)</f>
        <v/>
      </c>
      <c r="AR163" s="56">
        <f>$C163*INDEX(Curves!$O$8:$O$68,AR$4-$B163+1)</f>
        <v/>
      </c>
      <c r="AS163" s="56">
        <f>$C163*INDEX(Curves!$O$8:$O$68,AS$4-$B163+1)</f>
        <v/>
      </c>
      <c r="AT163" s="56">
        <f>$C163*INDEX(Curves!$O$8:$O$68,AT$4-$B163+1)</f>
        <v/>
      </c>
      <c r="AU163" s="56">
        <f>$C163*INDEX(Curves!$O$8:$O$68,AU$4-$B163+1)</f>
        <v/>
      </c>
      <c r="AV163" s="56">
        <f>$C163*INDEX(Curves!$O$8:$O$68,AV$4-$B163+1)</f>
        <v/>
      </c>
      <c r="AW163" s="56">
        <f>$C163*INDEX(Curves!$O$8:$O$68,AW$4-$B163+1)</f>
        <v/>
      </c>
      <c r="AX163" s="56">
        <f>$C163*INDEX(Curves!$O$8:$O$68,AX$4-$B163+1)</f>
        <v/>
      </c>
      <c r="AY163" s="56">
        <f>$C163*INDEX(Curves!$O$8:$O$68,AY$4-$B163+1)</f>
        <v/>
      </c>
      <c r="AZ163" s="56">
        <f>$C163*INDEX(Curves!$O$8:$O$68,AZ$4-$B163+1)</f>
        <v/>
      </c>
      <c r="BA163" s="56">
        <f>$C163*INDEX(Curves!$O$8:$O$68,BA$4-$B163+1)</f>
        <v/>
      </c>
      <c r="BB163" s="56">
        <f>$C163*INDEX(Curves!$O$8:$O$68,BB$4-$B163+1)</f>
        <v/>
      </c>
      <c r="BC163" s="56">
        <f>$C163*INDEX(Curves!$O$8:$O$68,BC$4-$B163+1)</f>
        <v/>
      </c>
      <c r="BD163" s="56">
        <f>$C163*INDEX(Curves!$O$8:$O$68,BD$4-$B163+1)</f>
        <v/>
      </c>
      <c r="BE163" s="56">
        <f>$C163*INDEX(Curves!$O$8:$O$68,BE$4-$B163+1)</f>
        <v/>
      </c>
      <c r="BF163" s="56">
        <f>$C163*INDEX(Curves!$O$8:$O$68,BF$4-$B163+1)</f>
        <v/>
      </c>
      <c r="BG163" s="56">
        <f>$C163*INDEX(Curves!$O$8:$O$68,BG$4-$B163+1)</f>
        <v/>
      </c>
      <c r="BH163" s="56">
        <f>$C163*INDEX(Curves!$O$8:$O$68,BH$4-$B163+1)</f>
        <v/>
      </c>
      <c r="BI163" s="56">
        <f>$C163*INDEX(Curves!$O$8:$O$68,BI$4-$B163+1)</f>
        <v/>
      </c>
      <c r="BJ163" s="56">
        <f>$C163*INDEX(Curves!$O$8:$O$68,BJ$4-$B163+1)</f>
        <v/>
      </c>
      <c r="BK163" s="56">
        <f>$C163*INDEX(Curves!$O$8:$O$68,BK$4-$B163+1)</f>
        <v/>
      </c>
      <c r="BL163" s="56">
        <f>$C163*INDEX(Curves!$O$8:$O$68,BL$4-$B163+1)</f>
        <v/>
      </c>
    </row>
    <row r="164">
      <c r="A164" s="55" t="inlineStr">
        <is>
          <t>Cohort month 29</t>
        </is>
      </c>
      <c r="B164" s="55" t="n">
        <v>29</v>
      </c>
      <c r="C164" s="46">
        <f>INDEX(Ops!$E$25:$BL$25,1,$B164)</f>
        <v/>
      </c>
      <c r="AH164" s="56">
        <f>$C164*INDEX(Curves!$O$8:$O$68,AH$4-$B164+1)</f>
        <v/>
      </c>
      <c r="AI164" s="56">
        <f>$C164*INDEX(Curves!$O$8:$O$68,AI$4-$B164+1)</f>
        <v/>
      </c>
      <c r="AJ164" s="56">
        <f>$C164*INDEX(Curves!$O$8:$O$68,AJ$4-$B164+1)</f>
        <v/>
      </c>
      <c r="AK164" s="56">
        <f>$C164*INDEX(Curves!$O$8:$O$68,AK$4-$B164+1)</f>
        <v/>
      </c>
      <c r="AL164" s="56">
        <f>$C164*INDEX(Curves!$O$8:$O$68,AL$4-$B164+1)</f>
        <v/>
      </c>
      <c r="AM164" s="56">
        <f>$C164*INDEX(Curves!$O$8:$O$68,AM$4-$B164+1)</f>
        <v/>
      </c>
      <c r="AN164" s="56">
        <f>$C164*INDEX(Curves!$O$8:$O$68,AN$4-$B164+1)</f>
        <v/>
      </c>
      <c r="AO164" s="56">
        <f>$C164*INDEX(Curves!$O$8:$O$68,AO$4-$B164+1)</f>
        <v/>
      </c>
      <c r="AP164" s="56">
        <f>$C164*INDEX(Curves!$O$8:$O$68,AP$4-$B164+1)</f>
        <v/>
      </c>
      <c r="AQ164" s="56">
        <f>$C164*INDEX(Curves!$O$8:$O$68,AQ$4-$B164+1)</f>
        <v/>
      </c>
      <c r="AR164" s="56">
        <f>$C164*INDEX(Curves!$O$8:$O$68,AR$4-$B164+1)</f>
        <v/>
      </c>
      <c r="AS164" s="56">
        <f>$C164*INDEX(Curves!$O$8:$O$68,AS$4-$B164+1)</f>
        <v/>
      </c>
      <c r="AT164" s="56">
        <f>$C164*INDEX(Curves!$O$8:$O$68,AT$4-$B164+1)</f>
        <v/>
      </c>
      <c r="AU164" s="56">
        <f>$C164*INDEX(Curves!$O$8:$O$68,AU$4-$B164+1)</f>
        <v/>
      </c>
      <c r="AV164" s="56">
        <f>$C164*INDEX(Curves!$O$8:$O$68,AV$4-$B164+1)</f>
        <v/>
      </c>
      <c r="AW164" s="56">
        <f>$C164*INDEX(Curves!$O$8:$O$68,AW$4-$B164+1)</f>
        <v/>
      </c>
      <c r="AX164" s="56">
        <f>$C164*INDEX(Curves!$O$8:$O$68,AX$4-$B164+1)</f>
        <v/>
      </c>
      <c r="AY164" s="56">
        <f>$C164*INDEX(Curves!$O$8:$O$68,AY$4-$B164+1)</f>
        <v/>
      </c>
      <c r="AZ164" s="56">
        <f>$C164*INDEX(Curves!$O$8:$O$68,AZ$4-$B164+1)</f>
        <v/>
      </c>
      <c r="BA164" s="56">
        <f>$C164*INDEX(Curves!$O$8:$O$68,BA$4-$B164+1)</f>
        <v/>
      </c>
      <c r="BB164" s="56">
        <f>$C164*INDEX(Curves!$O$8:$O$68,BB$4-$B164+1)</f>
        <v/>
      </c>
      <c r="BC164" s="56">
        <f>$C164*INDEX(Curves!$O$8:$O$68,BC$4-$B164+1)</f>
        <v/>
      </c>
      <c r="BD164" s="56">
        <f>$C164*INDEX(Curves!$O$8:$O$68,BD$4-$B164+1)</f>
        <v/>
      </c>
      <c r="BE164" s="56">
        <f>$C164*INDEX(Curves!$O$8:$O$68,BE$4-$B164+1)</f>
        <v/>
      </c>
      <c r="BF164" s="56">
        <f>$C164*INDEX(Curves!$O$8:$O$68,BF$4-$B164+1)</f>
        <v/>
      </c>
      <c r="BG164" s="56">
        <f>$C164*INDEX(Curves!$O$8:$O$68,BG$4-$B164+1)</f>
        <v/>
      </c>
      <c r="BH164" s="56">
        <f>$C164*INDEX(Curves!$O$8:$O$68,BH$4-$B164+1)</f>
        <v/>
      </c>
      <c r="BI164" s="56">
        <f>$C164*INDEX(Curves!$O$8:$O$68,BI$4-$B164+1)</f>
        <v/>
      </c>
      <c r="BJ164" s="56">
        <f>$C164*INDEX(Curves!$O$8:$O$68,BJ$4-$B164+1)</f>
        <v/>
      </c>
      <c r="BK164" s="56">
        <f>$C164*INDEX(Curves!$O$8:$O$68,BK$4-$B164+1)</f>
        <v/>
      </c>
      <c r="BL164" s="56">
        <f>$C164*INDEX(Curves!$O$8:$O$68,BL$4-$B164+1)</f>
        <v/>
      </c>
    </row>
    <row r="165">
      <c r="A165" s="55" t="inlineStr">
        <is>
          <t>Cohort month 30</t>
        </is>
      </c>
      <c r="B165" s="55" t="n">
        <v>30</v>
      </c>
      <c r="C165" s="46">
        <f>INDEX(Ops!$E$25:$BL$25,1,$B165)</f>
        <v/>
      </c>
      <c r="AI165" s="56">
        <f>$C165*INDEX(Curves!$O$8:$O$68,AI$4-$B165+1)</f>
        <v/>
      </c>
      <c r="AJ165" s="56">
        <f>$C165*INDEX(Curves!$O$8:$O$68,AJ$4-$B165+1)</f>
        <v/>
      </c>
      <c r="AK165" s="56">
        <f>$C165*INDEX(Curves!$O$8:$O$68,AK$4-$B165+1)</f>
        <v/>
      </c>
      <c r="AL165" s="56">
        <f>$C165*INDEX(Curves!$O$8:$O$68,AL$4-$B165+1)</f>
        <v/>
      </c>
      <c r="AM165" s="56">
        <f>$C165*INDEX(Curves!$O$8:$O$68,AM$4-$B165+1)</f>
        <v/>
      </c>
      <c r="AN165" s="56">
        <f>$C165*INDEX(Curves!$O$8:$O$68,AN$4-$B165+1)</f>
        <v/>
      </c>
      <c r="AO165" s="56">
        <f>$C165*INDEX(Curves!$O$8:$O$68,AO$4-$B165+1)</f>
        <v/>
      </c>
      <c r="AP165" s="56">
        <f>$C165*INDEX(Curves!$O$8:$O$68,AP$4-$B165+1)</f>
        <v/>
      </c>
      <c r="AQ165" s="56">
        <f>$C165*INDEX(Curves!$O$8:$O$68,AQ$4-$B165+1)</f>
        <v/>
      </c>
      <c r="AR165" s="56">
        <f>$C165*INDEX(Curves!$O$8:$O$68,AR$4-$B165+1)</f>
        <v/>
      </c>
      <c r="AS165" s="56">
        <f>$C165*INDEX(Curves!$O$8:$O$68,AS$4-$B165+1)</f>
        <v/>
      </c>
      <c r="AT165" s="56">
        <f>$C165*INDEX(Curves!$O$8:$O$68,AT$4-$B165+1)</f>
        <v/>
      </c>
      <c r="AU165" s="56">
        <f>$C165*INDEX(Curves!$O$8:$O$68,AU$4-$B165+1)</f>
        <v/>
      </c>
      <c r="AV165" s="56">
        <f>$C165*INDEX(Curves!$O$8:$O$68,AV$4-$B165+1)</f>
        <v/>
      </c>
      <c r="AW165" s="56">
        <f>$C165*INDEX(Curves!$O$8:$O$68,AW$4-$B165+1)</f>
        <v/>
      </c>
      <c r="AX165" s="56">
        <f>$C165*INDEX(Curves!$O$8:$O$68,AX$4-$B165+1)</f>
        <v/>
      </c>
      <c r="AY165" s="56">
        <f>$C165*INDEX(Curves!$O$8:$O$68,AY$4-$B165+1)</f>
        <v/>
      </c>
      <c r="AZ165" s="56">
        <f>$C165*INDEX(Curves!$O$8:$O$68,AZ$4-$B165+1)</f>
        <v/>
      </c>
      <c r="BA165" s="56">
        <f>$C165*INDEX(Curves!$O$8:$O$68,BA$4-$B165+1)</f>
        <v/>
      </c>
      <c r="BB165" s="56">
        <f>$C165*INDEX(Curves!$O$8:$O$68,BB$4-$B165+1)</f>
        <v/>
      </c>
      <c r="BC165" s="56">
        <f>$C165*INDEX(Curves!$O$8:$O$68,BC$4-$B165+1)</f>
        <v/>
      </c>
      <c r="BD165" s="56">
        <f>$C165*INDEX(Curves!$O$8:$O$68,BD$4-$B165+1)</f>
        <v/>
      </c>
      <c r="BE165" s="56">
        <f>$C165*INDEX(Curves!$O$8:$O$68,BE$4-$B165+1)</f>
        <v/>
      </c>
      <c r="BF165" s="56">
        <f>$C165*INDEX(Curves!$O$8:$O$68,BF$4-$B165+1)</f>
        <v/>
      </c>
      <c r="BG165" s="56">
        <f>$C165*INDEX(Curves!$O$8:$O$68,BG$4-$B165+1)</f>
        <v/>
      </c>
      <c r="BH165" s="56">
        <f>$C165*INDEX(Curves!$O$8:$O$68,BH$4-$B165+1)</f>
        <v/>
      </c>
      <c r="BI165" s="56">
        <f>$C165*INDEX(Curves!$O$8:$O$68,BI$4-$B165+1)</f>
        <v/>
      </c>
      <c r="BJ165" s="56">
        <f>$C165*INDEX(Curves!$O$8:$O$68,BJ$4-$B165+1)</f>
        <v/>
      </c>
      <c r="BK165" s="56">
        <f>$C165*INDEX(Curves!$O$8:$O$68,BK$4-$B165+1)</f>
        <v/>
      </c>
      <c r="BL165" s="56">
        <f>$C165*INDEX(Curves!$O$8:$O$68,BL$4-$B165+1)</f>
        <v/>
      </c>
    </row>
    <row r="166">
      <c r="A166" s="55" t="inlineStr">
        <is>
          <t>Cohort month 31</t>
        </is>
      </c>
      <c r="B166" s="55" t="n">
        <v>31</v>
      </c>
      <c r="C166" s="46">
        <f>INDEX(Ops!$E$25:$BL$25,1,$B166)</f>
        <v/>
      </c>
      <c r="AJ166" s="56">
        <f>$C166*INDEX(Curves!$O$8:$O$68,AJ$4-$B166+1)</f>
        <v/>
      </c>
      <c r="AK166" s="56">
        <f>$C166*INDEX(Curves!$O$8:$O$68,AK$4-$B166+1)</f>
        <v/>
      </c>
      <c r="AL166" s="56">
        <f>$C166*INDEX(Curves!$O$8:$O$68,AL$4-$B166+1)</f>
        <v/>
      </c>
      <c r="AM166" s="56">
        <f>$C166*INDEX(Curves!$O$8:$O$68,AM$4-$B166+1)</f>
        <v/>
      </c>
      <c r="AN166" s="56">
        <f>$C166*INDEX(Curves!$O$8:$O$68,AN$4-$B166+1)</f>
        <v/>
      </c>
      <c r="AO166" s="56">
        <f>$C166*INDEX(Curves!$O$8:$O$68,AO$4-$B166+1)</f>
        <v/>
      </c>
      <c r="AP166" s="56">
        <f>$C166*INDEX(Curves!$O$8:$O$68,AP$4-$B166+1)</f>
        <v/>
      </c>
      <c r="AQ166" s="56">
        <f>$C166*INDEX(Curves!$O$8:$O$68,AQ$4-$B166+1)</f>
        <v/>
      </c>
      <c r="AR166" s="56">
        <f>$C166*INDEX(Curves!$O$8:$O$68,AR$4-$B166+1)</f>
        <v/>
      </c>
      <c r="AS166" s="56">
        <f>$C166*INDEX(Curves!$O$8:$O$68,AS$4-$B166+1)</f>
        <v/>
      </c>
      <c r="AT166" s="56">
        <f>$C166*INDEX(Curves!$O$8:$O$68,AT$4-$B166+1)</f>
        <v/>
      </c>
      <c r="AU166" s="56">
        <f>$C166*INDEX(Curves!$O$8:$O$68,AU$4-$B166+1)</f>
        <v/>
      </c>
      <c r="AV166" s="56">
        <f>$C166*INDEX(Curves!$O$8:$O$68,AV$4-$B166+1)</f>
        <v/>
      </c>
      <c r="AW166" s="56">
        <f>$C166*INDEX(Curves!$O$8:$O$68,AW$4-$B166+1)</f>
        <v/>
      </c>
      <c r="AX166" s="56">
        <f>$C166*INDEX(Curves!$O$8:$O$68,AX$4-$B166+1)</f>
        <v/>
      </c>
      <c r="AY166" s="56">
        <f>$C166*INDEX(Curves!$O$8:$O$68,AY$4-$B166+1)</f>
        <v/>
      </c>
      <c r="AZ166" s="56">
        <f>$C166*INDEX(Curves!$O$8:$O$68,AZ$4-$B166+1)</f>
        <v/>
      </c>
      <c r="BA166" s="56">
        <f>$C166*INDEX(Curves!$O$8:$O$68,BA$4-$B166+1)</f>
        <v/>
      </c>
      <c r="BB166" s="56">
        <f>$C166*INDEX(Curves!$O$8:$O$68,BB$4-$B166+1)</f>
        <v/>
      </c>
      <c r="BC166" s="56">
        <f>$C166*INDEX(Curves!$O$8:$O$68,BC$4-$B166+1)</f>
        <v/>
      </c>
      <c r="BD166" s="56">
        <f>$C166*INDEX(Curves!$O$8:$O$68,BD$4-$B166+1)</f>
        <v/>
      </c>
      <c r="BE166" s="56">
        <f>$C166*INDEX(Curves!$O$8:$O$68,BE$4-$B166+1)</f>
        <v/>
      </c>
      <c r="BF166" s="56">
        <f>$C166*INDEX(Curves!$O$8:$O$68,BF$4-$B166+1)</f>
        <v/>
      </c>
      <c r="BG166" s="56">
        <f>$C166*INDEX(Curves!$O$8:$O$68,BG$4-$B166+1)</f>
        <v/>
      </c>
      <c r="BH166" s="56">
        <f>$C166*INDEX(Curves!$O$8:$O$68,BH$4-$B166+1)</f>
        <v/>
      </c>
      <c r="BI166" s="56">
        <f>$C166*INDEX(Curves!$O$8:$O$68,BI$4-$B166+1)</f>
        <v/>
      </c>
      <c r="BJ166" s="56">
        <f>$C166*INDEX(Curves!$O$8:$O$68,BJ$4-$B166+1)</f>
        <v/>
      </c>
      <c r="BK166" s="56">
        <f>$C166*INDEX(Curves!$O$8:$O$68,BK$4-$B166+1)</f>
        <v/>
      </c>
      <c r="BL166" s="56">
        <f>$C166*INDEX(Curves!$O$8:$O$68,BL$4-$B166+1)</f>
        <v/>
      </c>
    </row>
    <row r="167">
      <c r="A167" s="55" t="inlineStr">
        <is>
          <t>Cohort month 32</t>
        </is>
      </c>
      <c r="B167" s="55" t="n">
        <v>32</v>
      </c>
      <c r="C167" s="46">
        <f>INDEX(Ops!$E$25:$BL$25,1,$B167)</f>
        <v/>
      </c>
      <c r="AK167" s="56">
        <f>$C167*INDEX(Curves!$O$8:$O$68,AK$4-$B167+1)</f>
        <v/>
      </c>
      <c r="AL167" s="56">
        <f>$C167*INDEX(Curves!$O$8:$O$68,AL$4-$B167+1)</f>
        <v/>
      </c>
      <c r="AM167" s="56">
        <f>$C167*INDEX(Curves!$O$8:$O$68,AM$4-$B167+1)</f>
        <v/>
      </c>
      <c r="AN167" s="56">
        <f>$C167*INDEX(Curves!$O$8:$O$68,AN$4-$B167+1)</f>
        <v/>
      </c>
      <c r="AO167" s="56">
        <f>$C167*INDEX(Curves!$O$8:$O$68,AO$4-$B167+1)</f>
        <v/>
      </c>
      <c r="AP167" s="56">
        <f>$C167*INDEX(Curves!$O$8:$O$68,AP$4-$B167+1)</f>
        <v/>
      </c>
      <c r="AQ167" s="56">
        <f>$C167*INDEX(Curves!$O$8:$O$68,AQ$4-$B167+1)</f>
        <v/>
      </c>
      <c r="AR167" s="56">
        <f>$C167*INDEX(Curves!$O$8:$O$68,AR$4-$B167+1)</f>
        <v/>
      </c>
      <c r="AS167" s="56">
        <f>$C167*INDEX(Curves!$O$8:$O$68,AS$4-$B167+1)</f>
        <v/>
      </c>
      <c r="AT167" s="56">
        <f>$C167*INDEX(Curves!$O$8:$O$68,AT$4-$B167+1)</f>
        <v/>
      </c>
      <c r="AU167" s="56">
        <f>$C167*INDEX(Curves!$O$8:$O$68,AU$4-$B167+1)</f>
        <v/>
      </c>
      <c r="AV167" s="56">
        <f>$C167*INDEX(Curves!$O$8:$O$68,AV$4-$B167+1)</f>
        <v/>
      </c>
      <c r="AW167" s="56">
        <f>$C167*INDEX(Curves!$O$8:$O$68,AW$4-$B167+1)</f>
        <v/>
      </c>
      <c r="AX167" s="56">
        <f>$C167*INDEX(Curves!$O$8:$O$68,AX$4-$B167+1)</f>
        <v/>
      </c>
      <c r="AY167" s="56">
        <f>$C167*INDEX(Curves!$O$8:$O$68,AY$4-$B167+1)</f>
        <v/>
      </c>
      <c r="AZ167" s="56">
        <f>$C167*INDEX(Curves!$O$8:$O$68,AZ$4-$B167+1)</f>
        <v/>
      </c>
      <c r="BA167" s="56">
        <f>$C167*INDEX(Curves!$O$8:$O$68,BA$4-$B167+1)</f>
        <v/>
      </c>
      <c r="BB167" s="56">
        <f>$C167*INDEX(Curves!$O$8:$O$68,BB$4-$B167+1)</f>
        <v/>
      </c>
      <c r="BC167" s="56">
        <f>$C167*INDEX(Curves!$O$8:$O$68,BC$4-$B167+1)</f>
        <v/>
      </c>
      <c r="BD167" s="56">
        <f>$C167*INDEX(Curves!$O$8:$O$68,BD$4-$B167+1)</f>
        <v/>
      </c>
      <c r="BE167" s="56">
        <f>$C167*INDEX(Curves!$O$8:$O$68,BE$4-$B167+1)</f>
        <v/>
      </c>
      <c r="BF167" s="56">
        <f>$C167*INDEX(Curves!$O$8:$O$68,BF$4-$B167+1)</f>
        <v/>
      </c>
      <c r="BG167" s="56">
        <f>$C167*INDEX(Curves!$O$8:$O$68,BG$4-$B167+1)</f>
        <v/>
      </c>
      <c r="BH167" s="56">
        <f>$C167*INDEX(Curves!$O$8:$O$68,BH$4-$B167+1)</f>
        <v/>
      </c>
      <c r="BI167" s="56">
        <f>$C167*INDEX(Curves!$O$8:$O$68,BI$4-$B167+1)</f>
        <v/>
      </c>
      <c r="BJ167" s="56">
        <f>$C167*INDEX(Curves!$O$8:$O$68,BJ$4-$B167+1)</f>
        <v/>
      </c>
      <c r="BK167" s="56">
        <f>$C167*INDEX(Curves!$O$8:$O$68,BK$4-$B167+1)</f>
        <v/>
      </c>
      <c r="BL167" s="56">
        <f>$C167*INDEX(Curves!$O$8:$O$68,BL$4-$B167+1)</f>
        <v/>
      </c>
    </row>
    <row r="168">
      <c r="A168" s="55" t="inlineStr">
        <is>
          <t>Cohort month 33</t>
        </is>
      </c>
      <c r="B168" s="55" t="n">
        <v>33</v>
      </c>
      <c r="C168" s="46">
        <f>INDEX(Ops!$E$25:$BL$25,1,$B168)</f>
        <v/>
      </c>
      <c r="AL168" s="56">
        <f>$C168*INDEX(Curves!$O$8:$O$68,AL$4-$B168+1)</f>
        <v/>
      </c>
      <c r="AM168" s="56">
        <f>$C168*INDEX(Curves!$O$8:$O$68,AM$4-$B168+1)</f>
        <v/>
      </c>
      <c r="AN168" s="56">
        <f>$C168*INDEX(Curves!$O$8:$O$68,AN$4-$B168+1)</f>
        <v/>
      </c>
      <c r="AO168" s="56">
        <f>$C168*INDEX(Curves!$O$8:$O$68,AO$4-$B168+1)</f>
        <v/>
      </c>
      <c r="AP168" s="56">
        <f>$C168*INDEX(Curves!$O$8:$O$68,AP$4-$B168+1)</f>
        <v/>
      </c>
      <c r="AQ168" s="56">
        <f>$C168*INDEX(Curves!$O$8:$O$68,AQ$4-$B168+1)</f>
        <v/>
      </c>
      <c r="AR168" s="56">
        <f>$C168*INDEX(Curves!$O$8:$O$68,AR$4-$B168+1)</f>
        <v/>
      </c>
      <c r="AS168" s="56">
        <f>$C168*INDEX(Curves!$O$8:$O$68,AS$4-$B168+1)</f>
        <v/>
      </c>
      <c r="AT168" s="56">
        <f>$C168*INDEX(Curves!$O$8:$O$68,AT$4-$B168+1)</f>
        <v/>
      </c>
      <c r="AU168" s="56">
        <f>$C168*INDEX(Curves!$O$8:$O$68,AU$4-$B168+1)</f>
        <v/>
      </c>
      <c r="AV168" s="56">
        <f>$C168*INDEX(Curves!$O$8:$O$68,AV$4-$B168+1)</f>
        <v/>
      </c>
      <c r="AW168" s="56">
        <f>$C168*INDEX(Curves!$O$8:$O$68,AW$4-$B168+1)</f>
        <v/>
      </c>
      <c r="AX168" s="56">
        <f>$C168*INDEX(Curves!$O$8:$O$68,AX$4-$B168+1)</f>
        <v/>
      </c>
      <c r="AY168" s="56">
        <f>$C168*INDEX(Curves!$O$8:$O$68,AY$4-$B168+1)</f>
        <v/>
      </c>
      <c r="AZ168" s="56">
        <f>$C168*INDEX(Curves!$O$8:$O$68,AZ$4-$B168+1)</f>
        <v/>
      </c>
      <c r="BA168" s="56">
        <f>$C168*INDEX(Curves!$O$8:$O$68,BA$4-$B168+1)</f>
        <v/>
      </c>
      <c r="BB168" s="56">
        <f>$C168*INDEX(Curves!$O$8:$O$68,BB$4-$B168+1)</f>
        <v/>
      </c>
      <c r="BC168" s="56">
        <f>$C168*INDEX(Curves!$O$8:$O$68,BC$4-$B168+1)</f>
        <v/>
      </c>
      <c r="BD168" s="56">
        <f>$C168*INDEX(Curves!$O$8:$O$68,BD$4-$B168+1)</f>
        <v/>
      </c>
      <c r="BE168" s="56">
        <f>$C168*INDEX(Curves!$O$8:$O$68,BE$4-$B168+1)</f>
        <v/>
      </c>
      <c r="BF168" s="56">
        <f>$C168*INDEX(Curves!$O$8:$O$68,BF$4-$B168+1)</f>
        <v/>
      </c>
      <c r="BG168" s="56">
        <f>$C168*INDEX(Curves!$O$8:$O$68,BG$4-$B168+1)</f>
        <v/>
      </c>
      <c r="BH168" s="56">
        <f>$C168*INDEX(Curves!$O$8:$O$68,BH$4-$B168+1)</f>
        <v/>
      </c>
      <c r="BI168" s="56">
        <f>$C168*INDEX(Curves!$O$8:$O$68,BI$4-$B168+1)</f>
        <v/>
      </c>
      <c r="BJ168" s="56">
        <f>$C168*INDEX(Curves!$O$8:$O$68,BJ$4-$B168+1)</f>
        <v/>
      </c>
      <c r="BK168" s="56">
        <f>$C168*INDEX(Curves!$O$8:$O$68,BK$4-$B168+1)</f>
        <v/>
      </c>
      <c r="BL168" s="56">
        <f>$C168*INDEX(Curves!$O$8:$O$68,BL$4-$B168+1)</f>
        <v/>
      </c>
    </row>
    <row r="169">
      <c r="A169" s="55" t="inlineStr">
        <is>
          <t>Cohort month 34</t>
        </is>
      </c>
      <c r="B169" s="55" t="n">
        <v>34</v>
      </c>
      <c r="C169" s="46">
        <f>INDEX(Ops!$E$25:$BL$25,1,$B169)</f>
        <v/>
      </c>
      <c r="AM169" s="56">
        <f>$C169*INDEX(Curves!$O$8:$O$68,AM$4-$B169+1)</f>
        <v/>
      </c>
      <c r="AN169" s="56">
        <f>$C169*INDEX(Curves!$O$8:$O$68,AN$4-$B169+1)</f>
        <v/>
      </c>
      <c r="AO169" s="56">
        <f>$C169*INDEX(Curves!$O$8:$O$68,AO$4-$B169+1)</f>
        <v/>
      </c>
      <c r="AP169" s="56">
        <f>$C169*INDEX(Curves!$O$8:$O$68,AP$4-$B169+1)</f>
        <v/>
      </c>
      <c r="AQ169" s="56">
        <f>$C169*INDEX(Curves!$O$8:$O$68,AQ$4-$B169+1)</f>
        <v/>
      </c>
      <c r="AR169" s="56">
        <f>$C169*INDEX(Curves!$O$8:$O$68,AR$4-$B169+1)</f>
        <v/>
      </c>
      <c r="AS169" s="56">
        <f>$C169*INDEX(Curves!$O$8:$O$68,AS$4-$B169+1)</f>
        <v/>
      </c>
      <c r="AT169" s="56">
        <f>$C169*INDEX(Curves!$O$8:$O$68,AT$4-$B169+1)</f>
        <v/>
      </c>
      <c r="AU169" s="56">
        <f>$C169*INDEX(Curves!$O$8:$O$68,AU$4-$B169+1)</f>
        <v/>
      </c>
      <c r="AV169" s="56">
        <f>$C169*INDEX(Curves!$O$8:$O$68,AV$4-$B169+1)</f>
        <v/>
      </c>
      <c r="AW169" s="56">
        <f>$C169*INDEX(Curves!$O$8:$O$68,AW$4-$B169+1)</f>
        <v/>
      </c>
      <c r="AX169" s="56">
        <f>$C169*INDEX(Curves!$O$8:$O$68,AX$4-$B169+1)</f>
        <v/>
      </c>
      <c r="AY169" s="56">
        <f>$C169*INDEX(Curves!$O$8:$O$68,AY$4-$B169+1)</f>
        <v/>
      </c>
      <c r="AZ169" s="56">
        <f>$C169*INDEX(Curves!$O$8:$O$68,AZ$4-$B169+1)</f>
        <v/>
      </c>
      <c r="BA169" s="56">
        <f>$C169*INDEX(Curves!$O$8:$O$68,BA$4-$B169+1)</f>
        <v/>
      </c>
      <c r="BB169" s="56">
        <f>$C169*INDEX(Curves!$O$8:$O$68,BB$4-$B169+1)</f>
        <v/>
      </c>
      <c r="BC169" s="56">
        <f>$C169*INDEX(Curves!$O$8:$O$68,BC$4-$B169+1)</f>
        <v/>
      </c>
      <c r="BD169" s="56">
        <f>$C169*INDEX(Curves!$O$8:$O$68,BD$4-$B169+1)</f>
        <v/>
      </c>
      <c r="BE169" s="56">
        <f>$C169*INDEX(Curves!$O$8:$O$68,BE$4-$B169+1)</f>
        <v/>
      </c>
      <c r="BF169" s="56">
        <f>$C169*INDEX(Curves!$O$8:$O$68,BF$4-$B169+1)</f>
        <v/>
      </c>
      <c r="BG169" s="56">
        <f>$C169*INDEX(Curves!$O$8:$O$68,BG$4-$B169+1)</f>
        <v/>
      </c>
      <c r="BH169" s="56">
        <f>$C169*INDEX(Curves!$O$8:$O$68,BH$4-$B169+1)</f>
        <v/>
      </c>
      <c r="BI169" s="56">
        <f>$C169*INDEX(Curves!$O$8:$O$68,BI$4-$B169+1)</f>
        <v/>
      </c>
      <c r="BJ169" s="56">
        <f>$C169*INDEX(Curves!$O$8:$O$68,BJ$4-$B169+1)</f>
        <v/>
      </c>
      <c r="BK169" s="56">
        <f>$C169*INDEX(Curves!$O$8:$O$68,BK$4-$B169+1)</f>
        <v/>
      </c>
      <c r="BL169" s="56">
        <f>$C169*INDEX(Curves!$O$8:$O$68,BL$4-$B169+1)</f>
        <v/>
      </c>
    </row>
    <row r="170">
      <c r="A170" s="55" t="inlineStr">
        <is>
          <t>Cohort month 35</t>
        </is>
      </c>
      <c r="B170" s="55" t="n">
        <v>35</v>
      </c>
      <c r="C170" s="46">
        <f>INDEX(Ops!$E$25:$BL$25,1,$B170)</f>
        <v/>
      </c>
      <c r="AN170" s="56">
        <f>$C170*INDEX(Curves!$O$8:$O$68,AN$4-$B170+1)</f>
        <v/>
      </c>
      <c r="AO170" s="56">
        <f>$C170*INDEX(Curves!$O$8:$O$68,AO$4-$B170+1)</f>
        <v/>
      </c>
      <c r="AP170" s="56">
        <f>$C170*INDEX(Curves!$O$8:$O$68,AP$4-$B170+1)</f>
        <v/>
      </c>
      <c r="AQ170" s="56">
        <f>$C170*INDEX(Curves!$O$8:$O$68,AQ$4-$B170+1)</f>
        <v/>
      </c>
      <c r="AR170" s="56">
        <f>$C170*INDEX(Curves!$O$8:$O$68,AR$4-$B170+1)</f>
        <v/>
      </c>
      <c r="AS170" s="56">
        <f>$C170*INDEX(Curves!$O$8:$O$68,AS$4-$B170+1)</f>
        <v/>
      </c>
      <c r="AT170" s="56">
        <f>$C170*INDEX(Curves!$O$8:$O$68,AT$4-$B170+1)</f>
        <v/>
      </c>
      <c r="AU170" s="56">
        <f>$C170*INDEX(Curves!$O$8:$O$68,AU$4-$B170+1)</f>
        <v/>
      </c>
      <c r="AV170" s="56">
        <f>$C170*INDEX(Curves!$O$8:$O$68,AV$4-$B170+1)</f>
        <v/>
      </c>
      <c r="AW170" s="56">
        <f>$C170*INDEX(Curves!$O$8:$O$68,AW$4-$B170+1)</f>
        <v/>
      </c>
      <c r="AX170" s="56">
        <f>$C170*INDEX(Curves!$O$8:$O$68,AX$4-$B170+1)</f>
        <v/>
      </c>
      <c r="AY170" s="56">
        <f>$C170*INDEX(Curves!$O$8:$O$68,AY$4-$B170+1)</f>
        <v/>
      </c>
      <c r="AZ170" s="56">
        <f>$C170*INDEX(Curves!$O$8:$O$68,AZ$4-$B170+1)</f>
        <v/>
      </c>
      <c r="BA170" s="56">
        <f>$C170*INDEX(Curves!$O$8:$O$68,BA$4-$B170+1)</f>
        <v/>
      </c>
      <c r="BB170" s="56">
        <f>$C170*INDEX(Curves!$O$8:$O$68,BB$4-$B170+1)</f>
        <v/>
      </c>
      <c r="BC170" s="56">
        <f>$C170*INDEX(Curves!$O$8:$O$68,BC$4-$B170+1)</f>
        <v/>
      </c>
      <c r="BD170" s="56">
        <f>$C170*INDEX(Curves!$O$8:$O$68,BD$4-$B170+1)</f>
        <v/>
      </c>
      <c r="BE170" s="56">
        <f>$C170*INDEX(Curves!$O$8:$O$68,BE$4-$B170+1)</f>
        <v/>
      </c>
      <c r="BF170" s="56">
        <f>$C170*INDEX(Curves!$O$8:$O$68,BF$4-$B170+1)</f>
        <v/>
      </c>
      <c r="BG170" s="56">
        <f>$C170*INDEX(Curves!$O$8:$O$68,BG$4-$B170+1)</f>
        <v/>
      </c>
      <c r="BH170" s="56">
        <f>$C170*INDEX(Curves!$O$8:$O$68,BH$4-$B170+1)</f>
        <v/>
      </c>
      <c r="BI170" s="56">
        <f>$C170*INDEX(Curves!$O$8:$O$68,BI$4-$B170+1)</f>
        <v/>
      </c>
      <c r="BJ170" s="56">
        <f>$C170*INDEX(Curves!$O$8:$O$68,BJ$4-$B170+1)</f>
        <v/>
      </c>
      <c r="BK170" s="56">
        <f>$C170*INDEX(Curves!$O$8:$O$68,BK$4-$B170+1)</f>
        <v/>
      </c>
      <c r="BL170" s="56">
        <f>$C170*INDEX(Curves!$O$8:$O$68,BL$4-$B170+1)</f>
        <v/>
      </c>
    </row>
    <row r="171">
      <c r="A171" s="55" t="inlineStr">
        <is>
          <t>Cohort month 36</t>
        </is>
      </c>
      <c r="B171" s="55" t="n">
        <v>36</v>
      </c>
      <c r="C171" s="46">
        <f>INDEX(Ops!$E$25:$BL$25,1,$B171)</f>
        <v/>
      </c>
      <c r="AO171" s="56">
        <f>$C171*INDEX(Curves!$O$8:$O$68,AO$4-$B171+1)</f>
        <v/>
      </c>
      <c r="AP171" s="56">
        <f>$C171*INDEX(Curves!$O$8:$O$68,AP$4-$B171+1)</f>
        <v/>
      </c>
      <c r="AQ171" s="56">
        <f>$C171*INDEX(Curves!$O$8:$O$68,AQ$4-$B171+1)</f>
        <v/>
      </c>
      <c r="AR171" s="56">
        <f>$C171*INDEX(Curves!$O$8:$O$68,AR$4-$B171+1)</f>
        <v/>
      </c>
      <c r="AS171" s="56">
        <f>$C171*INDEX(Curves!$O$8:$O$68,AS$4-$B171+1)</f>
        <v/>
      </c>
      <c r="AT171" s="56">
        <f>$C171*INDEX(Curves!$O$8:$O$68,AT$4-$B171+1)</f>
        <v/>
      </c>
      <c r="AU171" s="56">
        <f>$C171*INDEX(Curves!$O$8:$O$68,AU$4-$B171+1)</f>
        <v/>
      </c>
      <c r="AV171" s="56">
        <f>$C171*INDEX(Curves!$O$8:$O$68,AV$4-$B171+1)</f>
        <v/>
      </c>
      <c r="AW171" s="56">
        <f>$C171*INDEX(Curves!$O$8:$O$68,AW$4-$B171+1)</f>
        <v/>
      </c>
      <c r="AX171" s="56">
        <f>$C171*INDEX(Curves!$O$8:$O$68,AX$4-$B171+1)</f>
        <v/>
      </c>
      <c r="AY171" s="56">
        <f>$C171*INDEX(Curves!$O$8:$O$68,AY$4-$B171+1)</f>
        <v/>
      </c>
      <c r="AZ171" s="56">
        <f>$C171*INDEX(Curves!$O$8:$O$68,AZ$4-$B171+1)</f>
        <v/>
      </c>
      <c r="BA171" s="56">
        <f>$C171*INDEX(Curves!$O$8:$O$68,BA$4-$B171+1)</f>
        <v/>
      </c>
      <c r="BB171" s="56">
        <f>$C171*INDEX(Curves!$O$8:$O$68,BB$4-$B171+1)</f>
        <v/>
      </c>
      <c r="BC171" s="56">
        <f>$C171*INDEX(Curves!$O$8:$O$68,BC$4-$B171+1)</f>
        <v/>
      </c>
      <c r="BD171" s="56">
        <f>$C171*INDEX(Curves!$O$8:$O$68,BD$4-$B171+1)</f>
        <v/>
      </c>
      <c r="BE171" s="56">
        <f>$C171*INDEX(Curves!$O$8:$O$68,BE$4-$B171+1)</f>
        <v/>
      </c>
      <c r="BF171" s="56">
        <f>$C171*INDEX(Curves!$O$8:$O$68,BF$4-$B171+1)</f>
        <v/>
      </c>
      <c r="BG171" s="56">
        <f>$C171*INDEX(Curves!$O$8:$O$68,BG$4-$B171+1)</f>
        <v/>
      </c>
      <c r="BH171" s="56">
        <f>$C171*INDEX(Curves!$O$8:$O$68,BH$4-$B171+1)</f>
        <v/>
      </c>
      <c r="BI171" s="56">
        <f>$C171*INDEX(Curves!$O$8:$O$68,BI$4-$B171+1)</f>
        <v/>
      </c>
      <c r="BJ171" s="56">
        <f>$C171*INDEX(Curves!$O$8:$O$68,BJ$4-$B171+1)</f>
        <v/>
      </c>
      <c r="BK171" s="56">
        <f>$C171*INDEX(Curves!$O$8:$O$68,BK$4-$B171+1)</f>
        <v/>
      </c>
      <c r="BL171" s="56">
        <f>$C171*INDEX(Curves!$O$8:$O$68,BL$4-$B171+1)</f>
        <v/>
      </c>
    </row>
    <row r="172">
      <c r="A172" s="55" t="inlineStr">
        <is>
          <t>Cohort month 37</t>
        </is>
      </c>
      <c r="B172" s="55" t="n">
        <v>37</v>
      </c>
      <c r="C172" s="46">
        <f>INDEX(Ops!$E$25:$BL$25,1,$B172)</f>
        <v/>
      </c>
      <c r="AP172" s="56">
        <f>$C172*INDEX(Curves!$O$8:$O$68,AP$4-$B172+1)</f>
        <v/>
      </c>
      <c r="AQ172" s="56">
        <f>$C172*INDEX(Curves!$O$8:$O$68,AQ$4-$B172+1)</f>
        <v/>
      </c>
      <c r="AR172" s="56">
        <f>$C172*INDEX(Curves!$O$8:$O$68,AR$4-$B172+1)</f>
        <v/>
      </c>
      <c r="AS172" s="56">
        <f>$C172*INDEX(Curves!$O$8:$O$68,AS$4-$B172+1)</f>
        <v/>
      </c>
      <c r="AT172" s="56">
        <f>$C172*INDEX(Curves!$O$8:$O$68,AT$4-$B172+1)</f>
        <v/>
      </c>
      <c r="AU172" s="56">
        <f>$C172*INDEX(Curves!$O$8:$O$68,AU$4-$B172+1)</f>
        <v/>
      </c>
      <c r="AV172" s="56">
        <f>$C172*INDEX(Curves!$O$8:$O$68,AV$4-$B172+1)</f>
        <v/>
      </c>
      <c r="AW172" s="56">
        <f>$C172*INDEX(Curves!$O$8:$O$68,AW$4-$B172+1)</f>
        <v/>
      </c>
      <c r="AX172" s="56">
        <f>$C172*INDEX(Curves!$O$8:$O$68,AX$4-$B172+1)</f>
        <v/>
      </c>
      <c r="AY172" s="56">
        <f>$C172*INDEX(Curves!$O$8:$O$68,AY$4-$B172+1)</f>
        <v/>
      </c>
      <c r="AZ172" s="56">
        <f>$C172*INDEX(Curves!$O$8:$O$68,AZ$4-$B172+1)</f>
        <v/>
      </c>
      <c r="BA172" s="56">
        <f>$C172*INDEX(Curves!$O$8:$O$68,BA$4-$B172+1)</f>
        <v/>
      </c>
      <c r="BB172" s="56">
        <f>$C172*INDEX(Curves!$O$8:$O$68,BB$4-$B172+1)</f>
        <v/>
      </c>
      <c r="BC172" s="56">
        <f>$C172*INDEX(Curves!$O$8:$O$68,BC$4-$B172+1)</f>
        <v/>
      </c>
      <c r="BD172" s="56">
        <f>$C172*INDEX(Curves!$O$8:$O$68,BD$4-$B172+1)</f>
        <v/>
      </c>
      <c r="BE172" s="56">
        <f>$C172*INDEX(Curves!$O$8:$O$68,BE$4-$B172+1)</f>
        <v/>
      </c>
      <c r="BF172" s="56">
        <f>$C172*INDEX(Curves!$O$8:$O$68,BF$4-$B172+1)</f>
        <v/>
      </c>
      <c r="BG172" s="56">
        <f>$C172*INDEX(Curves!$O$8:$O$68,BG$4-$B172+1)</f>
        <v/>
      </c>
      <c r="BH172" s="56">
        <f>$C172*INDEX(Curves!$O$8:$O$68,BH$4-$B172+1)</f>
        <v/>
      </c>
      <c r="BI172" s="56">
        <f>$C172*INDEX(Curves!$O$8:$O$68,BI$4-$B172+1)</f>
        <v/>
      </c>
      <c r="BJ172" s="56">
        <f>$C172*INDEX(Curves!$O$8:$O$68,BJ$4-$B172+1)</f>
        <v/>
      </c>
      <c r="BK172" s="56">
        <f>$C172*INDEX(Curves!$O$8:$O$68,BK$4-$B172+1)</f>
        <v/>
      </c>
      <c r="BL172" s="56">
        <f>$C172*INDEX(Curves!$O$8:$O$68,BL$4-$B172+1)</f>
        <v/>
      </c>
    </row>
    <row r="173">
      <c r="A173" s="55" t="inlineStr">
        <is>
          <t>Cohort month 38</t>
        </is>
      </c>
      <c r="B173" s="55" t="n">
        <v>38</v>
      </c>
      <c r="C173" s="46">
        <f>INDEX(Ops!$E$25:$BL$25,1,$B173)</f>
        <v/>
      </c>
      <c r="AQ173" s="56">
        <f>$C173*INDEX(Curves!$O$8:$O$68,AQ$4-$B173+1)</f>
        <v/>
      </c>
      <c r="AR173" s="56">
        <f>$C173*INDEX(Curves!$O$8:$O$68,AR$4-$B173+1)</f>
        <v/>
      </c>
      <c r="AS173" s="56">
        <f>$C173*INDEX(Curves!$O$8:$O$68,AS$4-$B173+1)</f>
        <v/>
      </c>
      <c r="AT173" s="56">
        <f>$C173*INDEX(Curves!$O$8:$O$68,AT$4-$B173+1)</f>
        <v/>
      </c>
      <c r="AU173" s="56">
        <f>$C173*INDEX(Curves!$O$8:$O$68,AU$4-$B173+1)</f>
        <v/>
      </c>
      <c r="AV173" s="56">
        <f>$C173*INDEX(Curves!$O$8:$O$68,AV$4-$B173+1)</f>
        <v/>
      </c>
      <c r="AW173" s="56">
        <f>$C173*INDEX(Curves!$O$8:$O$68,AW$4-$B173+1)</f>
        <v/>
      </c>
      <c r="AX173" s="56">
        <f>$C173*INDEX(Curves!$O$8:$O$68,AX$4-$B173+1)</f>
        <v/>
      </c>
      <c r="AY173" s="56">
        <f>$C173*INDEX(Curves!$O$8:$O$68,AY$4-$B173+1)</f>
        <v/>
      </c>
      <c r="AZ173" s="56">
        <f>$C173*INDEX(Curves!$O$8:$O$68,AZ$4-$B173+1)</f>
        <v/>
      </c>
      <c r="BA173" s="56">
        <f>$C173*INDEX(Curves!$O$8:$O$68,BA$4-$B173+1)</f>
        <v/>
      </c>
      <c r="BB173" s="56">
        <f>$C173*INDEX(Curves!$O$8:$O$68,BB$4-$B173+1)</f>
        <v/>
      </c>
      <c r="BC173" s="56">
        <f>$C173*INDEX(Curves!$O$8:$O$68,BC$4-$B173+1)</f>
        <v/>
      </c>
      <c r="BD173" s="56">
        <f>$C173*INDEX(Curves!$O$8:$O$68,BD$4-$B173+1)</f>
        <v/>
      </c>
      <c r="BE173" s="56">
        <f>$C173*INDEX(Curves!$O$8:$O$68,BE$4-$B173+1)</f>
        <v/>
      </c>
      <c r="BF173" s="56">
        <f>$C173*INDEX(Curves!$O$8:$O$68,BF$4-$B173+1)</f>
        <v/>
      </c>
      <c r="BG173" s="56">
        <f>$C173*INDEX(Curves!$O$8:$O$68,BG$4-$B173+1)</f>
        <v/>
      </c>
      <c r="BH173" s="56">
        <f>$C173*INDEX(Curves!$O$8:$O$68,BH$4-$B173+1)</f>
        <v/>
      </c>
      <c r="BI173" s="56">
        <f>$C173*INDEX(Curves!$O$8:$O$68,BI$4-$B173+1)</f>
        <v/>
      </c>
      <c r="BJ173" s="56">
        <f>$C173*INDEX(Curves!$O$8:$O$68,BJ$4-$B173+1)</f>
        <v/>
      </c>
      <c r="BK173" s="56">
        <f>$C173*INDEX(Curves!$O$8:$O$68,BK$4-$B173+1)</f>
        <v/>
      </c>
      <c r="BL173" s="56">
        <f>$C173*INDEX(Curves!$O$8:$O$68,BL$4-$B173+1)</f>
        <v/>
      </c>
    </row>
    <row r="174">
      <c r="A174" s="55" t="inlineStr">
        <is>
          <t>Cohort month 39</t>
        </is>
      </c>
      <c r="B174" s="55" t="n">
        <v>39</v>
      </c>
      <c r="C174" s="46">
        <f>INDEX(Ops!$E$25:$BL$25,1,$B174)</f>
        <v/>
      </c>
      <c r="AR174" s="56">
        <f>$C174*INDEX(Curves!$O$8:$O$68,AR$4-$B174+1)</f>
        <v/>
      </c>
      <c r="AS174" s="56">
        <f>$C174*INDEX(Curves!$O$8:$O$68,AS$4-$B174+1)</f>
        <v/>
      </c>
      <c r="AT174" s="56">
        <f>$C174*INDEX(Curves!$O$8:$O$68,AT$4-$B174+1)</f>
        <v/>
      </c>
      <c r="AU174" s="56">
        <f>$C174*INDEX(Curves!$O$8:$O$68,AU$4-$B174+1)</f>
        <v/>
      </c>
      <c r="AV174" s="56">
        <f>$C174*INDEX(Curves!$O$8:$O$68,AV$4-$B174+1)</f>
        <v/>
      </c>
      <c r="AW174" s="56">
        <f>$C174*INDEX(Curves!$O$8:$O$68,AW$4-$B174+1)</f>
        <v/>
      </c>
      <c r="AX174" s="56">
        <f>$C174*INDEX(Curves!$O$8:$O$68,AX$4-$B174+1)</f>
        <v/>
      </c>
      <c r="AY174" s="56">
        <f>$C174*INDEX(Curves!$O$8:$O$68,AY$4-$B174+1)</f>
        <v/>
      </c>
      <c r="AZ174" s="56">
        <f>$C174*INDEX(Curves!$O$8:$O$68,AZ$4-$B174+1)</f>
        <v/>
      </c>
      <c r="BA174" s="56">
        <f>$C174*INDEX(Curves!$O$8:$O$68,BA$4-$B174+1)</f>
        <v/>
      </c>
      <c r="BB174" s="56">
        <f>$C174*INDEX(Curves!$O$8:$O$68,BB$4-$B174+1)</f>
        <v/>
      </c>
      <c r="BC174" s="56">
        <f>$C174*INDEX(Curves!$O$8:$O$68,BC$4-$B174+1)</f>
        <v/>
      </c>
      <c r="BD174" s="56">
        <f>$C174*INDEX(Curves!$O$8:$O$68,BD$4-$B174+1)</f>
        <v/>
      </c>
      <c r="BE174" s="56">
        <f>$C174*INDEX(Curves!$O$8:$O$68,BE$4-$B174+1)</f>
        <v/>
      </c>
      <c r="BF174" s="56">
        <f>$C174*INDEX(Curves!$O$8:$O$68,BF$4-$B174+1)</f>
        <v/>
      </c>
      <c r="BG174" s="56">
        <f>$C174*INDEX(Curves!$O$8:$O$68,BG$4-$B174+1)</f>
        <v/>
      </c>
      <c r="BH174" s="56">
        <f>$C174*INDEX(Curves!$O$8:$O$68,BH$4-$B174+1)</f>
        <v/>
      </c>
      <c r="BI174" s="56">
        <f>$C174*INDEX(Curves!$O$8:$O$68,BI$4-$B174+1)</f>
        <v/>
      </c>
      <c r="BJ174" s="56">
        <f>$C174*INDEX(Curves!$O$8:$O$68,BJ$4-$B174+1)</f>
        <v/>
      </c>
      <c r="BK174" s="56">
        <f>$C174*INDEX(Curves!$O$8:$O$68,BK$4-$B174+1)</f>
        <v/>
      </c>
      <c r="BL174" s="56">
        <f>$C174*INDEX(Curves!$O$8:$O$68,BL$4-$B174+1)</f>
        <v/>
      </c>
    </row>
    <row r="175">
      <c r="A175" s="55" t="inlineStr">
        <is>
          <t>Cohort month 40</t>
        </is>
      </c>
      <c r="B175" s="55" t="n">
        <v>40</v>
      </c>
      <c r="C175" s="46">
        <f>INDEX(Ops!$E$25:$BL$25,1,$B175)</f>
        <v/>
      </c>
      <c r="AS175" s="56">
        <f>$C175*INDEX(Curves!$O$8:$O$68,AS$4-$B175+1)</f>
        <v/>
      </c>
      <c r="AT175" s="56">
        <f>$C175*INDEX(Curves!$O$8:$O$68,AT$4-$B175+1)</f>
        <v/>
      </c>
      <c r="AU175" s="56">
        <f>$C175*INDEX(Curves!$O$8:$O$68,AU$4-$B175+1)</f>
        <v/>
      </c>
      <c r="AV175" s="56">
        <f>$C175*INDEX(Curves!$O$8:$O$68,AV$4-$B175+1)</f>
        <v/>
      </c>
      <c r="AW175" s="56">
        <f>$C175*INDEX(Curves!$O$8:$O$68,AW$4-$B175+1)</f>
        <v/>
      </c>
      <c r="AX175" s="56">
        <f>$C175*INDEX(Curves!$O$8:$O$68,AX$4-$B175+1)</f>
        <v/>
      </c>
      <c r="AY175" s="56">
        <f>$C175*INDEX(Curves!$O$8:$O$68,AY$4-$B175+1)</f>
        <v/>
      </c>
      <c r="AZ175" s="56">
        <f>$C175*INDEX(Curves!$O$8:$O$68,AZ$4-$B175+1)</f>
        <v/>
      </c>
      <c r="BA175" s="56">
        <f>$C175*INDEX(Curves!$O$8:$O$68,BA$4-$B175+1)</f>
        <v/>
      </c>
      <c r="BB175" s="56">
        <f>$C175*INDEX(Curves!$O$8:$O$68,BB$4-$B175+1)</f>
        <v/>
      </c>
      <c r="BC175" s="56">
        <f>$C175*INDEX(Curves!$O$8:$O$68,BC$4-$B175+1)</f>
        <v/>
      </c>
      <c r="BD175" s="56">
        <f>$C175*INDEX(Curves!$O$8:$O$68,BD$4-$B175+1)</f>
        <v/>
      </c>
      <c r="BE175" s="56">
        <f>$C175*INDEX(Curves!$O$8:$O$68,BE$4-$B175+1)</f>
        <v/>
      </c>
      <c r="BF175" s="56">
        <f>$C175*INDEX(Curves!$O$8:$O$68,BF$4-$B175+1)</f>
        <v/>
      </c>
      <c r="BG175" s="56">
        <f>$C175*INDEX(Curves!$O$8:$O$68,BG$4-$B175+1)</f>
        <v/>
      </c>
      <c r="BH175" s="56">
        <f>$C175*INDEX(Curves!$O$8:$O$68,BH$4-$B175+1)</f>
        <v/>
      </c>
      <c r="BI175" s="56">
        <f>$C175*INDEX(Curves!$O$8:$O$68,BI$4-$B175+1)</f>
        <v/>
      </c>
      <c r="BJ175" s="56">
        <f>$C175*INDEX(Curves!$O$8:$O$68,BJ$4-$B175+1)</f>
        <v/>
      </c>
      <c r="BK175" s="56">
        <f>$C175*INDEX(Curves!$O$8:$O$68,BK$4-$B175+1)</f>
        <v/>
      </c>
      <c r="BL175" s="56">
        <f>$C175*INDEX(Curves!$O$8:$O$68,BL$4-$B175+1)</f>
        <v/>
      </c>
    </row>
    <row r="176">
      <c r="A176" s="55" t="inlineStr">
        <is>
          <t>Cohort month 41</t>
        </is>
      </c>
      <c r="B176" s="55" t="n">
        <v>41</v>
      </c>
      <c r="C176" s="46">
        <f>INDEX(Ops!$E$25:$BL$25,1,$B176)</f>
        <v/>
      </c>
      <c r="AT176" s="56">
        <f>$C176*INDEX(Curves!$O$8:$O$68,AT$4-$B176+1)</f>
        <v/>
      </c>
      <c r="AU176" s="56">
        <f>$C176*INDEX(Curves!$O$8:$O$68,AU$4-$B176+1)</f>
        <v/>
      </c>
      <c r="AV176" s="56">
        <f>$C176*INDEX(Curves!$O$8:$O$68,AV$4-$B176+1)</f>
        <v/>
      </c>
      <c r="AW176" s="56">
        <f>$C176*INDEX(Curves!$O$8:$O$68,AW$4-$B176+1)</f>
        <v/>
      </c>
      <c r="AX176" s="56">
        <f>$C176*INDEX(Curves!$O$8:$O$68,AX$4-$B176+1)</f>
        <v/>
      </c>
      <c r="AY176" s="56">
        <f>$C176*INDEX(Curves!$O$8:$O$68,AY$4-$B176+1)</f>
        <v/>
      </c>
      <c r="AZ176" s="56">
        <f>$C176*INDEX(Curves!$O$8:$O$68,AZ$4-$B176+1)</f>
        <v/>
      </c>
      <c r="BA176" s="56">
        <f>$C176*INDEX(Curves!$O$8:$O$68,BA$4-$B176+1)</f>
        <v/>
      </c>
      <c r="BB176" s="56">
        <f>$C176*INDEX(Curves!$O$8:$O$68,BB$4-$B176+1)</f>
        <v/>
      </c>
      <c r="BC176" s="56">
        <f>$C176*INDEX(Curves!$O$8:$O$68,BC$4-$B176+1)</f>
        <v/>
      </c>
      <c r="BD176" s="56">
        <f>$C176*INDEX(Curves!$O$8:$O$68,BD$4-$B176+1)</f>
        <v/>
      </c>
      <c r="BE176" s="56">
        <f>$C176*INDEX(Curves!$O$8:$O$68,BE$4-$B176+1)</f>
        <v/>
      </c>
      <c r="BF176" s="56">
        <f>$C176*INDEX(Curves!$O$8:$O$68,BF$4-$B176+1)</f>
        <v/>
      </c>
      <c r="BG176" s="56">
        <f>$C176*INDEX(Curves!$O$8:$O$68,BG$4-$B176+1)</f>
        <v/>
      </c>
      <c r="BH176" s="56">
        <f>$C176*INDEX(Curves!$O$8:$O$68,BH$4-$B176+1)</f>
        <v/>
      </c>
      <c r="BI176" s="56">
        <f>$C176*INDEX(Curves!$O$8:$O$68,BI$4-$B176+1)</f>
        <v/>
      </c>
      <c r="BJ176" s="56">
        <f>$C176*INDEX(Curves!$O$8:$O$68,BJ$4-$B176+1)</f>
        <v/>
      </c>
      <c r="BK176" s="56">
        <f>$C176*INDEX(Curves!$O$8:$O$68,BK$4-$B176+1)</f>
        <v/>
      </c>
      <c r="BL176" s="56">
        <f>$C176*INDEX(Curves!$O$8:$O$68,BL$4-$B176+1)</f>
        <v/>
      </c>
    </row>
    <row r="177">
      <c r="A177" s="55" t="inlineStr">
        <is>
          <t>Cohort month 42</t>
        </is>
      </c>
      <c r="B177" s="55" t="n">
        <v>42</v>
      </c>
      <c r="C177" s="46">
        <f>INDEX(Ops!$E$25:$BL$25,1,$B177)</f>
        <v/>
      </c>
      <c r="AU177" s="56">
        <f>$C177*INDEX(Curves!$O$8:$O$68,AU$4-$B177+1)</f>
        <v/>
      </c>
      <c r="AV177" s="56">
        <f>$C177*INDEX(Curves!$O$8:$O$68,AV$4-$B177+1)</f>
        <v/>
      </c>
      <c r="AW177" s="56">
        <f>$C177*INDEX(Curves!$O$8:$O$68,AW$4-$B177+1)</f>
        <v/>
      </c>
      <c r="AX177" s="56">
        <f>$C177*INDEX(Curves!$O$8:$O$68,AX$4-$B177+1)</f>
        <v/>
      </c>
      <c r="AY177" s="56">
        <f>$C177*INDEX(Curves!$O$8:$O$68,AY$4-$B177+1)</f>
        <v/>
      </c>
      <c r="AZ177" s="56">
        <f>$C177*INDEX(Curves!$O$8:$O$68,AZ$4-$B177+1)</f>
        <v/>
      </c>
      <c r="BA177" s="56">
        <f>$C177*INDEX(Curves!$O$8:$O$68,BA$4-$B177+1)</f>
        <v/>
      </c>
      <c r="BB177" s="56">
        <f>$C177*INDEX(Curves!$O$8:$O$68,BB$4-$B177+1)</f>
        <v/>
      </c>
      <c r="BC177" s="56">
        <f>$C177*INDEX(Curves!$O$8:$O$68,BC$4-$B177+1)</f>
        <v/>
      </c>
      <c r="BD177" s="56">
        <f>$C177*INDEX(Curves!$O$8:$O$68,BD$4-$B177+1)</f>
        <v/>
      </c>
      <c r="BE177" s="56">
        <f>$C177*INDEX(Curves!$O$8:$O$68,BE$4-$B177+1)</f>
        <v/>
      </c>
      <c r="BF177" s="56">
        <f>$C177*INDEX(Curves!$O$8:$O$68,BF$4-$B177+1)</f>
        <v/>
      </c>
      <c r="BG177" s="56">
        <f>$C177*INDEX(Curves!$O$8:$O$68,BG$4-$B177+1)</f>
        <v/>
      </c>
      <c r="BH177" s="56">
        <f>$C177*INDEX(Curves!$O$8:$O$68,BH$4-$B177+1)</f>
        <v/>
      </c>
      <c r="BI177" s="56">
        <f>$C177*INDEX(Curves!$O$8:$O$68,BI$4-$B177+1)</f>
        <v/>
      </c>
      <c r="BJ177" s="56">
        <f>$C177*INDEX(Curves!$O$8:$O$68,BJ$4-$B177+1)</f>
        <v/>
      </c>
      <c r="BK177" s="56">
        <f>$C177*INDEX(Curves!$O$8:$O$68,BK$4-$B177+1)</f>
        <v/>
      </c>
      <c r="BL177" s="56">
        <f>$C177*INDEX(Curves!$O$8:$O$68,BL$4-$B177+1)</f>
        <v/>
      </c>
    </row>
    <row r="178">
      <c r="A178" s="55" t="inlineStr">
        <is>
          <t>Cohort month 43</t>
        </is>
      </c>
      <c r="B178" s="55" t="n">
        <v>43</v>
      </c>
      <c r="C178" s="46">
        <f>INDEX(Ops!$E$25:$BL$25,1,$B178)</f>
        <v/>
      </c>
      <c r="AV178" s="56">
        <f>$C178*INDEX(Curves!$O$8:$O$68,AV$4-$B178+1)</f>
        <v/>
      </c>
      <c r="AW178" s="56">
        <f>$C178*INDEX(Curves!$O$8:$O$68,AW$4-$B178+1)</f>
        <v/>
      </c>
      <c r="AX178" s="56">
        <f>$C178*INDEX(Curves!$O$8:$O$68,AX$4-$B178+1)</f>
        <v/>
      </c>
      <c r="AY178" s="56">
        <f>$C178*INDEX(Curves!$O$8:$O$68,AY$4-$B178+1)</f>
        <v/>
      </c>
      <c r="AZ178" s="56">
        <f>$C178*INDEX(Curves!$O$8:$O$68,AZ$4-$B178+1)</f>
        <v/>
      </c>
      <c r="BA178" s="56">
        <f>$C178*INDEX(Curves!$O$8:$O$68,BA$4-$B178+1)</f>
        <v/>
      </c>
      <c r="BB178" s="56">
        <f>$C178*INDEX(Curves!$O$8:$O$68,BB$4-$B178+1)</f>
        <v/>
      </c>
      <c r="BC178" s="56">
        <f>$C178*INDEX(Curves!$O$8:$O$68,BC$4-$B178+1)</f>
        <v/>
      </c>
      <c r="BD178" s="56">
        <f>$C178*INDEX(Curves!$O$8:$O$68,BD$4-$B178+1)</f>
        <v/>
      </c>
      <c r="BE178" s="56">
        <f>$C178*INDEX(Curves!$O$8:$O$68,BE$4-$B178+1)</f>
        <v/>
      </c>
      <c r="BF178" s="56">
        <f>$C178*INDEX(Curves!$O$8:$O$68,BF$4-$B178+1)</f>
        <v/>
      </c>
      <c r="BG178" s="56">
        <f>$C178*INDEX(Curves!$O$8:$O$68,BG$4-$B178+1)</f>
        <v/>
      </c>
      <c r="BH178" s="56">
        <f>$C178*INDEX(Curves!$O$8:$O$68,BH$4-$B178+1)</f>
        <v/>
      </c>
      <c r="BI178" s="56">
        <f>$C178*INDEX(Curves!$O$8:$O$68,BI$4-$B178+1)</f>
        <v/>
      </c>
      <c r="BJ178" s="56">
        <f>$C178*INDEX(Curves!$O$8:$O$68,BJ$4-$B178+1)</f>
        <v/>
      </c>
      <c r="BK178" s="56">
        <f>$C178*INDEX(Curves!$O$8:$O$68,BK$4-$B178+1)</f>
        <v/>
      </c>
      <c r="BL178" s="56">
        <f>$C178*INDEX(Curves!$O$8:$O$68,BL$4-$B178+1)</f>
        <v/>
      </c>
    </row>
    <row r="179">
      <c r="A179" s="55" t="inlineStr">
        <is>
          <t>Cohort month 44</t>
        </is>
      </c>
      <c r="B179" s="55" t="n">
        <v>44</v>
      </c>
      <c r="C179" s="46">
        <f>INDEX(Ops!$E$25:$BL$25,1,$B179)</f>
        <v/>
      </c>
      <c r="AW179" s="56">
        <f>$C179*INDEX(Curves!$O$8:$O$68,AW$4-$B179+1)</f>
        <v/>
      </c>
      <c r="AX179" s="56">
        <f>$C179*INDEX(Curves!$O$8:$O$68,AX$4-$B179+1)</f>
        <v/>
      </c>
      <c r="AY179" s="56">
        <f>$C179*INDEX(Curves!$O$8:$O$68,AY$4-$B179+1)</f>
        <v/>
      </c>
      <c r="AZ179" s="56">
        <f>$C179*INDEX(Curves!$O$8:$O$68,AZ$4-$B179+1)</f>
        <v/>
      </c>
      <c r="BA179" s="56">
        <f>$C179*INDEX(Curves!$O$8:$O$68,BA$4-$B179+1)</f>
        <v/>
      </c>
      <c r="BB179" s="56">
        <f>$C179*INDEX(Curves!$O$8:$O$68,BB$4-$B179+1)</f>
        <v/>
      </c>
      <c r="BC179" s="56">
        <f>$C179*INDEX(Curves!$O$8:$O$68,BC$4-$B179+1)</f>
        <v/>
      </c>
      <c r="BD179" s="56">
        <f>$C179*INDEX(Curves!$O$8:$O$68,BD$4-$B179+1)</f>
        <v/>
      </c>
      <c r="BE179" s="56">
        <f>$C179*INDEX(Curves!$O$8:$O$68,BE$4-$B179+1)</f>
        <v/>
      </c>
      <c r="BF179" s="56">
        <f>$C179*INDEX(Curves!$O$8:$O$68,BF$4-$B179+1)</f>
        <v/>
      </c>
      <c r="BG179" s="56">
        <f>$C179*INDEX(Curves!$O$8:$O$68,BG$4-$B179+1)</f>
        <v/>
      </c>
      <c r="BH179" s="56">
        <f>$C179*INDEX(Curves!$O$8:$O$68,BH$4-$B179+1)</f>
        <v/>
      </c>
      <c r="BI179" s="56">
        <f>$C179*INDEX(Curves!$O$8:$O$68,BI$4-$B179+1)</f>
        <v/>
      </c>
      <c r="BJ179" s="56">
        <f>$C179*INDEX(Curves!$O$8:$O$68,BJ$4-$B179+1)</f>
        <v/>
      </c>
      <c r="BK179" s="56">
        <f>$C179*INDEX(Curves!$O$8:$O$68,BK$4-$B179+1)</f>
        <v/>
      </c>
      <c r="BL179" s="56">
        <f>$C179*INDEX(Curves!$O$8:$O$68,BL$4-$B179+1)</f>
        <v/>
      </c>
    </row>
    <row r="180">
      <c r="A180" s="55" t="inlineStr">
        <is>
          <t>Cohort month 45</t>
        </is>
      </c>
      <c r="B180" s="55" t="n">
        <v>45</v>
      </c>
      <c r="C180" s="46">
        <f>INDEX(Ops!$E$25:$BL$25,1,$B180)</f>
        <v/>
      </c>
      <c r="AX180" s="56">
        <f>$C180*INDEX(Curves!$O$8:$O$68,AX$4-$B180+1)</f>
        <v/>
      </c>
      <c r="AY180" s="56">
        <f>$C180*INDEX(Curves!$O$8:$O$68,AY$4-$B180+1)</f>
        <v/>
      </c>
      <c r="AZ180" s="56">
        <f>$C180*INDEX(Curves!$O$8:$O$68,AZ$4-$B180+1)</f>
        <v/>
      </c>
      <c r="BA180" s="56">
        <f>$C180*INDEX(Curves!$O$8:$O$68,BA$4-$B180+1)</f>
        <v/>
      </c>
      <c r="BB180" s="56">
        <f>$C180*INDEX(Curves!$O$8:$O$68,BB$4-$B180+1)</f>
        <v/>
      </c>
      <c r="BC180" s="56">
        <f>$C180*INDEX(Curves!$O$8:$O$68,BC$4-$B180+1)</f>
        <v/>
      </c>
      <c r="BD180" s="56">
        <f>$C180*INDEX(Curves!$O$8:$O$68,BD$4-$B180+1)</f>
        <v/>
      </c>
      <c r="BE180" s="56">
        <f>$C180*INDEX(Curves!$O$8:$O$68,BE$4-$B180+1)</f>
        <v/>
      </c>
      <c r="BF180" s="56">
        <f>$C180*INDEX(Curves!$O$8:$O$68,BF$4-$B180+1)</f>
        <v/>
      </c>
      <c r="BG180" s="56">
        <f>$C180*INDEX(Curves!$O$8:$O$68,BG$4-$B180+1)</f>
        <v/>
      </c>
      <c r="BH180" s="56">
        <f>$C180*INDEX(Curves!$O$8:$O$68,BH$4-$B180+1)</f>
        <v/>
      </c>
      <c r="BI180" s="56">
        <f>$C180*INDEX(Curves!$O$8:$O$68,BI$4-$B180+1)</f>
        <v/>
      </c>
      <c r="BJ180" s="56">
        <f>$C180*INDEX(Curves!$O$8:$O$68,BJ$4-$B180+1)</f>
        <v/>
      </c>
      <c r="BK180" s="56">
        <f>$C180*INDEX(Curves!$O$8:$O$68,BK$4-$B180+1)</f>
        <v/>
      </c>
      <c r="BL180" s="56">
        <f>$C180*INDEX(Curves!$O$8:$O$68,BL$4-$B180+1)</f>
        <v/>
      </c>
    </row>
    <row r="181">
      <c r="A181" s="55" t="inlineStr">
        <is>
          <t>Cohort month 46</t>
        </is>
      </c>
      <c r="B181" s="55" t="n">
        <v>46</v>
      </c>
      <c r="C181" s="46">
        <f>INDEX(Ops!$E$25:$BL$25,1,$B181)</f>
        <v/>
      </c>
      <c r="AY181" s="56">
        <f>$C181*INDEX(Curves!$O$8:$O$68,AY$4-$B181+1)</f>
        <v/>
      </c>
      <c r="AZ181" s="56">
        <f>$C181*INDEX(Curves!$O$8:$O$68,AZ$4-$B181+1)</f>
        <v/>
      </c>
      <c r="BA181" s="56">
        <f>$C181*INDEX(Curves!$O$8:$O$68,BA$4-$B181+1)</f>
        <v/>
      </c>
      <c r="BB181" s="56">
        <f>$C181*INDEX(Curves!$O$8:$O$68,BB$4-$B181+1)</f>
        <v/>
      </c>
      <c r="BC181" s="56">
        <f>$C181*INDEX(Curves!$O$8:$O$68,BC$4-$B181+1)</f>
        <v/>
      </c>
      <c r="BD181" s="56">
        <f>$C181*INDEX(Curves!$O$8:$O$68,BD$4-$B181+1)</f>
        <v/>
      </c>
      <c r="BE181" s="56">
        <f>$C181*INDEX(Curves!$O$8:$O$68,BE$4-$B181+1)</f>
        <v/>
      </c>
      <c r="BF181" s="56">
        <f>$C181*INDEX(Curves!$O$8:$O$68,BF$4-$B181+1)</f>
        <v/>
      </c>
      <c r="BG181" s="56">
        <f>$C181*INDEX(Curves!$O$8:$O$68,BG$4-$B181+1)</f>
        <v/>
      </c>
      <c r="BH181" s="56">
        <f>$C181*INDEX(Curves!$O$8:$O$68,BH$4-$B181+1)</f>
        <v/>
      </c>
      <c r="BI181" s="56">
        <f>$C181*INDEX(Curves!$O$8:$O$68,BI$4-$B181+1)</f>
        <v/>
      </c>
      <c r="BJ181" s="56">
        <f>$C181*INDEX(Curves!$O$8:$O$68,BJ$4-$B181+1)</f>
        <v/>
      </c>
      <c r="BK181" s="56">
        <f>$C181*INDEX(Curves!$O$8:$O$68,BK$4-$B181+1)</f>
        <v/>
      </c>
      <c r="BL181" s="56">
        <f>$C181*INDEX(Curves!$O$8:$O$68,BL$4-$B181+1)</f>
        <v/>
      </c>
    </row>
    <row r="182">
      <c r="A182" s="55" t="inlineStr">
        <is>
          <t>Cohort month 47</t>
        </is>
      </c>
      <c r="B182" s="55" t="n">
        <v>47</v>
      </c>
      <c r="C182" s="46">
        <f>INDEX(Ops!$E$25:$BL$25,1,$B182)</f>
        <v/>
      </c>
      <c r="AZ182" s="56">
        <f>$C182*INDEX(Curves!$O$8:$O$68,AZ$4-$B182+1)</f>
        <v/>
      </c>
      <c r="BA182" s="56">
        <f>$C182*INDEX(Curves!$O$8:$O$68,BA$4-$B182+1)</f>
        <v/>
      </c>
      <c r="BB182" s="56">
        <f>$C182*INDEX(Curves!$O$8:$O$68,BB$4-$B182+1)</f>
        <v/>
      </c>
      <c r="BC182" s="56">
        <f>$C182*INDEX(Curves!$O$8:$O$68,BC$4-$B182+1)</f>
        <v/>
      </c>
      <c r="BD182" s="56">
        <f>$C182*INDEX(Curves!$O$8:$O$68,BD$4-$B182+1)</f>
        <v/>
      </c>
      <c r="BE182" s="56">
        <f>$C182*INDEX(Curves!$O$8:$O$68,BE$4-$B182+1)</f>
        <v/>
      </c>
      <c r="BF182" s="56">
        <f>$C182*INDEX(Curves!$O$8:$O$68,BF$4-$B182+1)</f>
        <v/>
      </c>
      <c r="BG182" s="56">
        <f>$C182*INDEX(Curves!$O$8:$O$68,BG$4-$B182+1)</f>
        <v/>
      </c>
      <c r="BH182" s="56">
        <f>$C182*INDEX(Curves!$O$8:$O$68,BH$4-$B182+1)</f>
        <v/>
      </c>
      <c r="BI182" s="56">
        <f>$C182*INDEX(Curves!$O$8:$O$68,BI$4-$B182+1)</f>
        <v/>
      </c>
      <c r="BJ182" s="56">
        <f>$C182*INDEX(Curves!$O$8:$O$68,BJ$4-$B182+1)</f>
        <v/>
      </c>
      <c r="BK182" s="56">
        <f>$C182*INDEX(Curves!$O$8:$O$68,BK$4-$B182+1)</f>
        <v/>
      </c>
      <c r="BL182" s="56">
        <f>$C182*INDEX(Curves!$O$8:$O$68,BL$4-$B182+1)</f>
        <v/>
      </c>
    </row>
    <row r="183">
      <c r="A183" s="55" t="inlineStr">
        <is>
          <t>Cohort month 48</t>
        </is>
      </c>
      <c r="B183" s="55" t="n">
        <v>48</v>
      </c>
      <c r="C183" s="46">
        <f>INDEX(Ops!$E$25:$BL$25,1,$B183)</f>
        <v/>
      </c>
      <c r="BA183" s="56">
        <f>$C183*INDEX(Curves!$O$8:$O$68,BA$4-$B183+1)</f>
        <v/>
      </c>
      <c r="BB183" s="56">
        <f>$C183*INDEX(Curves!$O$8:$O$68,BB$4-$B183+1)</f>
        <v/>
      </c>
      <c r="BC183" s="56">
        <f>$C183*INDEX(Curves!$O$8:$O$68,BC$4-$B183+1)</f>
        <v/>
      </c>
      <c r="BD183" s="56">
        <f>$C183*INDEX(Curves!$O$8:$O$68,BD$4-$B183+1)</f>
        <v/>
      </c>
      <c r="BE183" s="56">
        <f>$C183*INDEX(Curves!$O$8:$O$68,BE$4-$B183+1)</f>
        <v/>
      </c>
      <c r="BF183" s="56">
        <f>$C183*INDEX(Curves!$O$8:$O$68,BF$4-$B183+1)</f>
        <v/>
      </c>
      <c r="BG183" s="56">
        <f>$C183*INDEX(Curves!$O$8:$O$68,BG$4-$B183+1)</f>
        <v/>
      </c>
      <c r="BH183" s="56">
        <f>$C183*INDEX(Curves!$O$8:$O$68,BH$4-$B183+1)</f>
        <v/>
      </c>
      <c r="BI183" s="56">
        <f>$C183*INDEX(Curves!$O$8:$O$68,BI$4-$B183+1)</f>
        <v/>
      </c>
      <c r="BJ183" s="56">
        <f>$C183*INDEX(Curves!$O$8:$O$68,BJ$4-$B183+1)</f>
        <v/>
      </c>
      <c r="BK183" s="56">
        <f>$C183*INDEX(Curves!$O$8:$O$68,BK$4-$B183+1)</f>
        <v/>
      </c>
      <c r="BL183" s="56">
        <f>$C183*INDEX(Curves!$O$8:$O$68,BL$4-$B183+1)</f>
        <v/>
      </c>
    </row>
    <row r="184">
      <c r="A184" s="55" t="inlineStr">
        <is>
          <t>Cohort month 49</t>
        </is>
      </c>
      <c r="B184" s="55" t="n">
        <v>49</v>
      </c>
      <c r="C184" s="46">
        <f>INDEX(Ops!$E$25:$BL$25,1,$B184)</f>
        <v/>
      </c>
      <c r="BB184" s="56">
        <f>$C184*INDEX(Curves!$O$8:$O$68,BB$4-$B184+1)</f>
        <v/>
      </c>
      <c r="BC184" s="56">
        <f>$C184*INDEX(Curves!$O$8:$O$68,BC$4-$B184+1)</f>
        <v/>
      </c>
      <c r="BD184" s="56">
        <f>$C184*INDEX(Curves!$O$8:$O$68,BD$4-$B184+1)</f>
        <v/>
      </c>
      <c r="BE184" s="56">
        <f>$C184*INDEX(Curves!$O$8:$O$68,BE$4-$B184+1)</f>
        <v/>
      </c>
      <c r="BF184" s="56">
        <f>$C184*INDEX(Curves!$O$8:$O$68,BF$4-$B184+1)</f>
        <v/>
      </c>
      <c r="BG184" s="56">
        <f>$C184*INDEX(Curves!$O$8:$O$68,BG$4-$B184+1)</f>
        <v/>
      </c>
      <c r="BH184" s="56">
        <f>$C184*INDEX(Curves!$O$8:$O$68,BH$4-$B184+1)</f>
        <v/>
      </c>
      <c r="BI184" s="56">
        <f>$C184*INDEX(Curves!$O$8:$O$68,BI$4-$B184+1)</f>
        <v/>
      </c>
      <c r="BJ184" s="56">
        <f>$C184*INDEX(Curves!$O$8:$O$68,BJ$4-$B184+1)</f>
        <v/>
      </c>
      <c r="BK184" s="56">
        <f>$C184*INDEX(Curves!$O$8:$O$68,BK$4-$B184+1)</f>
        <v/>
      </c>
      <c r="BL184" s="56">
        <f>$C184*INDEX(Curves!$O$8:$O$68,BL$4-$B184+1)</f>
        <v/>
      </c>
    </row>
    <row r="185">
      <c r="A185" s="55" t="inlineStr">
        <is>
          <t>Cohort month 50</t>
        </is>
      </c>
      <c r="B185" s="55" t="n">
        <v>50</v>
      </c>
      <c r="C185" s="46">
        <f>INDEX(Ops!$E$25:$BL$25,1,$B185)</f>
        <v/>
      </c>
      <c r="BC185" s="56">
        <f>$C185*INDEX(Curves!$O$8:$O$68,BC$4-$B185+1)</f>
        <v/>
      </c>
      <c r="BD185" s="56">
        <f>$C185*INDEX(Curves!$O$8:$O$68,BD$4-$B185+1)</f>
        <v/>
      </c>
      <c r="BE185" s="56">
        <f>$C185*INDEX(Curves!$O$8:$O$68,BE$4-$B185+1)</f>
        <v/>
      </c>
      <c r="BF185" s="56">
        <f>$C185*INDEX(Curves!$O$8:$O$68,BF$4-$B185+1)</f>
        <v/>
      </c>
      <c r="BG185" s="56">
        <f>$C185*INDEX(Curves!$O$8:$O$68,BG$4-$B185+1)</f>
        <v/>
      </c>
      <c r="BH185" s="56">
        <f>$C185*INDEX(Curves!$O$8:$O$68,BH$4-$B185+1)</f>
        <v/>
      </c>
      <c r="BI185" s="56">
        <f>$C185*INDEX(Curves!$O$8:$O$68,BI$4-$B185+1)</f>
        <v/>
      </c>
      <c r="BJ185" s="56">
        <f>$C185*INDEX(Curves!$O$8:$O$68,BJ$4-$B185+1)</f>
        <v/>
      </c>
      <c r="BK185" s="56">
        <f>$C185*INDEX(Curves!$O$8:$O$68,BK$4-$B185+1)</f>
        <v/>
      </c>
      <c r="BL185" s="56">
        <f>$C185*INDEX(Curves!$O$8:$O$68,BL$4-$B185+1)</f>
        <v/>
      </c>
    </row>
    <row r="186">
      <c r="A186" s="55" t="inlineStr">
        <is>
          <t>Cohort month 51</t>
        </is>
      </c>
      <c r="B186" s="55" t="n">
        <v>51</v>
      </c>
      <c r="C186" s="46">
        <f>INDEX(Ops!$E$25:$BL$25,1,$B186)</f>
        <v/>
      </c>
      <c r="BD186" s="56">
        <f>$C186*INDEX(Curves!$O$8:$O$68,BD$4-$B186+1)</f>
        <v/>
      </c>
      <c r="BE186" s="56">
        <f>$C186*INDEX(Curves!$O$8:$O$68,BE$4-$B186+1)</f>
        <v/>
      </c>
      <c r="BF186" s="56">
        <f>$C186*INDEX(Curves!$O$8:$O$68,BF$4-$B186+1)</f>
        <v/>
      </c>
      <c r="BG186" s="56">
        <f>$C186*INDEX(Curves!$O$8:$O$68,BG$4-$B186+1)</f>
        <v/>
      </c>
      <c r="BH186" s="56">
        <f>$C186*INDEX(Curves!$O$8:$O$68,BH$4-$B186+1)</f>
        <v/>
      </c>
      <c r="BI186" s="56">
        <f>$C186*INDEX(Curves!$O$8:$O$68,BI$4-$B186+1)</f>
        <v/>
      </c>
      <c r="BJ186" s="56">
        <f>$C186*INDEX(Curves!$O$8:$O$68,BJ$4-$B186+1)</f>
        <v/>
      </c>
      <c r="BK186" s="56">
        <f>$C186*INDEX(Curves!$O$8:$O$68,BK$4-$B186+1)</f>
        <v/>
      </c>
      <c r="BL186" s="56">
        <f>$C186*INDEX(Curves!$O$8:$O$68,BL$4-$B186+1)</f>
        <v/>
      </c>
    </row>
    <row r="187">
      <c r="A187" s="55" t="inlineStr">
        <is>
          <t>Cohort month 52</t>
        </is>
      </c>
      <c r="B187" s="55" t="n">
        <v>52</v>
      </c>
      <c r="C187" s="46">
        <f>INDEX(Ops!$E$25:$BL$25,1,$B187)</f>
        <v/>
      </c>
      <c r="BE187" s="56">
        <f>$C187*INDEX(Curves!$O$8:$O$68,BE$4-$B187+1)</f>
        <v/>
      </c>
      <c r="BF187" s="56">
        <f>$C187*INDEX(Curves!$O$8:$O$68,BF$4-$B187+1)</f>
        <v/>
      </c>
      <c r="BG187" s="56">
        <f>$C187*INDEX(Curves!$O$8:$O$68,BG$4-$B187+1)</f>
        <v/>
      </c>
      <c r="BH187" s="56">
        <f>$C187*INDEX(Curves!$O$8:$O$68,BH$4-$B187+1)</f>
        <v/>
      </c>
      <c r="BI187" s="56">
        <f>$C187*INDEX(Curves!$O$8:$O$68,BI$4-$B187+1)</f>
        <v/>
      </c>
      <c r="BJ187" s="56">
        <f>$C187*INDEX(Curves!$O$8:$O$68,BJ$4-$B187+1)</f>
        <v/>
      </c>
      <c r="BK187" s="56">
        <f>$C187*INDEX(Curves!$O$8:$O$68,BK$4-$B187+1)</f>
        <v/>
      </c>
      <c r="BL187" s="56">
        <f>$C187*INDEX(Curves!$O$8:$O$68,BL$4-$B187+1)</f>
        <v/>
      </c>
    </row>
    <row r="188">
      <c r="A188" s="55" t="inlineStr">
        <is>
          <t>Cohort month 53</t>
        </is>
      </c>
      <c r="B188" s="55" t="n">
        <v>53</v>
      </c>
      <c r="C188" s="46">
        <f>INDEX(Ops!$E$25:$BL$25,1,$B188)</f>
        <v/>
      </c>
      <c r="BF188" s="56">
        <f>$C188*INDEX(Curves!$O$8:$O$68,BF$4-$B188+1)</f>
        <v/>
      </c>
      <c r="BG188" s="56">
        <f>$C188*INDEX(Curves!$O$8:$O$68,BG$4-$B188+1)</f>
        <v/>
      </c>
      <c r="BH188" s="56">
        <f>$C188*INDEX(Curves!$O$8:$O$68,BH$4-$B188+1)</f>
        <v/>
      </c>
      <c r="BI188" s="56">
        <f>$C188*INDEX(Curves!$O$8:$O$68,BI$4-$B188+1)</f>
        <v/>
      </c>
      <c r="BJ188" s="56">
        <f>$C188*INDEX(Curves!$O$8:$O$68,BJ$4-$B188+1)</f>
        <v/>
      </c>
      <c r="BK188" s="56">
        <f>$C188*INDEX(Curves!$O$8:$O$68,BK$4-$B188+1)</f>
        <v/>
      </c>
      <c r="BL188" s="56">
        <f>$C188*INDEX(Curves!$O$8:$O$68,BL$4-$B188+1)</f>
        <v/>
      </c>
    </row>
    <row r="189">
      <c r="A189" s="55" t="inlineStr">
        <is>
          <t>Cohort month 54</t>
        </is>
      </c>
      <c r="B189" s="55" t="n">
        <v>54</v>
      </c>
      <c r="C189" s="46">
        <f>INDEX(Ops!$E$25:$BL$25,1,$B189)</f>
        <v/>
      </c>
      <c r="BG189" s="56">
        <f>$C189*INDEX(Curves!$O$8:$O$68,BG$4-$B189+1)</f>
        <v/>
      </c>
      <c r="BH189" s="56">
        <f>$C189*INDEX(Curves!$O$8:$O$68,BH$4-$B189+1)</f>
        <v/>
      </c>
      <c r="BI189" s="56">
        <f>$C189*INDEX(Curves!$O$8:$O$68,BI$4-$B189+1)</f>
        <v/>
      </c>
      <c r="BJ189" s="56">
        <f>$C189*INDEX(Curves!$O$8:$O$68,BJ$4-$B189+1)</f>
        <v/>
      </c>
      <c r="BK189" s="56">
        <f>$C189*INDEX(Curves!$O$8:$O$68,BK$4-$B189+1)</f>
        <v/>
      </c>
      <c r="BL189" s="56">
        <f>$C189*INDEX(Curves!$O$8:$O$68,BL$4-$B189+1)</f>
        <v/>
      </c>
    </row>
    <row r="190">
      <c r="A190" s="55" t="inlineStr">
        <is>
          <t>Cohort month 55</t>
        </is>
      </c>
      <c r="B190" s="55" t="n">
        <v>55</v>
      </c>
      <c r="C190" s="46">
        <f>INDEX(Ops!$E$25:$BL$25,1,$B190)</f>
        <v/>
      </c>
      <c r="BH190" s="56">
        <f>$C190*INDEX(Curves!$O$8:$O$68,BH$4-$B190+1)</f>
        <v/>
      </c>
      <c r="BI190" s="56">
        <f>$C190*INDEX(Curves!$O$8:$O$68,BI$4-$B190+1)</f>
        <v/>
      </c>
      <c r="BJ190" s="56">
        <f>$C190*INDEX(Curves!$O$8:$O$68,BJ$4-$B190+1)</f>
        <v/>
      </c>
      <c r="BK190" s="56">
        <f>$C190*INDEX(Curves!$O$8:$O$68,BK$4-$B190+1)</f>
        <v/>
      </c>
      <c r="BL190" s="56">
        <f>$C190*INDEX(Curves!$O$8:$O$68,BL$4-$B190+1)</f>
        <v/>
      </c>
    </row>
    <row r="191">
      <c r="A191" s="55" t="inlineStr">
        <is>
          <t>Cohort month 56</t>
        </is>
      </c>
      <c r="B191" s="55" t="n">
        <v>56</v>
      </c>
      <c r="C191" s="46">
        <f>INDEX(Ops!$E$25:$BL$25,1,$B191)</f>
        <v/>
      </c>
      <c r="BI191" s="56">
        <f>$C191*INDEX(Curves!$O$8:$O$68,BI$4-$B191+1)</f>
        <v/>
      </c>
      <c r="BJ191" s="56">
        <f>$C191*INDEX(Curves!$O$8:$O$68,BJ$4-$B191+1)</f>
        <v/>
      </c>
      <c r="BK191" s="56">
        <f>$C191*INDEX(Curves!$O$8:$O$68,BK$4-$B191+1)</f>
        <v/>
      </c>
      <c r="BL191" s="56">
        <f>$C191*INDEX(Curves!$O$8:$O$68,BL$4-$B191+1)</f>
        <v/>
      </c>
    </row>
    <row r="192">
      <c r="A192" s="55" t="inlineStr">
        <is>
          <t>Cohort month 57</t>
        </is>
      </c>
      <c r="B192" s="55" t="n">
        <v>57</v>
      </c>
      <c r="C192" s="46">
        <f>INDEX(Ops!$E$25:$BL$25,1,$B192)</f>
        <v/>
      </c>
      <c r="BJ192" s="56">
        <f>$C192*INDEX(Curves!$O$8:$O$68,BJ$4-$B192+1)</f>
        <v/>
      </c>
      <c r="BK192" s="56">
        <f>$C192*INDEX(Curves!$O$8:$O$68,BK$4-$B192+1)</f>
        <v/>
      </c>
      <c r="BL192" s="56">
        <f>$C192*INDEX(Curves!$O$8:$O$68,BL$4-$B192+1)</f>
        <v/>
      </c>
    </row>
    <row r="193">
      <c r="A193" s="55" t="inlineStr">
        <is>
          <t>Cohort month 58</t>
        </is>
      </c>
      <c r="B193" s="55" t="n">
        <v>58</v>
      </c>
      <c r="C193" s="46">
        <f>INDEX(Ops!$E$25:$BL$25,1,$B193)</f>
        <v/>
      </c>
      <c r="BK193" s="56">
        <f>$C193*INDEX(Curves!$O$8:$O$68,BK$4-$B193+1)</f>
        <v/>
      </c>
      <c r="BL193" s="56">
        <f>$C193*INDEX(Curves!$O$8:$O$68,BL$4-$B193+1)</f>
        <v/>
      </c>
    </row>
    <row r="194">
      <c r="A194" s="55" t="inlineStr">
        <is>
          <t>Cohort month 59</t>
        </is>
      </c>
      <c r="B194" s="55" t="n">
        <v>59</v>
      </c>
      <c r="C194" s="46">
        <f>INDEX(Ops!$E$25:$BL$25,1,$B194)</f>
        <v/>
      </c>
      <c r="BL194" s="56">
        <f>$C194*INDEX(Curves!$O$8:$O$68,BL$4-$B194+1)</f>
        <v/>
      </c>
    </row>
    <row r="195">
      <c r="A195" s="55" t="inlineStr">
        <is>
          <t>Cohort month 60</t>
        </is>
      </c>
      <c r="B195" s="55" t="n">
        <v>60</v>
      </c>
      <c r="C195" s="46">
        <f>INDEX(Ops!$E$25:$BL$25,1,$B195)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L195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</cols>
  <sheetData>
    <row r="1">
      <c r="A1" s="1" t="inlineStr">
        <is>
          <t>Cohort (vintage) matrix - P3 SHS with TV (Tier 3)</t>
        </is>
      </c>
    </row>
    <row r="2">
      <c r="A2" s="2" t="inlineStr">
        <is>
          <t>Rows = sales cohort (month of sale); columns = calendar month. Cohort size in column C.</t>
        </is>
      </c>
    </row>
    <row r="3"/>
    <row r="4">
      <c r="A4" s="40" t="inlineStr">
        <is>
          <t>Month #</t>
        </is>
      </c>
      <c r="B4" s="41" t="n"/>
      <c r="C4" s="41" t="n"/>
      <c r="D4" s="40" t="inlineStr">
        <is>
          <t>Opening</t>
        </is>
      </c>
      <c r="E4" s="42">
        <f>Timeline!E4</f>
        <v/>
      </c>
      <c r="F4" s="42">
        <f>Timeline!F4</f>
        <v/>
      </c>
      <c r="G4" s="42">
        <f>Timeline!G4</f>
        <v/>
      </c>
      <c r="H4" s="42">
        <f>Timeline!H4</f>
        <v/>
      </c>
      <c r="I4" s="42">
        <f>Timeline!I4</f>
        <v/>
      </c>
      <c r="J4" s="42">
        <f>Timeline!J4</f>
        <v/>
      </c>
      <c r="K4" s="42">
        <f>Timeline!K4</f>
        <v/>
      </c>
      <c r="L4" s="42">
        <f>Timeline!L4</f>
        <v/>
      </c>
      <c r="M4" s="42">
        <f>Timeline!M4</f>
        <v/>
      </c>
      <c r="N4" s="42">
        <f>Timeline!N4</f>
        <v/>
      </c>
      <c r="O4" s="42">
        <f>Timeline!O4</f>
        <v/>
      </c>
      <c r="P4" s="42">
        <f>Timeline!P4</f>
        <v/>
      </c>
      <c r="Q4" s="42">
        <f>Timeline!Q4</f>
        <v/>
      </c>
      <c r="R4" s="42">
        <f>Timeline!R4</f>
        <v/>
      </c>
      <c r="S4" s="42">
        <f>Timeline!S4</f>
        <v/>
      </c>
      <c r="T4" s="42">
        <f>Timeline!T4</f>
        <v/>
      </c>
      <c r="U4" s="42">
        <f>Timeline!U4</f>
        <v/>
      </c>
      <c r="V4" s="42">
        <f>Timeline!V4</f>
        <v/>
      </c>
      <c r="W4" s="42">
        <f>Timeline!W4</f>
        <v/>
      </c>
      <c r="X4" s="42">
        <f>Timeline!X4</f>
        <v/>
      </c>
      <c r="Y4" s="42">
        <f>Timeline!Y4</f>
        <v/>
      </c>
      <c r="Z4" s="42">
        <f>Timeline!Z4</f>
        <v/>
      </c>
      <c r="AA4" s="42">
        <f>Timeline!AA4</f>
        <v/>
      </c>
      <c r="AB4" s="42">
        <f>Timeline!AB4</f>
        <v/>
      </c>
      <c r="AC4" s="42">
        <f>Timeline!AC4</f>
        <v/>
      </c>
      <c r="AD4" s="42">
        <f>Timeline!AD4</f>
        <v/>
      </c>
      <c r="AE4" s="42">
        <f>Timeline!AE4</f>
        <v/>
      </c>
      <c r="AF4" s="42">
        <f>Timeline!AF4</f>
        <v/>
      </c>
      <c r="AG4" s="42">
        <f>Timeline!AG4</f>
        <v/>
      </c>
      <c r="AH4" s="42">
        <f>Timeline!AH4</f>
        <v/>
      </c>
      <c r="AI4" s="42">
        <f>Timeline!AI4</f>
        <v/>
      </c>
      <c r="AJ4" s="42">
        <f>Timeline!AJ4</f>
        <v/>
      </c>
      <c r="AK4" s="42">
        <f>Timeline!AK4</f>
        <v/>
      </c>
      <c r="AL4" s="42">
        <f>Timeline!AL4</f>
        <v/>
      </c>
      <c r="AM4" s="42">
        <f>Timeline!AM4</f>
        <v/>
      </c>
      <c r="AN4" s="42">
        <f>Timeline!AN4</f>
        <v/>
      </c>
      <c r="AO4" s="42">
        <f>Timeline!AO4</f>
        <v/>
      </c>
      <c r="AP4" s="42">
        <f>Timeline!AP4</f>
        <v/>
      </c>
      <c r="AQ4" s="42">
        <f>Timeline!AQ4</f>
        <v/>
      </c>
      <c r="AR4" s="42">
        <f>Timeline!AR4</f>
        <v/>
      </c>
      <c r="AS4" s="42">
        <f>Timeline!AS4</f>
        <v/>
      </c>
      <c r="AT4" s="42">
        <f>Timeline!AT4</f>
        <v/>
      </c>
      <c r="AU4" s="42">
        <f>Timeline!AU4</f>
        <v/>
      </c>
      <c r="AV4" s="42">
        <f>Timeline!AV4</f>
        <v/>
      </c>
      <c r="AW4" s="42">
        <f>Timeline!AW4</f>
        <v/>
      </c>
      <c r="AX4" s="42">
        <f>Timeline!AX4</f>
        <v/>
      </c>
      <c r="AY4" s="42">
        <f>Timeline!AY4</f>
        <v/>
      </c>
      <c r="AZ4" s="42">
        <f>Timeline!AZ4</f>
        <v/>
      </c>
      <c r="BA4" s="42">
        <f>Timeline!BA4</f>
        <v/>
      </c>
      <c r="BB4" s="42">
        <f>Timeline!BB4</f>
        <v/>
      </c>
      <c r="BC4" s="42">
        <f>Timeline!BC4</f>
        <v/>
      </c>
      <c r="BD4" s="42">
        <f>Timeline!BD4</f>
        <v/>
      </c>
      <c r="BE4" s="42">
        <f>Timeline!BE4</f>
        <v/>
      </c>
      <c r="BF4" s="42">
        <f>Timeline!BF4</f>
        <v/>
      </c>
      <c r="BG4" s="42">
        <f>Timeline!BG4</f>
        <v/>
      </c>
      <c r="BH4" s="42">
        <f>Timeline!BH4</f>
        <v/>
      </c>
      <c r="BI4" s="42">
        <f>Timeline!BI4</f>
        <v/>
      </c>
      <c r="BJ4" s="42">
        <f>Timeline!BJ4</f>
        <v/>
      </c>
      <c r="BK4" s="42">
        <f>Timeline!BK4</f>
        <v/>
      </c>
      <c r="BL4" s="42">
        <f>Timeline!BL4</f>
        <v/>
      </c>
    </row>
    <row r="5">
      <c r="A5" s="40" t="inlineStr">
        <is>
          <t>Period end</t>
        </is>
      </c>
      <c r="B5" s="41" t="n"/>
      <c r="C5" s="41" t="n"/>
      <c r="D5" s="40" t="n"/>
      <c r="E5" s="43">
        <f>Timeline!E5</f>
        <v/>
      </c>
      <c r="F5" s="43">
        <f>Timeline!F5</f>
        <v/>
      </c>
      <c r="G5" s="43">
        <f>Timeline!G5</f>
        <v/>
      </c>
      <c r="H5" s="43">
        <f>Timeline!H5</f>
        <v/>
      </c>
      <c r="I5" s="43">
        <f>Timeline!I5</f>
        <v/>
      </c>
      <c r="J5" s="43">
        <f>Timeline!J5</f>
        <v/>
      </c>
      <c r="K5" s="43">
        <f>Timeline!K5</f>
        <v/>
      </c>
      <c r="L5" s="43">
        <f>Timeline!L5</f>
        <v/>
      </c>
      <c r="M5" s="43">
        <f>Timeline!M5</f>
        <v/>
      </c>
      <c r="N5" s="43">
        <f>Timeline!N5</f>
        <v/>
      </c>
      <c r="O5" s="43">
        <f>Timeline!O5</f>
        <v/>
      </c>
      <c r="P5" s="43">
        <f>Timeline!P5</f>
        <v/>
      </c>
      <c r="Q5" s="43">
        <f>Timeline!Q5</f>
        <v/>
      </c>
      <c r="R5" s="43">
        <f>Timeline!R5</f>
        <v/>
      </c>
      <c r="S5" s="43">
        <f>Timeline!S5</f>
        <v/>
      </c>
      <c r="T5" s="43">
        <f>Timeline!T5</f>
        <v/>
      </c>
      <c r="U5" s="43">
        <f>Timeline!U5</f>
        <v/>
      </c>
      <c r="V5" s="43">
        <f>Timeline!V5</f>
        <v/>
      </c>
      <c r="W5" s="43">
        <f>Timeline!W5</f>
        <v/>
      </c>
      <c r="X5" s="43">
        <f>Timeline!X5</f>
        <v/>
      </c>
      <c r="Y5" s="43">
        <f>Timeline!Y5</f>
        <v/>
      </c>
      <c r="Z5" s="43">
        <f>Timeline!Z5</f>
        <v/>
      </c>
      <c r="AA5" s="43">
        <f>Timeline!AA5</f>
        <v/>
      </c>
      <c r="AB5" s="43">
        <f>Timeline!AB5</f>
        <v/>
      </c>
      <c r="AC5" s="43">
        <f>Timeline!AC5</f>
        <v/>
      </c>
      <c r="AD5" s="43">
        <f>Timeline!AD5</f>
        <v/>
      </c>
      <c r="AE5" s="43">
        <f>Timeline!AE5</f>
        <v/>
      </c>
      <c r="AF5" s="43">
        <f>Timeline!AF5</f>
        <v/>
      </c>
      <c r="AG5" s="43">
        <f>Timeline!AG5</f>
        <v/>
      </c>
      <c r="AH5" s="43">
        <f>Timeline!AH5</f>
        <v/>
      </c>
      <c r="AI5" s="43">
        <f>Timeline!AI5</f>
        <v/>
      </c>
      <c r="AJ5" s="43">
        <f>Timeline!AJ5</f>
        <v/>
      </c>
      <c r="AK5" s="43">
        <f>Timeline!AK5</f>
        <v/>
      </c>
      <c r="AL5" s="43">
        <f>Timeline!AL5</f>
        <v/>
      </c>
      <c r="AM5" s="43">
        <f>Timeline!AM5</f>
        <v/>
      </c>
      <c r="AN5" s="43">
        <f>Timeline!AN5</f>
        <v/>
      </c>
      <c r="AO5" s="43">
        <f>Timeline!AO5</f>
        <v/>
      </c>
      <c r="AP5" s="43">
        <f>Timeline!AP5</f>
        <v/>
      </c>
      <c r="AQ5" s="43">
        <f>Timeline!AQ5</f>
        <v/>
      </c>
      <c r="AR5" s="43">
        <f>Timeline!AR5</f>
        <v/>
      </c>
      <c r="AS5" s="43">
        <f>Timeline!AS5</f>
        <v/>
      </c>
      <c r="AT5" s="43">
        <f>Timeline!AT5</f>
        <v/>
      </c>
      <c r="AU5" s="43">
        <f>Timeline!AU5</f>
        <v/>
      </c>
      <c r="AV5" s="43">
        <f>Timeline!AV5</f>
        <v/>
      </c>
      <c r="AW5" s="43">
        <f>Timeline!AW5</f>
        <v/>
      </c>
      <c r="AX5" s="43">
        <f>Timeline!AX5</f>
        <v/>
      </c>
      <c r="AY5" s="43">
        <f>Timeline!AY5</f>
        <v/>
      </c>
      <c r="AZ5" s="43">
        <f>Timeline!AZ5</f>
        <v/>
      </c>
      <c r="BA5" s="43">
        <f>Timeline!BA5</f>
        <v/>
      </c>
      <c r="BB5" s="43">
        <f>Timeline!BB5</f>
        <v/>
      </c>
      <c r="BC5" s="43">
        <f>Timeline!BC5</f>
        <v/>
      </c>
      <c r="BD5" s="43">
        <f>Timeline!BD5</f>
        <v/>
      </c>
      <c r="BE5" s="43">
        <f>Timeline!BE5</f>
        <v/>
      </c>
      <c r="BF5" s="43">
        <f>Timeline!BF5</f>
        <v/>
      </c>
      <c r="BG5" s="43">
        <f>Timeline!BG5</f>
        <v/>
      </c>
      <c r="BH5" s="43">
        <f>Timeline!BH5</f>
        <v/>
      </c>
      <c r="BI5" s="43">
        <f>Timeline!BI5</f>
        <v/>
      </c>
      <c r="BJ5" s="43">
        <f>Timeline!BJ5</f>
        <v/>
      </c>
      <c r="BK5" s="43">
        <f>Timeline!BK5</f>
        <v/>
      </c>
      <c r="BL5" s="43">
        <f>Timeline!BL5</f>
        <v/>
      </c>
    </row>
    <row r="6">
      <c r="A6" s="40" t="inlineStr">
        <is>
          <t>Year #</t>
        </is>
      </c>
      <c r="B6" s="41" t="n"/>
      <c r="C6" s="41" t="n"/>
      <c r="D6" s="40" t="n"/>
      <c r="E6" s="42">
        <f>Timeline!E6</f>
        <v/>
      </c>
      <c r="F6" s="42">
        <f>Timeline!F6</f>
        <v/>
      </c>
      <c r="G6" s="42">
        <f>Timeline!G6</f>
        <v/>
      </c>
      <c r="H6" s="42">
        <f>Timeline!H6</f>
        <v/>
      </c>
      <c r="I6" s="42">
        <f>Timeline!I6</f>
        <v/>
      </c>
      <c r="J6" s="42">
        <f>Timeline!J6</f>
        <v/>
      </c>
      <c r="K6" s="42">
        <f>Timeline!K6</f>
        <v/>
      </c>
      <c r="L6" s="42">
        <f>Timeline!L6</f>
        <v/>
      </c>
      <c r="M6" s="42">
        <f>Timeline!M6</f>
        <v/>
      </c>
      <c r="N6" s="42">
        <f>Timeline!N6</f>
        <v/>
      </c>
      <c r="O6" s="42">
        <f>Timeline!O6</f>
        <v/>
      </c>
      <c r="P6" s="42">
        <f>Timeline!P6</f>
        <v/>
      </c>
      <c r="Q6" s="42">
        <f>Timeline!Q6</f>
        <v/>
      </c>
      <c r="R6" s="42">
        <f>Timeline!R6</f>
        <v/>
      </c>
      <c r="S6" s="42">
        <f>Timeline!S6</f>
        <v/>
      </c>
      <c r="T6" s="42">
        <f>Timeline!T6</f>
        <v/>
      </c>
      <c r="U6" s="42">
        <f>Timeline!U6</f>
        <v/>
      </c>
      <c r="V6" s="42">
        <f>Timeline!V6</f>
        <v/>
      </c>
      <c r="W6" s="42">
        <f>Timeline!W6</f>
        <v/>
      </c>
      <c r="X6" s="42">
        <f>Timeline!X6</f>
        <v/>
      </c>
      <c r="Y6" s="42">
        <f>Timeline!Y6</f>
        <v/>
      </c>
      <c r="Z6" s="42">
        <f>Timeline!Z6</f>
        <v/>
      </c>
      <c r="AA6" s="42">
        <f>Timeline!AA6</f>
        <v/>
      </c>
      <c r="AB6" s="42">
        <f>Timeline!AB6</f>
        <v/>
      </c>
      <c r="AC6" s="42">
        <f>Timeline!AC6</f>
        <v/>
      </c>
      <c r="AD6" s="42">
        <f>Timeline!AD6</f>
        <v/>
      </c>
      <c r="AE6" s="42">
        <f>Timeline!AE6</f>
        <v/>
      </c>
      <c r="AF6" s="42">
        <f>Timeline!AF6</f>
        <v/>
      </c>
      <c r="AG6" s="42">
        <f>Timeline!AG6</f>
        <v/>
      </c>
      <c r="AH6" s="42">
        <f>Timeline!AH6</f>
        <v/>
      </c>
      <c r="AI6" s="42">
        <f>Timeline!AI6</f>
        <v/>
      </c>
      <c r="AJ6" s="42">
        <f>Timeline!AJ6</f>
        <v/>
      </c>
      <c r="AK6" s="42">
        <f>Timeline!AK6</f>
        <v/>
      </c>
      <c r="AL6" s="42">
        <f>Timeline!AL6</f>
        <v/>
      </c>
      <c r="AM6" s="42">
        <f>Timeline!AM6</f>
        <v/>
      </c>
      <c r="AN6" s="42">
        <f>Timeline!AN6</f>
        <v/>
      </c>
      <c r="AO6" s="42">
        <f>Timeline!AO6</f>
        <v/>
      </c>
      <c r="AP6" s="42">
        <f>Timeline!AP6</f>
        <v/>
      </c>
      <c r="AQ6" s="42">
        <f>Timeline!AQ6</f>
        <v/>
      </c>
      <c r="AR6" s="42">
        <f>Timeline!AR6</f>
        <v/>
      </c>
      <c r="AS6" s="42">
        <f>Timeline!AS6</f>
        <v/>
      </c>
      <c r="AT6" s="42">
        <f>Timeline!AT6</f>
        <v/>
      </c>
      <c r="AU6" s="42">
        <f>Timeline!AU6</f>
        <v/>
      </c>
      <c r="AV6" s="42">
        <f>Timeline!AV6</f>
        <v/>
      </c>
      <c r="AW6" s="42">
        <f>Timeline!AW6</f>
        <v/>
      </c>
      <c r="AX6" s="42">
        <f>Timeline!AX6</f>
        <v/>
      </c>
      <c r="AY6" s="42">
        <f>Timeline!AY6</f>
        <v/>
      </c>
      <c r="AZ6" s="42">
        <f>Timeline!AZ6</f>
        <v/>
      </c>
      <c r="BA6" s="42">
        <f>Timeline!BA6</f>
        <v/>
      </c>
      <c r="BB6" s="42">
        <f>Timeline!BB6</f>
        <v/>
      </c>
      <c r="BC6" s="42">
        <f>Timeline!BC6</f>
        <v/>
      </c>
      <c r="BD6" s="42">
        <f>Timeline!BD6</f>
        <v/>
      </c>
      <c r="BE6" s="42">
        <f>Timeline!BE6</f>
        <v/>
      </c>
      <c r="BF6" s="42">
        <f>Timeline!BF6</f>
        <v/>
      </c>
      <c r="BG6" s="42">
        <f>Timeline!BG6</f>
        <v/>
      </c>
      <c r="BH6" s="42">
        <f>Timeline!BH6</f>
        <v/>
      </c>
      <c r="BI6" s="42">
        <f>Timeline!BI6</f>
        <v/>
      </c>
      <c r="BJ6" s="42">
        <f>Timeline!BJ6</f>
        <v/>
      </c>
      <c r="BK6" s="42">
        <f>Timeline!BK6</f>
        <v/>
      </c>
      <c r="BL6" s="42">
        <f>Timeline!BL6</f>
        <v/>
      </c>
    </row>
    <row r="7"/>
    <row r="8">
      <c r="A8" s="11" t="inlineStr">
        <is>
          <t>Instalments collected by cohort (LCY)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  <c r="BJ8" s="12" t="n"/>
      <c r="BK8" s="12" t="n"/>
      <c r="BL8" s="12" t="n"/>
    </row>
    <row r="9">
      <c r="A9" s="47" t="inlineStr">
        <is>
          <t>Total</t>
        </is>
      </c>
      <c r="B9" s="48" t="inlineStr"/>
      <c r="C9" s="50" t="n"/>
      <c r="D9" s="50" t="n"/>
      <c r="E9" s="51">
        <f>SUM(E10:E69)</f>
        <v/>
      </c>
      <c r="F9" s="51">
        <f>SUM(F10:F69)</f>
        <v/>
      </c>
      <c r="G9" s="51">
        <f>SUM(G10:G69)</f>
        <v/>
      </c>
      <c r="H9" s="51">
        <f>SUM(H10:H69)</f>
        <v/>
      </c>
      <c r="I9" s="51">
        <f>SUM(I10:I69)</f>
        <v/>
      </c>
      <c r="J9" s="51">
        <f>SUM(J10:J69)</f>
        <v/>
      </c>
      <c r="K9" s="51">
        <f>SUM(K10:K69)</f>
        <v/>
      </c>
      <c r="L9" s="51">
        <f>SUM(L10:L69)</f>
        <v/>
      </c>
      <c r="M9" s="51">
        <f>SUM(M10:M69)</f>
        <v/>
      </c>
      <c r="N9" s="51">
        <f>SUM(N10:N69)</f>
        <v/>
      </c>
      <c r="O9" s="51">
        <f>SUM(O10:O69)</f>
        <v/>
      </c>
      <c r="P9" s="51">
        <f>SUM(P10:P69)</f>
        <v/>
      </c>
      <c r="Q9" s="51">
        <f>SUM(Q10:Q69)</f>
        <v/>
      </c>
      <c r="R9" s="51">
        <f>SUM(R10:R69)</f>
        <v/>
      </c>
      <c r="S9" s="51">
        <f>SUM(S10:S69)</f>
        <v/>
      </c>
      <c r="T9" s="51">
        <f>SUM(T10:T69)</f>
        <v/>
      </c>
      <c r="U9" s="51">
        <f>SUM(U10:U69)</f>
        <v/>
      </c>
      <c r="V9" s="51">
        <f>SUM(V10:V69)</f>
        <v/>
      </c>
      <c r="W9" s="51">
        <f>SUM(W10:W69)</f>
        <v/>
      </c>
      <c r="X9" s="51">
        <f>SUM(X10:X69)</f>
        <v/>
      </c>
      <c r="Y9" s="51">
        <f>SUM(Y10:Y69)</f>
        <v/>
      </c>
      <c r="Z9" s="51">
        <f>SUM(Z10:Z69)</f>
        <v/>
      </c>
      <c r="AA9" s="51">
        <f>SUM(AA10:AA69)</f>
        <v/>
      </c>
      <c r="AB9" s="51">
        <f>SUM(AB10:AB69)</f>
        <v/>
      </c>
      <c r="AC9" s="51">
        <f>SUM(AC10:AC69)</f>
        <v/>
      </c>
      <c r="AD9" s="51">
        <f>SUM(AD10:AD69)</f>
        <v/>
      </c>
      <c r="AE9" s="51">
        <f>SUM(AE10:AE69)</f>
        <v/>
      </c>
      <c r="AF9" s="51">
        <f>SUM(AF10:AF69)</f>
        <v/>
      </c>
      <c r="AG9" s="51">
        <f>SUM(AG10:AG69)</f>
        <v/>
      </c>
      <c r="AH9" s="51">
        <f>SUM(AH10:AH69)</f>
        <v/>
      </c>
      <c r="AI9" s="51">
        <f>SUM(AI10:AI69)</f>
        <v/>
      </c>
      <c r="AJ9" s="51">
        <f>SUM(AJ10:AJ69)</f>
        <v/>
      </c>
      <c r="AK9" s="51">
        <f>SUM(AK10:AK69)</f>
        <v/>
      </c>
      <c r="AL9" s="51">
        <f>SUM(AL10:AL69)</f>
        <v/>
      </c>
      <c r="AM9" s="51">
        <f>SUM(AM10:AM69)</f>
        <v/>
      </c>
      <c r="AN9" s="51">
        <f>SUM(AN10:AN69)</f>
        <v/>
      </c>
      <c r="AO9" s="51">
        <f>SUM(AO10:AO69)</f>
        <v/>
      </c>
      <c r="AP9" s="51">
        <f>SUM(AP10:AP69)</f>
        <v/>
      </c>
      <c r="AQ9" s="51">
        <f>SUM(AQ10:AQ69)</f>
        <v/>
      </c>
      <c r="AR9" s="51">
        <f>SUM(AR10:AR69)</f>
        <v/>
      </c>
      <c r="AS9" s="51">
        <f>SUM(AS10:AS69)</f>
        <v/>
      </c>
      <c r="AT9" s="51">
        <f>SUM(AT10:AT69)</f>
        <v/>
      </c>
      <c r="AU9" s="51">
        <f>SUM(AU10:AU69)</f>
        <v/>
      </c>
      <c r="AV9" s="51">
        <f>SUM(AV10:AV69)</f>
        <v/>
      </c>
      <c r="AW9" s="51">
        <f>SUM(AW10:AW69)</f>
        <v/>
      </c>
      <c r="AX9" s="51">
        <f>SUM(AX10:AX69)</f>
        <v/>
      </c>
      <c r="AY9" s="51">
        <f>SUM(AY10:AY69)</f>
        <v/>
      </c>
      <c r="AZ9" s="51">
        <f>SUM(AZ10:AZ69)</f>
        <v/>
      </c>
      <c r="BA9" s="51">
        <f>SUM(BA10:BA69)</f>
        <v/>
      </c>
      <c r="BB9" s="51">
        <f>SUM(BB10:BB69)</f>
        <v/>
      </c>
      <c r="BC9" s="51">
        <f>SUM(BC10:BC69)</f>
        <v/>
      </c>
      <c r="BD9" s="51">
        <f>SUM(BD10:BD69)</f>
        <v/>
      </c>
      <c r="BE9" s="51">
        <f>SUM(BE10:BE69)</f>
        <v/>
      </c>
      <c r="BF9" s="51">
        <f>SUM(BF10:BF69)</f>
        <v/>
      </c>
      <c r="BG9" s="51">
        <f>SUM(BG10:BG69)</f>
        <v/>
      </c>
      <c r="BH9" s="51">
        <f>SUM(BH10:BH69)</f>
        <v/>
      </c>
      <c r="BI9" s="51">
        <f>SUM(BI10:BI69)</f>
        <v/>
      </c>
      <c r="BJ9" s="51">
        <f>SUM(BJ10:BJ69)</f>
        <v/>
      </c>
      <c r="BK9" s="51">
        <f>SUM(BK10:BK69)</f>
        <v/>
      </c>
      <c r="BL9" s="51">
        <f>SUM(BL10:BL69)</f>
        <v/>
      </c>
    </row>
    <row r="10">
      <c r="A10" s="55" t="inlineStr">
        <is>
          <t>Cohort month 1</t>
        </is>
      </c>
      <c r="B10" s="55" t="n">
        <v>1</v>
      </c>
      <c r="C10" s="46">
        <f>INDEX(Ops!$E$40:$BL$40,1,$B10)</f>
        <v/>
      </c>
      <c r="F10" s="56">
        <f>$C10*INDEX(Curves!$V$8:$V$68,F$4-$B10+1)</f>
        <v/>
      </c>
      <c r="G10" s="56">
        <f>$C10*INDEX(Curves!$V$8:$V$68,G$4-$B10+1)</f>
        <v/>
      </c>
      <c r="H10" s="56">
        <f>$C10*INDEX(Curves!$V$8:$V$68,H$4-$B10+1)</f>
        <v/>
      </c>
      <c r="I10" s="56">
        <f>$C10*INDEX(Curves!$V$8:$V$68,I$4-$B10+1)</f>
        <v/>
      </c>
      <c r="J10" s="56">
        <f>$C10*INDEX(Curves!$V$8:$V$68,J$4-$B10+1)</f>
        <v/>
      </c>
      <c r="K10" s="56">
        <f>$C10*INDEX(Curves!$V$8:$V$68,K$4-$B10+1)</f>
        <v/>
      </c>
      <c r="L10" s="56">
        <f>$C10*INDEX(Curves!$V$8:$V$68,L$4-$B10+1)</f>
        <v/>
      </c>
      <c r="M10" s="56">
        <f>$C10*INDEX(Curves!$V$8:$V$68,M$4-$B10+1)</f>
        <v/>
      </c>
      <c r="N10" s="56">
        <f>$C10*INDEX(Curves!$V$8:$V$68,N$4-$B10+1)</f>
        <v/>
      </c>
      <c r="O10" s="56">
        <f>$C10*INDEX(Curves!$V$8:$V$68,O$4-$B10+1)</f>
        <v/>
      </c>
      <c r="P10" s="56">
        <f>$C10*INDEX(Curves!$V$8:$V$68,P$4-$B10+1)</f>
        <v/>
      </c>
      <c r="Q10" s="56">
        <f>$C10*INDEX(Curves!$V$8:$V$68,Q$4-$B10+1)</f>
        <v/>
      </c>
      <c r="R10" s="56">
        <f>$C10*INDEX(Curves!$V$8:$V$68,R$4-$B10+1)</f>
        <v/>
      </c>
      <c r="S10" s="56">
        <f>$C10*INDEX(Curves!$V$8:$V$68,S$4-$B10+1)</f>
        <v/>
      </c>
      <c r="T10" s="56">
        <f>$C10*INDEX(Curves!$V$8:$V$68,T$4-$B10+1)</f>
        <v/>
      </c>
      <c r="U10" s="56">
        <f>$C10*INDEX(Curves!$V$8:$V$68,U$4-$B10+1)</f>
        <v/>
      </c>
      <c r="V10" s="56">
        <f>$C10*INDEX(Curves!$V$8:$V$68,V$4-$B10+1)</f>
        <v/>
      </c>
      <c r="W10" s="56">
        <f>$C10*INDEX(Curves!$V$8:$V$68,W$4-$B10+1)</f>
        <v/>
      </c>
      <c r="X10" s="56">
        <f>$C10*INDEX(Curves!$V$8:$V$68,X$4-$B10+1)</f>
        <v/>
      </c>
      <c r="Y10" s="56">
        <f>$C10*INDEX(Curves!$V$8:$V$68,Y$4-$B10+1)</f>
        <v/>
      </c>
      <c r="Z10" s="56">
        <f>$C10*INDEX(Curves!$V$8:$V$68,Z$4-$B10+1)</f>
        <v/>
      </c>
      <c r="AA10" s="56">
        <f>$C10*INDEX(Curves!$V$8:$V$68,AA$4-$B10+1)</f>
        <v/>
      </c>
      <c r="AB10" s="56">
        <f>$C10*INDEX(Curves!$V$8:$V$68,AB$4-$B10+1)</f>
        <v/>
      </c>
      <c r="AC10" s="56">
        <f>$C10*INDEX(Curves!$V$8:$V$68,AC$4-$B10+1)</f>
        <v/>
      </c>
      <c r="AD10" s="56">
        <f>$C10*INDEX(Curves!$V$8:$V$68,AD$4-$B10+1)</f>
        <v/>
      </c>
      <c r="AE10" s="56">
        <f>$C10*INDEX(Curves!$V$8:$V$68,AE$4-$B10+1)</f>
        <v/>
      </c>
      <c r="AF10" s="56">
        <f>$C10*INDEX(Curves!$V$8:$V$68,AF$4-$B10+1)</f>
        <v/>
      </c>
      <c r="AG10" s="56">
        <f>$C10*INDEX(Curves!$V$8:$V$68,AG$4-$B10+1)</f>
        <v/>
      </c>
      <c r="AH10" s="56">
        <f>$C10*INDEX(Curves!$V$8:$V$68,AH$4-$B10+1)</f>
        <v/>
      </c>
      <c r="AI10" s="56">
        <f>$C10*INDEX(Curves!$V$8:$V$68,AI$4-$B10+1)</f>
        <v/>
      </c>
      <c r="AJ10" s="56">
        <f>$C10*INDEX(Curves!$V$8:$V$68,AJ$4-$B10+1)</f>
        <v/>
      </c>
      <c r="AK10" s="56">
        <f>$C10*INDEX(Curves!$V$8:$V$68,AK$4-$B10+1)</f>
        <v/>
      </c>
      <c r="AL10" s="56">
        <f>$C10*INDEX(Curves!$V$8:$V$68,AL$4-$B10+1)</f>
        <v/>
      </c>
      <c r="AM10" s="56">
        <f>$C10*INDEX(Curves!$V$8:$V$68,AM$4-$B10+1)</f>
        <v/>
      </c>
      <c r="AN10" s="56">
        <f>$C10*INDEX(Curves!$V$8:$V$68,AN$4-$B10+1)</f>
        <v/>
      </c>
      <c r="AO10" s="56">
        <f>$C10*INDEX(Curves!$V$8:$V$68,AO$4-$B10+1)</f>
        <v/>
      </c>
      <c r="AP10" s="56">
        <f>$C10*INDEX(Curves!$V$8:$V$68,AP$4-$B10+1)</f>
        <v/>
      </c>
      <c r="AQ10" s="56">
        <f>$C10*INDEX(Curves!$V$8:$V$68,AQ$4-$B10+1)</f>
        <v/>
      </c>
      <c r="AR10" s="56">
        <f>$C10*INDEX(Curves!$V$8:$V$68,AR$4-$B10+1)</f>
        <v/>
      </c>
      <c r="AS10" s="56">
        <f>$C10*INDEX(Curves!$V$8:$V$68,AS$4-$B10+1)</f>
        <v/>
      </c>
      <c r="AT10" s="56">
        <f>$C10*INDEX(Curves!$V$8:$V$68,AT$4-$B10+1)</f>
        <v/>
      </c>
      <c r="AU10" s="56">
        <f>$C10*INDEX(Curves!$V$8:$V$68,AU$4-$B10+1)</f>
        <v/>
      </c>
      <c r="AV10" s="56">
        <f>$C10*INDEX(Curves!$V$8:$V$68,AV$4-$B10+1)</f>
        <v/>
      </c>
      <c r="AW10" s="56">
        <f>$C10*INDEX(Curves!$V$8:$V$68,AW$4-$B10+1)</f>
        <v/>
      </c>
      <c r="AX10" s="56">
        <f>$C10*INDEX(Curves!$V$8:$V$68,AX$4-$B10+1)</f>
        <v/>
      </c>
      <c r="AY10" s="56">
        <f>$C10*INDEX(Curves!$V$8:$V$68,AY$4-$B10+1)</f>
        <v/>
      </c>
      <c r="AZ10" s="56">
        <f>$C10*INDEX(Curves!$V$8:$V$68,AZ$4-$B10+1)</f>
        <v/>
      </c>
      <c r="BA10" s="56">
        <f>$C10*INDEX(Curves!$V$8:$V$68,BA$4-$B10+1)</f>
        <v/>
      </c>
      <c r="BB10" s="56">
        <f>$C10*INDEX(Curves!$V$8:$V$68,BB$4-$B10+1)</f>
        <v/>
      </c>
      <c r="BC10" s="56">
        <f>$C10*INDEX(Curves!$V$8:$V$68,BC$4-$B10+1)</f>
        <v/>
      </c>
      <c r="BD10" s="56">
        <f>$C10*INDEX(Curves!$V$8:$V$68,BD$4-$B10+1)</f>
        <v/>
      </c>
      <c r="BE10" s="56">
        <f>$C10*INDEX(Curves!$V$8:$V$68,BE$4-$B10+1)</f>
        <v/>
      </c>
      <c r="BF10" s="56">
        <f>$C10*INDEX(Curves!$V$8:$V$68,BF$4-$B10+1)</f>
        <v/>
      </c>
      <c r="BG10" s="56">
        <f>$C10*INDEX(Curves!$V$8:$V$68,BG$4-$B10+1)</f>
        <v/>
      </c>
      <c r="BH10" s="56">
        <f>$C10*INDEX(Curves!$V$8:$V$68,BH$4-$B10+1)</f>
        <v/>
      </c>
      <c r="BI10" s="56">
        <f>$C10*INDEX(Curves!$V$8:$V$68,BI$4-$B10+1)</f>
        <v/>
      </c>
      <c r="BJ10" s="56">
        <f>$C10*INDEX(Curves!$V$8:$V$68,BJ$4-$B10+1)</f>
        <v/>
      </c>
      <c r="BK10" s="56">
        <f>$C10*INDEX(Curves!$V$8:$V$68,BK$4-$B10+1)</f>
        <v/>
      </c>
      <c r="BL10" s="56">
        <f>$C10*INDEX(Curves!$V$8:$V$68,BL$4-$B10+1)</f>
        <v/>
      </c>
    </row>
    <row r="11">
      <c r="A11" s="55" t="inlineStr">
        <is>
          <t>Cohort month 2</t>
        </is>
      </c>
      <c r="B11" s="55" t="n">
        <v>2</v>
      </c>
      <c r="C11" s="46">
        <f>INDEX(Ops!$E$40:$BL$40,1,$B11)</f>
        <v/>
      </c>
      <c r="G11" s="56">
        <f>$C11*INDEX(Curves!$V$8:$V$68,G$4-$B11+1)</f>
        <v/>
      </c>
      <c r="H11" s="56">
        <f>$C11*INDEX(Curves!$V$8:$V$68,H$4-$B11+1)</f>
        <v/>
      </c>
      <c r="I11" s="56">
        <f>$C11*INDEX(Curves!$V$8:$V$68,I$4-$B11+1)</f>
        <v/>
      </c>
      <c r="J11" s="56">
        <f>$C11*INDEX(Curves!$V$8:$V$68,J$4-$B11+1)</f>
        <v/>
      </c>
      <c r="K11" s="56">
        <f>$C11*INDEX(Curves!$V$8:$V$68,K$4-$B11+1)</f>
        <v/>
      </c>
      <c r="L11" s="56">
        <f>$C11*INDEX(Curves!$V$8:$V$68,L$4-$B11+1)</f>
        <v/>
      </c>
      <c r="M11" s="56">
        <f>$C11*INDEX(Curves!$V$8:$V$68,M$4-$B11+1)</f>
        <v/>
      </c>
      <c r="N11" s="56">
        <f>$C11*INDEX(Curves!$V$8:$V$68,N$4-$B11+1)</f>
        <v/>
      </c>
      <c r="O11" s="56">
        <f>$C11*INDEX(Curves!$V$8:$V$68,O$4-$B11+1)</f>
        <v/>
      </c>
      <c r="P11" s="56">
        <f>$C11*INDEX(Curves!$V$8:$V$68,P$4-$B11+1)</f>
        <v/>
      </c>
      <c r="Q11" s="56">
        <f>$C11*INDEX(Curves!$V$8:$V$68,Q$4-$B11+1)</f>
        <v/>
      </c>
      <c r="R11" s="56">
        <f>$C11*INDEX(Curves!$V$8:$V$68,R$4-$B11+1)</f>
        <v/>
      </c>
      <c r="S11" s="56">
        <f>$C11*INDEX(Curves!$V$8:$V$68,S$4-$B11+1)</f>
        <v/>
      </c>
      <c r="T11" s="56">
        <f>$C11*INDEX(Curves!$V$8:$V$68,T$4-$B11+1)</f>
        <v/>
      </c>
      <c r="U11" s="56">
        <f>$C11*INDEX(Curves!$V$8:$V$68,U$4-$B11+1)</f>
        <v/>
      </c>
      <c r="V11" s="56">
        <f>$C11*INDEX(Curves!$V$8:$V$68,V$4-$B11+1)</f>
        <v/>
      </c>
      <c r="W11" s="56">
        <f>$C11*INDEX(Curves!$V$8:$V$68,W$4-$B11+1)</f>
        <v/>
      </c>
      <c r="X11" s="56">
        <f>$C11*INDEX(Curves!$V$8:$V$68,X$4-$B11+1)</f>
        <v/>
      </c>
      <c r="Y11" s="56">
        <f>$C11*INDEX(Curves!$V$8:$V$68,Y$4-$B11+1)</f>
        <v/>
      </c>
      <c r="Z11" s="56">
        <f>$C11*INDEX(Curves!$V$8:$V$68,Z$4-$B11+1)</f>
        <v/>
      </c>
      <c r="AA11" s="56">
        <f>$C11*INDEX(Curves!$V$8:$V$68,AA$4-$B11+1)</f>
        <v/>
      </c>
      <c r="AB11" s="56">
        <f>$C11*INDEX(Curves!$V$8:$V$68,AB$4-$B11+1)</f>
        <v/>
      </c>
      <c r="AC11" s="56">
        <f>$C11*INDEX(Curves!$V$8:$V$68,AC$4-$B11+1)</f>
        <v/>
      </c>
      <c r="AD11" s="56">
        <f>$C11*INDEX(Curves!$V$8:$V$68,AD$4-$B11+1)</f>
        <v/>
      </c>
      <c r="AE11" s="56">
        <f>$C11*INDEX(Curves!$V$8:$V$68,AE$4-$B11+1)</f>
        <v/>
      </c>
      <c r="AF11" s="56">
        <f>$C11*INDEX(Curves!$V$8:$V$68,AF$4-$B11+1)</f>
        <v/>
      </c>
      <c r="AG11" s="56">
        <f>$C11*INDEX(Curves!$V$8:$V$68,AG$4-$B11+1)</f>
        <v/>
      </c>
      <c r="AH11" s="56">
        <f>$C11*INDEX(Curves!$V$8:$V$68,AH$4-$B11+1)</f>
        <v/>
      </c>
      <c r="AI11" s="56">
        <f>$C11*INDEX(Curves!$V$8:$V$68,AI$4-$B11+1)</f>
        <v/>
      </c>
      <c r="AJ11" s="56">
        <f>$C11*INDEX(Curves!$V$8:$V$68,AJ$4-$B11+1)</f>
        <v/>
      </c>
      <c r="AK11" s="56">
        <f>$C11*INDEX(Curves!$V$8:$V$68,AK$4-$B11+1)</f>
        <v/>
      </c>
      <c r="AL11" s="56">
        <f>$C11*INDEX(Curves!$V$8:$V$68,AL$4-$B11+1)</f>
        <v/>
      </c>
      <c r="AM11" s="56">
        <f>$C11*INDEX(Curves!$V$8:$V$68,AM$4-$B11+1)</f>
        <v/>
      </c>
      <c r="AN11" s="56">
        <f>$C11*INDEX(Curves!$V$8:$V$68,AN$4-$B11+1)</f>
        <v/>
      </c>
      <c r="AO11" s="56">
        <f>$C11*INDEX(Curves!$V$8:$V$68,AO$4-$B11+1)</f>
        <v/>
      </c>
      <c r="AP11" s="56">
        <f>$C11*INDEX(Curves!$V$8:$V$68,AP$4-$B11+1)</f>
        <v/>
      </c>
      <c r="AQ11" s="56">
        <f>$C11*INDEX(Curves!$V$8:$V$68,AQ$4-$B11+1)</f>
        <v/>
      </c>
      <c r="AR11" s="56">
        <f>$C11*INDEX(Curves!$V$8:$V$68,AR$4-$B11+1)</f>
        <v/>
      </c>
      <c r="AS11" s="56">
        <f>$C11*INDEX(Curves!$V$8:$V$68,AS$4-$B11+1)</f>
        <v/>
      </c>
      <c r="AT11" s="56">
        <f>$C11*INDEX(Curves!$V$8:$V$68,AT$4-$B11+1)</f>
        <v/>
      </c>
      <c r="AU11" s="56">
        <f>$C11*INDEX(Curves!$V$8:$V$68,AU$4-$B11+1)</f>
        <v/>
      </c>
      <c r="AV11" s="56">
        <f>$C11*INDEX(Curves!$V$8:$V$68,AV$4-$B11+1)</f>
        <v/>
      </c>
      <c r="AW11" s="56">
        <f>$C11*INDEX(Curves!$V$8:$V$68,AW$4-$B11+1)</f>
        <v/>
      </c>
      <c r="AX11" s="56">
        <f>$C11*INDEX(Curves!$V$8:$V$68,AX$4-$B11+1)</f>
        <v/>
      </c>
      <c r="AY11" s="56">
        <f>$C11*INDEX(Curves!$V$8:$V$68,AY$4-$B11+1)</f>
        <v/>
      </c>
      <c r="AZ11" s="56">
        <f>$C11*INDEX(Curves!$V$8:$V$68,AZ$4-$B11+1)</f>
        <v/>
      </c>
      <c r="BA11" s="56">
        <f>$C11*INDEX(Curves!$V$8:$V$68,BA$4-$B11+1)</f>
        <v/>
      </c>
      <c r="BB11" s="56">
        <f>$C11*INDEX(Curves!$V$8:$V$68,BB$4-$B11+1)</f>
        <v/>
      </c>
      <c r="BC11" s="56">
        <f>$C11*INDEX(Curves!$V$8:$V$68,BC$4-$B11+1)</f>
        <v/>
      </c>
      <c r="BD11" s="56">
        <f>$C11*INDEX(Curves!$V$8:$V$68,BD$4-$B11+1)</f>
        <v/>
      </c>
      <c r="BE11" s="56">
        <f>$C11*INDEX(Curves!$V$8:$V$68,BE$4-$B11+1)</f>
        <v/>
      </c>
      <c r="BF11" s="56">
        <f>$C11*INDEX(Curves!$V$8:$V$68,BF$4-$B11+1)</f>
        <v/>
      </c>
      <c r="BG11" s="56">
        <f>$C11*INDEX(Curves!$V$8:$V$68,BG$4-$B11+1)</f>
        <v/>
      </c>
      <c r="BH11" s="56">
        <f>$C11*INDEX(Curves!$V$8:$V$68,BH$4-$B11+1)</f>
        <v/>
      </c>
      <c r="BI11" s="56">
        <f>$C11*INDEX(Curves!$V$8:$V$68,BI$4-$B11+1)</f>
        <v/>
      </c>
      <c r="BJ11" s="56">
        <f>$C11*INDEX(Curves!$V$8:$V$68,BJ$4-$B11+1)</f>
        <v/>
      </c>
      <c r="BK11" s="56">
        <f>$C11*INDEX(Curves!$V$8:$V$68,BK$4-$B11+1)</f>
        <v/>
      </c>
      <c r="BL11" s="56">
        <f>$C11*INDEX(Curves!$V$8:$V$68,BL$4-$B11+1)</f>
        <v/>
      </c>
    </row>
    <row r="12">
      <c r="A12" s="55" t="inlineStr">
        <is>
          <t>Cohort month 3</t>
        </is>
      </c>
      <c r="B12" s="55" t="n">
        <v>3</v>
      </c>
      <c r="C12" s="46">
        <f>INDEX(Ops!$E$40:$BL$40,1,$B12)</f>
        <v/>
      </c>
      <c r="H12" s="56">
        <f>$C12*INDEX(Curves!$V$8:$V$68,H$4-$B12+1)</f>
        <v/>
      </c>
      <c r="I12" s="56">
        <f>$C12*INDEX(Curves!$V$8:$V$68,I$4-$B12+1)</f>
        <v/>
      </c>
      <c r="J12" s="56">
        <f>$C12*INDEX(Curves!$V$8:$V$68,J$4-$B12+1)</f>
        <v/>
      </c>
      <c r="K12" s="56">
        <f>$C12*INDEX(Curves!$V$8:$V$68,K$4-$B12+1)</f>
        <v/>
      </c>
      <c r="L12" s="56">
        <f>$C12*INDEX(Curves!$V$8:$V$68,L$4-$B12+1)</f>
        <v/>
      </c>
      <c r="M12" s="56">
        <f>$C12*INDEX(Curves!$V$8:$V$68,M$4-$B12+1)</f>
        <v/>
      </c>
      <c r="N12" s="56">
        <f>$C12*INDEX(Curves!$V$8:$V$68,N$4-$B12+1)</f>
        <v/>
      </c>
      <c r="O12" s="56">
        <f>$C12*INDEX(Curves!$V$8:$V$68,O$4-$B12+1)</f>
        <v/>
      </c>
      <c r="P12" s="56">
        <f>$C12*INDEX(Curves!$V$8:$V$68,P$4-$B12+1)</f>
        <v/>
      </c>
      <c r="Q12" s="56">
        <f>$C12*INDEX(Curves!$V$8:$V$68,Q$4-$B12+1)</f>
        <v/>
      </c>
      <c r="R12" s="56">
        <f>$C12*INDEX(Curves!$V$8:$V$68,R$4-$B12+1)</f>
        <v/>
      </c>
      <c r="S12" s="56">
        <f>$C12*INDEX(Curves!$V$8:$V$68,S$4-$B12+1)</f>
        <v/>
      </c>
      <c r="T12" s="56">
        <f>$C12*INDEX(Curves!$V$8:$V$68,T$4-$B12+1)</f>
        <v/>
      </c>
      <c r="U12" s="56">
        <f>$C12*INDEX(Curves!$V$8:$V$68,U$4-$B12+1)</f>
        <v/>
      </c>
      <c r="V12" s="56">
        <f>$C12*INDEX(Curves!$V$8:$V$68,V$4-$B12+1)</f>
        <v/>
      </c>
      <c r="W12" s="56">
        <f>$C12*INDEX(Curves!$V$8:$V$68,W$4-$B12+1)</f>
        <v/>
      </c>
      <c r="X12" s="56">
        <f>$C12*INDEX(Curves!$V$8:$V$68,X$4-$B12+1)</f>
        <v/>
      </c>
      <c r="Y12" s="56">
        <f>$C12*INDEX(Curves!$V$8:$V$68,Y$4-$B12+1)</f>
        <v/>
      </c>
      <c r="Z12" s="56">
        <f>$C12*INDEX(Curves!$V$8:$V$68,Z$4-$B12+1)</f>
        <v/>
      </c>
      <c r="AA12" s="56">
        <f>$C12*INDEX(Curves!$V$8:$V$68,AA$4-$B12+1)</f>
        <v/>
      </c>
      <c r="AB12" s="56">
        <f>$C12*INDEX(Curves!$V$8:$V$68,AB$4-$B12+1)</f>
        <v/>
      </c>
      <c r="AC12" s="56">
        <f>$C12*INDEX(Curves!$V$8:$V$68,AC$4-$B12+1)</f>
        <v/>
      </c>
      <c r="AD12" s="56">
        <f>$C12*INDEX(Curves!$V$8:$V$68,AD$4-$B12+1)</f>
        <v/>
      </c>
      <c r="AE12" s="56">
        <f>$C12*INDEX(Curves!$V$8:$V$68,AE$4-$B12+1)</f>
        <v/>
      </c>
      <c r="AF12" s="56">
        <f>$C12*INDEX(Curves!$V$8:$V$68,AF$4-$B12+1)</f>
        <v/>
      </c>
      <c r="AG12" s="56">
        <f>$C12*INDEX(Curves!$V$8:$V$68,AG$4-$B12+1)</f>
        <v/>
      </c>
      <c r="AH12" s="56">
        <f>$C12*INDEX(Curves!$V$8:$V$68,AH$4-$B12+1)</f>
        <v/>
      </c>
      <c r="AI12" s="56">
        <f>$C12*INDEX(Curves!$V$8:$V$68,AI$4-$B12+1)</f>
        <v/>
      </c>
      <c r="AJ12" s="56">
        <f>$C12*INDEX(Curves!$V$8:$V$68,AJ$4-$B12+1)</f>
        <v/>
      </c>
      <c r="AK12" s="56">
        <f>$C12*INDEX(Curves!$V$8:$V$68,AK$4-$B12+1)</f>
        <v/>
      </c>
      <c r="AL12" s="56">
        <f>$C12*INDEX(Curves!$V$8:$V$68,AL$4-$B12+1)</f>
        <v/>
      </c>
      <c r="AM12" s="56">
        <f>$C12*INDEX(Curves!$V$8:$V$68,AM$4-$B12+1)</f>
        <v/>
      </c>
      <c r="AN12" s="56">
        <f>$C12*INDEX(Curves!$V$8:$V$68,AN$4-$B12+1)</f>
        <v/>
      </c>
      <c r="AO12" s="56">
        <f>$C12*INDEX(Curves!$V$8:$V$68,AO$4-$B12+1)</f>
        <v/>
      </c>
      <c r="AP12" s="56">
        <f>$C12*INDEX(Curves!$V$8:$V$68,AP$4-$B12+1)</f>
        <v/>
      </c>
      <c r="AQ12" s="56">
        <f>$C12*INDEX(Curves!$V$8:$V$68,AQ$4-$B12+1)</f>
        <v/>
      </c>
      <c r="AR12" s="56">
        <f>$C12*INDEX(Curves!$V$8:$V$68,AR$4-$B12+1)</f>
        <v/>
      </c>
      <c r="AS12" s="56">
        <f>$C12*INDEX(Curves!$V$8:$V$68,AS$4-$B12+1)</f>
        <v/>
      </c>
      <c r="AT12" s="56">
        <f>$C12*INDEX(Curves!$V$8:$V$68,AT$4-$B12+1)</f>
        <v/>
      </c>
      <c r="AU12" s="56">
        <f>$C12*INDEX(Curves!$V$8:$V$68,AU$4-$B12+1)</f>
        <v/>
      </c>
      <c r="AV12" s="56">
        <f>$C12*INDEX(Curves!$V$8:$V$68,AV$4-$B12+1)</f>
        <v/>
      </c>
      <c r="AW12" s="56">
        <f>$C12*INDEX(Curves!$V$8:$V$68,AW$4-$B12+1)</f>
        <v/>
      </c>
      <c r="AX12" s="56">
        <f>$C12*INDEX(Curves!$V$8:$V$68,AX$4-$B12+1)</f>
        <v/>
      </c>
      <c r="AY12" s="56">
        <f>$C12*INDEX(Curves!$V$8:$V$68,AY$4-$B12+1)</f>
        <v/>
      </c>
      <c r="AZ12" s="56">
        <f>$C12*INDEX(Curves!$V$8:$V$68,AZ$4-$B12+1)</f>
        <v/>
      </c>
      <c r="BA12" s="56">
        <f>$C12*INDEX(Curves!$V$8:$V$68,BA$4-$B12+1)</f>
        <v/>
      </c>
      <c r="BB12" s="56">
        <f>$C12*INDEX(Curves!$V$8:$V$68,BB$4-$B12+1)</f>
        <v/>
      </c>
      <c r="BC12" s="56">
        <f>$C12*INDEX(Curves!$V$8:$V$68,BC$4-$B12+1)</f>
        <v/>
      </c>
      <c r="BD12" s="56">
        <f>$C12*INDEX(Curves!$V$8:$V$68,BD$4-$B12+1)</f>
        <v/>
      </c>
      <c r="BE12" s="56">
        <f>$C12*INDEX(Curves!$V$8:$V$68,BE$4-$B12+1)</f>
        <v/>
      </c>
      <c r="BF12" s="56">
        <f>$C12*INDEX(Curves!$V$8:$V$68,BF$4-$B12+1)</f>
        <v/>
      </c>
      <c r="BG12" s="56">
        <f>$C12*INDEX(Curves!$V$8:$V$68,BG$4-$B12+1)</f>
        <v/>
      </c>
      <c r="BH12" s="56">
        <f>$C12*INDEX(Curves!$V$8:$V$68,BH$4-$B12+1)</f>
        <v/>
      </c>
      <c r="BI12" s="56">
        <f>$C12*INDEX(Curves!$V$8:$V$68,BI$4-$B12+1)</f>
        <v/>
      </c>
      <c r="BJ12" s="56">
        <f>$C12*INDEX(Curves!$V$8:$V$68,BJ$4-$B12+1)</f>
        <v/>
      </c>
      <c r="BK12" s="56">
        <f>$C12*INDEX(Curves!$V$8:$V$68,BK$4-$B12+1)</f>
        <v/>
      </c>
      <c r="BL12" s="56">
        <f>$C12*INDEX(Curves!$V$8:$V$68,BL$4-$B12+1)</f>
        <v/>
      </c>
    </row>
    <row r="13">
      <c r="A13" s="55" t="inlineStr">
        <is>
          <t>Cohort month 4</t>
        </is>
      </c>
      <c r="B13" s="55" t="n">
        <v>4</v>
      </c>
      <c r="C13" s="46">
        <f>INDEX(Ops!$E$40:$BL$40,1,$B13)</f>
        <v/>
      </c>
      <c r="I13" s="56">
        <f>$C13*INDEX(Curves!$V$8:$V$68,I$4-$B13+1)</f>
        <v/>
      </c>
      <c r="J13" s="56">
        <f>$C13*INDEX(Curves!$V$8:$V$68,J$4-$B13+1)</f>
        <v/>
      </c>
      <c r="K13" s="56">
        <f>$C13*INDEX(Curves!$V$8:$V$68,K$4-$B13+1)</f>
        <v/>
      </c>
      <c r="L13" s="56">
        <f>$C13*INDEX(Curves!$V$8:$V$68,L$4-$B13+1)</f>
        <v/>
      </c>
      <c r="M13" s="56">
        <f>$C13*INDEX(Curves!$V$8:$V$68,M$4-$B13+1)</f>
        <v/>
      </c>
      <c r="N13" s="56">
        <f>$C13*INDEX(Curves!$V$8:$V$68,N$4-$B13+1)</f>
        <v/>
      </c>
      <c r="O13" s="56">
        <f>$C13*INDEX(Curves!$V$8:$V$68,O$4-$B13+1)</f>
        <v/>
      </c>
      <c r="P13" s="56">
        <f>$C13*INDEX(Curves!$V$8:$V$68,P$4-$B13+1)</f>
        <v/>
      </c>
      <c r="Q13" s="56">
        <f>$C13*INDEX(Curves!$V$8:$V$68,Q$4-$B13+1)</f>
        <v/>
      </c>
      <c r="R13" s="56">
        <f>$C13*INDEX(Curves!$V$8:$V$68,R$4-$B13+1)</f>
        <v/>
      </c>
      <c r="S13" s="56">
        <f>$C13*INDEX(Curves!$V$8:$V$68,S$4-$B13+1)</f>
        <v/>
      </c>
      <c r="T13" s="56">
        <f>$C13*INDEX(Curves!$V$8:$V$68,T$4-$B13+1)</f>
        <v/>
      </c>
      <c r="U13" s="56">
        <f>$C13*INDEX(Curves!$V$8:$V$68,U$4-$B13+1)</f>
        <v/>
      </c>
      <c r="V13" s="56">
        <f>$C13*INDEX(Curves!$V$8:$V$68,V$4-$B13+1)</f>
        <v/>
      </c>
      <c r="W13" s="56">
        <f>$C13*INDEX(Curves!$V$8:$V$68,W$4-$B13+1)</f>
        <v/>
      </c>
      <c r="X13" s="56">
        <f>$C13*INDEX(Curves!$V$8:$V$68,X$4-$B13+1)</f>
        <v/>
      </c>
      <c r="Y13" s="56">
        <f>$C13*INDEX(Curves!$V$8:$V$68,Y$4-$B13+1)</f>
        <v/>
      </c>
      <c r="Z13" s="56">
        <f>$C13*INDEX(Curves!$V$8:$V$68,Z$4-$B13+1)</f>
        <v/>
      </c>
      <c r="AA13" s="56">
        <f>$C13*INDEX(Curves!$V$8:$V$68,AA$4-$B13+1)</f>
        <v/>
      </c>
      <c r="AB13" s="56">
        <f>$C13*INDEX(Curves!$V$8:$V$68,AB$4-$B13+1)</f>
        <v/>
      </c>
      <c r="AC13" s="56">
        <f>$C13*INDEX(Curves!$V$8:$V$68,AC$4-$B13+1)</f>
        <v/>
      </c>
      <c r="AD13" s="56">
        <f>$C13*INDEX(Curves!$V$8:$V$68,AD$4-$B13+1)</f>
        <v/>
      </c>
      <c r="AE13" s="56">
        <f>$C13*INDEX(Curves!$V$8:$V$68,AE$4-$B13+1)</f>
        <v/>
      </c>
      <c r="AF13" s="56">
        <f>$C13*INDEX(Curves!$V$8:$V$68,AF$4-$B13+1)</f>
        <v/>
      </c>
      <c r="AG13" s="56">
        <f>$C13*INDEX(Curves!$V$8:$V$68,AG$4-$B13+1)</f>
        <v/>
      </c>
      <c r="AH13" s="56">
        <f>$C13*INDEX(Curves!$V$8:$V$68,AH$4-$B13+1)</f>
        <v/>
      </c>
      <c r="AI13" s="56">
        <f>$C13*INDEX(Curves!$V$8:$V$68,AI$4-$B13+1)</f>
        <v/>
      </c>
      <c r="AJ13" s="56">
        <f>$C13*INDEX(Curves!$V$8:$V$68,AJ$4-$B13+1)</f>
        <v/>
      </c>
      <c r="AK13" s="56">
        <f>$C13*INDEX(Curves!$V$8:$V$68,AK$4-$B13+1)</f>
        <v/>
      </c>
      <c r="AL13" s="56">
        <f>$C13*INDEX(Curves!$V$8:$V$68,AL$4-$B13+1)</f>
        <v/>
      </c>
      <c r="AM13" s="56">
        <f>$C13*INDEX(Curves!$V$8:$V$68,AM$4-$B13+1)</f>
        <v/>
      </c>
      <c r="AN13" s="56">
        <f>$C13*INDEX(Curves!$V$8:$V$68,AN$4-$B13+1)</f>
        <v/>
      </c>
      <c r="AO13" s="56">
        <f>$C13*INDEX(Curves!$V$8:$V$68,AO$4-$B13+1)</f>
        <v/>
      </c>
      <c r="AP13" s="56">
        <f>$C13*INDEX(Curves!$V$8:$V$68,AP$4-$B13+1)</f>
        <v/>
      </c>
      <c r="AQ13" s="56">
        <f>$C13*INDEX(Curves!$V$8:$V$68,AQ$4-$B13+1)</f>
        <v/>
      </c>
      <c r="AR13" s="56">
        <f>$C13*INDEX(Curves!$V$8:$V$68,AR$4-$B13+1)</f>
        <v/>
      </c>
      <c r="AS13" s="56">
        <f>$C13*INDEX(Curves!$V$8:$V$68,AS$4-$B13+1)</f>
        <v/>
      </c>
      <c r="AT13" s="56">
        <f>$C13*INDEX(Curves!$V$8:$V$68,AT$4-$B13+1)</f>
        <v/>
      </c>
      <c r="AU13" s="56">
        <f>$C13*INDEX(Curves!$V$8:$V$68,AU$4-$B13+1)</f>
        <v/>
      </c>
      <c r="AV13" s="56">
        <f>$C13*INDEX(Curves!$V$8:$V$68,AV$4-$B13+1)</f>
        <v/>
      </c>
      <c r="AW13" s="56">
        <f>$C13*INDEX(Curves!$V$8:$V$68,AW$4-$B13+1)</f>
        <v/>
      </c>
      <c r="AX13" s="56">
        <f>$C13*INDEX(Curves!$V$8:$V$68,AX$4-$B13+1)</f>
        <v/>
      </c>
      <c r="AY13" s="56">
        <f>$C13*INDEX(Curves!$V$8:$V$68,AY$4-$B13+1)</f>
        <v/>
      </c>
      <c r="AZ13" s="56">
        <f>$C13*INDEX(Curves!$V$8:$V$68,AZ$4-$B13+1)</f>
        <v/>
      </c>
      <c r="BA13" s="56">
        <f>$C13*INDEX(Curves!$V$8:$V$68,BA$4-$B13+1)</f>
        <v/>
      </c>
      <c r="BB13" s="56">
        <f>$C13*INDEX(Curves!$V$8:$V$68,BB$4-$B13+1)</f>
        <v/>
      </c>
      <c r="BC13" s="56">
        <f>$C13*INDEX(Curves!$V$8:$V$68,BC$4-$B13+1)</f>
        <v/>
      </c>
      <c r="BD13" s="56">
        <f>$C13*INDEX(Curves!$V$8:$V$68,BD$4-$B13+1)</f>
        <v/>
      </c>
      <c r="BE13" s="56">
        <f>$C13*INDEX(Curves!$V$8:$V$68,BE$4-$B13+1)</f>
        <v/>
      </c>
      <c r="BF13" s="56">
        <f>$C13*INDEX(Curves!$V$8:$V$68,BF$4-$B13+1)</f>
        <v/>
      </c>
      <c r="BG13" s="56">
        <f>$C13*INDEX(Curves!$V$8:$V$68,BG$4-$B13+1)</f>
        <v/>
      </c>
      <c r="BH13" s="56">
        <f>$C13*INDEX(Curves!$V$8:$V$68,BH$4-$B13+1)</f>
        <v/>
      </c>
      <c r="BI13" s="56">
        <f>$C13*INDEX(Curves!$V$8:$V$68,BI$4-$B13+1)</f>
        <v/>
      </c>
      <c r="BJ13" s="56">
        <f>$C13*INDEX(Curves!$V$8:$V$68,BJ$4-$B13+1)</f>
        <v/>
      </c>
      <c r="BK13" s="56">
        <f>$C13*INDEX(Curves!$V$8:$V$68,BK$4-$B13+1)</f>
        <v/>
      </c>
      <c r="BL13" s="56">
        <f>$C13*INDEX(Curves!$V$8:$V$68,BL$4-$B13+1)</f>
        <v/>
      </c>
    </row>
    <row r="14">
      <c r="A14" s="55" t="inlineStr">
        <is>
          <t>Cohort month 5</t>
        </is>
      </c>
      <c r="B14" s="55" t="n">
        <v>5</v>
      </c>
      <c r="C14" s="46">
        <f>INDEX(Ops!$E$40:$BL$40,1,$B14)</f>
        <v/>
      </c>
      <c r="J14" s="56">
        <f>$C14*INDEX(Curves!$V$8:$V$68,J$4-$B14+1)</f>
        <v/>
      </c>
      <c r="K14" s="56">
        <f>$C14*INDEX(Curves!$V$8:$V$68,K$4-$B14+1)</f>
        <v/>
      </c>
      <c r="L14" s="56">
        <f>$C14*INDEX(Curves!$V$8:$V$68,L$4-$B14+1)</f>
        <v/>
      </c>
      <c r="M14" s="56">
        <f>$C14*INDEX(Curves!$V$8:$V$68,M$4-$B14+1)</f>
        <v/>
      </c>
      <c r="N14" s="56">
        <f>$C14*INDEX(Curves!$V$8:$V$68,N$4-$B14+1)</f>
        <v/>
      </c>
      <c r="O14" s="56">
        <f>$C14*INDEX(Curves!$V$8:$V$68,O$4-$B14+1)</f>
        <v/>
      </c>
      <c r="P14" s="56">
        <f>$C14*INDEX(Curves!$V$8:$V$68,P$4-$B14+1)</f>
        <v/>
      </c>
      <c r="Q14" s="56">
        <f>$C14*INDEX(Curves!$V$8:$V$68,Q$4-$B14+1)</f>
        <v/>
      </c>
      <c r="R14" s="56">
        <f>$C14*INDEX(Curves!$V$8:$V$68,R$4-$B14+1)</f>
        <v/>
      </c>
      <c r="S14" s="56">
        <f>$C14*INDEX(Curves!$V$8:$V$68,S$4-$B14+1)</f>
        <v/>
      </c>
      <c r="T14" s="56">
        <f>$C14*INDEX(Curves!$V$8:$V$68,T$4-$B14+1)</f>
        <v/>
      </c>
      <c r="U14" s="56">
        <f>$C14*INDEX(Curves!$V$8:$V$68,U$4-$B14+1)</f>
        <v/>
      </c>
      <c r="V14" s="56">
        <f>$C14*INDEX(Curves!$V$8:$V$68,V$4-$B14+1)</f>
        <v/>
      </c>
      <c r="W14" s="56">
        <f>$C14*INDEX(Curves!$V$8:$V$68,W$4-$B14+1)</f>
        <v/>
      </c>
      <c r="X14" s="56">
        <f>$C14*INDEX(Curves!$V$8:$V$68,X$4-$B14+1)</f>
        <v/>
      </c>
      <c r="Y14" s="56">
        <f>$C14*INDEX(Curves!$V$8:$V$68,Y$4-$B14+1)</f>
        <v/>
      </c>
      <c r="Z14" s="56">
        <f>$C14*INDEX(Curves!$V$8:$V$68,Z$4-$B14+1)</f>
        <v/>
      </c>
      <c r="AA14" s="56">
        <f>$C14*INDEX(Curves!$V$8:$V$68,AA$4-$B14+1)</f>
        <v/>
      </c>
      <c r="AB14" s="56">
        <f>$C14*INDEX(Curves!$V$8:$V$68,AB$4-$B14+1)</f>
        <v/>
      </c>
      <c r="AC14" s="56">
        <f>$C14*INDEX(Curves!$V$8:$V$68,AC$4-$B14+1)</f>
        <v/>
      </c>
      <c r="AD14" s="56">
        <f>$C14*INDEX(Curves!$V$8:$V$68,AD$4-$B14+1)</f>
        <v/>
      </c>
      <c r="AE14" s="56">
        <f>$C14*INDEX(Curves!$V$8:$V$68,AE$4-$B14+1)</f>
        <v/>
      </c>
      <c r="AF14" s="56">
        <f>$C14*INDEX(Curves!$V$8:$V$68,AF$4-$B14+1)</f>
        <v/>
      </c>
      <c r="AG14" s="56">
        <f>$C14*INDEX(Curves!$V$8:$V$68,AG$4-$B14+1)</f>
        <v/>
      </c>
      <c r="AH14" s="56">
        <f>$C14*INDEX(Curves!$V$8:$V$68,AH$4-$B14+1)</f>
        <v/>
      </c>
      <c r="AI14" s="56">
        <f>$C14*INDEX(Curves!$V$8:$V$68,AI$4-$B14+1)</f>
        <v/>
      </c>
      <c r="AJ14" s="56">
        <f>$C14*INDEX(Curves!$V$8:$V$68,AJ$4-$B14+1)</f>
        <v/>
      </c>
      <c r="AK14" s="56">
        <f>$C14*INDEX(Curves!$V$8:$V$68,AK$4-$B14+1)</f>
        <v/>
      </c>
      <c r="AL14" s="56">
        <f>$C14*INDEX(Curves!$V$8:$V$68,AL$4-$B14+1)</f>
        <v/>
      </c>
      <c r="AM14" s="56">
        <f>$C14*INDEX(Curves!$V$8:$V$68,AM$4-$B14+1)</f>
        <v/>
      </c>
      <c r="AN14" s="56">
        <f>$C14*INDEX(Curves!$V$8:$V$68,AN$4-$B14+1)</f>
        <v/>
      </c>
      <c r="AO14" s="56">
        <f>$C14*INDEX(Curves!$V$8:$V$68,AO$4-$B14+1)</f>
        <v/>
      </c>
      <c r="AP14" s="56">
        <f>$C14*INDEX(Curves!$V$8:$V$68,AP$4-$B14+1)</f>
        <v/>
      </c>
      <c r="AQ14" s="56">
        <f>$C14*INDEX(Curves!$V$8:$V$68,AQ$4-$B14+1)</f>
        <v/>
      </c>
      <c r="AR14" s="56">
        <f>$C14*INDEX(Curves!$V$8:$V$68,AR$4-$B14+1)</f>
        <v/>
      </c>
      <c r="AS14" s="56">
        <f>$C14*INDEX(Curves!$V$8:$V$68,AS$4-$B14+1)</f>
        <v/>
      </c>
      <c r="AT14" s="56">
        <f>$C14*INDEX(Curves!$V$8:$V$68,AT$4-$B14+1)</f>
        <v/>
      </c>
      <c r="AU14" s="56">
        <f>$C14*INDEX(Curves!$V$8:$V$68,AU$4-$B14+1)</f>
        <v/>
      </c>
      <c r="AV14" s="56">
        <f>$C14*INDEX(Curves!$V$8:$V$68,AV$4-$B14+1)</f>
        <v/>
      </c>
      <c r="AW14" s="56">
        <f>$C14*INDEX(Curves!$V$8:$V$68,AW$4-$B14+1)</f>
        <v/>
      </c>
      <c r="AX14" s="56">
        <f>$C14*INDEX(Curves!$V$8:$V$68,AX$4-$B14+1)</f>
        <v/>
      </c>
      <c r="AY14" s="56">
        <f>$C14*INDEX(Curves!$V$8:$V$68,AY$4-$B14+1)</f>
        <v/>
      </c>
      <c r="AZ14" s="56">
        <f>$C14*INDEX(Curves!$V$8:$V$68,AZ$4-$B14+1)</f>
        <v/>
      </c>
      <c r="BA14" s="56">
        <f>$C14*INDEX(Curves!$V$8:$V$68,BA$4-$B14+1)</f>
        <v/>
      </c>
      <c r="BB14" s="56">
        <f>$C14*INDEX(Curves!$V$8:$V$68,BB$4-$B14+1)</f>
        <v/>
      </c>
      <c r="BC14" s="56">
        <f>$C14*INDEX(Curves!$V$8:$V$68,BC$4-$B14+1)</f>
        <v/>
      </c>
      <c r="BD14" s="56">
        <f>$C14*INDEX(Curves!$V$8:$V$68,BD$4-$B14+1)</f>
        <v/>
      </c>
      <c r="BE14" s="56">
        <f>$C14*INDEX(Curves!$V$8:$V$68,BE$4-$B14+1)</f>
        <v/>
      </c>
      <c r="BF14" s="56">
        <f>$C14*INDEX(Curves!$V$8:$V$68,BF$4-$B14+1)</f>
        <v/>
      </c>
      <c r="BG14" s="56">
        <f>$C14*INDEX(Curves!$V$8:$V$68,BG$4-$B14+1)</f>
        <v/>
      </c>
      <c r="BH14" s="56">
        <f>$C14*INDEX(Curves!$V$8:$V$68,BH$4-$B14+1)</f>
        <v/>
      </c>
      <c r="BI14" s="56">
        <f>$C14*INDEX(Curves!$V$8:$V$68,BI$4-$B14+1)</f>
        <v/>
      </c>
      <c r="BJ14" s="56">
        <f>$C14*INDEX(Curves!$V$8:$V$68,BJ$4-$B14+1)</f>
        <v/>
      </c>
      <c r="BK14" s="56">
        <f>$C14*INDEX(Curves!$V$8:$V$68,BK$4-$B14+1)</f>
        <v/>
      </c>
      <c r="BL14" s="56">
        <f>$C14*INDEX(Curves!$V$8:$V$68,BL$4-$B14+1)</f>
        <v/>
      </c>
    </row>
    <row r="15">
      <c r="A15" s="55" t="inlineStr">
        <is>
          <t>Cohort month 6</t>
        </is>
      </c>
      <c r="B15" s="55" t="n">
        <v>6</v>
      </c>
      <c r="C15" s="46">
        <f>INDEX(Ops!$E$40:$BL$40,1,$B15)</f>
        <v/>
      </c>
      <c r="K15" s="56">
        <f>$C15*INDEX(Curves!$V$8:$V$68,K$4-$B15+1)</f>
        <v/>
      </c>
      <c r="L15" s="56">
        <f>$C15*INDEX(Curves!$V$8:$V$68,L$4-$B15+1)</f>
        <v/>
      </c>
      <c r="M15" s="56">
        <f>$C15*INDEX(Curves!$V$8:$V$68,M$4-$B15+1)</f>
        <v/>
      </c>
      <c r="N15" s="56">
        <f>$C15*INDEX(Curves!$V$8:$V$68,N$4-$B15+1)</f>
        <v/>
      </c>
      <c r="O15" s="56">
        <f>$C15*INDEX(Curves!$V$8:$V$68,O$4-$B15+1)</f>
        <v/>
      </c>
      <c r="P15" s="56">
        <f>$C15*INDEX(Curves!$V$8:$V$68,P$4-$B15+1)</f>
        <v/>
      </c>
      <c r="Q15" s="56">
        <f>$C15*INDEX(Curves!$V$8:$V$68,Q$4-$B15+1)</f>
        <v/>
      </c>
      <c r="R15" s="56">
        <f>$C15*INDEX(Curves!$V$8:$V$68,R$4-$B15+1)</f>
        <v/>
      </c>
      <c r="S15" s="56">
        <f>$C15*INDEX(Curves!$V$8:$V$68,S$4-$B15+1)</f>
        <v/>
      </c>
      <c r="T15" s="56">
        <f>$C15*INDEX(Curves!$V$8:$V$68,T$4-$B15+1)</f>
        <v/>
      </c>
      <c r="U15" s="56">
        <f>$C15*INDEX(Curves!$V$8:$V$68,U$4-$B15+1)</f>
        <v/>
      </c>
      <c r="V15" s="56">
        <f>$C15*INDEX(Curves!$V$8:$V$68,V$4-$B15+1)</f>
        <v/>
      </c>
      <c r="W15" s="56">
        <f>$C15*INDEX(Curves!$V$8:$V$68,W$4-$B15+1)</f>
        <v/>
      </c>
      <c r="X15" s="56">
        <f>$C15*INDEX(Curves!$V$8:$V$68,X$4-$B15+1)</f>
        <v/>
      </c>
      <c r="Y15" s="56">
        <f>$C15*INDEX(Curves!$V$8:$V$68,Y$4-$B15+1)</f>
        <v/>
      </c>
      <c r="Z15" s="56">
        <f>$C15*INDEX(Curves!$V$8:$V$68,Z$4-$B15+1)</f>
        <v/>
      </c>
      <c r="AA15" s="56">
        <f>$C15*INDEX(Curves!$V$8:$V$68,AA$4-$B15+1)</f>
        <v/>
      </c>
      <c r="AB15" s="56">
        <f>$C15*INDEX(Curves!$V$8:$V$68,AB$4-$B15+1)</f>
        <v/>
      </c>
      <c r="AC15" s="56">
        <f>$C15*INDEX(Curves!$V$8:$V$68,AC$4-$B15+1)</f>
        <v/>
      </c>
      <c r="AD15" s="56">
        <f>$C15*INDEX(Curves!$V$8:$V$68,AD$4-$B15+1)</f>
        <v/>
      </c>
      <c r="AE15" s="56">
        <f>$C15*INDEX(Curves!$V$8:$V$68,AE$4-$B15+1)</f>
        <v/>
      </c>
      <c r="AF15" s="56">
        <f>$C15*INDEX(Curves!$V$8:$V$68,AF$4-$B15+1)</f>
        <v/>
      </c>
      <c r="AG15" s="56">
        <f>$C15*INDEX(Curves!$V$8:$V$68,AG$4-$B15+1)</f>
        <v/>
      </c>
      <c r="AH15" s="56">
        <f>$C15*INDEX(Curves!$V$8:$V$68,AH$4-$B15+1)</f>
        <v/>
      </c>
      <c r="AI15" s="56">
        <f>$C15*INDEX(Curves!$V$8:$V$68,AI$4-$B15+1)</f>
        <v/>
      </c>
      <c r="AJ15" s="56">
        <f>$C15*INDEX(Curves!$V$8:$V$68,AJ$4-$B15+1)</f>
        <v/>
      </c>
      <c r="AK15" s="56">
        <f>$C15*INDEX(Curves!$V$8:$V$68,AK$4-$B15+1)</f>
        <v/>
      </c>
      <c r="AL15" s="56">
        <f>$C15*INDEX(Curves!$V$8:$V$68,AL$4-$B15+1)</f>
        <v/>
      </c>
      <c r="AM15" s="56">
        <f>$C15*INDEX(Curves!$V$8:$V$68,AM$4-$B15+1)</f>
        <v/>
      </c>
      <c r="AN15" s="56">
        <f>$C15*INDEX(Curves!$V$8:$V$68,AN$4-$B15+1)</f>
        <v/>
      </c>
      <c r="AO15" s="56">
        <f>$C15*INDEX(Curves!$V$8:$V$68,AO$4-$B15+1)</f>
        <v/>
      </c>
      <c r="AP15" s="56">
        <f>$C15*INDEX(Curves!$V$8:$V$68,AP$4-$B15+1)</f>
        <v/>
      </c>
      <c r="AQ15" s="56">
        <f>$C15*INDEX(Curves!$V$8:$V$68,AQ$4-$B15+1)</f>
        <v/>
      </c>
      <c r="AR15" s="56">
        <f>$C15*INDEX(Curves!$V$8:$V$68,AR$4-$B15+1)</f>
        <v/>
      </c>
      <c r="AS15" s="56">
        <f>$C15*INDEX(Curves!$V$8:$V$68,AS$4-$B15+1)</f>
        <v/>
      </c>
      <c r="AT15" s="56">
        <f>$C15*INDEX(Curves!$V$8:$V$68,AT$4-$B15+1)</f>
        <v/>
      </c>
      <c r="AU15" s="56">
        <f>$C15*INDEX(Curves!$V$8:$V$68,AU$4-$B15+1)</f>
        <v/>
      </c>
      <c r="AV15" s="56">
        <f>$C15*INDEX(Curves!$V$8:$V$68,AV$4-$B15+1)</f>
        <v/>
      </c>
      <c r="AW15" s="56">
        <f>$C15*INDEX(Curves!$V$8:$V$68,AW$4-$B15+1)</f>
        <v/>
      </c>
      <c r="AX15" s="56">
        <f>$C15*INDEX(Curves!$V$8:$V$68,AX$4-$B15+1)</f>
        <v/>
      </c>
      <c r="AY15" s="56">
        <f>$C15*INDEX(Curves!$V$8:$V$68,AY$4-$B15+1)</f>
        <v/>
      </c>
      <c r="AZ15" s="56">
        <f>$C15*INDEX(Curves!$V$8:$V$68,AZ$4-$B15+1)</f>
        <v/>
      </c>
      <c r="BA15" s="56">
        <f>$C15*INDEX(Curves!$V$8:$V$68,BA$4-$B15+1)</f>
        <v/>
      </c>
      <c r="BB15" s="56">
        <f>$C15*INDEX(Curves!$V$8:$V$68,BB$4-$B15+1)</f>
        <v/>
      </c>
      <c r="BC15" s="56">
        <f>$C15*INDEX(Curves!$V$8:$V$68,BC$4-$B15+1)</f>
        <v/>
      </c>
      <c r="BD15" s="56">
        <f>$C15*INDEX(Curves!$V$8:$V$68,BD$4-$B15+1)</f>
        <v/>
      </c>
      <c r="BE15" s="56">
        <f>$C15*INDEX(Curves!$V$8:$V$68,BE$4-$B15+1)</f>
        <v/>
      </c>
      <c r="BF15" s="56">
        <f>$C15*INDEX(Curves!$V$8:$V$68,BF$4-$B15+1)</f>
        <v/>
      </c>
      <c r="BG15" s="56">
        <f>$C15*INDEX(Curves!$V$8:$V$68,BG$4-$B15+1)</f>
        <v/>
      </c>
      <c r="BH15" s="56">
        <f>$C15*INDEX(Curves!$V$8:$V$68,BH$4-$B15+1)</f>
        <v/>
      </c>
      <c r="BI15" s="56">
        <f>$C15*INDEX(Curves!$V$8:$V$68,BI$4-$B15+1)</f>
        <v/>
      </c>
      <c r="BJ15" s="56">
        <f>$C15*INDEX(Curves!$V$8:$V$68,BJ$4-$B15+1)</f>
        <v/>
      </c>
      <c r="BK15" s="56">
        <f>$C15*INDEX(Curves!$V$8:$V$68,BK$4-$B15+1)</f>
        <v/>
      </c>
      <c r="BL15" s="56">
        <f>$C15*INDEX(Curves!$V$8:$V$68,BL$4-$B15+1)</f>
        <v/>
      </c>
    </row>
    <row r="16">
      <c r="A16" s="55" t="inlineStr">
        <is>
          <t>Cohort month 7</t>
        </is>
      </c>
      <c r="B16" s="55" t="n">
        <v>7</v>
      </c>
      <c r="C16" s="46">
        <f>INDEX(Ops!$E$40:$BL$40,1,$B16)</f>
        <v/>
      </c>
      <c r="L16" s="56">
        <f>$C16*INDEX(Curves!$V$8:$V$68,L$4-$B16+1)</f>
        <v/>
      </c>
      <c r="M16" s="56">
        <f>$C16*INDEX(Curves!$V$8:$V$68,M$4-$B16+1)</f>
        <v/>
      </c>
      <c r="N16" s="56">
        <f>$C16*INDEX(Curves!$V$8:$V$68,N$4-$B16+1)</f>
        <v/>
      </c>
      <c r="O16" s="56">
        <f>$C16*INDEX(Curves!$V$8:$V$68,O$4-$B16+1)</f>
        <v/>
      </c>
      <c r="P16" s="56">
        <f>$C16*INDEX(Curves!$V$8:$V$68,P$4-$B16+1)</f>
        <v/>
      </c>
      <c r="Q16" s="56">
        <f>$C16*INDEX(Curves!$V$8:$V$68,Q$4-$B16+1)</f>
        <v/>
      </c>
      <c r="R16" s="56">
        <f>$C16*INDEX(Curves!$V$8:$V$68,R$4-$B16+1)</f>
        <v/>
      </c>
      <c r="S16" s="56">
        <f>$C16*INDEX(Curves!$V$8:$V$68,S$4-$B16+1)</f>
        <v/>
      </c>
      <c r="T16" s="56">
        <f>$C16*INDEX(Curves!$V$8:$V$68,T$4-$B16+1)</f>
        <v/>
      </c>
      <c r="U16" s="56">
        <f>$C16*INDEX(Curves!$V$8:$V$68,U$4-$B16+1)</f>
        <v/>
      </c>
      <c r="V16" s="56">
        <f>$C16*INDEX(Curves!$V$8:$V$68,V$4-$B16+1)</f>
        <v/>
      </c>
      <c r="W16" s="56">
        <f>$C16*INDEX(Curves!$V$8:$V$68,W$4-$B16+1)</f>
        <v/>
      </c>
      <c r="X16" s="56">
        <f>$C16*INDEX(Curves!$V$8:$V$68,X$4-$B16+1)</f>
        <v/>
      </c>
      <c r="Y16" s="56">
        <f>$C16*INDEX(Curves!$V$8:$V$68,Y$4-$B16+1)</f>
        <v/>
      </c>
      <c r="Z16" s="56">
        <f>$C16*INDEX(Curves!$V$8:$V$68,Z$4-$B16+1)</f>
        <v/>
      </c>
      <c r="AA16" s="56">
        <f>$C16*INDEX(Curves!$V$8:$V$68,AA$4-$B16+1)</f>
        <v/>
      </c>
      <c r="AB16" s="56">
        <f>$C16*INDEX(Curves!$V$8:$V$68,AB$4-$B16+1)</f>
        <v/>
      </c>
      <c r="AC16" s="56">
        <f>$C16*INDEX(Curves!$V$8:$V$68,AC$4-$B16+1)</f>
        <v/>
      </c>
      <c r="AD16" s="56">
        <f>$C16*INDEX(Curves!$V$8:$V$68,AD$4-$B16+1)</f>
        <v/>
      </c>
      <c r="AE16" s="56">
        <f>$C16*INDEX(Curves!$V$8:$V$68,AE$4-$B16+1)</f>
        <v/>
      </c>
      <c r="AF16" s="56">
        <f>$C16*INDEX(Curves!$V$8:$V$68,AF$4-$B16+1)</f>
        <v/>
      </c>
      <c r="AG16" s="56">
        <f>$C16*INDEX(Curves!$V$8:$V$68,AG$4-$B16+1)</f>
        <v/>
      </c>
      <c r="AH16" s="56">
        <f>$C16*INDEX(Curves!$V$8:$V$68,AH$4-$B16+1)</f>
        <v/>
      </c>
      <c r="AI16" s="56">
        <f>$C16*INDEX(Curves!$V$8:$V$68,AI$4-$B16+1)</f>
        <v/>
      </c>
      <c r="AJ16" s="56">
        <f>$C16*INDEX(Curves!$V$8:$V$68,AJ$4-$B16+1)</f>
        <v/>
      </c>
      <c r="AK16" s="56">
        <f>$C16*INDEX(Curves!$V$8:$V$68,AK$4-$B16+1)</f>
        <v/>
      </c>
      <c r="AL16" s="56">
        <f>$C16*INDEX(Curves!$V$8:$V$68,AL$4-$B16+1)</f>
        <v/>
      </c>
      <c r="AM16" s="56">
        <f>$C16*INDEX(Curves!$V$8:$V$68,AM$4-$B16+1)</f>
        <v/>
      </c>
      <c r="AN16" s="56">
        <f>$C16*INDEX(Curves!$V$8:$V$68,AN$4-$B16+1)</f>
        <v/>
      </c>
      <c r="AO16" s="56">
        <f>$C16*INDEX(Curves!$V$8:$V$68,AO$4-$B16+1)</f>
        <v/>
      </c>
      <c r="AP16" s="56">
        <f>$C16*INDEX(Curves!$V$8:$V$68,AP$4-$B16+1)</f>
        <v/>
      </c>
      <c r="AQ16" s="56">
        <f>$C16*INDEX(Curves!$V$8:$V$68,AQ$4-$B16+1)</f>
        <v/>
      </c>
      <c r="AR16" s="56">
        <f>$C16*INDEX(Curves!$V$8:$V$68,AR$4-$B16+1)</f>
        <v/>
      </c>
      <c r="AS16" s="56">
        <f>$C16*INDEX(Curves!$V$8:$V$68,AS$4-$B16+1)</f>
        <v/>
      </c>
      <c r="AT16" s="56">
        <f>$C16*INDEX(Curves!$V$8:$V$68,AT$4-$B16+1)</f>
        <v/>
      </c>
      <c r="AU16" s="56">
        <f>$C16*INDEX(Curves!$V$8:$V$68,AU$4-$B16+1)</f>
        <v/>
      </c>
      <c r="AV16" s="56">
        <f>$C16*INDEX(Curves!$V$8:$V$68,AV$4-$B16+1)</f>
        <v/>
      </c>
      <c r="AW16" s="56">
        <f>$C16*INDEX(Curves!$V$8:$V$68,AW$4-$B16+1)</f>
        <v/>
      </c>
      <c r="AX16" s="56">
        <f>$C16*INDEX(Curves!$V$8:$V$68,AX$4-$B16+1)</f>
        <v/>
      </c>
      <c r="AY16" s="56">
        <f>$C16*INDEX(Curves!$V$8:$V$68,AY$4-$B16+1)</f>
        <v/>
      </c>
      <c r="AZ16" s="56">
        <f>$C16*INDEX(Curves!$V$8:$V$68,AZ$4-$B16+1)</f>
        <v/>
      </c>
      <c r="BA16" s="56">
        <f>$C16*INDEX(Curves!$V$8:$V$68,BA$4-$B16+1)</f>
        <v/>
      </c>
      <c r="BB16" s="56">
        <f>$C16*INDEX(Curves!$V$8:$V$68,BB$4-$B16+1)</f>
        <v/>
      </c>
      <c r="BC16" s="56">
        <f>$C16*INDEX(Curves!$V$8:$V$68,BC$4-$B16+1)</f>
        <v/>
      </c>
      <c r="BD16" s="56">
        <f>$C16*INDEX(Curves!$V$8:$V$68,BD$4-$B16+1)</f>
        <v/>
      </c>
      <c r="BE16" s="56">
        <f>$C16*INDEX(Curves!$V$8:$V$68,BE$4-$B16+1)</f>
        <v/>
      </c>
      <c r="BF16" s="56">
        <f>$C16*INDEX(Curves!$V$8:$V$68,BF$4-$B16+1)</f>
        <v/>
      </c>
      <c r="BG16" s="56">
        <f>$C16*INDEX(Curves!$V$8:$V$68,BG$4-$B16+1)</f>
        <v/>
      </c>
      <c r="BH16" s="56">
        <f>$C16*INDEX(Curves!$V$8:$V$68,BH$4-$B16+1)</f>
        <v/>
      </c>
      <c r="BI16" s="56">
        <f>$C16*INDEX(Curves!$V$8:$V$68,BI$4-$B16+1)</f>
        <v/>
      </c>
      <c r="BJ16" s="56">
        <f>$C16*INDEX(Curves!$V$8:$V$68,BJ$4-$B16+1)</f>
        <v/>
      </c>
      <c r="BK16" s="56">
        <f>$C16*INDEX(Curves!$V$8:$V$68,BK$4-$B16+1)</f>
        <v/>
      </c>
      <c r="BL16" s="56">
        <f>$C16*INDEX(Curves!$V$8:$V$68,BL$4-$B16+1)</f>
        <v/>
      </c>
    </row>
    <row r="17">
      <c r="A17" s="55" t="inlineStr">
        <is>
          <t>Cohort month 8</t>
        </is>
      </c>
      <c r="B17" s="55" t="n">
        <v>8</v>
      </c>
      <c r="C17" s="46">
        <f>INDEX(Ops!$E$40:$BL$40,1,$B17)</f>
        <v/>
      </c>
      <c r="M17" s="56">
        <f>$C17*INDEX(Curves!$V$8:$V$68,M$4-$B17+1)</f>
        <v/>
      </c>
      <c r="N17" s="56">
        <f>$C17*INDEX(Curves!$V$8:$V$68,N$4-$B17+1)</f>
        <v/>
      </c>
      <c r="O17" s="56">
        <f>$C17*INDEX(Curves!$V$8:$V$68,O$4-$B17+1)</f>
        <v/>
      </c>
      <c r="P17" s="56">
        <f>$C17*INDEX(Curves!$V$8:$V$68,P$4-$B17+1)</f>
        <v/>
      </c>
      <c r="Q17" s="56">
        <f>$C17*INDEX(Curves!$V$8:$V$68,Q$4-$B17+1)</f>
        <v/>
      </c>
      <c r="R17" s="56">
        <f>$C17*INDEX(Curves!$V$8:$V$68,R$4-$B17+1)</f>
        <v/>
      </c>
      <c r="S17" s="56">
        <f>$C17*INDEX(Curves!$V$8:$V$68,S$4-$B17+1)</f>
        <v/>
      </c>
      <c r="T17" s="56">
        <f>$C17*INDEX(Curves!$V$8:$V$68,T$4-$B17+1)</f>
        <v/>
      </c>
      <c r="U17" s="56">
        <f>$C17*INDEX(Curves!$V$8:$V$68,U$4-$B17+1)</f>
        <v/>
      </c>
      <c r="V17" s="56">
        <f>$C17*INDEX(Curves!$V$8:$V$68,V$4-$B17+1)</f>
        <v/>
      </c>
      <c r="W17" s="56">
        <f>$C17*INDEX(Curves!$V$8:$V$68,W$4-$B17+1)</f>
        <v/>
      </c>
      <c r="X17" s="56">
        <f>$C17*INDEX(Curves!$V$8:$V$68,X$4-$B17+1)</f>
        <v/>
      </c>
      <c r="Y17" s="56">
        <f>$C17*INDEX(Curves!$V$8:$V$68,Y$4-$B17+1)</f>
        <v/>
      </c>
      <c r="Z17" s="56">
        <f>$C17*INDEX(Curves!$V$8:$V$68,Z$4-$B17+1)</f>
        <v/>
      </c>
      <c r="AA17" s="56">
        <f>$C17*INDEX(Curves!$V$8:$V$68,AA$4-$B17+1)</f>
        <v/>
      </c>
      <c r="AB17" s="56">
        <f>$C17*INDEX(Curves!$V$8:$V$68,AB$4-$B17+1)</f>
        <v/>
      </c>
      <c r="AC17" s="56">
        <f>$C17*INDEX(Curves!$V$8:$V$68,AC$4-$B17+1)</f>
        <v/>
      </c>
      <c r="AD17" s="56">
        <f>$C17*INDEX(Curves!$V$8:$V$68,AD$4-$B17+1)</f>
        <v/>
      </c>
      <c r="AE17" s="56">
        <f>$C17*INDEX(Curves!$V$8:$V$68,AE$4-$B17+1)</f>
        <v/>
      </c>
      <c r="AF17" s="56">
        <f>$C17*INDEX(Curves!$V$8:$V$68,AF$4-$B17+1)</f>
        <v/>
      </c>
      <c r="AG17" s="56">
        <f>$C17*INDEX(Curves!$V$8:$V$68,AG$4-$B17+1)</f>
        <v/>
      </c>
      <c r="AH17" s="56">
        <f>$C17*INDEX(Curves!$V$8:$V$68,AH$4-$B17+1)</f>
        <v/>
      </c>
      <c r="AI17" s="56">
        <f>$C17*INDEX(Curves!$V$8:$V$68,AI$4-$B17+1)</f>
        <v/>
      </c>
      <c r="AJ17" s="56">
        <f>$C17*INDEX(Curves!$V$8:$V$68,AJ$4-$B17+1)</f>
        <v/>
      </c>
      <c r="AK17" s="56">
        <f>$C17*INDEX(Curves!$V$8:$V$68,AK$4-$B17+1)</f>
        <v/>
      </c>
      <c r="AL17" s="56">
        <f>$C17*INDEX(Curves!$V$8:$V$68,AL$4-$B17+1)</f>
        <v/>
      </c>
      <c r="AM17" s="56">
        <f>$C17*INDEX(Curves!$V$8:$V$68,AM$4-$B17+1)</f>
        <v/>
      </c>
      <c r="AN17" s="56">
        <f>$C17*INDEX(Curves!$V$8:$V$68,AN$4-$B17+1)</f>
        <v/>
      </c>
      <c r="AO17" s="56">
        <f>$C17*INDEX(Curves!$V$8:$V$68,AO$4-$B17+1)</f>
        <v/>
      </c>
      <c r="AP17" s="56">
        <f>$C17*INDEX(Curves!$V$8:$V$68,AP$4-$B17+1)</f>
        <v/>
      </c>
      <c r="AQ17" s="56">
        <f>$C17*INDEX(Curves!$V$8:$V$68,AQ$4-$B17+1)</f>
        <v/>
      </c>
      <c r="AR17" s="56">
        <f>$C17*INDEX(Curves!$V$8:$V$68,AR$4-$B17+1)</f>
        <v/>
      </c>
      <c r="AS17" s="56">
        <f>$C17*INDEX(Curves!$V$8:$V$68,AS$4-$B17+1)</f>
        <v/>
      </c>
      <c r="AT17" s="56">
        <f>$C17*INDEX(Curves!$V$8:$V$68,AT$4-$B17+1)</f>
        <v/>
      </c>
      <c r="AU17" s="56">
        <f>$C17*INDEX(Curves!$V$8:$V$68,AU$4-$B17+1)</f>
        <v/>
      </c>
      <c r="AV17" s="56">
        <f>$C17*INDEX(Curves!$V$8:$V$68,AV$4-$B17+1)</f>
        <v/>
      </c>
      <c r="AW17" s="56">
        <f>$C17*INDEX(Curves!$V$8:$V$68,AW$4-$B17+1)</f>
        <v/>
      </c>
      <c r="AX17" s="56">
        <f>$C17*INDEX(Curves!$V$8:$V$68,AX$4-$B17+1)</f>
        <v/>
      </c>
      <c r="AY17" s="56">
        <f>$C17*INDEX(Curves!$V$8:$V$68,AY$4-$B17+1)</f>
        <v/>
      </c>
      <c r="AZ17" s="56">
        <f>$C17*INDEX(Curves!$V$8:$V$68,AZ$4-$B17+1)</f>
        <v/>
      </c>
      <c r="BA17" s="56">
        <f>$C17*INDEX(Curves!$V$8:$V$68,BA$4-$B17+1)</f>
        <v/>
      </c>
      <c r="BB17" s="56">
        <f>$C17*INDEX(Curves!$V$8:$V$68,BB$4-$B17+1)</f>
        <v/>
      </c>
      <c r="BC17" s="56">
        <f>$C17*INDEX(Curves!$V$8:$V$68,BC$4-$B17+1)</f>
        <v/>
      </c>
      <c r="BD17" s="56">
        <f>$C17*INDEX(Curves!$V$8:$V$68,BD$4-$B17+1)</f>
        <v/>
      </c>
      <c r="BE17" s="56">
        <f>$C17*INDEX(Curves!$V$8:$V$68,BE$4-$B17+1)</f>
        <v/>
      </c>
      <c r="BF17" s="56">
        <f>$C17*INDEX(Curves!$V$8:$V$68,BF$4-$B17+1)</f>
        <v/>
      </c>
      <c r="BG17" s="56">
        <f>$C17*INDEX(Curves!$V$8:$V$68,BG$4-$B17+1)</f>
        <v/>
      </c>
      <c r="BH17" s="56">
        <f>$C17*INDEX(Curves!$V$8:$V$68,BH$4-$B17+1)</f>
        <v/>
      </c>
      <c r="BI17" s="56">
        <f>$C17*INDEX(Curves!$V$8:$V$68,BI$4-$B17+1)</f>
        <v/>
      </c>
      <c r="BJ17" s="56">
        <f>$C17*INDEX(Curves!$V$8:$V$68,BJ$4-$B17+1)</f>
        <v/>
      </c>
      <c r="BK17" s="56">
        <f>$C17*INDEX(Curves!$V$8:$V$68,BK$4-$B17+1)</f>
        <v/>
      </c>
      <c r="BL17" s="56">
        <f>$C17*INDEX(Curves!$V$8:$V$68,BL$4-$B17+1)</f>
        <v/>
      </c>
    </row>
    <row r="18">
      <c r="A18" s="55" t="inlineStr">
        <is>
          <t>Cohort month 9</t>
        </is>
      </c>
      <c r="B18" s="55" t="n">
        <v>9</v>
      </c>
      <c r="C18" s="46">
        <f>INDEX(Ops!$E$40:$BL$40,1,$B18)</f>
        <v/>
      </c>
      <c r="N18" s="56">
        <f>$C18*INDEX(Curves!$V$8:$V$68,N$4-$B18+1)</f>
        <v/>
      </c>
      <c r="O18" s="56">
        <f>$C18*INDEX(Curves!$V$8:$V$68,O$4-$B18+1)</f>
        <v/>
      </c>
      <c r="P18" s="56">
        <f>$C18*INDEX(Curves!$V$8:$V$68,P$4-$B18+1)</f>
        <v/>
      </c>
      <c r="Q18" s="56">
        <f>$C18*INDEX(Curves!$V$8:$V$68,Q$4-$B18+1)</f>
        <v/>
      </c>
      <c r="R18" s="56">
        <f>$C18*INDEX(Curves!$V$8:$V$68,R$4-$B18+1)</f>
        <v/>
      </c>
      <c r="S18" s="56">
        <f>$C18*INDEX(Curves!$V$8:$V$68,S$4-$B18+1)</f>
        <v/>
      </c>
      <c r="T18" s="56">
        <f>$C18*INDEX(Curves!$V$8:$V$68,T$4-$B18+1)</f>
        <v/>
      </c>
      <c r="U18" s="56">
        <f>$C18*INDEX(Curves!$V$8:$V$68,U$4-$B18+1)</f>
        <v/>
      </c>
      <c r="V18" s="56">
        <f>$C18*INDEX(Curves!$V$8:$V$68,V$4-$B18+1)</f>
        <v/>
      </c>
      <c r="W18" s="56">
        <f>$C18*INDEX(Curves!$V$8:$V$68,W$4-$B18+1)</f>
        <v/>
      </c>
      <c r="X18" s="56">
        <f>$C18*INDEX(Curves!$V$8:$V$68,X$4-$B18+1)</f>
        <v/>
      </c>
      <c r="Y18" s="56">
        <f>$C18*INDEX(Curves!$V$8:$V$68,Y$4-$B18+1)</f>
        <v/>
      </c>
      <c r="Z18" s="56">
        <f>$C18*INDEX(Curves!$V$8:$V$68,Z$4-$B18+1)</f>
        <v/>
      </c>
      <c r="AA18" s="56">
        <f>$C18*INDEX(Curves!$V$8:$V$68,AA$4-$B18+1)</f>
        <v/>
      </c>
      <c r="AB18" s="56">
        <f>$C18*INDEX(Curves!$V$8:$V$68,AB$4-$B18+1)</f>
        <v/>
      </c>
      <c r="AC18" s="56">
        <f>$C18*INDEX(Curves!$V$8:$V$68,AC$4-$B18+1)</f>
        <v/>
      </c>
      <c r="AD18" s="56">
        <f>$C18*INDEX(Curves!$V$8:$V$68,AD$4-$B18+1)</f>
        <v/>
      </c>
      <c r="AE18" s="56">
        <f>$C18*INDEX(Curves!$V$8:$V$68,AE$4-$B18+1)</f>
        <v/>
      </c>
      <c r="AF18" s="56">
        <f>$C18*INDEX(Curves!$V$8:$V$68,AF$4-$B18+1)</f>
        <v/>
      </c>
      <c r="AG18" s="56">
        <f>$C18*INDEX(Curves!$V$8:$V$68,AG$4-$B18+1)</f>
        <v/>
      </c>
      <c r="AH18" s="56">
        <f>$C18*INDEX(Curves!$V$8:$V$68,AH$4-$B18+1)</f>
        <v/>
      </c>
      <c r="AI18" s="56">
        <f>$C18*INDEX(Curves!$V$8:$V$68,AI$4-$B18+1)</f>
        <v/>
      </c>
      <c r="AJ18" s="56">
        <f>$C18*INDEX(Curves!$V$8:$V$68,AJ$4-$B18+1)</f>
        <v/>
      </c>
      <c r="AK18" s="56">
        <f>$C18*INDEX(Curves!$V$8:$V$68,AK$4-$B18+1)</f>
        <v/>
      </c>
      <c r="AL18" s="56">
        <f>$C18*INDEX(Curves!$V$8:$V$68,AL$4-$B18+1)</f>
        <v/>
      </c>
      <c r="AM18" s="56">
        <f>$C18*INDEX(Curves!$V$8:$V$68,AM$4-$B18+1)</f>
        <v/>
      </c>
      <c r="AN18" s="56">
        <f>$C18*INDEX(Curves!$V$8:$V$68,AN$4-$B18+1)</f>
        <v/>
      </c>
      <c r="AO18" s="56">
        <f>$C18*INDEX(Curves!$V$8:$V$68,AO$4-$B18+1)</f>
        <v/>
      </c>
      <c r="AP18" s="56">
        <f>$C18*INDEX(Curves!$V$8:$V$68,AP$4-$B18+1)</f>
        <v/>
      </c>
      <c r="AQ18" s="56">
        <f>$C18*INDEX(Curves!$V$8:$V$68,AQ$4-$B18+1)</f>
        <v/>
      </c>
      <c r="AR18" s="56">
        <f>$C18*INDEX(Curves!$V$8:$V$68,AR$4-$B18+1)</f>
        <v/>
      </c>
      <c r="AS18" s="56">
        <f>$C18*INDEX(Curves!$V$8:$V$68,AS$4-$B18+1)</f>
        <v/>
      </c>
      <c r="AT18" s="56">
        <f>$C18*INDEX(Curves!$V$8:$V$68,AT$4-$B18+1)</f>
        <v/>
      </c>
      <c r="AU18" s="56">
        <f>$C18*INDEX(Curves!$V$8:$V$68,AU$4-$B18+1)</f>
        <v/>
      </c>
      <c r="AV18" s="56">
        <f>$C18*INDEX(Curves!$V$8:$V$68,AV$4-$B18+1)</f>
        <v/>
      </c>
      <c r="AW18" s="56">
        <f>$C18*INDEX(Curves!$V$8:$V$68,AW$4-$B18+1)</f>
        <v/>
      </c>
      <c r="AX18" s="56">
        <f>$C18*INDEX(Curves!$V$8:$V$68,AX$4-$B18+1)</f>
        <v/>
      </c>
      <c r="AY18" s="56">
        <f>$C18*INDEX(Curves!$V$8:$V$68,AY$4-$B18+1)</f>
        <v/>
      </c>
      <c r="AZ18" s="56">
        <f>$C18*INDEX(Curves!$V$8:$V$68,AZ$4-$B18+1)</f>
        <v/>
      </c>
      <c r="BA18" s="56">
        <f>$C18*INDEX(Curves!$V$8:$V$68,BA$4-$B18+1)</f>
        <v/>
      </c>
      <c r="BB18" s="56">
        <f>$C18*INDEX(Curves!$V$8:$V$68,BB$4-$B18+1)</f>
        <v/>
      </c>
      <c r="BC18" s="56">
        <f>$C18*INDEX(Curves!$V$8:$V$68,BC$4-$B18+1)</f>
        <v/>
      </c>
      <c r="BD18" s="56">
        <f>$C18*INDEX(Curves!$V$8:$V$68,BD$4-$B18+1)</f>
        <v/>
      </c>
      <c r="BE18" s="56">
        <f>$C18*INDEX(Curves!$V$8:$V$68,BE$4-$B18+1)</f>
        <v/>
      </c>
      <c r="BF18" s="56">
        <f>$C18*INDEX(Curves!$V$8:$V$68,BF$4-$B18+1)</f>
        <v/>
      </c>
      <c r="BG18" s="56">
        <f>$C18*INDEX(Curves!$V$8:$V$68,BG$4-$B18+1)</f>
        <v/>
      </c>
      <c r="BH18" s="56">
        <f>$C18*INDEX(Curves!$V$8:$V$68,BH$4-$B18+1)</f>
        <v/>
      </c>
      <c r="BI18" s="56">
        <f>$C18*INDEX(Curves!$V$8:$V$68,BI$4-$B18+1)</f>
        <v/>
      </c>
      <c r="BJ18" s="56">
        <f>$C18*INDEX(Curves!$V$8:$V$68,BJ$4-$B18+1)</f>
        <v/>
      </c>
      <c r="BK18" s="56">
        <f>$C18*INDEX(Curves!$V$8:$V$68,BK$4-$B18+1)</f>
        <v/>
      </c>
      <c r="BL18" s="56">
        <f>$C18*INDEX(Curves!$V$8:$V$68,BL$4-$B18+1)</f>
        <v/>
      </c>
    </row>
    <row r="19">
      <c r="A19" s="55" t="inlineStr">
        <is>
          <t>Cohort month 10</t>
        </is>
      </c>
      <c r="B19" s="55" t="n">
        <v>10</v>
      </c>
      <c r="C19" s="46">
        <f>INDEX(Ops!$E$40:$BL$40,1,$B19)</f>
        <v/>
      </c>
      <c r="O19" s="56">
        <f>$C19*INDEX(Curves!$V$8:$V$68,O$4-$B19+1)</f>
        <v/>
      </c>
      <c r="P19" s="56">
        <f>$C19*INDEX(Curves!$V$8:$V$68,P$4-$B19+1)</f>
        <v/>
      </c>
      <c r="Q19" s="56">
        <f>$C19*INDEX(Curves!$V$8:$V$68,Q$4-$B19+1)</f>
        <v/>
      </c>
      <c r="R19" s="56">
        <f>$C19*INDEX(Curves!$V$8:$V$68,R$4-$B19+1)</f>
        <v/>
      </c>
      <c r="S19" s="56">
        <f>$C19*INDEX(Curves!$V$8:$V$68,S$4-$B19+1)</f>
        <v/>
      </c>
      <c r="T19" s="56">
        <f>$C19*INDEX(Curves!$V$8:$V$68,T$4-$B19+1)</f>
        <v/>
      </c>
      <c r="U19" s="56">
        <f>$C19*INDEX(Curves!$V$8:$V$68,U$4-$B19+1)</f>
        <v/>
      </c>
      <c r="V19" s="56">
        <f>$C19*INDEX(Curves!$V$8:$V$68,V$4-$B19+1)</f>
        <v/>
      </c>
      <c r="W19" s="56">
        <f>$C19*INDEX(Curves!$V$8:$V$68,W$4-$B19+1)</f>
        <v/>
      </c>
      <c r="X19" s="56">
        <f>$C19*INDEX(Curves!$V$8:$V$68,X$4-$B19+1)</f>
        <v/>
      </c>
      <c r="Y19" s="56">
        <f>$C19*INDEX(Curves!$V$8:$V$68,Y$4-$B19+1)</f>
        <v/>
      </c>
      <c r="Z19" s="56">
        <f>$C19*INDEX(Curves!$V$8:$V$68,Z$4-$B19+1)</f>
        <v/>
      </c>
      <c r="AA19" s="56">
        <f>$C19*INDEX(Curves!$V$8:$V$68,AA$4-$B19+1)</f>
        <v/>
      </c>
      <c r="AB19" s="56">
        <f>$C19*INDEX(Curves!$V$8:$V$68,AB$4-$B19+1)</f>
        <v/>
      </c>
      <c r="AC19" s="56">
        <f>$C19*INDEX(Curves!$V$8:$V$68,AC$4-$B19+1)</f>
        <v/>
      </c>
      <c r="AD19" s="56">
        <f>$C19*INDEX(Curves!$V$8:$V$68,AD$4-$B19+1)</f>
        <v/>
      </c>
      <c r="AE19" s="56">
        <f>$C19*INDEX(Curves!$V$8:$V$68,AE$4-$B19+1)</f>
        <v/>
      </c>
      <c r="AF19" s="56">
        <f>$C19*INDEX(Curves!$V$8:$V$68,AF$4-$B19+1)</f>
        <v/>
      </c>
      <c r="AG19" s="56">
        <f>$C19*INDEX(Curves!$V$8:$V$68,AG$4-$B19+1)</f>
        <v/>
      </c>
      <c r="AH19" s="56">
        <f>$C19*INDEX(Curves!$V$8:$V$68,AH$4-$B19+1)</f>
        <v/>
      </c>
      <c r="AI19" s="56">
        <f>$C19*INDEX(Curves!$V$8:$V$68,AI$4-$B19+1)</f>
        <v/>
      </c>
      <c r="AJ19" s="56">
        <f>$C19*INDEX(Curves!$V$8:$V$68,AJ$4-$B19+1)</f>
        <v/>
      </c>
      <c r="AK19" s="56">
        <f>$C19*INDEX(Curves!$V$8:$V$68,AK$4-$B19+1)</f>
        <v/>
      </c>
      <c r="AL19" s="56">
        <f>$C19*INDEX(Curves!$V$8:$V$68,AL$4-$B19+1)</f>
        <v/>
      </c>
      <c r="AM19" s="56">
        <f>$C19*INDEX(Curves!$V$8:$V$68,AM$4-$B19+1)</f>
        <v/>
      </c>
      <c r="AN19" s="56">
        <f>$C19*INDEX(Curves!$V$8:$V$68,AN$4-$B19+1)</f>
        <v/>
      </c>
      <c r="AO19" s="56">
        <f>$C19*INDEX(Curves!$V$8:$V$68,AO$4-$B19+1)</f>
        <v/>
      </c>
      <c r="AP19" s="56">
        <f>$C19*INDEX(Curves!$V$8:$V$68,AP$4-$B19+1)</f>
        <v/>
      </c>
      <c r="AQ19" s="56">
        <f>$C19*INDEX(Curves!$V$8:$V$68,AQ$4-$B19+1)</f>
        <v/>
      </c>
      <c r="AR19" s="56">
        <f>$C19*INDEX(Curves!$V$8:$V$68,AR$4-$B19+1)</f>
        <v/>
      </c>
      <c r="AS19" s="56">
        <f>$C19*INDEX(Curves!$V$8:$V$68,AS$4-$B19+1)</f>
        <v/>
      </c>
      <c r="AT19" s="56">
        <f>$C19*INDEX(Curves!$V$8:$V$68,AT$4-$B19+1)</f>
        <v/>
      </c>
      <c r="AU19" s="56">
        <f>$C19*INDEX(Curves!$V$8:$V$68,AU$4-$B19+1)</f>
        <v/>
      </c>
      <c r="AV19" s="56">
        <f>$C19*INDEX(Curves!$V$8:$V$68,AV$4-$B19+1)</f>
        <v/>
      </c>
      <c r="AW19" s="56">
        <f>$C19*INDEX(Curves!$V$8:$V$68,AW$4-$B19+1)</f>
        <v/>
      </c>
      <c r="AX19" s="56">
        <f>$C19*INDEX(Curves!$V$8:$V$68,AX$4-$B19+1)</f>
        <v/>
      </c>
      <c r="AY19" s="56">
        <f>$C19*INDEX(Curves!$V$8:$V$68,AY$4-$B19+1)</f>
        <v/>
      </c>
      <c r="AZ19" s="56">
        <f>$C19*INDEX(Curves!$V$8:$V$68,AZ$4-$B19+1)</f>
        <v/>
      </c>
      <c r="BA19" s="56">
        <f>$C19*INDEX(Curves!$V$8:$V$68,BA$4-$B19+1)</f>
        <v/>
      </c>
      <c r="BB19" s="56">
        <f>$C19*INDEX(Curves!$V$8:$V$68,BB$4-$B19+1)</f>
        <v/>
      </c>
      <c r="BC19" s="56">
        <f>$C19*INDEX(Curves!$V$8:$V$68,BC$4-$B19+1)</f>
        <v/>
      </c>
      <c r="BD19" s="56">
        <f>$C19*INDEX(Curves!$V$8:$V$68,BD$4-$B19+1)</f>
        <v/>
      </c>
      <c r="BE19" s="56">
        <f>$C19*INDEX(Curves!$V$8:$V$68,BE$4-$B19+1)</f>
        <v/>
      </c>
      <c r="BF19" s="56">
        <f>$C19*INDEX(Curves!$V$8:$V$68,BF$4-$B19+1)</f>
        <v/>
      </c>
      <c r="BG19" s="56">
        <f>$C19*INDEX(Curves!$V$8:$V$68,BG$4-$B19+1)</f>
        <v/>
      </c>
      <c r="BH19" s="56">
        <f>$C19*INDEX(Curves!$V$8:$V$68,BH$4-$B19+1)</f>
        <v/>
      </c>
      <c r="BI19" s="56">
        <f>$C19*INDEX(Curves!$V$8:$V$68,BI$4-$B19+1)</f>
        <v/>
      </c>
      <c r="BJ19" s="56">
        <f>$C19*INDEX(Curves!$V$8:$V$68,BJ$4-$B19+1)</f>
        <v/>
      </c>
      <c r="BK19" s="56">
        <f>$C19*INDEX(Curves!$V$8:$V$68,BK$4-$B19+1)</f>
        <v/>
      </c>
      <c r="BL19" s="56">
        <f>$C19*INDEX(Curves!$V$8:$V$68,BL$4-$B19+1)</f>
        <v/>
      </c>
    </row>
    <row r="20">
      <c r="A20" s="55" t="inlineStr">
        <is>
          <t>Cohort month 11</t>
        </is>
      </c>
      <c r="B20" s="55" t="n">
        <v>11</v>
      </c>
      <c r="C20" s="46">
        <f>INDEX(Ops!$E$40:$BL$40,1,$B20)</f>
        <v/>
      </c>
      <c r="P20" s="56">
        <f>$C20*INDEX(Curves!$V$8:$V$68,P$4-$B20+1)</f>
        <v/>
      </c>
      <c r="Q20" s="56">
        <f>$C20*INDEX(Curves!$V$8:$V$68,Q$4-$B20+1)</f>
        <v/>
      </c>
      <c r="R20" s="56">
        <f>$C20*INDEX(Curves!$V$8:$V$68,R$4-$B20+1)</f>
        <v/>
      </c>
      <c r="S20" s="56">
        <f>$C20*INDEX(Curves!$V$8:$V$68,S$4-$B20+1)</f>
        <v/>
      </c>
      <c r="T20" s="56">
        <f>$C20*INDEX(Curves!$V$8:$V$68,T$4-$B20+1)</f>
        <v/>
      </c>
      <c r="U20" s="56">
        <f>$C20*INDEX(Curves!$V$8:$V$68,U$4-$B20+1)</f>
        <v/>
      </c>
      <c r="V20" s="56">
        <f>$C20*INDEX(Curves!$V$8:$V$68,V$4-$B20+1)</f>
        <v/>
      </c>
      <c r="W20" s="56">
        <f>$C20*INDEX(Curves!$V$8:$V$68,W$4-$B20+1)</f>
        <v/>
      </c>
      <c r="X20" s="56">
        <f>$C20*INDEX(Curves!$V$8:$V$68,X$4-$B20+1)</f>
        <v/>
      </c>
      <c r="Y20" s="56">
        <f>$C20*INDEX(Curves!$V$8:$V$68,Y$4-$B20+1)</f>
        <v/>
      </c>
      <c r="Z20" s="56">
        <f>$C20*INDEX(Curves!$V$8:$V$68,Z$4-$B20+1)</f>
        <v/>
      </c>
      <c r="AA20" s="56">
        <f>$C20*INDEX(Curves!$V$8:$V$68,AA$4-$B20+1)</f>
        <v/>
      </c>
      <c r="AB20" s="56">
        <f>$C20*INDEX(Curves!$V$8:$V$68,AB$4-$B20+1)</f>
        <v/>
      </c>
      <c r="AC20" s="56">
        <f>$C20*INDEX(Curves!$V$8:$V$68,AC$4-$B20+1)</f>
        <v/>
      </c>
      <c r="AD20" s="56">
        <f>$C20*INDEX(Curves!$V$8:$V$68,AD$4-$B20+1)</f>
        <v/>
      </c>
      <c r="AE20" s="56">
        <f>$C20*INDEX(Curves!$V$8:$V$68,AE$4-$B20+1)</f>
        <v/>
      </c>
      <c r="AF20" s="56">
        <f>$C20*INDEX(Curves!$V$8:$V$68,AF$4-$B20+1)</f>
        <v/>
      </c>
      <c r="AG20" s="56">
        <f>$C20*INDEX(Curves!$V$8:$V$68,AG$4-$B20+1)</f>
        <v/>
      </c>
      <c r="AH20" s="56">
        <f>$C20*INDEX(Curves!$V$8:$V$68,AH$4-$B20+1)</f>
        <v/>
      </c>
      <c r="AI20" s="56">
        <f>$C20*INDEX(Curves!$V$8:$V$68,AI$4-$B20+1)</f>
        <v/>
      </c>
      <c r="AJ20" s="56">
        <f>$C20*INDEX(Curves!$V$8:$V$68,AJ$4-$B20+1)</f>
        <v/>
      </c>
      <c r="AK20" s="56">
        <f>$C20*INDEX(Curves!$V$8:$V$68,AK$4-$B20+1)</f>
        <v/>
      </c>
      <c r="AL20" s="56">
        <f>$C20*INDEX(Curves!$V$8:$V$68,AL$4-$B20+1)</f>
        <v/>
      </c>
      <c r="AM20" s="56">
        <f>$C20*INDEX(Curves!$V$8:$V$68,AM$4-$B20+1)</f>
        <v/>
      </c>
      <c r="AN20" s="56">
        <f>$C20*INDEX(Curves!$V$8:$V$68,AN$4-$B20+1)</f>
        <v/>
      </c>
      <c r="AO20" s="56">
        <f>$C20*INDEX(Curves!$V$8:$V$68,AO$4-$B20+1)</f>
        <v/>
      </c>
      <c r="AP20" s="56">
        <f>$C20*INDEX(Curves!$V$8:$V$68,AP$4-$B20+1)</f>
        <v/>
      </c>
      <c r="AQ20" s="56">
        <f>$C20*INDEX(Curves!$V$8:$V$68,AQ$4-$B20+1)</f>
        <v/>
      </c>
      <c r="AR20" s="56">
        <f>$C20*INDEX(Curves!$V$8:$V$68,AR$4-$B20+1)</f>
        <v/>
      </c>
      <c r="AS20" s="56">
        <f>$C20*INDEX(Curves!$V$8:$V$68,AS$4-$B20+1)</f>
        <v/>
      </c>
      <c r="AT20" s="56">
        <f>$C20*INDEX(Curves!$V$8:$V$68,AT$4-$B20+1)</f>
        <v/>
      </c>
      <c r="AU20" s="56">
        <f>$C20*INDEX(Curves!$V$8:$V$68,AU$4-$B20+1)</f>
        <v/>
      </c>
      <c r="AV20" s="56">
        <f>$C20*INDEX(Curves!$V$8:$V$68,AV$4-$B20+1)</f>
        <v/>
      </c>
      <c r="AW20" s="56">
        <f>$C20*INDEX(Curves!$V$8:$V$68,AW$4-$B20+1)</f>
        <v/>
      </c>
      <c r="AX20" s="56">
        <f>$C20*INDEX(Curves!$V$8:$V$68,AX$4-$B20+1)</f>
        <v/>
      </c>
      <c r="AY20" s="56">
        <f>$C20*INDEX(Curves!$V$8:$V$68,AY$4-$B20+1)</f>
        <v/>
      </c>
      <c r="AZ20" s="56">
        <f>$C20*INDEX(Curves!$V$8:$V$68,AZ$4-$B20+1)</f>
        <v/>
      </c>
      <c r="BA20" s="56">
        <f>$C20*INDEX(Curves!$V$8:$V$68,BA$4-$B20+1)</f>
        <v/>
      </c>
      <c r="BB20" s="56">
        <f>$C20*INDEX(Curves!$V$8:$V$68,BB$4-$B20+1)</f>
        <v/>
      </c>
      <c r="BC20" s="56">
        <f>$C20*INDEX(Curves!$V$8:$V$68,BC$4-$B20+1)</f>
        <v/>
      </c>
      <c r="BD20" s="56">
        <f>$C20*INDEX(Curves!$V$8:$V$68,BD$4-$B20+1)</f>
        <v/>
      </c>
      <c r="BE20" s="56">
        <f>$C20*INDEX(Curves!$V$8:$V$68,BE$4-$B20+1)</f>
        <v/>
      </c>
      <c r="BF20" s="56">
        <f>$C20*INDEX(Curves!$V$8:$V$68,BF$4-$B20+1)</f>
        <v/>
      </c>
      <c r="BG20" s="56">
        <f>$C20*INDEX(Curves!$V$8:$V$68,BG$4-$B20+1)</f>
        <v/>
      </c>
      <c r="BH20" s="56">
        <f>$C20*INDEX(Curves!$V$8:$V$68,BH$4-$B20+1)</f>
        <v/>
      </c>
      <c r="BI20" s="56">
        <f>$C20*INDEX(Curves!$V$8:$V$68,BI$4-$B20+1)</f>
        <v/>
      </c>
      <c r="BJ20" s="56">
        <f>$C20*INDEX(Curves!$V$8:$V$68,BJ$4-$B20+1)</f>
        <v/>
      </c>
      <c r="BK20" s="56">
        <f>$C20*INDEX(Curves!$V$8:$V$68,BK$4-$B20+1)</f>
        <v/>
      </c>
      <c r="BL20" s="56">
        <f>$C20*INDEX(Curves!$V$8:$V$68,BL$4-$B20+1)</f>
        <v/>
      </c>
    </row>
    <row r="21">
      <c r="A21" s="55" t="inlineStr">
        <is>
          <t>Cohort month 12</t>
        </is>
      </c>
      <c r="B21" s="55" t="n">
        <v>12</v>
      </c>
      <c r="C21" s="46">
        <f>INDEX(Ops!$E$40:$BL$40,1,$B21)</f>
        <v/>
      </c>
      <c r="Q21" s="56">
        <f>$C21*INDEX(Curves!$V$8:$V$68,Q$4-$B21+1)</f>
        <v/>
      </c>
      <c r="R21" s="56">
        <f>$C21*INDEX(Curves!$V$8:$V$68,R$4-$B21+1)</f>
        <v/>
      </c>
      <c r="S21" s="56">
        <f>$C21*INDEX(Curves!$V$8:$V$68,S$4-$B21+1)</f>
        <v/>
      </c>
      <c r="T21" s="56">
        <f>$C21*INDEX(Curves!$V$8:$V$68,T$4-$B21+1)</f>
        <v/>
      </c>
      <c r="U21" s="56">
        <f>$C21*INDEX(Curves!$V$8:$V$68,U$4-$B21+1)</f>
        <v/>
      </c>
      <c r="V21" s="56">
        <f>$C21*INDEX(Curves!$V$8:$V$68,V$4-$B21+1)</f>
        <v/>
      </c>
      <c r="W21" s="56">
        <f>$C21*INDEX(Curves!$V$8:$V$68,W$4-$B21+1)</f>
        <v/>
      </c>
      <c r="X21" s="56">
        <f>$C21*INDEX(Curves!$V$8:$V$68,X$4-$B21+1)</f>
        <v/>
      </c>
      <c r="Y21" s="56">
        <f>$C21*INDEX(Curves!$V$8:$V$68,Y$4-$B21+1)</f>
        <v/>
      </c>
      <c r="Z21" s="56">
        <f>$C21*INDEX(Curves!$V$8:$V$68,Z$4-$B21+1)</f>
        <v/>
      </c>
      <c r="AA21" s="56">
        <f>$C21*INDEX(Curves!$V$8:$V$68,AA$4-$B21+1)</f>
        <v/>
      </c>
      <c r="AB21" s="56">
        <f>$C21*INDEX(Curves!$V$8:$V$68,AB$4-$B21+1)</f>
        <v/>
      </c>
      <c r="AC21" s="56">
        <f>$C21*INDEX(Curves!$V$8:$V$68,AC$4-$B21+1)</f>
        <v/>
      </c>
      <c r="AD21" s="56">
        <f>$C21*INDEX(Curves!$V$8:$V$68,AD$4-$B21+1)</f>
        <v/>
      </c>
      <c r="AE21" s="56">
        <f>$C21*INDEX(Curves!$V$8:$V$68,AE$4-$B21+1)</f>
        <v/>
      </c>
      <c r="AF21" s="56">
        <f>$C21*INDEX(Curves!$V$8:$V$68,AF$4-$B21+1)</f>
        <v/>
      </c>
      <c r="AG21" s="56">
        <f>$C21*INDEX(Curves!$V$8:$V$68,AG$4-$B21+1)</f>
        <v/>
      </c>
      <c r="AH21" s="56">
        <f>$C21*INDEX(Curves!$V$8:$V$68,AH$4-$B21+1)</f>
        <v/>
      </c>
      <c r="AI21" s="56">
        <f>$C21*INDEX(Curves!$V$8:$V$68,AI$4-$B21+1)</f>
        <v/>
      </c>
      <c r="AJ21" s="56">
        <f>$C21*INDEX(Curves!$V$8:$V$68,AJ$4-$B21+1)</f>
        <v/>
      </c>
      <c r="AK21" s="56">
        <f>$C21*INDEX(Curves!$V$8:$V$68,AK$4-$B21+1)</f>
        <v/>
      </c>
      <c r="AL21" s="56">
        <f>$C21*INDEX(Curves!$V$8:$V$68,AL$4-$B21+1)</f>
        <v/>
      </c>
      <c r="AM21" s="56">
        <f>$C21*INDEX(Curves!$V$8:$V$68,AM$4-$B21+1)</f>
        <v/>
      </c>
      <c r="AN21" s="56">
        <f>$C21*INDEX(Curves!$V$8:$V$68,AN$4-$B21+1)</f>
        <v/>
      </c>
      <c r="AO21" s="56">
        <f>$C21*INDEX(Curves!$V$8:$V$68,AO$4-$B21+1)</f>
        <v/>
      </c>
      <c r="AP21" s="56">
        <f>$C21*INDEX(Curves!$V$8:$V$68,AP$4-$B21+1)</f>
        <v/>
      </c>
      <c r="AQ21" s="56">
        <f>$C21*INDEX(Curves!$V$8:$V$68,AQ$4-$B21+1)</f>
        <v/>
      </c>
      <c r="AR21" s="56">
        <f>$C21*INDEX(Curves!$V$8:$V$68,AR$4-$B21+1)</f>
        <v/>
      </c>
      <c r="AS21" s="56">
        <f>$C21*INDEX(Curves!$V$8:$V$68,AS$4-$B21+1)</f>
        <v/>
      </c>
      <c r="AT21" s="56">
        <f>$C21*INDEX(Curves!$V$8:$V$68,AT$4-$B21+1)</f>
        <v/>
      </c>
      <c r="AU21" s="56">
        <f>$C21*INDEX(Curves!$V$8:$V$68,AU$4-$B21+1)</f>
        <v/>
      </c>
      <c r="AV21" s="56">
        <f>$C21*INDEX(Curves!$V$8:$V$68,AV$4-$B21+1)</f>
        <v/>
      </c>
      <c r="AW21" s="56">
        <f>$C21*INDEX(Curves!$V$8:$V$68,AW$4-$B21+1)</f>
        <v/>
      </c>
      <c r="AX21" s="56">
        <f>$C21*INDEX(Curves!$V$8:$V$68,AX$4-$B21+1)</f>
        <v/>
      </c>
      <c r="AY21" s="56">
        <f>$C21*INDEX(Curves!$V$8:$V$68,AY$4-$B21+1)</f>
        <v/>
      </c>
      <c r="AZ21" s="56">
        <f>$C21*INDEX(Curves!$V$8:$V$68,AZ$4-$B21+1)</f>
        <v/>
      </c>
      <c r="BA21" s="56">
        <f>$C21*INDEX(Curves!$V$8:$V$68,BA$4-$B21+1)</f>
        <v/>
      </c>
      <c r="BB21" s="56">
        <f>$C21*INDEX(Curves!$V$8:$V$68,BB$4-$B21+1)</f>
        <v/>
      </c>
      <c r="BC21" s="56">
        <f>$C21*INDEX(Curves!$V$8:$V$68,BC$4-$B21+1)</f>
        <v/>
      </c>
      <c r="BD21" s="56">
        <f>$C21*INDEX(Curves!$V$8:$V$68,BD$4-$B21+1)</f>
        <v/>
      </c>
      <c r="BE21" s="56">
        <f>$C21*INDEX(Curves!$V$8:$V$68,BE$4-$B21+1)</f>
        <v/>
      </c>
      <c r="BF21" s="56">
        <f>$C21*INDEX(Curves!$V$8:$V$68,BF$4-$B21+1)</f>
        <v/>
      </c>
      <c r="BG21" s="56">
        <f>$C21*INDEX(Curves!$V$8:$V$68,BG$4-$B21+1)</f>
        <v/>
      </c>
      <c r="BH21" s="56">
        <f>$C21*INDEX(Curves!$V$8:$V$68,BH$4-$B21+1)</f>
        <v/>
      </c>
      <c r="BI21" s="56">
        <f>$C21*INDEX(Curves!$V$8:$V$68,BI$4-$B21+1)</f>
        <v/>
      </c>
      <c r="BJ21" s="56">
        <f>$C21*INDEX(Curves!$V$8:$V$68,BJ$4-$B21+1)</f>
        <v/>
      </c>
      <c r="BK21" s="56">
        <f>$C21*INDEX(Curves!$V$8:$V$68,BK$4-$B21+1)</f>
        <v/>
      </c>
      <c r="BL21" s="56">
        <f>$C21*INDEX(Curves!$V$8:$V$68,BL$4-$B21+1)</f>
        <v/>
      </c>
    </row>
    <row r="22">
      <c r="A22" s="55" t="inlineStr">
        <is>
          <t>Cohort month 13</t>
        </is>
      </c>
      <c r="B22" s="55" t="n">
        <v>13</v>
      </c>
      <c r="C22" s="46">
        <f>INDEX(Ops!$E$40:$BL$40,1,$B22)</f>
        <v/>
      </c>
      <c r="R22" s="56">
        <f>$C22*INDEX(Curves!$V$8:$V$68,R$4-$B22+1)</f>
        <v/>
      </c>
      <c r="S22" s="56">
        <f>$C22*INDEX(Curves!$V$8:$V$68,S$4-$B22+1)</f>
        <v/>
      </c>
      <c r="T22" s="56">
        <f>$C22*INDEX(Curves!$V$8:$V$68,T$4-$B22+1)</f>
        <v/>
      </c>
      <c r="U22" s="56">
        <f>$C22*INDEX(Curves!$V$8:$V$68,U$4-$B22+1)</f>
        <v/>
      </c>
      <c r="V22" s="56">
        <f>$C22*INDEX(Curves!$V$8:$V$68,V$4-$B22+1)</f>
        <v/>
      </c>
      <c r="W22" s="56">
        <f>$C22*INDEX(Curves!$V$8:$V$68,W$4-$B22+1)</f>
        <v/>
      </c>
      <c r="X22" s="56">
        <f>$C22*INDEX(Curves!$V$8:$V$68,X$4-$B22+1)</f>
        <v/>
      </c>
      <c r="Y22" s="56">
        <f>$C22*INDEX(Curves!$V$8:$V$68,Y$4-$B22+1)</f>
        <v/>
      </c>
      <c r="Z22" s="56">
        <f>$C22*INDEX(Curves!$V$8:$V$68,Z$4-$B22+1)</f>
        <v/>
      </c>
      <c r="AA22" s="56">
        <f>$C22*INDEX(Curves!$V$8:$V$68,AA$4-$B22+1)</f>
        <v/>
      </c>
      <c r="AB22" s="56">
        <f>$C22*INDEX(Curves!$V$8:$V$68,AB$4-$B22+1)</f>
        <v/>
      </c>
      <c r="AC22" s="56">
        <f>$C22*INDEX(Curves!$V$8:$V$68,AC$4-$B22+1)</f>
        <v/>
      </c>
      <c r="AD22" s="56">
        <f>$C22*INDEX(Curves!$V$8:$V$68,AD$4-$B22+1)</f>
        <v/>
      </c>
      <c r="AE22" s="56">
        <f>$C22*INDEX(Curves!$V$8:$V$68,AE$4-$B22+1)</f>
        <v/>
      </c>
      <c r="AF22" s="56">
        <f>$C22*INDEX(Curves!$V$8:$V$68,AF$4-$B22+1)</f>
        <v/>
      </c>
      <c r="AG22" s="56">
        <f>$C22*INDEX(Curves!$V$8:$V$68,AG$4-$B22+1)</f>
        <v/>
      </c>
      <c r="AH22" s="56">
        <f>$C22*INDEX(Curves!$V$8:$V$68,AH$4-$B22+1)</f>
        <v/>
      </c>
      <c r="AI22" s="56">
        <f>$C22*INDEX(Curves!$V$8:$V$68,AI$4-$B22+1)</f>
        <v/>
      </c>
      <c r="AJ22" s="56">
        <f>$C22*INDEX(Curves!$V$8:$V$68,AJ$4-$B22+1)</f>
        <v/>
      </c>
      <c r="AK22" s="56">
        <f>$C22*INDEX(Curves!$V$8:$V$68,AK$4-$B22+1)</f>
        <v/>
      </c>
      <c r="AL22" s="56">
        <f>$C22*INDEX(Curves!$V$8:$V$68,AL$4-$B22+1)</f>
        <v/>
      </c>
      <c r="AM22" s="56">
        <f>$C22*INDEX(Curves!$V$8:$V$68,AM$4-$B22+1)</f>
        <v/>
      </c>
      <c r="AN22" s="56">
        <f>$C22*INDEX(Curves!$V$8:$V$68,AN$4-$B22+1)</f>
        <v/>
      </c>
      <c r="AO22" s="56">
        <f>$C22*INDEX(Curves!$V$8:$V$68,AO$4-$B22+1)</f>
        <v/>
      </c>
      <c r="AP22" s="56">
        <f>$C22*INDEX(Curves!$V$8:$V$68,AP$4-$B22+1)</f>
        <v/>
      </c>
      <c r="AQ22" s="56">
        <f>$C22*INDEX(Curves!$V$8:$V$68,AQ$4-$B22+1)</f>
        <v/>
      </c>
      <c r="AR22" s="56">
        <f>$C22*INDEX(Curves!$V$8:$V$68,AR$4-$B22+1)</f>
        <v/>
      </c>
      <c r="AS22" s="56">
        <f>$C22*INDEX(Curves!$V$8:$V$68,AS$4-$B22+1)</f>
        <v/>
      </c>
      <c r="AT22" s="56">
        <f>$C22*INDEX(Curves!$V$8:$V$68,AT$4-$B22+1)</f>
        <v/>
      </c>
      <c r="AU22" s="56">
        <f>$C22*INDEX(Curves!$V$8:$V$68,AU$4-$B22+1)</f>
        <v/>
      </c>
      <c r="AV22" s="56">
        <f>$C22*INDEX(Curves!$V$8:$V$68,AV$4-$B22+1)</f>
        <v/>
      </c>
      <c r="AW22" s="56">
        <f>$C22*INDEX(Curves!$V$8:$V$68,AW$4-$B22+1)</f>
        <v/>
      </c>
      <c r="AX22" s="56">
        <f>$C22*INDEX(Curves!$V$8:$V$68,AX$4-$B22+1)</f>
        <v/>
      </c>
      <c r="AY22" s="56">
        <f>$C22*INDEX(Curves!$V$8:$V$68,AY$4-$B22+1)</f>
        <v/>
      </c>
      <c r="AZ22" s="56">
        <f>$C22*INDEX(Curves!$V$8:$V$68,AZ$4-$B22+1)</f>
        <v/>
      </c>
      <c r="BA22" s="56">
        <f>$C22*INDEX(Curves!$V$8:$V$68,BA$4-$B22+1)</f>
        <v/>
      </c>
      <c r="BB22" s="56">
        <f>$C22*INDEX(Curves!$V$8:$V$68,BB$4-$B22+1)</f>
        <v/>
      </c>
      <c r="BC22" s="56">
        <f>$C22*INDEX(Curves!$V$8:$V$68,BC$4-$B22+1)</f>
        <v/>
      </c>
      <c r="BD22" s="56">
        <f>$C22*INDEX(Curves!$V$8:$V$68,BD$4-$B22+1)</f>
        <v/>
      </c>
      <c r="BE22" s="56">
        <f>$C22*INDEX(Curves!$V$8:$V$68,BE$4-$B22+1)</f>
        <v/>
      </c>
      <c r="BF22" s="56">
        <f>$C22*INDEX(Curves!$V$8:$V$68,BF$4-$B22+1)</f>
        <v/>
      </c>
      <c r="BG22" s="56">
        <f>$C22*INDEX(Curves!$V$8:$V$68,BG$4-$B22+1)</f>
        <v/>
      </c>
      <c r="BH22" s="56">
        <f>$C22*INDEX(Curves!$V$8:$V$68,BH$4-$B22+1)</f>
        <v/>
      </c>
      <c r="BI22" s="56">
        <f>$C22*INDEX(Curves!$V$8:$V$68,BI$4-$B22+1)</f>
        <v/>
      </c>
      <c r="BJ22" s="56">
        <f>$C22*INDEX(Curves!$V$8:$V$68,BJ$4-$B22+1)</f>
        <v/>
      </c>
      <c r="BK22" s="56">
        <f>$C22*INDEX(Curves!$V$8:$V$68,BK$4-$B22+1)</f>
        <v/>
      </c>
      <c r="BL22" s="56">
        <f>$C22*INDEX(Curves!$V$8:$V$68,BL$4-$B22+1)</f>
        <v/>
      </c>
    </row>
    <row r="23">
      <c r="A23" s="55" t="inlineStr">
        <is>
          <t>Cohort month 14</t>
        </is>
      </c>
      <c r="B23" s="55" t="n">
        <v>14</v>
      </c>
      <c r="C23" s="46">
        <f>INDEX(Ops!$E$40:$BL$40,1,$B23)</f>
        <v/>
      </c>
      <c r="S23" s="56">
        <f>$C23*INDEX(Curves!$V$8:$V$68,S$4-$B23+1)</f>
        <v/>
      </c>
      <c r="T23" s="56">
        <f>$C23*INDEX(Curves!$V$8:$V$68,T$4-$B23+1)</f>
        <v/>
      </c>
      <c r="U23" s="56">
        <f>$C23*INDEX(Curves!$V$8:$V$68,U$4-$B23+1)</f>
        <v/>
      </c>
      <c r="V23" s="56">
        <f>$C23*INDEX(Curves!$V$8:$V$68,V$4-$B23+1)</f>
        <v/>
      </c>
      <c r="W23" s="56">
        <f>$C23*INDEX(Curves!$V$8:$V$68,W$4-$B23+1)</f>
        <v/>
      </c>
      <c r="X23" s="56">
        <f>$C23*INDEX(Curves!$V$8:$V$68,X$4-$B23+1)</f>
        <v/>
      </c>
      <c r="Y23" s="56">
        <f>$C23*INDEX(Curves!$V$8:$V$68,Y$4-$B23+1)</f>
        <v/>
      </c>
      <c r="Z23" s="56">
        <f>$C23*INDEX(Curves!$V$8:$V$68,Z$4-$B23+1)</f>
        <v/>
      </c>
      <c r="AA23" s="56">
        <f>$C23*INDEX(Curves!$V$8:$V$68,AA$4-$B23+1)</f>
        <v/>
      </c>
      <c r="AB23" s="56">
        <f>$C23*INDEX(Curves!$V$8:$V$68,AB$4-$B23+1)</f>
        <v/>
      </c>
      <c r="AC23" s="56">
        <f>$C23*INDEX(Curves!$V$8:$V$68,AC$4-$B23+1)</f>
        <v/>
      </c>
      <c r="AD23" s="56">
        <f>$C23*INDEX(Curves!$V$8:$V$68,AD$4-$B23+1)</f>
        <v/>
      </c>
      <c r="AE23" s="56">
        <f>$C23*INDEX(Curves!$V$8:$V$68,AE$4-$B23+1)</f>
        <v/>
      </c>
      <c r="AF23" s="56">
        <f>$C23*INDEX(Curves!$V$8:$V$68,AF$4-$B23+1)</f>
        <v/>
      </c>
      <c r="AG23" s="56">
        <f>$C23*INDEX(Curves!$V$8:$V$68,AG$4-$B23+1)</f>
        <v/>
      </c>
      <c r="AH23" s="56">
        <f>$C23*INDEX(Curves!$V$8:$V$68,AH$4-$B23+1)</f>
        <v/>
      </c>
      <c r="AI23" s="56">
        <f>$C23*INDEX(Curves!$V$8:$V$68,AI$4-$B23+1)</f>
        <v/>
      </c>
      <c r="AJ23" s="56">
        <f>$C23*INDEX(Curves!$V$8:$V$68,AJ$4-$B23+1)</f>
        <v/>
      </c>
      <c r="AK23" s="56">
        <f>$C23*INDEX(Curves!$V$8:$V$68,AK$4-$B23+1)</f>
        <v/>
      </c>
      <c r="AL23" s="56">
        <f>$C23*INDEX(Curves!$V$8:$V$68,AL$4-$B23+1)</f>
        <v/>
      </c>
      <c r="AM23" s="56">
        <f>$C23*INDEX(Curves!$V$8:$V$68,AM$4-$B23+1)</f>
        <v/>
      </c>
      <c r="AN23" s="56">
        <f>$C23*INDEX(Curves!$V$8:$V$68,AN$4-$B23+1)</f>
        <v/>
      </c>
      <c r="AO23" s="56">
        <f>$C23*INDEX(Curves!$V$8:$V$68,AO$4-$B23+1)</f>
        <v/>
      </c>
      <c r="AP23" s="56">
        <f>$C23*INDEX(Curves!$V$8:$V$68,AP$4-$B23+1)</f>
        <v/>
      </c>
      <c r="AQ23" s="56">
        <f>$C23*INDEX(Curves!$V$8:$V$68,AQ$4-$B23+1)</f>
        <v/>
      </c>
      <c r="AR23" s="56">
        <f>$C23*INDEX(Curves!$V$8:$V$68,AR$4-$B23+1)</f>
        <v/>
      </c>
      <c r="AS23" s="56">
        <f>$C23*INDEX(Curves!$V$8:$V$68,AS$4-$B23+1)</f>
        <v/>
      </c>
      <c r="AT23" s="56">
        <f>$C23*INDEX(Curves!$V$8:$V$68,AT$4-$B23+1)</f>
        <v/>
      </c>
      <c r="AU23" s="56">
        <f>$C23*INDEX(Curves!$V$8:$V$68,AU$4-$B23+1)</f>
        <v/>
      </c>
      <c r="AV23" s="56">
        <f>$C23*INDEX(Curves!$V$8:$V$68,AV$4-$B23+1)</f>
        <v/>
      </c>
      <c r="AW23" s="56">
        <f>$C23*INDEX(Curves!$V$8:$V$68,AW$4-$B23+1)</f>
        <v/>
      </c>
      <c r="AX23" s="56">
        <f>$C23*INDEX(Curves!$V$8:$V$68,AX$4-$B23+1)</f>
        <v/>
      </c>
      <c r="AY23" s="56">
        <f>$C23*INDEX(Curves!$V$8:$V$68,AY$4-$B23+1)</f>
        <v/>
      </c>
      <c r="AZ23" s="56">
        <f>$C23*INDEX(Curves!$V$8:$V$68,AZ$4-$B23+1)</f>
        <v/>
      </c>
      <c r="BA23" s="56">
        <f>$C23*INDEX(Curves!$V$8:$V$68,BA$4-$B23+1)</f>
        <v/>
      </c>
      <c r="BB23" s="56">
        <f>$C23*INDEX(Curves!$V$8:$V$68,BB$4-$B23+1)</f>
        <v/>
      </c>
      <c r="BC23" s="56">
        <f>$C23*INDEX(Curves!$V$8:$V$68,BC$4-$B23+1)</f>
        <v/>
      </c>
      <c r="BD23" s="56">
        <f>$C23*INDEX(Curves!$V$8:$V$68,BD$4-$B23+1)</f>
        <v/>
      </c>
      <c r="BE23" s="56">
        <f>$C23*INDEX(Curves!$V$8:$V$68,BE$4-$B23+1)</f>
        <v/>
      </c>
      <c r="BF23" s="56">
        <f>$C23*INDEX(Curves!$V$8:$V$68,BF$4-$B23+1)</f>
        <v/>
      </c>
      <c r="BG23" s="56">
        <f>$C23*INDEX(Curves!$V$8:$V$68,BG$4-$B23+1)</f>
        <v/>
      </c>
      <c r="BH23" s="56">
        <f>$C23*INDEX(Curves!$V$8:$V$68,BH$4-$B23+1)</f>
        <v/>
      </c>
      <c r="BI23" s="56">
        <f>$C23*INDEX(Curves!$V$8:$V$68,BI$4-$B23+1)</f>
        <v/>
      </c>
      <c r="BJ23" s="56">
        <f>$C23*INDEX(Curves!$V$8:$V$68,BJ$4-$B23+1)</f>
        <v/>
      </c>
      <c r="BK23" s="56">
        <f>$C23*INDEX(Curves!$V$8:$V$68,BK$4-$B23+1)</f>
        <v/>
      </c>
      <c r="BL23" s="56">
        <f>$C23*INDEX(Curves!$V$8:$V$68,BL$4-$B23+1)</f>
        <v/>
      </c>
    </row>
    <row r="24">
      <c r="A24" s="55" t="inlineStr">
        <is>
          <t>Cohort month 15</t>
        </is>
      </c>
      <c r="B24" s="55" t="n">
        <v>15</v>
      </c>
      <c r="C24" s="46">
        <f>INDEX(Ops!$E$40:$BL$40,1,$B24)</f>
        <v/>
      </c>
      <c r="T24" s="56">
        <f>$C24*INDEX(Curves!$V$8:$V$68,T$4-$B24+1)</f>
        <v/>
      </c>
      <c r="U24" s="56">
        <f>$C24*INDEX(Curves!$V$8:$V$68,U$4-$B24+1)</f>
        <v/>
      </c>
      <c r="V24" s="56">
        <f>$C24*INDEX(Curves!$V$8:$V$68,V$4-$B24+1)</f>
        <v/>
      </c>
      <c r="W24" s="56">
        <f>$C24*INDEX(Curves!$V$8:$V$68,W$4-$B24+1)</f>
        <v/>
      </c>
      <c r="X24" s="56">
        <f>$C24*INDEX(Curves!$V$8:$V$68,X$4-$B24+1)</f>
        <v/>
      </c>
      <c r="Y24" s="56">
        <f>$C24*INDEX(Curves!$V$8:$V$68,Y$4-$B24+1)</f>
        <v/>
      </c>
      <c r="Z24" s="56">
        <f>$C24*INDEX(Curves!$V$8:$V$68,Z$4-$B24+1)</f>
        <v/>
      </c>
      <c r="AA24" s="56">
        <f>$C24*INDEX(Curves!$V$8:$V$68,AA$4-$B24+1)</f>
        <v/>
      </c>
      <c r="AB24" s="56">
        <f>$C24*INDEX(Curves!$V$8:$V$68,AB$4-$B24+1)</f>
        <v/>
      </c>
      <c r="AC24" s="56">
        <f>$C24*INDEX(Curves!$V$8:$V$68,AC$4-$B24+1)</f>
        <v/>
      </c>
      <c r="AD24" s="56">
        <f>$C24*INDEX(Curves!$V$8:$V$68,AD$4-$B24+1)</f>
        <v/>
      </c>
      <c r="AE24" s="56">
        <f>$C24*INDEX(Curves!$V$8:$V$68,AE$4-$B24+1)</f>
        <v/>
      </c>
      <c r="AF24" s="56">
        <f>$C24*INDEX(Curves!$V$8:$V$68,AF$4-$B24+1)</f>
        <v/>
      </c>
      <c r="AG24" s="56">
        <f>$C24*INDEX(Curves!$V$8:$V$68,AG$4-$B24+1)</f>
        <v/>
      </c>
      <c r="AH24" s="56">
        <f>$C24*INDEX(Curves!$V$8:$V$68,AH$4-$B24+1)</f>
        <v/>
      </c>
      <c r="AI24" s="56">
        <f>$C24*INDEX(Curves!$V$8:$V$68,AI$4-$B24+1)</f>
        <v/>
      </c>
      <c r="AJ24" s="56">
        <f>$C24*INDEX(Curves!$V$8:$V$68,AJ$4-$B24+1)</f>
        <v/>
      </c>
      <c r="AK24" s="56">
        <f>$C24*INDEX(Curves!$V$8:$V$68,AK$4-$B24+1)</f>
        <v/>
      </c>
      <c r="AL24" s="56">
        <f>$C24*INDEX(Curves!$V$8:$V$68,AL$4-$B24+1)</f>
        <v/>
      </c>
      <c r="AM24" s="56">
        <f>$C24*INDEX(Curves!$V$8:$V$68,AM$4-$B24+1)</f>
        <v/>
      </c>
      <c r="AN24" s="56">
        <f>$C24*INDEX(Curves!$V$8:$V$68,AN$4-$B24+1)</f>
        <v/>
      </c>
      <c r="AO24" s="56">
        <f>$C24*INDEX(Curves!$V$8:$V$68,AO$4-$B24+1)</f>
        <v/>
      </c>
      <c r="AP24" s="56">
        <f>$C24*INDEX(Curves!$V$8:$V$68,AP$4-$B24+1)</f>
        <v/>
      </c>
      <c r="AQ24" s="56">
        <f>$C24*INDEX(Curves!$V$8:$V$68,AQ$4-$B24+1)</f>
        <v/>
      </c>
      <c r="AR24" s="56">
        <f>$C24*INDEX(Curves!$V$8:$V$68,AR$4-$B24+1)</f>
        <v/>
      </c>
      <c r="AS24" s="56">
        <f>$C24*INDEX(Curves!$V$8:$V$68,AS$4-$B24+1)</f>
        <v/>
      </c>
      <c r="AT24" s="56">
        <f>$C24*INDEX(Curves!$V$8:$V$68,AT$4-$B24+1)</f>
        <v/>
      </c>
      <c r="AU24" s="56">
        <f>$C24*INDEX(Curves!$V$8:$V$68,AU$4-$B24+1)</f>
        <v/>
      </c>
      <c r="AV24" s="56">
        <f>$C24*INDEX(Curves!$V$8:$V$68,AV$4-$B24+1)</f>
        <v/>
      </c>
      <c r="AW24" s="56">
        <f>$C24*INDEX(Curves!$V$8:$V$68,AW$4-$B24+1)</f>
        <v/>
      </c>
      <c r="AX24" s="56">
        <f>$C24*INDEX(Curves!$V$8:$V$68,AX$4-$B24+1)</f>
        <v/>
      </c>
      <c r="AY24" s="56">
        <f>$C24*INDEX(Curves!$V$8:$V$68,AY$4-$B24+1)</f>
        <v/>
      </c>
      <c r="AZ24" s="56">
        <f>$C24*INDEX(Curves!$V$8:$V$68,AZ$4-$B24+1)</f>
        <v/>
      </c>
      <c r="BA24" s="56">
        <f>$C24*INDEX(Curves!$V$8:$V$68,BA$4-$B24+1)</f>
        <v/>
      </c>
      <c r="BB24" s="56">
        <f>$C24*INDEX(Curves!$V$8:$V$68,BB$4-$B24+1)</f>
        <v/>
      </c>
      <c r="BC24" s="56">
        <f>$C24*INDEX(Curves!$V$8:$V$68,BC$4-$B24+1)</f>
        <v/>
      </c>
      <c r="BD24" s="56">
        <f>$C24*INDEX(Curves!$V$8:$V$68,BD$4-$B24+1)</f>
        <v/>
      </c>
      <c r="BE24" s="56">
        <f>$C24*INDEX(Curves!$V$8:$V$68,BE$4-$B24+1)</f>
        <v/>
      </c>
      <c r="BF24" s="56">
        <f>$C24*INDEX(Curves!$V$8:$V$68,BF$4-$B24+1)</f>
        <v/>
      </c>
      <c r="BG24" s="56">
        <f>$C24*INDEX(Curves!$V$8:$V$68,BG$4-$B24+1)</f>
        <v/>
      </c>
      <c r="BH24" s="56">
        <f>$C24*INDEX(Curves!$V$8:$V$68,BH$4-$B24+1)</f>
        <v/>
      </c>
      <c r="BI24" s="56">
        <f>$C24*INDEX(Curves!$V$8:$V$68,BI$4-$B24+1)</f>
        <v/>
      </c>
      <c r="BJ24" s="56">
        <f>$C24*INDEX(Curves!$V$8:$V$68,BJ$4-$B24+1)</f>
        <v/>
      </c>
      <c r="BK24" s="56">
        <f>$C24*INDEX(Curves!$V$8:$V$68,BK$4-$B24+1)</f>
        <v/>
      </c>
      <c r="BL24" s="56">
        <f>$C24*INDEX(Curves!$V$8:$V$68,BL$4-$B24+1)</f>
        <v/>
      </c>
    </row>
    <row r="25">
      <c r="A25" s="55" t="inlineStr">
        <is>
          <t>Cohort month 16</t>
        </is>
      </c>
      <c r="B25" s="55" t="n">
        <v>16</v>
      </c>
      <c r="C25" s="46">
        <f>INDEX(Ops!$E$40:$BL$40,1,$B25)</f>
        <v/>
      </c>
      <c r="U25" s="56">
        <f>$C25*INDEX(Curves!$V$8:$V$68,U$4-$B25+1)</f>
        <v/>
      </c>
      <c r="V25" s="56">
        <f>$C25*INDEX(Curves!$V$8:$V$68,V$4-$B25+1)</f>
        <v/>
      </c>
      <c r="W25" s="56">
        <f>$C25*INDEX(Curves!$V$8:$V$68,W$4-$B25+1)</f>
        <v/>
      </c>
      <c r="X25" s="56">
        <f>$C25*INDEX(Curves!$V$8:$V$68,X$4-$B25+1)</f>
        <v/>
      </c>
      <c r="Y25" s="56">
        <f>$C25*INDEX(Curves!$V$8:$V$68,Y$4-$B25+1)</f>
        <v/>
      </c>
      <c r="Z25" s="56">
        <f>$C25*INDEX(Curves!$V$8:$V$68,Z$4-$B25+1)</f>
        <v/>
      </c>
      <c r="AA25" s="56">
        <f>$C25*INDEX(Curves!$V$8:$V$68,AA$4-$B25+1)</f>
        <v/>
      </c>
      <c r="AB25" s="56">
        <f>$C25*INDEX(Curves!$V$8:$V$68,AB$4-$B25+1)</f>
        <v/>
      </c>
      <c r="AC25" s="56">
        <f>$C25*INDEX(Curves!$V$8:$V$68,AC$4-$B25+1)</f>
        <v/>
      </c>
      <c r="AD25" s="56">
        <f>$C25*INDEX(Curves!$V$8:$V$68,AD$4-$B25+1)</f>
        <v/>
      </c>
      <c r="AE25" s="56">
        <f>$C25*INDEX(Curves!$V$8:$V$68,AE$4-$B25+1)</f>
        <v/>
      </c>
      <c r="AF25" s="56">
        <f>$C25*INDEX(Curves!$V$8:$V$68,AF$4-$B25+1)</f>
        <v/>
      </c>
      <c r="AG25" s="56">
        <f>$C25*INDEX(Curves!$V$8:$V$68,AG$4-$B25+1)</f>
        <v/>
      </c>
      <c r="AH25" s="56">
        <f>$C25*INDEX(Curves!$V$8:$V$68,AH$4-$B25+1)</f>
        <v/>
      </c>
      <c r="AI25" s="56">
        <f>$C25*INDEX(Curves!$V$8:$V$68,AI$4-$B25+1)</f>
        <v/>
      </c>
      <c r="AJ25" s="56">
        <f>$C25*INDEX(Curves!$V$8:$V$68,AJ$4-$B25+1)</f>
        <v/>
      </c>
      <c r="AK25" s="56">
        <f>$C25*INDEX(Curves!$V$8:$V$68,AK$4-$B25+1)</f>
        <v/>
      </c>
      <c r="AL25" s="56">
        <f>$C25*INDEX(Curves!$V$8:$V$68,AL$4-$B25+1)</f>
        <v/>
      </c>
      <c r="AM25" s="56">
        <f>$C25*INDEX(Curves!$V$8:$V$68,AM$4-$B25+1)</f>
        <v/>
      </c>
      <c r="AN25" s="56">
        <f>$C25*INDEX(Curves!$V$8:$V$68,AN$4-$B25+1)</f>
        <v/>
      </c>
      <c r="AO25" s="56">
        <f>$C25*INDEX(Curves!$V$8:$V$68,AO$4-$B25+1)</f>
        <v/>
      </c>
      <c r="AP25" s="56">
        <f>$C25*INDEX(Curves!$V$8:$V$68,AP$4-$B25+1)</f>
        <v/>
      </c>
      <c r="AQ25" s="56">
        <f>$C25*INDEX(Curves!$V$8:$V$68,AQ$4-$B25+1)</f>
        <v/>
      </c>
      <c r="AR25" s="56">
        <f>$C25*INDEX(Curves!$V$8:$V$68,AR$4-$B25+1)</f>
        <v/>
      </c>
      <c r="AS25" s="56">
        <f>$C25*INDEX(Curves!$V$8:$V$68,AS$4-$B25+1)</f>
        <v/>
      </c>
      <c r="AT25" s="56">
        <f>$C25*INDEX(Curves!$V$8:$V$68,AT$4-$B25+1)</f>
        <v/>
      </c>
      <c r="AU25" s="56">
        <f>$C25*INDEX(Curves!$V$8:$V$68,AU$4-$B25+1)</f>
        <v/>
      </c>
      <c r="AV25" s="56">
        <f>$C25*INDEX(Curves!$V$8:$V$68,AV$4-$B25+1)</f>
        <v/>
      </c>
      <c r="AW25" s="56">
        <f>$C25*INDEX(Curves!$V$8:$V$68,AW$4-$B25+1)</f>
        <v/>
      </c>
      <c r="AX25" s="56">
        <f>$C25*INDEX(Curves!$V$8:$V$68,AX$4-$B25+1)</f>
        <v/>
      </c>
      <c r="AY25" s="56">
        <f>$C25*INDEX(Curves!$V$8:$V$68,AY$4-$B25+1)</f>
        <v/>
      </c>
      <c r="AZ25" s="56">
        <f>$C25*INDEX(Curves!$V$8:$V$68,AZ$4-$B25+1)</f>
        <v/>
      </c>
      <c r="BA25" s="56">
        <f>$C25*INDEX(Curves!$V$8:$V$68,BA$4-$B25+1)</f>
        <v/>
      </c>
      <c r="BB25" s="56">
        <f>$C25*INDEX(Curves!$V$8:$V$68,BB$4-$B25+1)</f>
        <v/>
      </c>
      <c r="BC25" s="56">
        <f>$C25*INDEX(Curves!$V$8:$V$68,BC$4-$B25+1)</f>
        <v/>
      </c>
      <c r="BD25" s="56">
        <f>$C25*INDEX(Curves!$V$8:$V$68,BD$4-$B25+1)</f>
        <v/>
      </c>
      <c r="BE25" s="56">
        <f>$C25*INDEX(Curves!$V$8:$V$68,BE$4-$B25+1)</f>
        <v/>
      </c>
      <c r="BF25" s="56">
        <f>$C25*INDEX(Curves!$V$8:$V$68,BF$4-$B25+1)</f>
        <v/>
      </c>
      <c r="BG25" s="56">
        <f>$C25*INDEX(Curves!$V$8:$V$68,BG$4-$B25+1)</f>
        <v/>
      </c>
      <c r="BH25" s="56">
        <f>$C25*INDEX(Curves!$V$8:$V$68,BH$4-$B25+1)</f>
        <v/>
      </c>
      <c r="BI25" s="56">
        <f>$C25*INDEX(Curves!$V$8:$V$68,BI$4-$B25+1)</f>
        <v/>
      </c>
      <c r="BJ25" s="56">
        <f>$C25*INDEX(Curves!$V$8:$V$68,BJ$4-$B25+1)</f>
        <v/>
      </c>
      <c r="BK25" s="56">
        <f>$C25*INDEX(Curves!$V$8:$V$68,BK$4-$B25+1)</f>
        <v/>
      </c>
      <c r="BL25" s="56">
        <f>$C25*INDEX(Curves!$V$8:$V$68,BL$4-$B25+1)</f>
        <v/>
      </c>
    </row>
    <row r="26">
      <c r="A26" s="55" t="inlineStr">
        <is>
          <t>Cohort month 17</t>
        </is>
      </c>
      <c r="B26" s="55" t="n">
        <v>17</v>
      </c>
      <c r="C26" s="46">
        <f>INDEX(Ops!$E$40:$BL$40,1,$B26)</f>
        <v/>
      </c>
      <c r="V26" s="56">
        <f>$C26*INDEX(Curves!$V$8:$V$68,V$4-$B26+1)</f>
        <v/>
      </c>
      <c r="W26" s="56">
        <f>$C26*INDEX(Curves!$V$8:$V$68,W$4-$B26+1)</f>
        <v/>
      </c>
      <c r="X26" s="56">
        <f>$C26*INDEX(Curves!$V$8:$V$68,X$4-$B26+1)</f>
        <v/>
      </c>
      <c r="Y26" s="56">
        <f>$C26*INDEX(Curves!$V$8:$V$68,Y$4-$B26+1)</f>
        <v/>
      </c>
      <c r="Z26" s="56">
        <f>$C26*INDEX(Curves!$V$8:$V$68,Z$4-$B26+1)</f>
        <v/>
      </c>
      <c r="AA26" s="56">
        <f>$C26*INDEX(Curves!$V$8:$V$68,AA$4-$B26+1)</f>
        <v/>
      </c>
      <c r="AB26" s="56">
        <f>$C26*INDEX(Curves!$V$8:$V$68,AB$4-$B26+1)</f>
        <v/>
      </c>
      <c r="AC26" s="56">
        <f>$C26*INDEX(Curves!$V$8:$V$68,AC$4-$B26+1)</f>
        <v/>
      </c>
      <c r="AD26" s="56">
        <f>$C26*INDEX(Curves!$V$8:$V$68,AD$4-$B26+1)</f>
        <v/>
      </c>
      <c r="AE26" s="56">
        <f>$C26*INDEX(Curves!$V$8:$V$68,AE$4-$B26+1)</f>
        <v/>
      </c>
      <c r="AF26" s="56">
        <f>$C26*INDEX(Curves!$V$8:$V$68,AF$4-$B26+1)</f>
        <v/>
      </c>
      <c r="AG26" s="56">
        <f>$C26*INDEX(Curves!$V$8:$V$68,AG$4-$B26+1)</f>
        <v/>
      </c>
      <c r="AH26" s="56">
        <f>$C26*INDEX(Curves!$V$8:$V$68,AH$4-$B26+1)</f>
        <v/>
      </c>
      <c r="AI26" s="56">
        <f>$C26*INDEX(Curves!$V$8:$V$68,AI$4-$B26+1)</f>
        <v/>
      </c>
      <c r="AJ26" s="56">
        <f>$C26*INDEX(Curves!$V$8:$V$68,AJ$4-$B26+1)</f>
        <v/>
      </c>
      <c r="AK26" s="56">
        <f>$C26*INDEX(Curves!$V$8:$V$68,AK$4-$B26+1)</f>
        <v/>
      </c>
      <c r="AL26" s="56">
        <f>$C26*INDEX(Curves!$V$8:$V$68,AL$4-$B26+1)</f>
        <v/>
      </c>
      <c r="AM26" s="56">
        <f>$C26*INDEX(Curves!$V$8:$V$68,AM$4-$B26+1)</f>
        <v/>
      </c>
      <c r="AN26" s="56">
        <f>$C26*INDEX(Curves!$V$8:$V$68,AN$4-$B26+1)</f>
        <v/>
      </c>
      <c r="AO26" s="56">
        <f>$C26*INDEX(Curves!$V$8:$V$68,AO$4-$B26+1)</f>
        <v/>
      </c>
      <c r="AP26" s="56">
        <f>$C26*INDEX(Curves!$V$8:$V$68,AP$4-$B26+1)</f>
        <v/>
      </c>
      <c r="AQ26" s="56">
        <f>$C26*INDEX(Curves!$V$8:$V$68,AQ$4-$B26+1)</f>
        <v/>
      </c>
      <c r="AR26" s="56">
        <f>$C26*INDEX(Curves!$V$8:$V$68,AR$4-$B26+1)</f>
        <v/>
      </c>
      <c r="AS26" s="56">
        <f>$C26*INDEX(Curves!$V$8:$V$68,AS$4-$B26+1)</f>
        <v/>
      </c>
      <c r="AT26" s="56">
        <f>$C26*INDEX(Curves!$V$8:$V$68,AT$4-$B26+1)</f>
        <v/>
      </c>
      <c r="AU26" s="56">
        <f>$C26*INDEX(Curves!$V$8:$V$68,AU$4-$B26+1)</f>
        <v/>
      </c>
      <c r="AV26" s="56">
        <f>$C26*INDEX(Curves!$V$8:$V$68,AV$4-$B26+1)</f>
        <v/>
      </c>
      <c r="AW26" s="56">
        <f>$C26*INDEX(Curves!$V$8:$V$68,AW$4-$B26+1)</f>
        <v/>
      </c>
      <c r="AX26" s="56">
        <f>$C26*INDEX(Curves!$V$8:$V$68,AX$4-$B26+1)</f>
        <v/>
      </c>
      <c r="AY26" s="56">
        <f>$C26*INDEX(Curves!$V$8:$V$68,AY$4-$B26+1)</f>
        <v/>
      </c>
      <c r="AZ26" s="56">
        <f>$C26*INDEX(Curves!$V$8:$V$68,AZ$4-$B26+1)</f>
        <v/>
      </c>
      <c r="BA26" s="56">
        <f>$C26*INDEX(Curves!$V$8:$V$68,BA$4-$B26+1)</f>
        <v/>
      </c>
      <c r="BB26" s="56">
        <f>$C26*INDEX(Curves!$V$8:$V$68,BB$4-$B26+1)</f>
        <v/>
      </c>
      <c r="BC26" s="56">
        <f>$C26*INDEX(Curves!$V$8:$V$68,BC$4-$B26+1)</f>
        <v/>
      </c>
      <c r="BD26" s="56">
        <f>$C26*INDEX(Curves!$V$8:$V$68,BD$4-$B26+1)</f>
        <v/>
      </c>
      <c r="BE26" s="56">
        <f>$C26*INDEX(Curves!$V$8:$V$68,BE$4-$B26+1)</f>
        <v/>
      </c>
      <c r="BF26" s="56">
        <f>$C26*INDEX(Curves!$V$8:$V$68,BF$4-$B26+1)</f>
        <v/>
      </c>
      <c r="BG26" s="56">
        <f>$C26*INDEX(Curves!$V$8:$V$68,BG$4-$B26+1)</f>
        <v/>
      </c>
      <c r="BH26" s="56">
        <f>$C26*INDEX(Curves!$V$8:$V$68,BH$4-$B26+1)</f>
        <v/>
      </c>
      <c r="BI26" s="56">
        <f>$C26*INDEX(Curves!$V$8:$V$68,BI$4-$B26+1)</f>
        <v/>
      </c>
      <c r="BJ26" s="56">
        <f>$C26*INDEX(Curves!$V$8:$V$68,BJ$4-$B26+1)</f>
        <v/>
      </c>
      <c r="BK26" s="56">
        <f>$C26*INDEX(Curves!$V$8:$V$68,BK$4-$B26+1)</f>
        <v/>
      </c>
      <c r="BL26" s="56">
        <f>$C26*INDEX(Curves!$V$8:$V$68,BL$4-$B26+1)</f>
        <v/>
      </c>
    </row>
    <row r="27">
      <c r="A27" s="55" t="inlineStr">
        <is>
          <t>Cohort month 18</t>
        </is>
      </c>
      <c r="B27" s="55" t="n">
        <v>18</v>
      </c>
      <c r="C27" s="46">
        <f>INDEX(Ops!$E$40:$BL$40,1,$B27)</f>
        <v/>
      </c>
      <c r="W27" s="56">
        <f>$C27*INDEX(Curves!$V$8:$V$68,W$4-$B27+1)</f>
        <v/>
      </c>
      <c r="X27" s="56">
        <f>$C27*INDEX(Curves!$V$8:$V$68,X$4-$B27+1)</f>
        <v/>
      </c>
      <c r="Y27" s="56">
        <f>$C27*INDEX(Curves!$V$8:$V$68,Y$4-$B27+1)</f>
        <v/>
      </c>
      <c r="Z27" s="56">
        <f>$C27*INDEX(Curves!$V$8:$V$68,Z$4-$B27+1)</f>
        <v/>
      </c>
      <c r="AA27" s="56">
        <f>$C27*INDEX(Curves!$V$8:$V$68,AA$4-$B27+1)</f>
        <v/>
      </c>
      <c r="AB27" s="56">
        <f>$C27*INDEX(Curves!$V$8:$V$68,AB$4-$B27+1)</f>
        <v/>
      </c>
      <c r="AC27" s="56">
        <f>$C27*INDEX(Curves!$V$8:$V$68,AC$4-$B27+1)</f>
        <v/>
      </c>
      <c r="AD27" s="56">
        <f>$C27*INDEX(Curves!$V$8:$V$68,AD$4-$B27+1)</f>
        <v/>
      </c>
      <c r="AE27" s="56">
        <f>$C27*INDEX(Curves!$V$8:$V$68,AE$4-$B27+1)</f>
        <v/>
      </c>
      <c r="AF27" s="56">
        <f>$C27*INDEX(Curves!$V$8:$V$68,AF$4-$B27+1)</f>
        <v/>
      </c>
      <c r="AG27" s="56">
        <f>$C27*INDEX(Curves!$V$8:$V$68,AG$4-$B27+1)</f>
        <v/>
      </c>
      <c r="AH27" s="56">
        <f>$C27*INDEX(Curves!$V$8:$V$68,AH$4-$B27+1)</f>
        <v/>
      </c>
      <c r="AI27" s="56">
        <f>$C27*INDEX(Curves!$V$8:$V$68,AI$4-$B27+1)</f>
        <v/>
      </c>
      <c r="AJ27" s="56">
        <f>$C27*INDEX(Curves!$V$8:$V$68,AJ$4-$B27+1)</f>
        <v/>
      </c>
      <c r="AK27" s="56">
        <f>$C27*INDEX(Curves!$V$8:$V$68,AK$4-$B27+1)</f>
        <v/>
      </c>
      <c r="AL27" s="56">
        <f>$C27*INDEX(Curves!$V$8:$V$68,AL$4-$B27+1)</f>
        <v/>
      </c>
      <c r="AM27" s="56">
        <f>$C27*INDEX(Curves!$V$8:$V$68,AM$4-$B27+1)</f>
        <v/>
      </c>
      <c r="AN27" s="56">
        <f>$C27*INDEX(Curves!$V$8:$V$68,AN$4-$B27+1)</f>
        <v/>
      </c>
      <c r="AO27" s="56">
        <f>$C27*INDEX(Curves!$V$8:$V$68,AO$4-$B27+1)</f>
        <v/>
      </c>
      <c r="AP27" s="56">
        <f>$C27*INDEX(Curves!$V$8:$V$68,AP$4-$B27+1)</f>
        <v/>
      </c>
      <c r="AQ27" s="56">
        <f>$C27*INDEX(Curves!$V$8:$V$68,AQ$4-$B27+1)</f>
        <v/>
      </c>
      <c r="AR27" s="56">
        <f>$C27*INDEX(Curves!$V$8:$V$68,AR$4-$B27+1)</f>
        <v/>
      </c>
      <c r="AS27" s="56">
        <f>$C27*INDEX(Curves!$V$8:$V$68,AS$4-$B27+1)</f>
        <v/>
      </c>
      <c r="AT27" s="56">
        <f>$C27*INDEX(Curves!$V$8:$V$68,AT$4-$B27+1)</f>
        <v/>
      </c>
      <c r="AU27" s="56">
        <f>$C27*INDEX(Curves!$V$8:$V$68,AU$4-$B27+1)</f>
        <v/>
      </c>
      <c r="AV27" s="56">
        <f>$C27*INDEX(Curves!$V$8:$V$68,AV$4-$B27+1)</f>
        <v/>
      </c>
      <c r="AW27" s="56">
        <f>$C27*INDEX(Curves!$V$8:$V$68,AW$4-$B27+1)</f>
        <v/>
      </c>
      <c r="AX27" s="56">
        <f>$C27*INDEX(Curves!$V$8:$V$68,AX$4-$B27+1)</f>
        <v/>
      </c>
      <c r="AY27" s="56">
        <f>$C27*INDEX(Curves!$V$8:$V$68,AY$4-$B27+1)</f>
        <v/>
      </c>
      <c r="AZ27" s="56">
        <f>$C27*INDEX(Curves!$V$8:$V$68,AZ$4-$B27+1)</f>
        <v/>
      </c>
      <c r="BA27" s="56">
        <f>$C27*INDEX(Curves!$V$8:$V$68,BA$4-$B27+1)</f>
        <v/>
      </c>
      <c r="BB27" s="56">
        <f>$C27*INDEX(Curves!$V$8:$V$68,BB$4-$B27+1)</f>
        <v/>
      </c>
      <c r="BC27" s="56">
        <f>$C27*INDEX(Curves!$V$8:$V$68,BC$4-$B27+1)</f>
        <v/>
      </c>
      <c r="BD27" s="56">
        <f>$C27*INDEX(Curves!$V$8:$V$68,BD$4-$B27+1)</f>
        <v/>
      </c>
      <c r="BE27" s="56">
        <f>$C27*INDEX(Curves!$V$8:$V$68,BE$4-$B27+1)</f>
        <v/>
      </c>
      <c r="BF27" s="56">
        <f>$C27*INDEX(Curves!$V$8:$V$68,BF$4-$B27+1)</f>
        <v/>
      </c>
      <c r="BG27" s="56">
        <f>$C27*INDEX(Curves!$V$8:$V$68,BG$4-$B27+1)</f>
        <v/>
      </c>
      <c r="BH27" s="56">
        <f>$C27*INDEX(Curves!$V$8:$V$68,BH$4-$B27+1)</f>
        <v/>
      </c>
      <c r="BI27" s="56">
        <f>$C27*INDEX(Curves!$V$8:$V$68,BI$4-$B27+1)</f>
        <v/>
      </c>
      <c r="BJ27" s="56">
        <f>$C27*INDEX(Curves!$V$8:$V$68,BJ$4-$B27+1)</f>
        <v/>
      </c>
      <c r="BK27" s="56">
        <f>$C27*INDEX(Curves!$V$8:$V$68,BK$4-$B27+1)</f>
        <v/>
      </c>
      <c r="BL27" s="56">
        <f>$C27*INDEX(Curves!$V$8:$V$68,BL$4-$B27+1)</f>
        <v/>
      </c>
    </row>
    <row r="28">
      <c r="A28" s="55" t="inlineStr">
        <is>
          <t>Cohort month 19</t>
        </is>
      </c>
      <c r="B28" s="55" t="n">
        <v>19</v>
      </c>
      <c r="C28" s="46">
        <f>INDEX(Ops!$E$40:$BL$40,1,$B28)</f>
        <v/>
      </c>
      <c r="X28" s="56">
        <f>$C28*INDEX(Curves!$V$8:$V$68,X$4-$B28+1)</f>
        <v/>
      </c>
      <c r="Y28" s="56">
        <f>$C28*INDEX(Curves!$V$8:$V$68,Y$4-$B28+1)</f>
        <v/>
      </c>
      <c r="Z28" s="56">
        <f>$C28*INDEX(Curves!$V$8:$V$68,Z$4-$B28+1)</f>
        <v/>
      </c>
      <c r="AA28" s="56">
        <f>$C28*INDEX(Curves!$V$8:$V$68,AA$4-$B28+1)</f>
        <v/>
      </c>
      <c r="AB28" s="56">
        <f>$C28*INDEX(Curves!$V$8:$V$68,AB$4-$B28+1)</f>
        <v/>
      </c>
      <c r="AC28" s="56">
        <f>$C28*INDEX(Curves!$V$8:$V$68,AC$4-$B28+1)</f>
        <v/>
      </c>
      <c r="AD28" s="56">
        <f>$C28*INDEX(Curves!$V$8:$V$68,AD$4-$B28+1)</f>
        <v/>
      </c>
      <c r="AE28" s="56">
        <f>$C28*INDEX(Curves!$V$8:$V$68,AE$4-$B28+1)</f>
        <v/>
      </c>
      <c r="AF28" s="56">
        <f>$C28*INDEX(Curves!$V$8:$V$68,AF$4-$B28+1)</f>
        <v/>
      </c>
      <c r="AG28" s="56">
        <f>$C28*INDEX(Curves!$V$8:$V$68,AG$4-$B28+1)</f>
        <v/>
      </c>
      <c r="AH28" s="56">
        <f>$C28*INDEX(Curves!$V$8:$V$68,AH$4-$B28+1)</f>
        <v/>
      </c>
      <c r="AI28" s="56">
        <f>$C28*INDEX(Curves!$V$8:$V$68,AI$4-$B28+1)</f>
        <v/>
      </c>
      <c r="AJ28" s="56">
        <f>$C28*INDEX(Curves!$V$8:$V$68,AJ$4-$B28+1)</f>
        <v/>
      </c>
      <c r="AK28" s="56">
        <f>$C28*INDEX(Curves!$V$8:$V$68,AK$4-$B28+1)</f>
        <v/>
      </c>
      <c r="AL28" s="56">
        <f>$C28*INDEX(Curves!$V$8:$V$68,AL$4-$B28+1)</f>
        <v/>
      </c>
      <c r="AM28" s="56">
        <f>$C28*INDEX(Curves!$V$8:$V$68,AM$4-$B28+1)</f>
        <v/>
      </c>
      <c r="AN28" s="56">
        <f>$C28*INDEX(Curves!$V$8:$V$68,AN$4-$B28+1)</f>
        <v/>
      </c>
      <c r="AO28" s="56">
        <f>$C28*INDEX(Curves!$V$8:$V$68,AO$4-$B28+1)</f>
        <v/>
      </c>
      <c r="AP28" s="56">
        <f>$C28*INDEX(Curves!$V$8:$V$68,AP$4-$B28+1)</f>
        <v/>
      </c>
      <c r="AQ28" s="56">
        <f>$C28*INDEX(Curves!$V$8:$V$68,AQ$4-$B28+1)</f>
        <v/>
      </c>
      <c r="AR28" s="56">
        <f>$C28*INDEX(Curves!$V$8:$V$68,AR$4-$B28+1)</f>
        <v/>
      </c>
      <c r="AS28" s="56">
        <f>$C28*INDEX(Curves!$V$8:$V$68,AS$4-$B28+1)</f>
        <v/>
      </c>
      <c r="AT28" s="56">
        <f>$C28*INDEX(Curves!$V$8:$V$68,AT$4-$B28+1)</f>
        <v/>
      </c>
      <c r="AU28" s="56">
        <f>$C28*INDEX(Curves!$V$8:$V$68,AU$4-$B28+1)</f>
        <v/>
      </c>
      <c r="AV28" s="56">
        <f>$C28*INDEX(Curves!$V$8:$V$68,AV$4-$B28+1)</f>
        <v/>
      </c>
      <c r="AW28" s="56">
        <f>$C28*INDEX(Curves!$V$8:$V$68,AW$4-$B28+1)</f>
        <v/>
      </c>
      <c r="AX28" s="56">
        <f>$C28*INDEX(Curves!$V$8:$V$68,AX$4-$B28+1)</f>
        <v/>
      </c>
      <c r="AY28" s="56">
        <f>$C28*INDEX(Curves!$V$8:$V$68,AY$4-$B28+1)</f>
        <v/>
      </c>
      <c r="AZ28" s="56">
        <f>$C28*INDEX(Curves!$V$8:$V$68,AZ$4-$B28+1)</f>
        <v/>
      </c>
      <c r="BA28" s="56">
        <f>$C28*INDEX(Curves!$V$8:$V$68,BA$4-$B28+1)</f>
        <v/>
      </c>
      <c r="BB28" s="56">
        <f>$C28*INDEX(Curves!$V$8:$V$68,BB$4-$B28+1)</f>
        <v/>
      </c>
      <c r="BC28" s="56">
        <f>$C28*INDEX(Curves!$V$8:$V$68,BC$4-$B28+1)</f>
        <v/>
      </c>
      <c r="BD28" s="56">
        <f>$C28*INDEX(Curves!$V$8:$V$68,BD$4-$B28+1)</f>
        <v/>
      </c>
      <c r="BE28" s="56">
        <f>$C28*INDEX(Curves!$V$8:$V$68,BE$4-$B28+1)</f>
        <v/>
      </c>
      <c r="BF28" s="56">
        <f>$C28*INDEX(Curves!$V$8:$V$68,BF$4-$B28+1)</f>
        <v/>
      </c>
      <c r="BG28" s="56">
        <f>$C28*INDEX(Curves!$V$8:$V$68,BG$4-$B28+1)</f>
        <v/>
      </c>
      <c r="BH28" s="56">
        <f>$C28*INDEX(Curves!$V$8:$V$68,BH$4-$B28+1)</f>
        <v/>
      </c>
      <c r="BI28" s="56">
        <f>$C28*INDEX(Curves!$V$8:$V$68,BI$4-$B28+1)</f>
        <v/>
      </c>
      <c r="BJ28" s="56">
        <f>$C28*INDEX(Curves!$V$8:$V$68,BJ$4-$B28+1)</f>
        <v/>
      </c>
      <c r="BK28" s="56">
        <f>$C28*INDEX(Curves!$V$8:$V$68,BK$4-$B28+1)</f>
        <v/>
      </c>
      <c r="BL28" s="56">
        <f>$C28*INDEX(Curves!$V$8:$V$68,BL$4-$B28+1)</f>
        <v/>
      </c>
    </row>
    <row r="29">
      <c r="A29" s="55" t="inlineStr">
        <is>
          <t>Cohort month 20</t>
        </is>
      </c>
      <c r="B29" s="55" t="n">
        <v>20</v>
      </c>
      <c r="C29" s="46">
        <f>INDEX(Ops!$E$40:$BL$40,1,$B29)</f>
        <v/>
      </c>
      <c r="Y29" s="56">
        <f>$C29*INDEX(Curves!$V$8:$V$68,Y$4-$B29+1)</f>
        <v/>
      </c>
      <c r="Z29" s="56">
        <f>$C29*INDEX(Curves!$V$8:$V$68,Z$4-$B29+1)</f>
        <v/>
      </c>
      <c r="AA29" s="56">
        <f>$C29*INDEX(Curves!$V$8:$V$68,AA$4-$B29+1)</f>
        <v/>
      </c>
      <c r="AB29" s="56">
        <f>$C29*INDEX(Curves!$V$8:$V$68,AB$4-$B29+1)</f>
        <v/>
      </c>
      <c r="AC29" s="56">
        <f>$C29*INDEX(Curves!$V$8:$V$68,AC$4-$B29+1)</f>
        <v/>
      </c>
      <c r="AD29" s="56">
        <f>$C29*INDEX(Curves!$V$8:$V$68,AD$4-$B29+1)</f>
        <v/>
      </c>
      <c r="AE29" s="56">
        <f>$C29*INDEX(Curves!$V$8:$V$68,AE$4-$B29+1)</f>
        <v/>
      </c>
      <c r="AF29" s="56">
        <f>$C29*INDEX(Curves!$V$8:$V$68,AF$4-$B29+1)</f>
        <v/>
      </c>
      <c r="AG29" s="56">
        <f>$C29*INDEX(Curves!$V$8:$V$68,AG$4-$B29+1)</f>
        <v/>
      </c>
      <c r="AH29" s="56">
        <f>$C29*INDEX(Curves!$V$8:$V$68,AH$4-$B29+1)</f>
        <v/>
      </c>
      <c r="AI29" s="56">
        <f>$C29*INDEX(Curves!$V$8:$V$68,AI$4-$B29+1)</f>
        <v/>
      </c>
      <c r="AJ29" s="56">
        <f>$C29*INDEX(Curves!$V$8:$V$68,AJ$4-$B29+1)</f>
        <v/>
      </c>
      <c r="AK29" s="56">
        <f>$C29*INDEX(Curves!$V$8:$V$68,AK$4-$B29+1)</f>
        <v/>
      </c>
      <c r="AL29" s="56">
        <f>$C29*INDEX(Curves!$V$8:$V$68,AL$4-$B29+1)</f>
        <v/>
      </c>
      <c r="AM29" s="56">
        <f>$C29*INDEX(Curves!$V$8:$V$68,AM$4-$B29+1)</f>
        <v/>
      </c>
      <c r="AN29" s="56">
        <f>$C29*INDEX(Curves!$V$8:$V$68,AN$4-$B29+1)</f>
        <v/>
      </c>
      <c r="AO29" s="56">
        <f>$C29*INDEX(Curves!$V$8:$V$68,AO$4-$B29+1)</f>
        <v/>
      </c>
      <c r="AP29" s="56">
        <f>$C29*INDEX(Curves!$V$8:$V$68,AP$4-$B29+1)</f>
        <v/>
      </c>
      <c r="AQ29" s="56">
        <f>$C29*INDEX(Curves!$V$8:$V$68,AQ$4-$B29+1)</f>
        <v/>
      </c>
      <c r="AR29" s="56">
        <f>$C29*INDEX(Curves!$V$8:$V$68,AR$4-$B29+1)</f>
        <v/>
      </c>
      <c r="AS29" s="56">
        <f>$C29*INDEX(Curves!$V$8:$V$68,AS$4-$B29+1)</f>
        <v/>
      </c>
      <c r="AT29" s="56">
        <f>$C29*INDEX(Curves!$V$8:$V$68,AT$4-$B29+1)</f>
        <v/>
      </c>
      <c r="AU29" s="56">
        <f>$C29*INDEX(Curves!$V$8:$V$68,AU$4-$B29+1)</f>
        <v/>
      </c>
      <c r="AV29" s="56">
        <f>$C29*INDEX(Curves!$V$8:$V$68,AV$4-$B29+1)</f>
        <v/>
      </c>
      <c r="AW29" s="56">
        <f>$C29*INDEX(Curves!$V$8:$V$68,AW$4-$B29+1)</f>
        <v/>
      </c>
      <c r="AX29" s="56">
        <f>$C29*INDEX(Curves!$V$8:$V$68,AX$4-$B29+1)</f>
        <v/>
      </c>
      <c r="AY29" s="56">
        <f>$C29*INDEX(Curves!$V$8:$V$68,AY$4-$B29+1)</f>
        <v/>
      </c>
      <c r="AZ29" s="56">
        <f>$C29*INDEX(Curves!$V$8:$V$68,AZ$4-$B29+1)</f>
        <v/>
      </c>
      <c r="BA29" s="56">
        <f>$C29*INDEX(Curves!$V$8:$V$68,BA$4-$B29+1)</f>
        <v/>
      </c>
      <c r="BB29" s="56">
        <f>$C29*INDEX(Curves!$V$8:$V$68,BB$4-$B29+1)</f>
        <v/>
      </c>
      <c r="BC29" s="56">
        <f>$C29*INDEX(Curves!$V$8:$V$68,BC$4-$B29+1)</f>
        <v/>
      </c>
      <c r="BD29" s="56">
        <f>$C29*INDEX(Curves!$V$8:$V$68,BD$4-$B29+1)</f>
        <v/>
      </c>
      <c r="BE29" s="56">
        <f>$C29*INDEX(Curves!$V$8:$V$68,BE$4-$B29+1)</f>
        <v/>
      </c>
      <c r="BF29" s="56">
        <f>$C29*INDEX(Curves!$V$8:$V$68,BF$4-$B29+1)</f>
        <v/>
      </c>
      <c r="BG29" s="56">
        <f>$C29*INDEX(Curves!$V$8:$V$68,BG$4-$B29+1)</f>
        <v/>
      </c>
      <c r="BH29" s="56">
        <f>$C29*INDEX(Curves!$V$8:$V$68,BH$4-$B29+1)</f>
        <v/>
      </c>
      <c r="BI29" s="56">
        <f>$C29*INDEX(Curves!$V$8:$V$68,BI$4-$B29+1)</f>
        <v/>
      </c>
      <c r="BJ29" s="56">
        <f>$C29*INDEX(Curves!$V$8:$V$68,BJ$4-$B29+1)</f>
        <v/>
      </c>
      <c r="BK29" s="56">
        <f>$C29*INDEX(Curves!$V$8:$V$68,BK$4-$B29+1)</f>
        <v/>
      </c>
      <c r="BL29" s="56">
        <f>$C29*INDEX(Curves!$V$8:$V$68,BL$4-$B29+1)</f>
        <v/>
      </c>
    </row>
    <row r="30">
      <c r="A30" s="55" t="inlineStr">
        <is>
          <t>Cohort month 21</t>
        </is>
      </c>
      <c r="B30" s="55" t="n">
        <v>21</v>
      </c>
      <c r="C30" s="46">
        <f>INDEX(Ops!$E$40:$BL$40,1,$B30)</f>
        <v/>
      </c>
      <c r="Z30" s="56">
        <f>$C30*INDEX(Curves!$V$8:$V$68,Z$4-$B30+1)</f>
        <v/>
      </c>
      <c r="AA30" s="56">
        <f>$C30*INDEX(Curves!$V$8:$V$68,AA$4-$B30+1)</f>
        <v/>
      </c>
      <c r="AB30" s="56">
        <f>$C30*INDEX(Curves!$V$8:$V$68,AB$4-$B30+1)</f>
        <v/>
      </c>
      <c r="AC30" s="56">
        <f>$C30*INDEX(Curves!$V$8:$V$68,AC$4-$B30+1)</f>
        <v/>
      </c>
      <c r="AD30" s="56">
        <f>$C30*INDEX(Curves!$V$8:$V$68,AD$4-$B30+1)</f>
        <v/>
      </c>
      <c r="AE30" s="56">
        <f>$C30*INDEX(Curves!$V$8:$V$68,AE$4-$B30+1)</f>
        <v/>
      </c>
      <c r="AF30" s="56">
        <f>$C30*INDEX(Curves!$V$8:$V$68,AF$4-$B30+1)</f>
        <v/>
      </c>
      <c r="AG30" s="56">
        <f>$C30*INDEX(Curves!$V$8:$V$68,AG$4-$B30+1)</f>
        <v/>
      </c>
      <c r="AH30" s="56">
        <f>$C30*INDEX(Curves!$V$8:$V$68,AH$4-$B30+1)</f>
        <v/>
      </c>
      <c r="AI30" s="56">
        <f>$C30*INDEX(Curves!$V$8:$V$68,AI$4-$B30+1)</f>
        <v/>
      </c>
      <c r="AJ30" s="56">
        <f>$C30*INDEX(Curves!$V$8:$V$68,AJ$4-$B30+1)</f>
        <v/>
      </c>
      <c r="AK30" s="56">
        <f>$C30*INDEX(Curves!$V$8:$V$68,AK$4-$B30+1)</f>
        <v/>
      </c>
      <c r="AL30" s="56">
        <f>$C30*INDEX(Curves!$V$8:$V$68,AL$4-$B30+1)</f>
        <v/>
      </c>
      <c r="AM30" s="56">
        <f>$C30*INDEX(Curves!$V$8:$V$68,AM$4-$B30+1)</f>
        <v/>
      </c>
      <c r="AN30" s="56">
        <f>$C30*INDEX(Curves!$V$8:$V$68,AN$4-$B30+1)</f>
        <v/>
      </c>
      <c r="AO30" s="56">
        <f>$C30*INDEX(Curves!$V$8:$V$68,AO$4-$B30+1)</f>
        <v/>
      </c>
      <c r="AP30" s="56">
        <f>$C30*INDEX(Curves!$V$8:$V$68,AP$4-$B30+1)</f>
        <v/>
      </c>
      <c r="AQ30" s="56">
        <f>$C30*INDEX(Curves!$V$8:$V$68,AQ$4-$B30+1)</f>
        <v/>
      </c>
      <c r="AR30" s="56">
        <f>$C30*INDEX(Curves!$V$8:$V$68,AR$4-$B30+1)</f>
        <v/>
      </c>
      <c r="AS30" s="56">
        <f>$C30*INDEX(Curves!$V$8:$V$68,AS$4-$B30+1)</f>
        <v/>
      </c>
      <c r="AT30" s="56">
        <f>$C30*INDEX(Curves!$V$8:$V$68,AT$4-$B30+1)</f>
        <v/>
      </c>
      <c r="AU30" s="56">
        <f>$C30*INDEX(Curves!$V$8:$V$68,AU$4-$B30+1)</f>
        <v/>
      </c>
      <c r="AV30" s="56">
        <f>$C30*INDEX(Curves!$V$8:$V$68,AV$4-$B30+1)</f>
        <v/>
      </c>
      <c r="AW30" s="56">
        <f>$C30*INDEX(Curves!$V$8:$V$68,AW$4-$B30+1)</f>
        <v/>
      </c>
      <c r="AX30" s="56">
        <f>$C30*INDEX(Curves!$V$8:$V$68,AX$4-$B30+1)</f>
        <v/>
      </c>
      <c r="AY30" s="56">
        <f>$C30*INDEX(Curves!$V$8:$V$68,AY$4-$B30+1)</f>
        <v/>
      </c>
      <c r="AZ30" s="56">
        <f>$C30*INDEX(Curves!$V$8:$V$68,AZ$4-$B30+1)</f>
        <v/>
      </c>
      <c r="BA30" s="56">
        <f>$C30*INDEX(Curves!$V$8:$V$68,BA$4-$B30+1)</f>
        <v/>
      </c>
      <c r="BB30" s="56">
        <f>$C30*INDEX(Curves!$V$8:$V$68,BB$4-$B30+1)</f>
        <v/>
      </c>
      <c r="BC30" s="56">
        <f>$C30*INDEX(Curves!$V$8:$V$68,BC$4-$B30+1)</f>
        <v/>
      </c>
      <c r="BD30" s="56">
        <f>$C30*INDEX(Curves!$V$8:$V$68,BD$4-$B30+1)</f>
        <v/>
      </c>
      <c r="BE30" s="56">
        <f>$C30*INDEX(Curves!$V$8:$V$68,BE$4-$B30+1)</f>
        <v/>
      </c>
      <c r="BF30" s="56">
        <f>$C30*INDEX(Curves!$V$8:$V$68,BF$4-$B30+1)</f>
        <v/>
      </c>
      <c r="BG30" s="56">
        <f>$C30*INDEX(Curves!$V$8:$V$68,BG$4-$B30+1)</f>
        <v/>
      </c>
      <c r="BH30" s="56">
        <f>$C30*INDEX(Curves!$V$8:$V$68,BH$4-$B30+1)</f>
        <v/>
      </c>
      <c r="BI30" s="56">
        <f>$C30*INDEX(Curves!$V$8:$V$68,BI$4-$B30+1)</f>
        <v/>
      </c>
      <c r="BJ30" s="56">
        <f>$C30*INDEX(Curves!$V$8:$V$68,BJ$4-$B30+1)</f>
        <v/>
      </c>
      <c r="BK30" s="56">
        <f>$C30*INDEX(Curves!$V$8:$V$68,BK$4-$B30+1)</f>
        <v/>
      </c>
      <c r="BL30" s="56">
        <f>$C30*INDEX(Curves!$V$8:$V$68,BL$4-$B30+1)</f>
        <v/>
      </c>
    </row>
    <row r="31">
      <c r="A31" s="55" t="inlineStr">
        <is>
          <t>Cohort month 22</t>
        </is>
      </c>
      <c r="B31" s="55" t="n">
        <v>22</v>
      </c>
      <c r="C31" s="46">
        <f>INDEX(Ops!$E$40:$BL$40,1,$B31)</f>
        <v/>
      </c>
      <c r="AA31" s="56">
        <f>$C31*INDEX(Curves!$V$8:$V$68,AA$4-$B31+1)</f>
        <v/>
      </c>
      <c r="AB31" s="56">
        <f>$C31*INDEX(Curves!$V$8:$V$68,AB$4-$B31+1)</f>
        <v/>
      </c>
      <c r="AC31" s="56">
        <f>$C31*INDEX(Curves!$V$8:$V$68,AC$4-$B31+1)</f>
        <v/>
      </c>
      <c r="AD31" s="56">
        <f>$C31*INDEX(Curves!$V$8:$V$68,AD$4-$B31+1)</f>
        <v/>
      </c>
      <c r="AE31" s="56">
        <f>$C31*INDEX(Curves!$V$8:$V$68,AE$4-$B31+1)</f>
        <v/>
      </c>
      <c r="AF31" s="56">
        <f>$C31*INDEX(Curves!$V$8:$V$68,AF$4-$B31+1)</f>
        <v/>
      </c>
      <c r="AG31" s="56">
        <f>$C31*INDEX(Curves!$V$8:$V$68,AG$4-$B31+1)</f>
        <v/>
      </c>
      <c r="AH31" s="56">
        <f>$C31*INDEX(Curves!$V$8:$V$68,AH$4-$B31+1)</f>
        <v/>
      </c>
      <c r="AI31" s="56">
        <f>$C31*INDEX(Curves!$V$8:$V$68,AI$4-$B31+1)</f>
        <v/>
      </c>
      <c r="AJ31" s="56">
        <f>$C31*INDEX(Curves!$V$8:$V$68,AJ$4-$B31+1)</f>
        <v/>
      </c>
      <c r="AK31" s="56">
        <f>$C31*INDEX(Curves!$V$8:$V$68,AK$4-$B31+1)</f>
        <v/>
      </c>
      <c r="AL31" s="56">
        <f>$C31*INDEX(Curves!$V$8:$V$68,AL$4-$B31+1)</f>
        <v/>
      </c>
      <c r="AM31" s="56">
        <f>$C31*INDEX(Curves!$V$8:$V$68,AM$4-$B31+1)</f>
        <v/>
      </c>
      <c r="AN31" s="56">
        <f>$C31*INDEX(Curves!$V$8:$V$68,AN$4-$B31+1)</f>
        <v/>
      </c>
      <c r="AO31" s="56">
        <f>$C31*INDEX(Curves!$V$8:$V$68,AO$4-$B31+1)</f>
        <v/>
      </c>
      <c r="AP31" s="56">
        <f>$C31*INDEX(Curves!$V$8:$V$68,AP$4-$B31+1)</f>
        <v/>
      </c>
      <c r="AQ31" s="56">
        <f>$C31*INDEX(Curves!$V$8:$V$68,AQ$4-$B31+1)</f>
        <v/>
      </c>
      <c r="AR31" s="56">
        <f>$C31*INDEX(Curves!$V$8:$V$68,AR$4-$B31+1)</f>
        <v/>
      </c>
      <c r="AS31" s="56">
        <f>$C31*INDEX(Curves!$V$8:$V$68,AS$4-$B31+1)</f>
        <v/>
      </c>
      <c r="AT31" s="56">
        <f>$C31*INDEX(Curves!$V$8:$V$68,AT$4-$B31+1)</f>
        <v/>
      </c>
      <c r="AU31" s="56">
        <f>$C31*INDEX(Curves!$V$8:$V$68,AU$4-$B31+1)</f>
        <v/>
      </c>
      <c r="AV31" s="56">
        <f>$C31*INDEX(Curves!$V$8:$V$68,AV$4-$B31+1)</f>
        <v/>
      </c>
      <c r="AW31" s="56">
        <f>$C31*INDEX(Curves!$V$8:$V$68,AW$4-$B31+1)</f>
        <v/>
      </c>
      <c r="AX31" s="56">
        <f>$C31*INDEX(Curves!$V$8:$V$68,AX$4-$B31+1)</f>
        <v/>
      </c>
      <c r="AY31" s="56">
        <f>$C31*INDEX(Curves!$V$8:$V$68,AY$4-$B31+1)</f>
        <v/>
      </c>
      <c r="AZ31" s="56">
        <f>$C31*INDEX(Curves!$V$8:$V$68,AZ$4-$B31+1)</f>
        <v/>
      </c>
      <c r="BA31" s="56">
        <f>$C31*INDEX(Curves!$V$8:$V$68,BA$4-$B31+1)</f>
        <v/>
      </c>
      <c r="BB31" s="56">
        <f>$C31*INDEX(Curves!$V$8:$V$68,BB$4-$B31+1)</f>
        <v/>
      </c>
      <c r="BC31" s="56">
        <f>$C31*INDEX(Curves!$V$8:$V$68,BC$4-$B31+1)</f>
        <v/>
      </c>
      <c r="BD31" s="56">
        <f>$C31*INDEX(Curves!$V$8:$V$68,BD$4-$B31+1)</f>
        <v/>
      </c>
      <c r="BE31" s="56">
        <f>$C31*INDEX(Curves!$V$8:$V$68,BE$4-$B31+1)</f>
        <v/>
      </c>
      <c r="BF31" s="56">
        <f>$C31*INDEX(Curves!$V$8:$V$68,BF$4-$B31+1)</f>
        <v/>
      </c>
      <c r="BG31" s="56">
        <f>$C31*INDEX(Curves!$V$8:$V$68,BG$4-$B31+1)</f>
        <v/>
      </c>
      <c r="BH31" s="56">
        <f>$C31*INDEX(Curves!$V$8:$V$68,BH$4-$B31+1)</f>
        <v/>
      </c>
      <c r="BI31" s="56">
        <f>$C31*INDEX(Curves!$V$8:$V$68,BI$4-$B31+1)</f>
        <v/>
      </c>
      <c r="BJ31" s="56">
        <f>$C31*INDEX(Curves!$V$8:$V$68,BJ$4-$B31+1)</f>
        <v/>
      </c>
      <c r="BK31" s="56">
        <f>$C31*INDEX(Curves!$V$8:$V$68,BK$4-$B31+1)</f>
        <v/>
      </c>
      <c r="BL31" s="56">
        <f>$C31*INDEX(Curves!$V$8:$V$68,BL$4-$B31+1)</f>
        <v/>
      </c>
    </row>
    <row r="32">
      <c r="A32" s="55" t="inlineStr">
        <is>
          <t>Cohort month 23</t>
        </is>
      </c>
      <c r="B32" s="55" t="n">
        <v>23</v>
      </c>
      <c r="C32" s="46">
        <f>INDEX(Ops!$E$40:$BL$40,1,$B32)</f>
        <v/>
      </c>
      <c r="AB32" s="56">
        <f>$C32*INDEX(Curves!$V$8:$V$68,AB$4-$B32+1)</f>
        <v/>
      </c>
      <c r="AC32" s="56">
        <f>$C32*INDEX(Curves!$V$8:$V$68,AC$4-$B32+1)</f>
        <v/>
      </c>
      <c r="AD32" s="56">
        <f>$C32*INDEX(Curves!$V$8:$V$68,AD$4-$B32+1)</f>
        <v/>
      </c>
      <c r="AE32" s="56">
        <f>$C32*INDEX(Curves!$V$8:$V$68,AE$4-$B32+1)</f>
        <v/>
      </c>
      <c r="AF32" s="56">
        <f>$C32*INDEX(Curves!$V$8:$V$68,AF$4-$B32+1)</f>
        <v/>
      </c>
      <c r="AG32" s="56">
        <f>$C32*INDEX(Curves!$V$8:$V$68,AG$4-$B32+1)</f>
        <v/>
      </c>
      <c r="AH32" s="56">
        <f>$C32*INDEX(Curves!$V$8:$V$68,AH$4-$B32+1)</f>
        <v/>
      </c>
      <c r="AI32" s="56">
        <f>$C32*INDEX(Curves!$V$8:$V$68,AI$4-$B32+1)</f>
        <v/>
      </c>
      <c r="AJ32" s="56">
        <f>$C32*INDEX(Curves!$V$8:$V$68,AJ$4-$B32+1)</f>
        <v/>
      </c>
      <c r="AK32" s="56">
        <f>$C32*INDEX(Curves!$V$8:$V$68,AK$4-$B32+1)</f>
        <v/>
      </c>
      <c r="AL32" s="56">
        <f>$C32*INDEX(Curves!$V$8:$V$68,AL$4-$B32+1)</f>
        <v/>
      </c>
      <c r="AM32" s="56">
        <f>$C32*INDEX(Curves!$V$8:$V$68,AM$4-$B32+1)</f>
        <v/>
      </c>
      <c r="AN32" s="56">
        <f>$C32*INDEX(Curves!$V$8:$V$68,AN$4-$B32+1)</f>
        <v/>
      </c>
      <c r="AO32" s="56">
        <f>$C32*INDEX(Curves!$V$8:$V$68,AO$4-$B32+1)</f>
        <v/>
      </c>
      <c r="AP32" s="56">
        <f>$C32*INDEX(Curves!$V$8:$V$68,AP$4-$B32+1)</f>
        <v/>
      </c>
      <c r="AQ32" s="56">
        <f>$C32*INDEX(Curves!$V$8:$V$68,AQ$4-$B32+1)</f>
        <v/>
      </c>
      <c r="AR32" s="56">
        <f>$C32*INDEX(Curves!$V$8:$V$68,AR$4-$B32+1)</f>
        <v/>
      </c>
      <c r="AS32" s="56">
        <f>$C32*INDEX(Curves!$V$8:$V$68,AS$4-$B32+1)</f>
        <v/>
      </c>
      <c r="AT32" s="56">
        <f>$C32*INDEX(Curves!$V$8:$V$68,AT$4-$B32+1)</f>
        <v/>
      </c>
      <c r="AU32" s="56">
        <f>$C32*INDEX(Curves!$V$8:$V$68,AU$4-$B32+1)</f>
        <v/>
      </c>
      <c r="AV32" s="56">
        <f>$C32*INDEX(Curves!$V$8:$V$68,AV$4-$B32+1)</f>
        <v/>
      </c>
      <c r="AW32" s="56">
        <f>$C32*INDEX(Curves!$V$8:$V$68,AW$4-$B32+1)</f>
        <v/>
      </c>
      <c r="AX32" s="56">
        <f>$C32*INDEX(Curves!$V$8:$V$68,AX$4-$B32+1)</f>
        <v/>
      </c>
      <c r="AY32" s="56">
        <f>$C32*INDEX(Curves!$V$8:$V$68,AY$4-$B32+1)</f>
        <v/>
      </c>
      <c r="AZ32" s="56">
        <f>$C32*INDEX(Curves!$V$8:$V$68,AZ$4-$B32+1)</f>
        <v/>
      </c>
      <c r="BA32" s="56">
        <f>$C32*INDEX(Curves!$V$8:$V$68,BA$4-$B32+1)</f>
        <v/>
      </c>
      <c r="BB32" s="56">
        <f>$C32*INDEX(Curves!$V$8:$V$68,BB$4-$B32+1)</f>
        <v/>
      </c>
      <c r="BC32" s="56">
        <f>$C32*INDEX(Curves!$V$8:$V$68,BC$4-$B32+1)</f>
        <v/>
      </c>
      <c r="BD32" s="56">
        <f>$C32*INDEX(Curves!$V$8:$V$68,BD$4-$B32+1)</f>
        <v/>
      </c>
      <c r="BE32" s="56">
        <f>$C32*INDEX(Curves!$V$8:$V$68,BE$4-$B32+1)</f>
        <v/>
      </c>
      <c r="BF32" s="56">
        <f>$C32*INDEX(Curves!$V$8:$V$68,BF$4-$B32+1)</f>
        <v/>
      </c>
      <c r="BG32" s="56">
        <f>$C32*INDEX(Curves!$V$8:$V$68,BG$4-$B32+1)</f>
        <v/>
      </c>
      <c r="BH32" s="56">
        <f>$C32*INDEX(Curves!$V$8:$V$68,BH$4-$B32+1)</f>
        <v/>
      </c>
      <c r="BI32" s="56">
        <f>$C32*INDEX(Curves!$V$8:$V$68,BI$4-$B32+1)</f>
        <v/>
      </c>
      <c r="BJ32" s="56">
        <f>$C32*INDEX(Curves!$V$8:$V$68,BJ$4-$B32+1)</f>
        <v/>
      </c>
      <c r="BK32" s="56">
        <f>$C32*INDEX(Curves!$V$8:$V$68,BK$4-$B32+1)</f>
        <v/>
      </c>
      <c r="BL32" s="56">
        <f>$C32*INDEX(Curves!$V$8:$V$68,BL$4-$B32+1)</f>
        <v/>
      </c>
    </row>
    <row r="33">
      <c r="A33" s="55" t="inlineStr">
        <is>
          <t>Cohort month 24</t>
        </is>
      </c>
      <c r="B33" s="55" t="n">
        <v>24</v>
      </c>
      <c r="C33" s="46">
        <f>INDEX(Ops!$E$40:$BL$40,1,$B33)</f>
        <v/>
      </c>
      <c r="AC33" s="56">
        <f>$C33*INDEX(Curves!$V$8:$V$68,AC$4-$B33+1)</f>
        <v/>
      </c>
      <c r="AD33" s="56">
        <f>$C33*INDEX(Curves!$V$8:$V$68,AD$4-$B33+1)</f>
        <v/>
      </c>
      <c r="AE33" s="56">
        <f>$C33*INDEX(Curves!$V$8:$V$68,AE$4-$B33+1)</f>
        <v/>
      </c>
      <c r="AF33" s="56">
        <f>$C33*INDEX(Curves!$V$8:$V$68,AF$4-$B33+1)</f>
        <v/>
      </c>
      <c r="AG33" s="56">
        <f>$C33*INDEX(Curves!$V$8:$V$68,AG$4-$B33+1)</f>
        <v/>
      </c>
      <c r="AH33" s="56">
        <f>$C33*INDEX(Curves!$V$8:$V$68,AH$4-$B33+1)</f>
        <v/>
      </c>
      <c r="AI33" s="56">
        <f>$C33*INDEX(Curves!$V$8:$V$68,AI$4-$B33+1)</f>
        <v/>
      </c>
      <c r="AJ33" s="56">
        <f>$C33*INDEX(Curves!$V$8:$V$68,AJ$4-$B33+1)</f>
        <v/>
      </c>
      <c r="AK33" s="56">
        <f>$C33*INDEX(Curves!$V$8:$V$68,AK$4-$B33+1)</f>
        <v/>
      </c>
      <c r="AL33" s="56">
        <f>$C33*INDEX(Curves!$V$8:$V$68,AL$4-$B33+1)</f>
        <v/>
      </c>
      <c r="AM33" s="56">
        <f>$C33*INDEX(Curves!$V$8:$V$68,AM$4-$B33+1)</f>
        <v/>
      </c>
      <c r="AN33" s="56">
        <f>$C33*INDEX(Curves!$V$8:$V$68,AN$4-$B33+1)</f>
        <v/>
      </c>
      <c r="AO33" s="56">
        <f>$C33*INDEX(Curves!$V$8:$V$68,AO$4-$B33+1)</f>
        <v/>
      </c>
      <c r="AP33" s="56">
        <f>$C33*INDEX(Curves!$V$8:$V$68,AP$4-$B33+1)</f>
        <v/>
      </c>
      <c r="AQ33" s="56">
        <f>$C33*INDEX(Curves!$V$8:$V$68,AQ$4-$B33+1)</f>
        <v/>
      </c>
      <c r="AR33" s="56">
        <f>$C33*INDEX(Curves!$V$8:$V$68,AR$4-$B33+1)</f>
        <v/>
      </c>
      <c r="AS33" s="56">
        <f>$C33*INDEX(Curves!$V$8:$V$68,AS$4-$B33+1)</f>
        <v/>
      </c>
      <c r="AT33" s="56">
        <f>$C33*INDEX(Curves!$V$8:$V$68,AT$4-$B33+1)</f>
        <v/>
      </c>
      <c r="AU33" s="56">
        <f>$C33*INDEX(Curves!$V$8:$V$68,AU$4-$B33+1)</f>
        <v/>
      </c>
      <c r="AV33" s="56">
        <f>$C33*INDEX(Curves!$V$8:$V$68,AV$4-$B33+1)</f>
        <v/>
      </c>
      <c r="AW33" s="56">
        <f>$C33*INDEX(Curves!$V$8:$V$68,AW$4-$B33+1)</f>
        <v/>
      </c>
      <c r="AX33" s="56">
        <f>$C33*INDEX(Curves!$V$8:$V$68,AX$4-$B33+1)</f>
        <v/>
      </c>
      <c r="AY33" s="56">
        <f>$C33*INDEX(Curves!$V$8:$V$68,AY$4-$B33+1)</f>
        <v/>
      </c>
      <c r="AZ33" s="56">
        <f>$C33*INDEX(Curves!$V$8:$V$68,AZ$4-$B33+1)</f>
        <v/>
      </c>
      <c r="BA33" s="56">
        <f>$C33*INDEX(Curves!$V$8:$V$68,BA$4-$B33+1)</f>
        <v/>
      </c>
      <c r="BB33" s="56">
        <f>$C33*INDEX(Curves!$V$8:$V$68,BB$4-$B33+1)</f>
        <v/>
      </c>
      <c r="BC33" s="56">
        <f>$C33*INDEX(Curves!$V$8:$V$68,BC$4-$B33+1)</f>
        <v/>
      </c>
      <c r="BD33" s="56">
        <f>$C33*INDEX(Curves!$V$8:$V$68,BD$4-$B33+1)</f>
        <v/>
      </c>
      <c r="BE33" s="56">
        <f>$C33*INDEX(Curves!$V$8:$V$68,BE$4-$B33+1)</f>
        <v/>
      </c>
      <c r="BF33" s="56">
        <f>$C33*INDEX(Curves!$V$8:$V$68,BF$4-$B33+1)</f>
        <v/>
      </c>
      <c r="BG33" s="56">
        <f>$C33*INDEX(Curves!$V$8:$V$68,BG$4-$B33+1)</f>
        <v/>
      </c>
      <c r="BH33" s="56">
        <f>$C33*INDEX(Curves!$V$8:$V$68,BH$4-$B33+1)</f>
        <v/>
      </c>
      <c r="BI33" s="56">
        <f>$C33*INDEX(Curves!$V$8:$V$68,BI$4-$B33+1)</f>
        <v/>
      </c>
      <c r="BJ33" s="56">
        <f>$C33*INDEX(Curves!$V$8:$V$68,BJ$4-$B33+1)</f>
        <v/>
      </c>
      <c r="BK33" s="56">
        <f>$C33*INDEX(Curves!$V$8:$V$68,BK$4-$B33+1)</f>
        <v/>
      </c>
      <c r="BL33" s="56">
        <f>$C33*INDEX(Curves!$V$8:$V$68,BL$4-$B33+1)</f>
        <v/>
      </c>
    </row>
    <row r="34">
      <c r="A34" s="55" t="inlineStr">
        <is>
          <t>Cohort month 25</t>
        </is>
      </c>
      <c r="B34" s="55" t="n">
        <v>25</v>
      </c>
      <c r="C34" s="46">
        <f>INDEX(Ops!$E$40:$BL$40,1,$B34)</f>
        <v/>
      </c>
      <c r="AD34" s="56">
        <f>$C34*INDEX(Curves!$V$8:$V$68,AD$4-$B34+1)</f>
        <v/>
      </c>
      <c r="AE34" s="56">
        <f>$C34*INDEX(Curves!$V$8:$V$68,AE$4-$B34+1)</f>
        <v/>
      </c>
      <c r="AF34" s="56">
        <f>$C34*INDEX(Curves!$V$8:$V$68,AF$4-$B34+1)</f>
        <v/>
      </c>
      <c r="AG34" s="56">
        <f>$C34*INDEX(Curves!$V$8:$V$68,AG$4-$B34+1)</f>
        <v/>
      </c>
      <c r="AH34" s="56">
        <f>$C34*INDEX(Curves!$V$8:$V$68,AH$4-$B34+1)</f>
        <v/>
      </c>
      <c r="AI34" s="56">
        <f>$C34*INDEX(Curves!$V$8:$V$68,AI$4-$B34+1)</f>
        <v/>
      </c>
      <c r="AJ34" s="56">
        <f>$C34*INDEX(Curves!$V$8:$V$68,AJ$4-$B34+1)</f>
        <v/>
      </c>
      <c r="AK34" s="56">
        <f>$C34*INDEX(Curves!$V$8:$V$68,AK$4-$B34+1)</f>
        <v/>
      </c>
      <c r="AL34" s="56">
        <f>$C34*INDEX(Curves!$V$8:$V$68,AL$4-$B34+1)</f>
        <v/>
      </c>
      <c r="AM34" s="56">
        <f>$C34*INDEX(Curves!$V$8:$V$68,AM$4-$B34+1)</f>
        <v/>
      </c>
      <c r="AN34" s="56">
        <f>$C34*INDEX(Curves!$V$8:$V$68,AN$4-$B34+1)</f>
        <v/>
      </c>
      <c r="AO34" s="56">
        <f>$C34*INDEX(Curves!$V$8:$V$68,AO$4-$B34+1)</f>
        <v/>
      </c>
      <c r="AP34" s="56">
        <f>$C34*INDEX(Curves!$V$8:$V$68,AP$4-$B34+1)</f>
        <v/>
      </c>
      <c r="AQ34" s="56">
        <f>$C34*INDEX(Curves!$V$8:$V$68,AQ$4-$B34+1)</f>
        <v/>
      </c>
      <c r="AR34" s="56">
        <f>$C34*INDEX(Curves!$V$8:$V$68,AR$4-$B34+1)</f>
        <v/>
      </c>
      <c r="AS34" s="56">
        <f>$C34*INDEX(Curves!$V$8:$V$68,AS$4-$B34+1)</f>
        <v/>
      </c>
      <c r="AT34" s="56">
        <f>$C34*INDEX(Curves!$V$8:$V$68,AT$4-$B34+1)</f>
        <v/>
      </c>
      <c r="AU34" s="56">
        <f>$C34*INDEX(Curves!$V$8:$V$68,AU$4-$B34+1)</f>
        <v/>
      </c>
      <c r="AV34" s="56">
        <f>$C34*INDEX(Curves!$V$8:$V$68,AV$4-$B34+1)</f>
        <v/>
      </c>
      <c r="AW34" s="56">
        <f>$C34*INDEX(Curves!$V$8:$V$68,AW$4-$B34+1)</f>
        <v/>
      </c>
      <c r="AX34" s="56">
        <f>$C34*INDEX(Curves!$V$8:$V$68,AX$4-$B34+1)</f>
        <v/>
      </c>
      <c r="AY34" s="56">
        <f>$C34*INDEX(Curves!$V$8:$V$68,AY$4-$B34+1)</f>
        <v/>
      </c>
      <c r="AZ34" s="56">
        <f>$C34*INDEX(Curves!$V$8:$V$68,AZ$4-$B34+1)</f>
        <v/>
      </c>
      <c r="BA34" s="56">
        <f>$C34*INDEX(Curves!$V$8:$V$68,BA$4-$B34+1)</f>
        <v/>
      </c>
      <c r="BB34" s="56">
        <f>$C34*INDEX(Curves!$V$8:$V$68,BB$4-$B34+1)</f>
        <v/>
      </c>
      <c r="BC34" s="56">
        <f>$C34*INDEX(Curves!$V$8:$V$68,BC$4-$B34+1)</f>
        <v/>
      </c>
      <c r="BD34" s="56">
        <f>$C34*INDEX(Curves!$V$8:$V$68,BD$4-$B34+1)</f>
        <v/>
      </c>
      <c r="BE34" s="56">
        <f>$C34*INDEX(Curves!$V$8:$V$68,BE$4-$B34+1)</f>
        <v/>
      </c>
      <c r="BF34" s="56">
        <f>$C34*INDEX(Curves!$V$8:$V$68,BF$4-$B34+1)</f>
        <v/>
      </c>
      <c r="BG34" s="56">
        <f>$C34*INDEX(Curves!$V$8:$V$68,BG$4-$B34+1)</f>
        <v/>
      </c>
      <c r="BH34" s="56">
        <f>$C34*INDEX(Curves!$V$8:$V$68,BH$4-$B34+1)</f>
        <v/>
      </c>
      <c r="BI34" s="56">
        <f>$C34*INDEX(Curves!$V$8:$V$68,BI$4-$B34+1)</f>
        <v/>
      </c>
      <c r="BJ34" s="56">
        <f>$C34*INDEX(Curves!$V$8:$V$68,BJ$4-$B34+1)</f>
        <v/>
      </c>
      <c r="BK34" s="56">
        <f>$C34*INDEX(Curves!$V$8:$V$68,BK$4-$B34+1)</f>
        <v/>
      </c>
      <c r="BL34" s="56">
        <f>$C34*INDEX(Curves!$V$8:$V$68,BL$4-$B34+1)</f>
        <v/>
      </c>
    </row>
    <row r="35">
      <c r="A35" s="55" t="inlineStr">
        <is>
          <t>Cohort month 26</t>
        </is>
      </c>
      <c r="B35" s="55" t="n">
        <v>26</v>
      </c>
      <c r="C35" s="46">
        <f>INDEX(Ops!$E$40:$BL$40,1,$B35)</f>
        <v/>
      </c>
      <c r="AE35" s="56">
        <f>$C35*INDEX(Curves!$V$8:$V$68,AE$4-$B35+1)</f>
        <v/>
      </c>
      <c r="AF35" s="56">
        <f>$C35*INDEX(Curves!$V$8:$V$68,AF$4-$B35+1)</f>
        <v/>
      </c>
      <c r="AG35" s="56">
        <f>$C35*INDEX(Curves!$V$8:$V$68,AG$4-$B35+1)</f>
        <v/>
      </c>
      <c r="AH35" s="56">
        <f>$C35*INDEX(Curves!$V$8:$V$68,AH$4-$B35+1)</f>
        <v/>
      </c>
      <c r="AI35" s="56">
        <f>$C35*INDEX(Curves!$V$8:$V$68,AI$4-$B35+1)</f>
        <v/>
      </c>
      <c r="AJ35" s="56">
        <f>$C35*INDEX(Curves!$V$8:$V$68,AJ$4-$B35+1)</f>
        <v/>
      </c>
      <c r="AK35" s="56">
        <f>$C35*INDEX(Curves!$V$8:$V$68,AK$4-$B35+1)</f>
        <v/>
      </c>
      <c r="AL35" s="56">
        <f>$C35*INDEX(Curves!$V$8:$V$68,AL$4-$B35+1)</f>
        <v/>
      </c>
      <c r="AM35" s="56">
        <f>$C35*INDEX(Curves!$V$8:$V$68,AM$4-$B35+1)</f>
        <v/>
      </c>
      <c r="AN35" s="56">
        <f>$C35*INDEX(Curves!$V$8:$V$68,AN$4-$B35+1)</f>
        <v/>
      </c>
      <c r="AO35" s="56">
        <f>$C35*INDEX(Curves!$V$8:$V$68,AO$4-$B35+1)</f>
        <v/>
      </c>
      <c r="AP35" s="56">
        <f>$C35*INDEX(Curves!$V$8:$V$68,AP$4-$B35+1)</f>
        <v/>
      </c>
      <c r="AQ35" s="56">
        <f>$C35*INDEX(Curves!$V$8:$V$68,AQ$4-$B35+1)</f>
        <v/>
      </c>
      <c r="AR35" s="56">
        <f>$C35*INDEX(Curves!$V$8:$V$68,AR$4-$B35+1)</f>
        <v/>
      </c>
      <c r="AS35" s="56">
        <f>$C35*INDEX(Curves!$V$8:$V$68,AS$4-$B35+1)</f>
        <v/>
      </c>
      <c r="AT35" s="56">
        <f>$C35*INDEX(Curves!$V$8:$V$68,AT$4-$B35+1)</f>
        <v/>
      </c>
      <c r="AU35" s="56">
        <f>$C35*INDEX(Curves!$V$8:$V$68,AU$4-$B35+1)</f>
        <v/>
      </c>
      <c r="AV35" s="56">
        <f>$C35*INDEX(Curves!$V$8:$V$68,AV$4-$B35+1)</f>
        <v/>
      </c>
      <c r="AW35" s="56">
        <f>$C35*INDEX(Curves!$V$8:$V$68,AW$4-$B35+1)</f>
        <v/>
      </c>
      <c r="AX35" s="56">
        <f>$C35*INDEX(Curves!$V$8:$V$68,AX$4-$B35+1)</f>
        <v/>
      </c>
      <c r="AY35" s="56">
        <f>$C35*INDEX(Curves!$V$8:$V$68,AY$4-$B35+1)</f>
        <v/>
      </c>
      <c r="AZ35" s="56">
        <f>$C35*INDEX(Curves!$V$8:$V$68,AZ$4-$B35+1)</f>
        <v/>
      </c>
      <c r="BA35" s="56">
        <f>$C35*INDEX(Curves!$V$8:$V$68,BA$4-$B35+1)</f>
        <v/>
      </c>
      <c r="BB35" s="56">
        <f>$C35*INDEX(Curves!$V$8:$V$68,BB$4-$B35+1)</f>
        <v/>
      </c>
      <c r="BC35" s="56">
        <f>$C35*INDEX(Curves!$V$8:$V$68,BC$4-$B35+1)</f>
        <v/>
      </c>
      <c r="BD35" s="56">
        <f>$C35*INDEX(Curves!$V$8:$V$68,BD$4-$B35+1)</f>
        <v/>
      </c>
      <c r="BE35" s="56">
        <f>$C35*INDEX(Curves!$V$8:$V$68,BE$4-$B35+1)</f>
        <v/>
      </c>
      <c r="BF35" s="56">
        <f>$C35*INDEX(Curves!$V$8:$V$68,BF$4-$B35+1)</f>
        <v/>
      </c>
      <c r="BG35" s="56">
        <f>$C35*INDEX(Curves!$V$8:$V$68,BG$4-$B35+1)</f>
        <v/>
      </c>
      <c r="BH35" s="56">
        <f>$C35*INDEX(Curves!$V$8:$V$68,BH$4-$B35+1)</f>
        <v/>
      </c>
      <c r="BI35" s="56">
        <f>$C35*INDEX(Curves!$V$8:$V$68,BI$4-$B35+1)</f>
        <v/>
      </c>
      <c r="BJ35" s="56">
        <f>$C35*INDEX(Curves!$V$8:$V$68,BJ$4-$B35+1)</f>
        <v/>
      </c>
      <c r="BK35" s="56">
        <f>$C35*INDEX(Curves!$V$8:$V$68,BK$4-$B35+1)</f>
        <v/>
      </c>
      <c r="BL35" s="56">
        <f>$C35*INDEX(Curves!$V$8:$V$68,BL$4-$B35+1)</f>
        <v/>
      </c>
    </row>
    <row r="36">
      <c r="A36" s="55" t="inlineStr">
        <is>
          <t>Cohort month 27</t>
        </is>
      </c>
      <c r="B36" s="55" t="n">
        <v>27</v>
      </c>
      <c r="C36" s="46">
        <f>INDEX(Ops!$E$40:$BL$40,1,$B36)</f>
        <v/>
      </c>
      <c r="AF36" s="56">
        <f>$C36*INDEX(Curves!$V$8:$V$68,AF$4-$B36+1)</f>
        <v/>
      </c>
      <c r="AG36" s="56">
        <f>$C36*INDEX(Curves!$V$8:$V$68,AG$4-$B36+1)</f>
        <v/>
      </c>
      <c r="AH36" s="56">
        <f>$C36*INDEX(Curves!$V$8:$V$68,AH$4-$B36+1)</f>
        <v/>
      </c>
      <c r="AI36" s="56">
        <f>$C36*INDEX(Curves!$V$8:$V$68,AI$4-$B36+1)</f>
        <v/>
      </c>
      <c r="AJ36" s="56">
        <f>$C36*INDEX(Curves!$V$8:$V$68,AJ$4-$B36+1)</f>
        <v/>
      </c>
      <c r="AK36" s="56">
        <f>$C36*INDEX(Curves!$V$8:$V$68,AK$4-$B36+1)</f>
        <v/>
      </c>
      <c r="AL36" s="56">
        <f>$C36*INDEX(Curves!$V$8:$V$68,AL$4-$B36+1)</f>
        <v/>
      </c>
      <c r="AM36" s="56">
        <f>$C36*INDEX(Curves!$V$8:$V$68,AM$4-$B36+1)</f>
        <v/>
      </c>
      <c r="AN36" s="56">
        <f>$C36*INDEX(Curves!$V$8:$V$68,AN$4-$B36+1)</f>
        <v/>
      </c>
      <c r="AO36" s="56">
        <f>$C36*INDEX(Curves!$V$8:$V$68,AO$4-$B36+1)</f>
        <v/>
      </c>
      <c r="AP36" s="56">
        <f>$C36*INDEX(Curves!$V$8:$V$68,AP$4-$B36+1)</f>
        <v/>
      </c>
      <c r="AQ36" s="56">
        <f>$C36*INDEX(Curves!$V$8:$V$68,AQ$4-$B36+1)</f>
        <v/>
      </c>
      <c r="AR36" s="56">
        <f>$C36*INDEX(Curves!$V$8:$V$68,AR$4-$B36+1)</f>
        <v/>
      </c>
      <c r="AS36" s="56">
        <f>$C36*INDEX(Curves!$V$8:$V$68,AS$4-$B36+1)</f>
        <v/>
      </c>
      <c r="AT36" s="56">
        <f>$C36*INDEX(Curves!$V$8:$V$68,AT$4-$B36+1)</f>
        <v/>
      </c>
      <c r="AU36" s="56">
        <f>$C36*INDEX(Curves!$V$8:$V$68,AU$4-$B36+1)</f>
        <v/>
      </c>
      <c r="AV36" s="56">
        <f>$C36*INDEX(Curves!$V$8:$V$68,AV$4-$B36+1)</f>
        <v/>
      </c>
      <c r="AW36" s="56">
        <f>$C36*INDEX(Curves!$V$8:$V$68,AW$4-$B36+1)</f>
        <v/>
      </c>
      <c r="AX36" s="56">
        <f>$C36*INDEX(Curves!$V$8:$V$68,AX$4-$B36+1)</f>
        <v/>
      </c>
      <c r="AY36" s="56">
        <f>$C36*INDEX(Curves!$V$8:$V$68,AY$4-$B36+1)</f>
        <v/>
      </c>
      <c r="AZ36" s="56">
        <f>$C36*INDEX(Curves!$V$8:$V$68,AZ$4-$B36+1)</f>
        <v/>
      </c>
      <c r="BA36" s="56">
        <f>$C36*INDEX(Curves!$V$8:$V$68,BA$4-$B36+1)</f>
        <v/>
      </c>
      <c r="BB36" s="56">
        <f>$C36*INDEX(Curves!$V$8:$V$68,BB$4-$B36+1)</f>
        <v/>
      </c>
      <c r="BC36" s="56">
        <f>$C36*INDEX(Curves!$V$8:$V$68,BC$4-$B36+1)</f>
        <v/>
      </c>
      <c r="BD36" s="56">
        <f>$C36*INDEX(Curves!$V$8:$V$68,BD$4-$B36+1)</f>
        <v/>
      </c>
      <c r="BE36" s="56">
        <f>$C36*INDEX(Curves!$V$8:$V$68,BE$4-$B36+1)</f>
        <v/>
      </c>
      <c r="BF36" s="56">
        <f>$C36*INDEX(Curves!$V$8:$V$68,BF$4-$B36+1)</f>
        <v/>
      </c>
      <c r="BG36" s="56">
        <f>$C36*INDEX(Curves!$V$8:$V$68,BG$4-$B36+1)</f>
        <v/>
      </c>
      <c r="BH36" s="56">
        <f>$C36*INDEX(Curves!$V$8:$V$68,BH$4-$B36+1)</f>
        <v/>
      </c>
      <c r="BI36" s="56">
        <f>$C36*INDEX(Curves!$V$8:$V$68,BI$4-$B36+1)</f>
        <v/>
      </c>
      <c r="BJ36" s="56">
        <f>$C36*INDEX(Curves!$V$8:$V$68,BJ$4-$B36+1)</f>
        <v/>
      </c>
      <c r="BK36" s="56">
        <f>$C36*INDEX(Curves!$V$8:$V$68,BK$4-$B36+1)</f>
        <v/>
      </c>
      <c r="BL36" s="56">
        <f>$C36*INDEX(Curves!$V$8:$V$68,BL$4-$B36+1)</f>
        <v/>
      </c>
    </row>
    <row r="37">
      <c r="A37" s="55" t="inlineStr">
        <is>
          <t>Cohort month 28</t>
        </is>
      </c>
      <c r="B37" s="55" t="n">
        <v>28</v>
      </c>
      <c r="C37" s="46">
        <f>INDEX(Ops!$E$40:$BL$40,1,$B37)</f>
        <v/>
      </c>
      <c r="AG37" s="56">
        <f>$C37*INDEX(Curves!$V$8:$V$68,AG$4-$B37+1)</f>
        <v/>
      </c>
      <c r="AH37" s="56">
        <f>$C37*INDEX(Curves!$V$8:$V$68,AH$4-$B37+1)</f>
        <v/>
      </c>
      <c r="AI37" s="56">
        <f>$C37*INDEX(Curves!$V$8:$V$68,AI$4-$B37+1)</f>
        <v/>
      </c>
      <c r="AJ37" s="56">
        <f>$C37*INDEX(Curves!$V$8:$V$68,AJ$4-$B37+1)</f>
        <v/>
      </c>
      <c r="AK37" s="56">
        <f>$C37*INDEX(Curves!$V$8:$V$68,AK$4-$B37+1)</f>
        <v/>
      </c>
      <c r="AL37" s="56">
        <f>$C37*INDEX(Curves!$V$8:$V$68,AL$4-$B37+1)</f>
        <v/>
      </c>
      <c r="AM37" s="56">
        <f>$C37*INDEX(Curves!$V$8:$V$68,AM$4-$B37+1)</f>
        <v/>
      </c>
      <c r="AN37" s="56">
        <f>$C37*INDEX(Curves!$V$8:$V$68,AN$4-$B37+1)</f>
        <v/>
      </c>
      <c r="AO37" s="56">
        <f>$C37*INDEX(Curves!$V$8:$V$68,AO$4-$B37+1)</f>
        <v/>
      </c>
      <c r="AP37" s="56">
        <f>$C37*INDEX(Curves!$V$8:$V$68,AP$4-$B37+1)</f>
        <v/>
      </c>
      <c r="AQ37" s="56">
        <f>$C37*INDEX(Curves!$V$8:$V$68,AQ$4-$B37+1)</f>
        <v/>
      </c>
      <c r="AR37" s="56">
        <f>$C37*INDEX(Curves!$V$8:$V$68,AR$4-$B37+1)</f>
        <v/>
      </c>
      <c r="AS37" s="56">
        <f>$C37*INDEX(Curves!$V$8:$V$68,AS$4-$B37+1)</f>
        <v/>
      </c>
      <c r="AT37" s="56">
        <f>$C37*INDEX(Curves!$V$8:$V$68,AT$4-$B37+1)</f>
        <v/>
      </c>
      <c r="AU37" s="56">
        <f>$C37*INDEX(Curves!$V$8:$V$68,AU$4-$B37+1)</f>
        <v/>
      </c>
      <c r="AV37" s="56">
        <f>$C37*INDEX(Curves!$V$8:$V$68,AV$4-$B37+1)</f>
        <v/>
      </c>
      <c r="AW37" s="56">
        <f>$C37*INDEX(Curves!$V$8:$V$68,AW$4-$B37+1)</f>
        <v/>
      </c>
      <c r="AX37" s="56">
        <f>$C37*INDEX(Curves!$V$8:$V$68,AX$4-$B37+1)</f>
        <v/>
      </c>
      <c r="AY37" s="56">
        <f>$C37*INDEX(Curves!$V$8:$V$68,AY$4-$B37+1)</f>
        <v/>
      </c>
      <c r="AZ37" s="56">
        <f>$C37*INDEX(Curves!$V$8:$V$68,AZ$4-$B37+1)</f>
        <v/>
      </c>
      <c r="BA37" s="56">
        <f>$C37*INDEX(Curves!$V$8:$V$68,BA$4-$B37+1)</f>
        <v/>
      </c>
      <c r="BB37" s="56">
        <f>$C37*INDEX(Curves!$V$8:$V$68,BB$4-$B37+1)</f>
        <v/>
      </c>
      <c r="BC37" s="56">
        <f>$C37*INDEX(Curves!$V$8:$V$68,BC$4-$B37+1)</f>
        <v/>
      </c>
      <c r="BD37" s="56">
        <f>$C37*INDEX(Curves!$V$8:$V$68,BD$4-$B37+1)</f>
        <v/>
      </c>
      <c r="BE37" s="56">
        <f>$C37*INDEX(Curves!$V$8:$V$68,BE$4-$B37+1)</f>
        <v/>
      </c>
      <c r="BF37" s="56">
        <f>$C37*INDEX(Curves!$V$8:$V$68,BF$4-$B37+1)</f>
        <v/>
      </c>
      <c r="BG37" s="56">
        <f>$C37*INDEX(Curves!$V$8:$V$68,BG$4-$B37+1)</f>
        <v/>
      </c>
      <c r="BH37" s="56">
        <f>$C37*INDEX(Curves!$V$8:$V$68,BH$4-$B37+1)</f>
        <v/>
      </c>
      <c r="BI37" s="56">
        <f>$C37*INDEX(Curves!$V$8:$V$68,BI$4-$B37+1)</f>
        <v/>
      </c>
      <c r="BJ37" s="56">
        <f>$C37*INDEX(Curves!$V$8:$V$68,BJ$4-$B37+1)</f>
        <v/>
      </c>
      <c r="BK37" s="56">
        <f>$C37*INDEX(Curves!$V$8:$V$68,BK$4-$B37+1)</f>
        <v/>
      </c>
      <c r="BL37" s="56">
        <f>$C37*INDEX(Curves!$V$8:$V$68,BL$4-$B37+1)</f>
        <v/>
      </c>
    </row>
    <row r="38">
      <c r="A38" s="55" t="inlineStr">
        <is>
          <t>Cohort month 29</t>
        </is>
      </c>
      <c r="B38" s="55" t="n">
        <v>29</v>
      </c>
      <c r="C38" s="46">
        <f>INDEX(Ops!$E$40:$BL$40,1,$B38)</f>
        <v/>
      </c>
      <c r="AH38" s="56">
        <f>$C38*INDEX(Curves!$V$8:$V$68,AH$4-$B38+1)</f>
        <v/>
      </c>
      <c r="AI38" s="56">
        <f>$C38*INDEX(Curves!$V$8:$V$68,AI$4-$B38+1)</f>
        <v/>
      </c>
      <c r="AJ38" s="56">
        <f>$C38*INDEX(Curves!$V$8:$V$68,AJ$4-$B38+1)</f>
        <v/>
      </c>
      <c r="AK38" s="56">
        <f>$C38*INDEX(Curves!$V$8:$V$68,AK$4-$B38+1)</f>
        <v/>
      </c>
      <c r="AL38" s="56">
        <f>$C38*INDEX(Curves!$V$8:$V$68,AL$4-$B38+1)</f>
        <v/>
      </c>
      <c r="AM38" s="56">
        <f>$C38*INDEX(Curves!$V$8:$V$68,AM$4-$B38+1)</f>
        <v/>
      </c>
      <c r="AN38" s="56">
        <f>$C38*INDEX(Curves!$V$8:$V$68,AN$4-$B38+1)</f>
        <v/>
      </c>
      <c r="AO38" s="56">
        <f>$C38*INDEX(Curves!$V$8:$V$68,AO$4-$B38+1)</f>
        <v/>
      </c>
      <c r="AP38" s="56">
        <f>$C38*INDEX(Curves!$V$8:$V$68,AP$4-$B38+1)</f>
        <v/>
      </c>
      <c r="AQ38" s="56">
        <f>$C38*INDEX(Curves!$V$8:$V$68,AQ$4-$B38+1)</f>
        <v/>
      </c>
      <c r="AR38" s="56">
        <f>$C38*INDEX(Curves!$V$8:$V$68,AR$4-$B38+1)</f>
        <v/>
      </c>
      <c r="AS38" s="56">
        <f>$C38*INDEX(Curves!$V$8:$V$68,AS$4-$B38+1)</f>
        <v/>
      </c>
      <c r="AT38" s="56">
        <f>$C38*INDEX(Curves!$V$8:$V$68,AT$4-$B38+1)</f>
        <v/>
      </c>
      <c r="AU38" s="56">
        <f>$C38*INDEX(Curves!$V$8:$V$68,AU$4-$B38+1)</f>
        <v/>
      </c>
      <c r="AV38" s="56">
        <f>$C38*INDEX(Curves!$V$8:$V$68,AV$4-$B38+1)</f>
        <v/>
      </c>
      <c r="AW38" s="56">
        <f>$C38*INDEX(Curves!$V$8:$V$68,AW$4-$B38+1)</f>
        <v/>
      </c>
      <c r="AX38" s="56">
        <f>$C38*INDEX(Curves!$V$8:$V$68,AX$4-$B38+1)</f>
        <v/>
      </c>
      <c r="AY38" s="56">
        <f>$C38*INDEX(Curves!$V$8:$V$68,AY$4-$B38+1)</f>
        <v/>
      </c>
      <c r="AZ38" s="56">
        <f>$C38*INDEX(Curves!$V$8:$V$68,AZ$4-$B38+1)</f>
        <v/>
      </c>
      <c r="BA38" s="56">
        <f>$C38*INDEX(Curves!$V$8:$V$68,BA$4-$B38+1)</f>
        <v/>
      </c>
      <c r="BB38" s="56">
        <f>$C38*INDEX(Curves!$V$8:$V$68,BB$4-$B38+1)</f>
        <v/>
      </c>
      <c r="BC38" s="56">
        <f>$C38*INDEX(Curves!$V$8:$V$68,BC$4-$B38+1)</f>
        <v/>
      </c>
      <c r="BD38" s="56">
        <f>$C38*INDEX(Curves!$V$8:$V$68,BD$4-$B38+1)</f>
        <v/>
      </c>
      <c r="BE38" s="56">
        <f>$C38*INDEX(Curves!$V$8:$V$68,BE$4-$B38+1)</f>
        <v/>
      </c>
      <c r="BF38" s="56">
        <f>$C38*INDEX(Curves!$V$8:$V$68,BF$4-$B38+1)</f>
        <v/>
      </c>
      <c r="BG38" s="56">
        <f>$C38*INDEX(Curves!$V$8:$V$68,BG$4-$B38+1)</f>
        <v/>
      </c>
      <c r="BH38" s="56">
        <f>$C38*INDEX(Curves!$V$8:$V$68,BH$4-$B38+1)</f>
        <v/>
      </c>
      <c r="BI38" s="56">
        <f>$C38*INDEX(Curves!$V$8:$V$68,BI$4-$B38+1)</f>
        <v/>
      </c>
      <c r="BJ38" s="56">
        <f>$C38*INDEX(Curves!$V$8:$V$68,BJ$4-$B38+1)</f>
        <v/>
      </c>
      <c r="BK38" s="56">
        <f>$C38*INDEX(Curves!$V$8:$V$68,BK$4-$B38+1)</f>
        <v/>
      </c>
      <c r="BL38" s="56">
        <f>$C38*INDEX(Curves!$V$8:$V$68,BL$4-$B38+1)</f>
        <v/>
      </c>
    </row>
    <row r="39">
      <c r="A39" s="55" t="inlineStr">
        <is>
          <t>Cohort month 30</t>
        </is>
      </c>
      <c r="B39" s="55" t="n">
        <v>30</v>
      </c>
      <c r="C39" s="46">
        <f>INDEX(Ops!$E$40:$BL$40,1,$B39)</f>
        <v/>
      </c>
      <c r="AI39" s="56">
        <f>$C39*INDEX(Curves!$V$8:$V$68,AI$4-$B39+1)</f>
        <v/>
      </c>
      <c r="AJ39" s="56">
        <f>$C39*INDEX(Curves!$V$8:$V$68,AJ$4-$B39+1)</f>
        <v/>
      </c>
      <c r="AK39" s="56">
        <f>$C39*INDEX(Curves!$V$8:$V$68,AK$4-$B39+1)</f>
        <v/>
      </c>
      <c r="AL39" s="56">
        <f>$C39*INDEX(Curves!$V$8:$V$68,AL$4-$B39+1)</f>
        <v/>
      </c>
      <c r="AM39" s="56">
        <f>$C39*INDEX(Curves!$V$8:$V$68,AM$4-$B39+1)</f>
        <v/>
      </c>
      <c r="AN39" s="56">
        <f>$C39*INDEX(Curves!$V$8:$V$68,AN$4-$B39+1)</f>
        <v/>
      </c>
      <c r="AO39" s="56">
        <f>$C39*INDEX(Curves!$V$8:$V$68,AO$4-$B39+1)</f>
        <v/>
      </c>
      <c r="AP39" s="56">
        <f>$C39*INDEX(Curves!$V$8:$V$68,AP$4-$B39+1)</f>
        <v/>
      </c>
      <c r="AQ39" s="56">
        <f>$C39*INDEX(Curves!$V$8:$V$68,AQ$4-$B39+1)</f>
        <v/>
      </c>
      <c r="AR39" s="56">
        <f>$C39*INDEX(Curves!$V$8:$V$68,AR$4-$B39+1)</f>
        <v/>
      </c>
      <c r="AS39" s="56">
        <f>$C39*INDEX(Curves!$V$8:$V$68,AS$4-$B39+1)</f>
        <v/>
      </c>
      <c r="AT39" s="56">
        <f>$C39*INDEX(Curves!$V$8:$V$68,AT$4-$B39+1)</f>
        <v/>
      </c>
      <c r="AU39" s="56">
        <f>$C39*INDEX(Curves!$V$8:$V$68,AU$4-$B39+1)</f>
        <v/>
      </c>
      <c r="AV39" s="56">
        <f>$C39*INDEX(Curves!$V$8:$V$68,AV$4-$B39+1)</f>
        <v/>
      </c>
      <c r="AW39" s="56">
        <f>$C39*INDEX(Curves!$V$8:$V$68,AW$4-$B39+1)</f>
        <v/>
      </c>
      <c r="AX39" s="56">
        <f>$C39*INDEX(Curves!$V$8:$V$68,AX$4-$B39+1)</f>
        <v/>
      </c>
      <c r="AY39" s="56">
        <f>$C39*INDEX(Curves!$V$8:$V$68,AY$4-$B39+1)</f>
        <v/>
      </c>
      <c r="AZ39" s="56">
        <f>$C39*INDEX(Curves!$V$8:$V$68,AZ$4-$B39+1)</f>
        <v/>
      </c>
      <c r="BA39" s="56">
        <f>$C39*INDEX(Curves!$V$8:$V$68,BA$4-$B39+1)</f>
        <v/>
      </c>
      <c r="BB39" s="56">
        <f>$C39*INDEX(Curves!$V$8:$V$68,BB$4-$B39+1)</f>
        <v/>
      </c>
      <c r="BC39" s="56">
        <f>$C39*INDEX(Curves!$V$8:$V$68,BC$4-$B39+1)</f>
        <v/>
      </c>
      <c r="BD39" s="56">
        <f>$C39*INDEX(Curves!$V$8:$V$68,BD$4-$B39+1)</f>
        <v/>
      </c>
      <c r="BE39" s="56">
        <f>$C39*INDEX(Curves!$V$8:$V$68,BE$4-$B39+1)</f>
        <v/>
      </c>
      <c r="BF39" s="56">
        <f>$C39*INDEX(Curves!$V$8:$V$68,BF$4-$B39+1)</f>
        <v/>
      </c>
      <c r="BG39" s="56">
        <f>$C39*INDEX(Curves!$V$8:$V$68,BG$4-$B39+1)</f>
        <v/>
      </c>
      <c r="BH39" s="56">
        <f>$C39*INDEX(Curves!$V$8:$V$68,BH$4-$B39+1)</f>
        <v/>
      </c>
      <c r="BI39" s="56">
        <f>$C39*INDEX(Curves!$V$8:$V$68,BI$4-$B39+1)</f>
        <v/>
      </c>
      <c r="BJ39" s="56">
        <f>$C39*INDEX(Curves!$V$8:$V$68,BJ$4-$B39+1)</f>
        <v/>
      </c>
      <c r="BK39" s="56">
        <f>$C39*INDEX(Curves!$V$8:$V$68,BK$4-$B39+1)</f>
        <v/>
      </c>
      <c r="BL39" s="56">
        <f>$C39*INDEX(Curves!$V$8:$V$68,BL$4-$B39+1)</f>
        <v/>
      </c>
    </row>
    <row r="40">
      <c r="A40" s="55" t="inlineStr">
        <is>
          <t>Cohort month 31</t>
        </is>
      </c>
      <c r="B40" s="55" t="n">
        <v>31</v>
      </c>
      <c r="C40" s="46">
        <f>INDEX(Ops!$E$40:$BL$40,1,$B40)</f>
        <v/>
      </c>
      <c r="AJ40" s="56">
        <f>$C40*INDEX(Curves!$V$8:$V$68,AJ$4-$B40+1)</f>
        <v/>
      </c>
      <c r="AK40" s="56">
        <f>$C40*INDEX(Curves!$V$8:$V$68,AK$4-$B40+1)</f>
        <v/>
      </c>
      <c r="AL40" s="56">
        <f>$C40*INDEX(Curves!$V$8:$V$68,AL$4-$B40+1)</f>
        <v/>
      </c>
      <c r="AM40" s="56">
        <f>$C40*INDEX(Curves!$V$8:$V$68,AM$4-$B40+1)</f>
        <v/>
      </c>
      <c r="AN40" s="56">
        <f>$C40*INDEX(Curves!$V$8:$V$68,AN$4-$B40+1)</f>
        <v/>
      </c>
      <c r="AO40" s="56">
        <f>$C40*INDEX(Curves!$V$8:$V$68,AO$4-$B40+1)</f>
        <v/>
      </c>
      <c r="AP40" s="56">
        <f>$C40*INDEX(Curves!$V$8:$V$68,AP$4-$B40+1)</f>
        <v/>
      </c>
      <c r="AQ40" s="56">
        <f>$C40*INDEX(Curves!$V$8:$V$68,AQ$4-$B40+1)</f>
        <v/>
      </c>
      <c r="AR40" s="56">
        <f>$C40*INDEX(Curves!$V$8:$V$68,AR$4-$B40+1)</f>
        <v/>
      </c>
      <c r="AS40" s="56">
        <f>$C40*INDEX(Curves!$V$8:$V$68,AS$4-$B40+1)</f>
        <v/>
      </c>
      <c r="AT40" s="56">
        <f>$C40*INDEX(Curves!$V$8:$V$68,AT$4-$B40+1)</f>
        <v/>
      </c>
      <c r="AU40" s="56">
        <f>$C40*INDEX(Curves!$V$8:$V$68,AU$4-$B40+1)</f>
        <v/>
      </c>
      <c r="AV40" s="56">
        <f>$C40*INDEX(Curves!$V$8:$V$68,AV$4-$B40+1)</f>
        <v/>
      </c>
      <c r="AW40" s="56">
        <f>$C40*INDEX(Curves!$V$8:$V$68,AW$4-$B40+1)</f>
        <v/>
      </c>
      <c r="AX40" s="56">
        <f>$C40*INDEX(Curves!$V$8:$V$68,AX$4-$B40+1)</f>
        <v/>
      </c>
      <c r="AY40" s="56">
        <f>$C40*INDEX(Curves!$V$8:$V$68,AY$4-$B40+1)</f>
        <v/>
      </c>
      <c r="AZ40" s="56">
        <f>$C40*INDEX(Curves!$V$8:$V$68,AZ$4-$B40+1)</f>
        <v/>
      </c>
      <c r="BA40" s="56">
        <f>$C40*INDEX(Curves!$V$8:$V$68,BA$4-$B40+1)</f>
        <v/>
      </c>
      <c r="BB40" s="56">
        <f>$C40*INDEX(Curves!$V$8:$V$68,BB$4-$B40+1)</f>
        <v/>
      </c>
      <c r="BC40" s="56">
        <f>$C40*INDEX(Curves!$V$8:$V$68,BC$4-$B40+1)</f>
        <v/>
      </c>
      <c r="BD40" s="56">
        <f>$C40*INDEX(Curves!$V$8:$V$68,BD$4-$B40+1)</f>
        <v/>
      </c>
      <c r="BE40" s="56">
        <f>$C40*INDEX(Curves!$V$8:$V$68,BE$4-$B40+1)</f>
        <v/>
      </c>
      <c r="BF40" s="56">
        <f>$C40*INDEX(Curves!$V$8:$V$68,BF$4-$B40+1)</f>
        <v/>
      </c>
      <c r="BG40" s="56">
        <f>$C40*INDEX(Curves!$V$8:$V$68,BG$4-$B40+1)</f>
        <v/>
      </c>
      <c r="BH40" s="56">
        <f>$C40*INDEX(Curves!$V$8:$V$68,BH$4-$B40+1)</f>
        <v/>
      </c>
      <c r="BI40" s="56">
        <f>$C40*INDEX(Curves!$V$8:$V$68,BI$4-$B40+1)</f>
        <v/>
      </c>
      <c r="BJ40" s="56">
        <f>$C40*INDEX(Curves!$V$8:$V$68,BJ$4-$B40+1)</f>
        <v/>
      </c>
      <c r="BK40" s="56">
        <f>$C40*INDEX(Curves!$V$8:$V$68,BK$4-$B40+1)</f>
        <v/>
      </c>
      <c r="BL40" s="56">
        <f>$C40*INDEX(Curves!$V$8:$V$68,BL$4-$B40+1)</f>
        <v/>
      </c>
    </row>
    <row r="41">
      <c r="A41" s="55" t="inlineStr">
        <is>
          <t>Cohort month 32</t>
        </is>
      </c>
      <c r="B41" s="55" t="n">
        <v>32</v>
      </c>
      <c r="C41" s="46">
        <f>INDEX(Ops!$E$40:$BL$40,1,$B41)</f>
        <v/>
      </c>
      <c r="AK41" s="56">
        <f>$C41*INDEX(Curves!$V$8:$V$68,AK$4-$B41+1)</f>
        <v/>
      </c>
      <c r="AL41" s="56">
        <f>$C41*INDEX(Curves!$V$8:$V$68,AL$4-$B41+1)</f>
        <v/>
      </c>
      <c r="AM41" s="56">
        <f>$C41*INDEX(Curves!$V$8:$V$68,AM$4-$B41+1)</f>
        <v/>
      </c>
      <c r="AN41" s="56">
        <f>$C41*INDEX(Curves!$V$8:$V$68,AN$4-$B41+1)</f>
        <v/>
      </c>
      <c r="AO41" s="56">
        <f>$C41*INDEX(Curves!$V$8:$V$68,AO$4-$B41+1)</f>
        <v/>
      </c>
      <c r="AP41" s="56">
        <f>$C41*INDEX(Curves!$V$8:$V$68,AP$4-$B41+1)</f>
        <v/>
      </c>
      <c r="AQ41" s="56">
        <f>$C41*INDEX(Curves!$V$8:$V$68,AQ$4-$B41+1)</f>
        <v/>
      </c>
      <c r="AR41" s="56">
        <f>$C41*INDEX(Curves!$V$8:$V$68,AR$4-$B41+1)</f>
        <v/>
      </c>
      <c r="AS41" s="56">
        <f>$C41*INDEX(Curves!$V$8:$V$68,AS$4-$B41+1)</f>
        <v/>
      </c>
      <c r="AT41" s="56">
        <f>$C41*INDEX(Curves!$V$8:$V$68,AT$4-$B41+1)</f>
        <v/>
      </c>
      <c r="AU41" s="56">
        <f>$C41*INDEX(Curves!$V$8:$V$68,AU$4-$B41+1)</f>
        <v/>
      </c>
      <c r="AV41" s="56">
        <f>$C41*INDEX(Curves!$V$8:$V$68,AV$4-$B41+1)</f>
        <v/>
      </c>
      <c r="AW41" s="56">
        <f>$C41*INDEX(Curves!$V$8:$V$68,AW$4-$B41+1)</f>
        <v/>
      </c>
      <c r="AX41" s="56">
        <f>$C41*INDEX(Curves!$V$8:$V$68,AX$4-$B41+1)</f>
        <v/>
      </c>
      <c r="AY41" s="56">
        <f>$C41*INDEX(Curves!$V$8:$V$68,AY$4-$B41+1)</f>
        <v/>
      </c>
      <c r="AZ41" s="56">
        <f>$C41*INDEX(Curves!$V$8:$V$68,AZ$4-$B41+1)</f>
        <v/>
      </c>
      <c r="BA41" s="56">
        <f>$C41*INDEX(Curves!$V$8:$V$68,BA$4-$B41+1)</f>
        <v/>
      </c>
      <c r="BB41" s="56">
        <f>$C41*INDEX(Curves!$V$8:$V$68,BB$4-$B41+1)</f>
        <v/>
      </c>
      <c r="BC41" s="56">
        <f>$C41*INDEX(Curves!$V$8:$V$68,BC$4-$B41+1)</f>
        <v/>
      </c>
      <c r="BD41" s="56">
        <f>$C41*INDEX(Curves!$V$8:$V$68,BD$4-$B41+1)</f>
        <v/>
      </c>
      <c r="BE41" s="56">
        <f>$C41*INDEX(Curves!$V$8:$V$68,BE$4-$B41+1)</f>
        <v/>
      </c>
      <c r="BF41" s="56">
        <f>$C41*INDEX(Curves!$V$8:$V$68,BF$4-$B41+1)</f>
        <v/>
      </c>
      <c r="BG41" s="56">
        <f>$C41*INDEX(Curves!$V$8:$V$68,BG$4-$B41+1)</f>
        <v/>
      </c>
      <c r="BH41" s="56">
        <f>$C41*INDEX(Curves!$V$8:$V$68,BH$4-$B41+1)</f>
        <v/>
      </c>
      <c r="BI41" s="56">
        <f>$C41*INDEX(Curves!$V$8:$V$68,BI$4-$B41+1)</f>
        <v/>
      </c>
      <c r="BJ41" s="56">
        <f>$C41*INDEX(Curves!$V$8:$V$68,BJ$4-$B41+1)</f>
        <v/>
      </c>
      <c r="BK41" s="56">
        <f>$C41*INDEX(Curves!$V$8:$V$68,BK$4-$B41+1)</f>
        <v/>
      </c>
      <c r="BL41" s="56">
        <f>$C41*INDEX(Curves!$V$8:$V$68,BL$4-$B41+1)</f>
        <v/>
      </c>
    </row>
    <row r="42">
      <c r="A42" s="55" t="inlineStr">
        <is>
          <t>Cohort month 33</t>
        </is>
      </c>
      <c r="B42" s="55" t="n">
        <v>33</v>
      </c>
      <c r="C42" s="46">
        <f>INDEX(Ops!$E$40:$BL$40,1,$B42)</f>
        <v/>
      </c>
      <c r="AL42" s="56">
        <f>$C42*INDEX(Curves!$V$8:$V$68,AL$4-$B42+1)</f>
        <v/>
      </c>
      <c r="AM42" s="56">
        <f>$C42*INDEX(Curves!$V$8:$V$68,AM$4-$B42+1)</f>
        <v/>
      </c>
      <c r="AN42" s="56">
        <f>$C42*INDEX(Curves!$V$8:$V$68,AN$4-$B42+1)</f>
        <v/>
      </c>
      <c r="AO42" s="56">
        <f>$C42*INDEX(Curves!$V$8:$V$68,AO$4-$B42+1)</f>
        <v/>
      </c>
      <c r="AP42" s="56">
        <f>$C42*INDEX(Curves!$V$8:$V$68,AP$4-$B42+1)</f>
        <v/>
      </c>
      <c r="AQ42" s="56">
        <f>$C42*INDEX(Curves!$V$8:$V$68,AQ$4-$B42+1)</f>
        <v/>
      </c>
      <c r="AR42" s="56">
        <f>$C42*INDEX(Curves!$V$8:$V$68,AR$4-$B42+1)</f>
        <v/>
      </c>
      <c r="AS42" s="56">
        <f>$C42*INDEX(Curves!$V$8:$V$68,AS$4-$B42+1)</f>
        <v/>
      </c>
      <c r="AT42" s="56">
        <f>$C42*INDEX(Curves!$V$8:$V$68,AT$4-$B42+1)</f>
        <v/>
      </c>
      <c r="AU42" s="56">
        <f>$C42*INDEX(Curves!$V$8:$V$68,AU$4-$B42+1)</f>
        <v/>
      </c>
      <c r="AV42" s="56">
        <f>$C42*INDEX(Curves!$V$8:$V$68,AV$4-$B42+1)</f>
        <v/>
      </c>
      <c r="AW42" s="56">
        <f>$C42*INDEX(Curves!$V$8:$V$68,AW$4-$B42+1)</f>
        <v/>
      </c>
      <c r="AX42" s="56">
        <f>$C42*INDEX(Curves!$V$8:$V$68,AX$4-$B42+1)</f>
        <v/>
      </c>
      <c r="AY42" s="56">
        <f>$C42*INDEX(Curves!$V$8:$V$68,AY$4-$B42+1)</f>
        <v/>
      </c>
      <c r="AZ42" s="56">
        <f>$C42*INDEX(Curves!$V$8:$V$68,AZ$4-$B42+1)</f>
        <v/>
      </c>
      <c r="BA42" s="56">
        <f>$C42*INDEX(Curves!$V$8:$V$68,BA$4-$B42+1)</f>
        <v/>
      </c>
      <c r="BB42" s="56">
        <f>$C42*INDEX(Curves!$V$8:$V$68,BB$4-$B42+1)</f>
        <v/>
      </c>
      <c r="BC42" s="56">
        <f>$C42*INDEX(Curves!$V$8:$V$68,BC$4-$B42+1)</f>
        <v/>
      </c>
      <c r="BD42" s="56">
        <f>$C42*INDEX(Curves!$V$8:$V$68,BD$4-$B42+1)</f>
        <v/>
      </c>
      <c r="BE42" s="56">
        <f>$C42*INDEX(Curves!$V$8:$V$68,BE$4-$B42+1)</f>
        <v/>
      </c>
      <c r="BF42" s="56">
        <f>$C42*INDEX(Curves!$V$8:$V$68,BF$4-$B42+1)</f>
        <v/>
      </c>
      <c r="BG42" s="56">
        <f>$C42*INDEX(Curves!$V$8:$V$68,BG$4-$B42+1)</f>
        <v/>
      </c>
      <c r="BH42" s="56">
        <f>$C42*INDEX(Curves!$V$8:$V$68,BH$4-$B42+1)</f>
        <v/>
      </c>
      <c r="BI42" s="56">
        <f>$C42*INDEX(Curves!$V$8:$V$68,BI$4-$B42+1)</f>
        <v/>
      </c>
      <c r="BJ42" s="56">
        <f>$C42*INDEX(Curves!$V$8:$V$68,BJ$4-$B42+1)</f>
        <v/>
      </c>
      <c r="BK42" s="56">
        <f>$C42*INDEX(Curves!$V$8:$V$68,BK$4-$B42+1)</f>
        <v/>
      </c>
      <c r="BL42" s="56">
        <f>$C42*INDEX(Curves!$V$8:$V$68,BL$4-$B42+1)</f>
        <v/>
      </c>
    </row>
    <row r="43">
      <c r="A43" s="55" t="inlineStr">
        <is>
          <t>Cohort month 34</t>
        </is>
      </c>
      <c r="B43" s="55" t="n">
        <v>34</v>
      </c>
      <c r="C43" s="46">
        <f>INDEX(Ops!$E$40:$BL$40,1,$B43)</f>
        <v/>
      </c>
      <c r="AM43" s="56">
        <f>$C43*INDEX(Curves!$V$8:$V$68,AM$4-$B43+1)</f>
        <v/>
      </c>
      <c r="AN43" s="56">
        <f>$C43*INDEX(Curves!$V$8:$V$68,AN$4-$B43+1)</f>
        <v/>
      </c>
      <c r="AO43" s="56">
        <f>$C43*INDEX(Curves!$V$8:$V$68,AO$4-$B43+1)</f>
        <v/>
      </c>
      <c r="AP43" s="56">
        <f>$C43*INDEX(Curves!$V$8:$V$68,AP$4-$B43+1)</f>
        <v/>
      </c>
      <c r="AQ43" s="56">
        <f>$C43*INDEX(Curves!$V$8:$V$68,AQ$4-$B43+1)</f>
        <v/>
      </c>
      <c r="AR43" s="56">
        <f>$C43*INDEX(Curves!$V$8:$V$68,AR$4-$B43+1)</f>
        <v/>
      </c>
      <c r="AS43" s="56">
        <f>$C43*INDEX(Curves!$V$8:$V$68,AS$4-$B43+1)</f>
        <v/>
      </c>
      <c r="AT43" s="56">
        <f>$C43*INDEX(Curves!$V$8:$V$68,AT$4-$B43+1)</f>
        <v/>
      </c>
      <c r="AU43" s="56">
        <f>$C43*INDEX(Curves!$V$8:$V$68,AU$4-$B43+1)</f>
        <v/>
      </c>
      <c r="AV43" s="56">
        <f>$C43*INDEX(Curves!$V$8:$V$68,AV$4-$B43+1)</f>
        <v/>
      </c>
      <c r="AW43" s="56">
        <f>$C43*INDEX(Curves!$V$8:$V$68,AW$4-$B43+1)</f>
        <v/>
      </c>
      <c r="AX43" s="56">
        <f>$C43*INDEX(Curves!$V$8:$V$68,AX$4-$B43+1)</f>
        <v/>
      </c>
      <c r="AY43" s="56">
        <f>$C43*INDEX(Curves!$V$8:$V$68,AY$4-$B43+1)</f>
        <v/>
      </c>
      <c r="AZ43" s="56">
        <f>$C43*INDEX(Curves!$V$8:$V$68,AZ$4-$B43+1)</f>
        <v/>
      </c>
      <c r="BA43" s="56">
        <f>$C43*INDEX(Curves!$V$8:$V$68,BA$4-$B43+1)</f>
        <v/>
      </c>
      <c r="BB43" s="56">
        <f>$C43*INDEX(Curves!$V$8:$V$68,BB$4-$B43+1)</f>
        <v/>
      </c>
      <c r="BC43" s="56">
        <f>$C43*INDEX(Curves!$V$8:$V$68,BC$4-$B43+1)</f>
        <v/>
      </c>
      <c r="BD43" s="56">
        <f>$C43*INDEX(Curves!$V$8:$V$68,BD$4-$B43+1)</f>
        <v/>
      </c>
      <c r="BE43" s="56">
        <f>$C43*INDEX(Curves!$V$8:$V$68,BE$4-$B43+1)</f>
        <v/>
      </c>
      <c r="BF43" s="56">
        <f>$C43*INDEX(Curves!$V$8:$V$68,BF$4-$B43+1)</f>
        <v/>
      </c>
      <c r="BG43" s="56">
        <f>$C43*INDEX(Curves!$V$8:$V$68,BG$4-$B43+1)</f>
        <v/>
      </c>
      <c r="BH43" s="56">
        <f>$C43*INDEX(Curves!$V$8:$V$68,BH$4-$B43+1)</f>
        <v/>
      </c>
      <c r="BI43" s="56">
        <f>$C43*INDEX(Curves!$V$8:$V$68,BI$4-$B43+1)</f>
        <v/>
      </c>
      <c r="BJ43" s="56">
        <f>$C43*INDEX(Curves!$V$8:$V$68,BJ$4-$B43+1)</f>
        <v/>
      </c>
      <c r="BK43" s="56">
        <f>$C43*INDEX(Curves!$V$8:$V$68,BK$4-$B43+1)</f>
        <v/>
      </c>
      <c r="BL43" s="56">
        <f>$C43*INDEX(Curves!$V$8:$V$68,BL$4-$B43+1)</f>
        <v/>
      </c>
    </row>
    <row r="44">
      <c r="A44" s="55" t="inlineStr">
        <is>
          <t>Cohort month 35</t>
        </is>
      </c>
      <c r="B44" s="55" t="n">
        <v>35</v>
      </c>
      <c r="C44" s="46">
        <f>INDEX(Ops!$E$40:$BL$40,1,$B44)</f>
        <v/>
      </c>
      <c r="AN44" s="56">
        <f>$C44*INDEX(Curves!$V$8:$V$68,AN$4-$B44+1)</f>
        <v/>
      </c>
      <c r="AO44" s="56">
        <f>$C44*INDEX(Curves!$V$8:$V$68,AO$4-$B44+1)</f>
        <v/>
      </c>
      <c r="AP44" s="56">
        <f>$C44*INDEX(Curves!$V$8:$V$68,AP$4-$B44+1)</f>
        <v/>
      </c>
      <c r="AQ44" s="56">
        <f>$C44*INDEX(Curves!$V$8:$V$68,AQ$4-$B44+1)</f>
        <v/>
      </c>
      <c r="AR44" s="56">
        <f>$C44*INDEX(Curves!$V$8:$V$68,AR$4-$B44+1)</f>
        <v/>
      </c>
      <c r="AS44" s="56">
        <f>$C44*INDEX(Curves!$V$8:$V$68,AS$4-$B44+1)</f>
        <v/>
      </c>
      <c r="AT44" s="56">
        <f>$C44*INDEX(Curves!$V$8:$V$68,AT$4-$B44+1)</f>
        <v/>
      </c>
      <c r="AU44" s="56">
        <f>$C44*INDEX(Curves!$V$8:$V$68,AU$4-$B44+1)</f>
        <v/>
      </c>
      <c r="AV44" s="56">
        <f>$C44*INDEX(Curves!$V$8:$V$68,AV$4-$B44+1)</f>
        <v/>
      </c>
      <c r="AW44" s="56">
        <f>$C44*INDEX(Curves!$V$8:$V$68,AW$4-$B44+1)</f>
        <v/>
      </c>
      <c r="AX44" s="56">
        <f>$C44*INDEX(Curves!$V$8:$V$68,AX$4-$B44+1)</f>
        <v/>
      </c>
      <c r="AY44" s="56">
        <f>$C44*INDEX(Curves!$V$8:$V$68,AY$4-$B44+1)</f>
        <v/>
      </c>
      <c r="AZ44" s="56">
        <f>$C44*INDEX(Curves!$V$8:$V$68,AZ$4-$B44+1)</f>
        <v/>
      </c>
      <c r="BA44" s="56">
        <f>$C44*INDEX(Curves!$V$8:$V$68,BA$4-$B44+1)</f>
        <v/>
      </c>
      <c r="BB44" s="56">
        <f>$C44*INDEX(Curves!$V$8:$V$68,BB$4-$B44+1)</f>
        <v/>
      </c>
      <c r="BC44" s="56">
        <f>$C44*INDEX(Curves!$V$8:$V$68,BC$4-$B44+1)</f>
        <v/>
      </c>
      <c r="BD44" s="56">
        <f>$C44*INDEX(Curves!$V$8:$V$68,BD$4-$B44+1)</f>
        <v/>
      </c>
      <c r="BE44" s="56">
        <f>$C44*INDEX(Curves!$V$8:$V$68,BE$4-$B44+1)</f>
        <v/>
      </c>
      <c r="BF44" s="56">
        <f>$C44*INDEX(Curves!$V$8:$V$68,BF$4-$B44+1)</f>
        <v/>
      </c>
      <c r="BG44" s="56">
        <f>$C44*INDEX(Curves!$V$8:$V$68,BG$4-$B44+1)</f>
        <v/>
      </c>
      <c r="BH44" s="56">
        <f>$C44*INDEX(Curves!$V$8:$V$68,BH$4-$B44+1)</f>
        <v/>
      </c>
      <c r="BI44" s="56">
        <f>$C44*INDEX(Curves!$V$8:$V$68,BI$4-$B44+1)</f>
        <v/>
      </c>
      <c r="BJ44" s="56">
        <f>$C44*INDEX(Curves!$V$8:$V$68,BJ$4-$B44+1)</f>
        <v/>
      </c>
      <c r="BK44" s="56">
        <f>$C44*INDEX(Curves!$V$8:$V$68,BK$4-$B44+1)</f>
        <v/>
      </c>
      <c r="BL44" s="56">
        <f>$C44*INDEX(Curves!$V$8:$V$68,BL$4-$B44+1)</f>
        <v/>
      </c>
    </row>
    <row r="45">
      <c r="A45" s="55" t="inlineStr">
        <is>
          <t>Cohort month 36</t>
        </is>
      </c>
      <c r="B45" s="55" t="n">
        <v>36</v>
      </c>
      <c r="C45" s="46">
        <f>INDEX(Ops!$E$40:$BL$40,1,$B45)</f>
        <v/>
      </c>
      <c r="AO45" s="56">
        <f>$C45*INDEX(Curves!$V$8:$V$68,AO$4-$B45+1)</f>
        <v/>
      </c>
      <c r="AP45" s="56">
        <f>$C45*INDEX(Curves!$V$8:$V$68,AP$4-$B45+1)</f>
        <v/>
      </c>
      <c r="AQ45" s="56">
        <f>$C45*INDEX(Curves!$V$8:$V$68,AQ$4-$B45+1)</f>
        <v/>
      </c>
      <c r="AR45" s="56">
        <f>$C45*INDEX(Curves!$V$8:$V$68,AR$4-$B45+1)</f>
        <v/>
      </c>
      <c r="AS45" s="56">
        <f>$C45*INDEX(Curves!$V$8:$V$68,AS$4-$B45+1)</f>
        <v/>
      </c>
      <c r="AT45" s="56">
        <f>$C45*INDEX(Curves!$V$8:$V$68,AT$4-$B45+1)</f>
        <v/>
      </c>
      <c r="AU45" s="56">
        <f>$C45*INDEX(Curves!$V$8:$V$68,AU$4-$B45+1)</f>
        <v/>
      </c>
      <c r="AV45" s="56">
        <f>$C45*INDEX(Curves!$V$8:$V$68,AV$4-$B45+1)</f>
        <v/>
      </c>
      <c r="AW45" s="56">
        <f>$C45*INDEX(Curves!$V$8:$V$68,AW$4-$B45+1)</f>
        <v/>
      </c>
      <c r="AX45" s="56">
        <f>$C45*INDEX(Curves!$V$8:$V$68,AX$4-$B45+1)</f>
        <v/>
      </c>
      <c r="AY45" s="56">
        <f>$C45*INDEX(Curves!$V$8:$V$68,AY$4-$B45+1)</f>
        <v/>
      </c>
      <c r="AZ45" s="56">
        <f>$C45*INDEX(Curves!$V$8:$V$68,AZ$4-$B45+1)</f>
        <v/>
      </c>
      <c r="BA45" s="56">
        <f>$C45*INDEX(Curves!$V$8:$V$68,BA$4-$B45+1)</f>
        <v/>
      </c>
      <c r="BB45" s="56">
        <f>$C45*INDEX(Curves!$V$8:$V$68,BB$4-$B45+1)</f>
        <v/>
      </c>
      <c r="BC45" s="56">
        <f>$C45*INDEX(Curves!$V$8:$V$68,BC$4-$B45+1)</f>
        <v/>
      </c>
      <c r="BD45" s="56">
        <f>$C45*INDEX(Curves!$V$8:$V$68,BD$4-$B45+1)</f>
        <v/>
      </c>
      <c r="BE45" s="56">
        <f>$C45*INDEX(Curves!$V$8:$V$68,BE$4-$B45+1)</f>
        <v/>
      </c>
      <c r="BF45" s="56">
        <f>$C45*INDEX(Curves!$V$8:$V$68,BF$4-$B45+1)</f>
        <v/>
      </c>
      <c r="BG45" s="56">
        <f>$C45*INDEX(Curves!$V$8:$V$68,BG$4-$B45+1)</f>
        <v/>
      </c>
      <c r="BH45" s="56">
        <f>$C45*INDEX(Curves!$V$8:$V$68,BH$4-$B45+1)</f>
        <v/>
      </c>
      <c r="BI45" s="56">
        <f>$C45*INDEX(Curves!$V$8:$V$68,BI$4-$B45+1)</f>
        <v/>
      </c>
      <c r="BJ45" s="56">
        <f>$C45*INDEX(Curves!$V$8:$V$68,BJ$4-$B45+1)</f>
        <v/>
      </c>
      <c r="BK45" s="56">
        <f>$C45*INDEX(Curves!$V$8:$V$68,BK$4-$B45+1)</f>
        <v/>
      </c>
      <c r="BL45" s="56">
        <f>$C45*INDEX(Curves!$V$8:$V$68,BL$4-$B45+1)</f>
        <v/>
      </c>
    </row>
    <row r="46">
      <c r="A46" s="55" t="inlineStr">
        <is>
          <t>Cohort month 37</t>
        </is>
      </c>
      <c r="B46" s="55" t="n">
        <v>37</v>
      </c>
      <c r="C46" s="46">
        <f>INDEX(Ops!$E$40:$BL$40,1,$B46)</f>
        <v/>
      </c>
      <c r="AP46" s="56">
        <f>$C46*INDEX(Curves!$V$8:$V$68,AP$4-$B46+1)</f>
        <v/>
      </c>
      <c r="AQ46" s="56">
        <f>$C46*INDEX(Curves!$V$8:$V$68,AQ$4-$B46+1)</f>
        <v/>
      </c>
      <c r="AR46" s="56">
        <f>$C46*INDEX(Curves!$V$8:$V$68,AR$4-$B46+1)</f>
        <v/>
      </c>
      <c r="AS46" s="56">
        <f>$C46*INDEX(Curves!$V$8:$V$68,AS$4-$B46+1)</f>
        <v/>
      </c>
      <c r="AT46" s="56">
        <f>$C46*INDEX(Curves!$V$8:$V$68,AT$4-$B46+1)</f>
        <v/>
      </c>
      <c r="AU46" s="56">
        <f>$C46*INDEX(Curves!$V$8:$V$68,AU$4-$B46+1)</f>
        <v/>
      </c>
      <c r="AV46" s="56">
        <f>$C46*INDEX(Curves!$V$8:$V$68,AV$4-$B46+1)</f>
        <v/>
      </c>
      <c r="AW46" s="56">
        <f>$C46*INDEX(Curves!$V$8:$V$68,AW$4-$B46+1)</f>
        <v/>
      </c>
      <c r="AX46" s="56">
        <f>$C46*INDEX(Curves!$V$8:$V$68,AX$4-$B46+1)</f>
        <v/>
      </c>
      <c r="AY46" s="56">
        <f>$C46*INDEX(Curves!$V$8:$V$68,AY$4-$B46+1)</f>
        <v/>
      </c>
      <c r="AZ46" s="56">
        <f>$C46*INDEX(Curves!$V$8:$V$68,AZ$4-$B46+1)</f>
        <v/>
      </c>
      <c r="BA46" s="56">
        <f>$C46*INDEX(Curves!$V$8:$V$68,BA$4-$B46+1)</f>
        <v/>
      </c>
      <c r="BB46" s="56">
        <f>$C46*INDEX(Curves!$V$8:$V$68,BB$4-$B46+1)</f>
        <v/>
      </c>
      <c r="BC46" s="56">
        <f>$C46*INDEX(Curves!$V$8:$V$68,BC$4-$B46+1)</f>
        <v/>
      </c>
      <c r="BD46" s="56">
        <f>$C46*INDEX(Curves!$V$8:$V$68,BD$4-$B46+1)</f>
        <v/>
      </c>
      <c r="BE46" s="56">
        <f>$C46*INDEX(Curves!$V$8:$V$68,BE$4-$B46+1)</f>
        <v/>
      </c>
      <c r="BF46" s="56">
        <f>$C46*INDEX(Curves!$V$8:$V$68,BF$4-$B46+1)</f>
        <v/>
      </c>
      <c r="BG46" s="56">
        <f>$C46*INDEX(Curves!$V$8:$V$68,BG$4-$B46+1)</f>
        <v/>
      </c>
      <c r="BH46" s="56">
        <f>$C46*INDEX(Curves!$V$8:$V$68,BH$4-$B46+1)</f>
        <v/>
      </c>
      <c r="BI46" s="56">
        <f>$C46*INDEX(Curves!$V$8:$V$68,BI$4-$B46+1)</f>
        <v/>
      </c>
      <c r="BJ46" s="56">
        <f>$C46*INDEX(Curves!$V$8:$V$68,BJ$4-$B46+1)</f>
        <v/>
      </c>
      <c r="BK46" s="56">
        <f>$C46*INDEX(Curves!$V$8:$V$68,BK$4-$B46+1)</f>
        <v/>
      </c>
      <c r="BL46" s="56">
        <f>$C46*INDEX(Curves!$V$8:$V$68,BL$4-$B46+1)</f>
        <v/>
      </c>
    </row>
    <row r="47">
      <c r="A47" s="55" t="inlineStr">
        <is>
          <t>Cohort month 38</t>
        </is>
      </c>
      <c r="B47" s="55" t="n">
        <v>38</v>
      </c>
      <c r="C47" s="46">
        <f>INDEX(Ops!$E$40:$BL$40,1,$B47)</f>
        <v/>
      </c>
      <c r="AQ47" s="56">
        <f>$C47*INDEX(Curves!$V$8:$V$68,AQ$4-$B47+1)</f>
        <v/>
      </c>
      <c r="AR47" s="56">
        <f>$C47*INDEX(Curves!$V$8:$V$68,AR$4-$B47+1)</f>
        <v/>
      </c>
      <c r="AS47" s="56">
        <f>$C47*INDEX(Curves!$V$8:$V$68,AS$4-$B47+1)</f>
        <v/>
      </c>
      <c r="AT47" s="56">
        <f>$C47*INDEX(Curves!$V$8:$V$68,AT$4-$B47+1)</f>
        <v/>
      </c>
      <c r="AU47" s="56">
        <f>$C47*INDEX(Curves!$V$8:$V$68,AU$4-$B47+1)</f>
        <v/>
      </c>
      <c r="AV47" s="56">
        <f>$C47*INDEX(Curves!$V$8:$V$68,AV$4-$B47+1)</f>
        <v/>
      </c>
      <c r="AW47" s="56">
        <f>$C47*INDEX(Curves!$V$8:$V$68,AW$4-$B47+1)</f>
        <v/>
      </c>
      <c r="AX47" s="56">
        <f>$C47*INDEX(Curves!$V$8:$V$68,AX$4-$B47+1)</f>
        <v/>
      </c>
      <c r="AY47" s="56">
        <f>$C47*INDEX(Curves!$V$8:$V$68,AY$4-$B47+1)</f>
        <v/>
      </c>
      <c r="AZ47" s="56">
        <f>$C47*INDEX(Curves!$V$8:$V$68,AZ$4-$B47+1)</f>
        <v/>
      </c>
      <c r="BA47" s="56">
        <f>$C47*INDEX(Curves!$V$8:$V$68,BA$4-$B47+1)</f>
        <v/>
      </c>
      <c r="BB47" s="56">
        <f>$C47*INDEX(Curves!$V$8:$V$68,BB$4-$B47+1)</f>
        <v/>
      </c>
      <c r="BC47" s="56">
        <f>$C47*INDEX(Curves!$V$8:$V$68,BC$4-$B47+1)</f>
        <v/>
      </c>
      <c r="BD47" s="56">
        <f>$C47*INDEX(Curves!$V$8:$V$68,BD$4-$B47+1)</f>
        <v/>
      </c>
      <c r="BE47" s="56">
        <f>$C47*INDEX(Curves!$V$8:$V$68,BE$4-$B47+1)</f>
        <v/>
      </c>
      <c r="BF47" s="56">
        <f>$C47*INDEX(Curves!$V$8:$V$68,BF$4-$B47+1)</f>
        <v/>
      </c>
      <c r="BG47" s="56">
        <f>$C47*INDEX(Curves!$V$8:$V$68,BG$4-$B47+1)</f>
        <v/>
      </c>
      <c r="BH47" s="56">
        <f>$C47*INDEX(Curves!$V$8:$V$68,BH$4-$B47+1)</f>
        <v/>
      </c>
      <c r="BI47" s="56">
        <f>$C47*INDEX(Curves!$V$8:$V$68,BI$4-$B47+1)</f>
        <v/>
      </c>
      <c r="BJ47" s="56">
        <f>$C47*INDEX(Curves!$V$8:$V$68,BJ$4-$B47+1)</f>
        <v/>
      </c>
      <c r="BK47" s="56">
        <f>$C47*INDEX(Curves!$V$8:$V$68,BK$4-$B47+1)</f>
        <v/>
      </c>
      <c r="BL47" s="56">
        <f>$C47*INDEX(Curves!$V$8:$V$68,BL$4-$B47+1)</f>
        <v/>
      </c>
    </row>
    <row r="48">
      <c r="A48" s="55" t="inlineStr">
        <is>
          <t>Cohort month 39</t>
        </is>
      </c>
      <c r="B48" s="55" t="n">
        <v>39</v>
      </c>
      <c r="C48" s="46">
        <f>INDEX(Ops!$E$40:$BL$40,1,$B48)</f>
        <v/>
      </c>
      <c r="AR48" s="56">
        <f>$C48*INDEX(Curves!$V$8:$V$68,AR$4-$B48+1)</f>
        <v/>
      </c>
      <c r="AS48" s="56">
        <f>$C48*INDEX(Curves!$V$8:$V$68,AS$4-$B48+1)</f>
        <v/>
      </c>
      <c r="AT48" s="56">
        <f>$C48*INDEX(Curves!$V$8:$V$68,AT$4-$B48+1)</f>
        <v/>
      </c>
      <c r="AU48" s="56">
        <f>$C48*INDEX(Curves!$V$8:$V$68,AU$4-$B48+1)</f>
        <v/>
      </c>
      <c r="AV48" s="56">
        <f>$C48*INDEX(Curves!$V$8:$V$68,AV$4-$B48+1)</f>
        <v/>
      </c>
      <c r="AW48" s="56">
        <f>$C48*INDEX(Curves!$V$8:$V$68,AW$4-$B48+1)</f>
        <v/>
      </c>
      <c r="AX48" s="56">
        <f>$C48*INDEX(Curves!$V$8:$V$68,AX$4-$B48+1)</f>
        <v/>
      </c>
      <c r="AY48" s="56">
        <f>$C48*INDEX(Curves!$V$8:$V$68,AY$4-$B48+1)</f>
        <v/>
      </c>
      <c r="AZ48" s="56">
        <f>$C48*INDEX(Curves!$V$8:$V$68,AZ$4-$B48+1)</f>
        <v/>
      </c>
      <c r="BA48" s="56">
        <f>$C48*INDEX(Curves!$V$8:$V$68,BA$4-$B48+1)</f>
        <v/>
      </c>
      <c r="BB48" s="56">
        <f>$C48*INDEX(Curves!$V$8:$V$68,BB$4-$B48+1)</f>
        <v/>
      </c>
      <c r="BC48" s="56">
        <f>$C48*INDEX(Curves!$V$8:$V$68,BC$4-$B48+1)</f>
        <v/>
      </c>
      <c r="BD48" s="56">
        <f>$C48*INDEX(Curves!$V$8:$V$68,BD$4-$B48+1)</f>
        <v/>
      </c>
      <c r="BE48" s="56">
        <f>$C48*INDEX(Curves!$V$8:$V$68,BE$4-$B48+1)</f>
        <v/>
      </c>
      <c r="BF48" s="56">
        <f>$C48*INDEX(Curves!$V$8:$V$68,BF$4-$B48+1)</f>
        <v/>
      </c>
      <c r="BG48" s="56">
        <f>$C48*INDEX(Curves!$V$8:$V$68,BG$4-$B48+1)</f>
        <v/>
      </c>
      <c r="BH48" s="56">
        <f>$C48*INDEX(Curves!$V$8:$V$68,BH$4-$B48+1)</f>
        <v/>
      </c>
      <c r="BI48" s="56">
        <f>$C48*INDEX(Curves!$V$8:$V$68,BI$4-$B48+1)</f>
        <v/>
      </c>
      <c r="BJ48" s="56">
        <f>$C48*INDEX(Curves!$V$8:$V$68,BJ$4-$B48+1)</f>
        <v/>
      </c>
      <c r="BK48" s="56">
        <f>$C48*INDEX(Curves!$V$8:$V$68,BK$4-$B48+1)</f>
        <v/>
      </c>
      <c r="BL48" s="56">
        <f>$C48*INDEX(Curves!$V$8:$V$68,BL$4-$B48+1)</f>
        <v/>
      </c>
    </row>
    <row r="49">
      <c r="A49" s="55" t="inlineStr">
        <is>
          <t>Cohort month 40</t>
        </is>
      </c>
      <c r="B49" s="55" t="n">
        <v>40</v>
      </c>
      <c r="C49" s="46">
        <f>INDEX(Ops!$E$40:$BL$40,1,$B49)</f>
        <v/>
      </c>
      <c r="AS49" s="56">
        <f>$C49*INDEX(Curves!$V$8:$V$68,AS$4-$B49+1)</f>
        <v/>
      </c>
      <c r="AT49" s="56">
        <f>$C49*INDEX(Curves!$V$8:$V$68,AT$4-$B49+1)</f>
        <v/>
      </c>
      <c r="AU49" s="56">
        <f>$C49*INDEX(Curves!$V$8:$V$68,AU$4-$B49+1)</f>
        <v/>
      </c>
      <c r="AV49" s="56">
        <f>$C49*INDEX(Curves!$V$8:$V$68,AV$4-$B49+1)</f>
        <v/>
      </c>
      <c r="AW49" s="56">
        <f>$C49*INDEX(Curves!$V$8:$V$68,AW$4-$B49+1)</f>
        <v/>
      </c>
      <c r="AX49" s="56">
        <f>$C49*INDEX(Curves!$V$8:$V$68,AX$4-$B49+1)</f>
        <v/>
      </c>
      <c r="AY49" s="56">
        <f>$C49*INDEX(Curves!$V$8:$V$68,AY$4-$B49+1)</f>
        <v/>
      </c>
      <c r="AZ49" s="56">
        <f>$C49*INDEX(Curves!$V$8:$V$68,AZ$4-$B49+1)</f>
        <v/>
      </c>
      <c r="BA49" s="56">
        <f>$C49*INDEX(Curves!$V$8:$V$68,BA$4-$B49+1)</f>
        <v/>
      </c>
      <c r="BB49" s="56">
        <f>$C49*INDEX(Curves!$V$8:$V$68,BB$4-$B49+1)</f>
        <v/>
      </c>
      <c r="BC49" s="56">
        <f>$C49*INDEX(Curves!$V$8:$V$68,BC$4-$B49+1)</f>
        <v/>
      </c>
      <c r="BD49" s="56">
        <f>$C49*INDEX(Curves!$V$8:$V$68,BD$4-$B49+1)</f>
        <v/>
      </c>
      <c r="BE49" s="56">
        <f>$C49*INDEX(Curves!$V$8:$V$68,BE$4-$B49+1)</f>
        <v/>
      </c>
      <c r="BF49" s="56">
        <f>$C49*INDEX(Curves!$V$8:$V$68,BF$4-$B49+1)</f>
        <v/>
      </c>
      <c r="BG49" s="56">
        <f>$C49*INDEX(Curves!$V$8:$V$68,BG$4-$B49+1)</f>
        <v/>
      </c>
      <c r="BH49" s="56">
        <f>$C49*INDEX(Curves!$V$8:$V$68,BH$4-$B49+1)</f>
        <v/>
      </c>
      <c r="BI49" s="56">
        <f>$C49*INDEX(Curves!$V$8:$V$68,BI$4-$B49+1)</f>
        <v/>
      </c>
      <c r="BJ49" s="56">
        <f>$C49*INDEX(Curves!$V$8:$V$68,BJ$4-$B49+1)</f>
        <v/>
      </c>
      <c r="BK49" s="56">
        <f>$C49*INDEX(Curves!$V$8:$V$68,BK$4-$B49+1)</f>
        <v/>
      </c>
      <c r="BL49" s="56">
        <f>$C49*INDEX(Curves!$V$8:$V$68,BL$4-$B49+1)</f>
        <v/>
      </c>
    </row>
    <row r="50">
      <c r="A50" s="55" t="inlineStr">
        <is>
          <t>Cohort month 41</t>
        </is>
      </c>
      <c r="B50" s="55" t="n">
        <v>41</v>
      </c>
      <c r="C50" s="46">
        <f>INDEX(Ops!$E$40:$BL$40,1,$B50)</f>
        <v/>
      </c>
      <c r="AT50" s="56">
        <f>$C50*INDEX(Curves!$V$8:$V$68,AT$4-$B50+1)</f>
        <v/>
      </c>
      <c r="AU50" s="56">
        <f>$C50*INDEX(Curves!$V$8:$V$68,AU$4-$B50+1)</f>
        <v/>
      </c>
      <c r="AV50" s="56">
        <f>$C50*INDEX(Curves!$V$8:$V$68,AV$4-$B50+1)</f>
        <v/>
      </c>
      <c r="AW50" s="56">
        <f>$C50*INDEX(Curves!$V$8:$V$68,AW$4-$B50+1)</f>
        <v/>
      </c>
      <c r="AX50" s="56">
        <f>$C50*INDEX(Curves!$V$8:$V$68,AX$4-$B50+1)</f>
        <v/>
      </c>
      <c r="AY50" s="56">
        <f>$C50*INDEX(Curves!$V$8:$V$68,AY$4-$B50+1)</f>
        <v/>
      </c>
      <c r="AZ50" s="56">
        <f>$C50*INDEX(Curves!$V$8:$V$68,AZ$4-$B50+1)</f>
        <v/>
      </c>
      <c r="BA50" s="56">
        <f>$C50*INDEX(Curves!$V$8:$V$68,BA$4-$B50+1)</f>
        <v/>
      </c>
      <c r="BB50" s="56">
        <f>$C50*INDEX(Curves!$V$8:$V$68,BB$4-$B50+1)</f>
        <v/>
      </c>
      <c r="BC50" s="56">
        <f>$C50*INDEX(Curves!$V$8:$V$68,BC$4-$B50+1)</f>
        <v/>
      </c>
      <c r="BD50" s="56">
        <f>$C50*INDEX(Curves!$V$8:$V$68,BD$4-$B50+1)</f>
        <v/>
      </c>
      <c r="BE50" s="56">
        <f>$C50*INDEX(Curves!$V$8:$V$68,BE$4-$B50+1)</f>
        <v/>
      </c>
      <c r="BF50" s="56">
        <f>$C50*INDEX(Curves!$V$8:$V$68,BF$4-$B50+1)</f>
        <v/>
      </c>
      <c r="BG50" s="56">
        <f>$C50*INDEX(Curves!$V$8:$V$68,BG$4-$B50+1)</f>
        <v/>
      </c>
      <c r="BH50" s="56">
        <f>$C50*INDEX(Curves!$V$8:$V$68,BH$4-$B50+1)</f>
        <v/>
      </c>
      <c r="BI50" s="56">
        <f>$C50*INDEX(Curves!$V$8:$V$68,BI$4-$B50+1)</f>
        <v/>
      </c>
      <c r="BJ50" s="56">
        <f>$C50*INDEX(Curves!$V$8:$V$68,BJ$4-$B50+1)</f>
        <v/>
      </c>
      <c r="BK50" s="56">
        <f>$C50*INDEX(Curves!$V$8:$V$68,BK$4-$B50+1)</f>
        <v/>
      </c>
      <c r="BL50" s="56">
        <f>$C50*INDEX(Curves!$V$8:$V$68,BL$4-$B50+1)</f>
        <v/>
      </c>
    </row>
    <row r="51">
      <c r="A51" s="55" t="inlineStr">
        <is>
          <t>Cohort month 42</t>
        </is>
      </c>
      <c r="B51" s="55" t="n">
        <v>42</v>
      </c>
      <c r="C51" s="46">
        <f>INDEX(Ops!$E$40:$BL$40,1,$B51)</f>
        <v/>
      </c>
      <c r="AU51" s="56">
        <f>$C51*INDEX(Curves!$V$8:$V$68,AU$4-$B51+1)</f>
        <v/>
      </c>
      <c r="AV51" s="56">
        <f>$C51*INDEX(Curves!$V$8:$V$68,AV$4-$B51+1)</f>
        <v/>
      </c>
      <c r="AW51" s="56">
        <f>$C51*INDEX(Curves!$V$8:$V$68,AW$4-$B51+1)</f>
        <v/>
      </c>
      <c r="AX51" s="56">
        <f>$C51*INDEX(Curves!$V$8:$V$68,AX$4-$B51+1)</f>
        <v/>
      </c>
      <c r="AY51" s="56">
        <f>$C51*INDEX(Curves!$V$8:$V$68,AY$4-$B51+1)</f>
        <v/>
      </c>
      <c r="AZ51" s="56">
        <f>$C51*INDEX(Curves!$V$8:$V$68,AZ$4-$B51+1)</f>
        <v/>
      </c>
      <c r="BA51" s="56">
        <f>$C51*INDEX(Curves!$V$8:$V$68,BA$4-$B51+1)</f>
        <v/>
      </c>
      <c r="BB51" s="56">
        <f>$C51*INDEX(Curves!$V$8:$V$68,BB$4-$B51+1)</f>
        <v/>
      </c>
      <c r="BC51" s="56">
        <f>$C51*INDEX(Curves!$V$8:$V$68,BC$4-$B51+1)</f>
        <v/>
      </c>
      <c r="BD51" s="56">
        <f>$C51*INDEX(Curves!$V$8:$V$68,BD$4-$B51+1)</f>
        <v/>
      </c>
      <c r="BE51" s="56">
        <f>$C51*INDEX(Curves!$V$8:$V$68,BE$4-$B51+1)</f>
        <v/>
      </c>
      <c r="BF51" s="56">
        <f>$C51*INDEX(Curves!$V$8:$V$68,BF$4-$B51+1)</f>
        <v/>
      </c>
      <c r="BG51" s="56">
        <f>$C51*INDEX(Curves!$V$8:$V$68,BG$4-$B51+1)</f>
        <v/>
      </c>
      <c r="BH51" s="56">
        <f>$C51*INDEX(Curves!$V$8:$V$68,BH$4-$B51+1)</f>
        <v/>
      </c>
      <c r="BI51" s="56">
        <f>$C51*INDEX(Curves!$V$8:$V$68,BI$4-$B51+1)</f>
        <v/>
      </c>
      <c r="BJ51" s="56">
        <f>$C51*INDEX(Curves!$V$8:$V$68,BJ$4-$B51+1)</f>
        <v/>
      </c>
      <c r="BK51" s="56">
        <f>$C51*INDEX(Curves!$V$8:$V$68,BK$4-$B51+1)</f>
        <v/>
      </c>
      <c r="BL51" s="56">
        <f>$C51*INDEX(Curves!$V$8:$V$68,BL$4-$B51+1)</f>
        <v/>
      </c>
    </row>
    <row r="52">
      <c r="A52" s="55" t="inlineStr">
        <is>
          <t>Cohort month 43</t>
        </is>
      </c>
      <c r="B52" s="55" t="n">
        <v>43</v>
      </c>
      <c r="C52" s="46">
        <f>INDEX(Ops!$E$40:$BL$40,1,$B52)</f>
        <v/>
      </c>
      <c r="AV52" s="56">
        <f>$C52*INDEX(Curves!$V$8:$V$68,AV$4-$B52+1)</f>
        <v/>
      </c>
      <c r="AW52" s="56">
        <f>$C52*INDEX(Curves!$V$8:$V$68,AW$4-$B52+1)</f>
        <v/>
      </c>
      <c r="AX52" s="56">
        <f>$C52*INDEX(Curves!$V$8:$V$68,AX$4-$B52+1)</f>
        <v/>
      </c>
      <c r="AY52" s="56">
        <f>$C52*INDEX(Curves!$V$8:$V$68,AY$4-$B52+1)</f>
        <v/>
      </c>
      <c r="AZ52" s="56">
        <f>$C52*INDEX(Curves!$V$8:$V$68,AZ$4-$B52+1)</f>
        <v/>
      </c>
      <c r="BA52" s="56">
        <f>$C52*INDEX(Curves!$V$8:$V$68,BA$4-$B52+1)</f>
        <v/>
      </c>
      <c r="BB52" s="56">
        <f>$C52*INDEX(Curves!$V$8:$V$68,BB$4-$B52+1)</f>
        <v/>
      </c>
      <c r="BC52" s="56">
        <f>$C52*INDEX(Curves!$V$8:$V$68,BC$4-$B52+1)</f>
        <v/>
      </c>
      <c r="BD52" s="56">
        <f>$C52*INDEX(Curves!$V$8:$V$68,BD$4-$B52+1)</f>
        <v/>
      </c>
      <c r="BE52" s="56">
        <f>$C52*INDEX(Curves!$V$8:$V$68,BE$4-$B52+1)</f>
        <v/>
      </c>
      <c r="BF52" s="56">
        <f>$C52*INDEX(Curves!$V$8:$V$68,BF$4-$B52+1)</f>
        <v/>
      </c>
      <c r="BG52" s="56">
        <f>$C52*INDEX(Curves!$V$8:$V$68,BG$4-$B52+1)</f>
        <v/>
      </c>
      <c r="BH52" s="56">
        <f>$C52*INDEX(Curves!$V$8:$V$68,BH$4-$B52+1)</f>
        <v/>
      </c>
      <c r="BI52" s="56">
        <f>$C52*INDEX(Curves!$V$8:$V$68,BI$4-$B52+1)</f>
        <v/>
      </c>
      <c r="BJ52" s="56">
        <f>$C52*INDEX(Curves!$V$8:$V$68,BJ$4-$B52+1)</f>
        <v/>
      </c>
      <c r="BK52" s="56">
        <f>$C52*INDEX(Curves!$V$8:$V$68,BK$4-$B52+1)</f>
        <v/>
      </c>
      <c r="BL52" s="56">
        <f>$C52*INDEX(Curves!$V$8:$V$68,BL$4-$B52+1)</f>
        <v/>
      </c>
    </row>
    <row r="53">
      <c r="A53" s="55" t="inlineStr">
        <is>
          <t>Cohort month 44</t>
        </is>
      </c>
      <c r="B53" s="55" t="n">
        <v>44</v>
      </c>
      <c r="C53" s="46">
        <f>INDEX(Ops!$E$40:$BL$40,1,$B53)</f>
        <v/>
      </c>
      <c r="AW53" s="56">
        <f>$C53*INDEX(Curves!$V$8:$V$68,AW$4-$B53+1)</f>
        <v/>
      </c>
      <c r="AX53" s="56">
        <f>$C53*INDEX(Curves!$V$8:$V$68,AX$4-$B53+1)</f>
        <v/>
      </c>
      <c r="AY53" s="56">
        <f>$C53*INDEX(Curves!$V$8:$V$68,AY$4-$B53+1)</f>
        <v/>
      </c>
      <c r="AZ53" s="56">
        <f>$C53*INDEX(Curves!$V$8:$V$68,AZ$4-$B53+1)</f>
        <v/>
      </c>
      <c r="BA53" s="56">
        <f>$C53*INDEX(Curves!$V$8:$V$68,BA$4-$B53+1)</f>
        <v/>
      </c>
      <c r="BB53" s="56">
        <f>$C53*INDEX(Curves!$V$8:$V$68,BB$4-$B53+1)</f>
        <v/>
      </c>
      <c r="BC53" s="56">
        <f>$C53*INDEX(Curves!$V$8:$V$68,BC$4-$B53+1)</f>
        <v/>
      </c>
      <c r="BD53" s="56">
        <f>$C53*INDEX(Curves!$V$8:$V$68,BD$4-$B53+1)</f>
        <v/>
      </c>
      <c r="BE53" s="56">
        <f>$C53*INDEX(Curves!$V$8:$V$68,BE$4-$B53+1)</f>
        <v/>
      </c>
      <c r="BF53" s="56">
        <f>$C53*INDEX(Curves!$V$8:$V$68,BF$4-$B53+1)</f>
        <v/>
      </c>
      <c r="BG53" s="56">
        <f>$C53*INDEX(Curves!$V$8:$V$68,BG$4-$B53+1)</f>
        <v/>
      </c>
      <c r="BH53" s="56">
        <f>$C53*INDEX(Curves!$V$8:$V$68,BH$4-$B53+1)</f>
        <v/>
      </c>
      <c r="BI53" s="56">
        <f>$C53*INDEX(Curves!$V$8:$V$68,BI$4-$B53+1)</f>
        <v/>
      </c>
      <c r="BJ53" s="56">
        <f>$C53*INDEX(Curves!$V$8:$V$68,BJ$4-$B53+1)</f>
        <v/>
      </c>
      <c r="BK53" s="56">
        <f>$C53*INDEX(Curves!$V$8:$V$68,BK$4-$B53+1)</f>
        <v/>
      </c>
      <c r="BL53" s="56">
        <f>$C53*INDEX(Curves!$V$8:$V$68,BL$4-$B53+1)</f>
        <v/>
      </c>
    </row>
    <row r="54">
      <c r="A54" s="55" t="inlineStr">
        <is>
          <t>Cohort month 45</t>
        </is>
      </c>
      <c r="B54" s="55" t="n">
        <v>45</v>
      </c>
      <c r="C54" s="46">
        <f>INDEX(Ops!$E$40:$BL$40,1,$B54)</f>
        <v/>
      </c>
      <c r="AX54" s="56">
        <f>$C54*INDEX(Curves!$V$8:$V$68,AX$4-$B54+1)</f>
        <v/>
      </c>
      <c r="AY54" s="56">
        <f>$C54*INDEX(Curves!$V$8:$V$68,AY$4-$B54+1)</f>
        <v/>
      </c>
      <c r="AZ54" s="56">
        <f>$C54*INDEX(Curves!$V$8:$V$68,AZ$4-$B54+1)</f>
        <v/>
      </c>
      <c r="BA54" s="56">
        <f>$C54*INDEX(Curves!$V$8:$V$68,BA$4-$B54+1)</f>
        <v/>
      </c>
      <c r="BB54" s="56">
        <f>$C54*INDEX(Curves!$V$8:$V$68,BB$4-$B54+1)</f>
        <v/>
      </c>
      <c r="BC54" s="56">
        <f>$C54*INDEX(Curves!$V$8:$V$68,BC$4-$B54+1)</f>
        <v/>
      </c>
      <c r="BD54" s="56">
        <f>$C54*INDEX(Curves!$V$8:$V$68,BD$4-$B54+1)</f>
        <v/>
      </c>
      <c r="BE54" s="56">
        <f>$C54*INDEX(Curves!$V$8:$V$68,BE$4-$B54+1)</f>
        <v/>
      </c>
      <c r="BF54" s="56">
        <f>$C54*INDEX(Curves!$V$8:$V$68,BF$4-$B54+1)</f>
        <v/>
      </c>
      <c r="BG54" s="56">
        <f>$C54*INDEX(Curves!$V$8:$V$68,BG$4-$B54+1)</f>
        <v/>
      </c>
      <c r="BH54" s="56">
        <f>$C54*INDEX(Curves!$V$8:$V$68,BH$4-$B54+1)</f>
        <v/>
      </c>
      <c r="BI54" s="56">
        <f>$C54*INDEX(Curves!$V$8:$V$68,BI$4-$B54+1)</f>
        <v/>
      </c>
      <c r="BJ54" s="56">
        <f>$C54*INDEX(Curves!$V$8:$V$68,BJ$4-$B54+1)</f>
        <v/>
      </c>
      <c r="BK54" s="56">
        <f>$C54*INDEX(Curves!$V$8:$V$68,BK$4-$B54+1)</f>
        <v/>
      </c>
      <c r="BL54" s="56">
        <f>$C54*INDEX(Curves!$V$8:$V$68,BL$4-$B54+1)</f>
        <v/>
      </c>
    </row>
    <row r="55">
      <c r="A55" s="55" t="inlineStr">
        <is>
          <t>Cohort month 46</t>
        </is>
      </c>
      <c r="B55" s="55" t="n">
        <v>46</v>
      </c>
      <c r="C55" s="46">
        <f>INDEX(Ops!$E$40:$BL$40,1,$B55)</f>
        <v/>
      </c>
      <c r="AY55" s="56">
        <f>$C55*INDEX(Curves!$V$8:$V$68,AY$4-$B55+1)</f>
        <v/>
      </c>
      <c r="AZ55" s="56">
        <f>$C55*INDEX(Curves!$V$8:$V$68,AZ$4-$B55+1)</f>
        <v/>
      </c>
      <c r="BA55" s="56">
        <f>$C55*INDEX(Curves!$V$8:$V$68,BA$4-$B55+1)</f>
        <v/>
      </c>
      <c r="BB55" s="56">
        <f>$C55*INDEX(Curves!$V$8:$V$68,BB$4-$B55+1)</f>
        <v/>
      </c>
      <c r="BC55" s="56">
        <f>$C55*INDEX(Curves!$V$8:$V$68,BC$4-$B55+1)</f>
        <v/>
      </c>
      <c r="BD55" s="56">
        <f>$C55*INDEX(Curves!$V$8:$V$68,BD$4-$B55+1)</f>
        <v/>
      </c>
      <c r="BE55" s="56">
        <f>$C55*INDEX(Curves!$V$8:$V$68,BE$4-$B55+1)</f>
        <v/>
      </c>
      <c r="BF55" s="56">
        <f>$C55*INDEX(Curves!$V$8:$V$68,BF$4-$B55+1)</f>
        <v/>
      </c>
      <c r="BG55" s="56">
        <f>$C55*INDEX(Curves!$V$8:$V$68,BG$4-$B55+1)</f>
        <v/>
      </c>
      <c r="BH55" s="56">
        <f>$C55*INDEX(Curves!$V$8:$V$68,BH$4-$B55+1)</f>
        <v/>
      </c>
      <c r="BI55" s="56">
        <f>$C55*INDEX(Curves!$V$8:$V$68,BI$4-$B55+1)</f>
        <v/>
      </c>
      <c r="BJ55" s="56">
        <f>$C55*INDEX(Curves!$V$8:$V$68,BJ$4-$B55+1)</f>
        <v/>
      </c>
      <c r="BK55" s="56">
        <f>$C55*INDEX(Curves!$V$8:$V$68,BK$4-$B55+1)</f>
        <v/>
      </c>
      <c r="BL55" s="56">
        <f>$C55*INDEX(Curves!$V$8:$V$68,BL$4-$B55+1)</f>
        <v/>
      </c>
    </row>
    <row r="56">
      <c r="A56" s="55" t="inlineStr">
        <is>
          <t>Cohort month 47</t>
        </is>
      </c>
      <c r="B56" s="55" t="n">
        <v>47</v>
      </c>
      <c r="C56" s="46">
        <f>INDEX(Ops!$E$40:$BL$40,1,$B56)</f>
        <v/>
      </c>
      <c r="AZ56" s="56">
        <f>$C56*INDEX(Curves!$V$8:$V$68,AZ$4-$B56+1)</f>
        <v/>
      </c>
      <c r="BA56" s="56">
        <f>$C56*INDEX(Curves!$V$8:$V$68,BA$4-$B56+1)</f>
        <v/>
      </c>
      <c r="BB56" s="56">
        <f>$C56*INDEX(Curves!$V$8:$V$68,BB$4-$B56+1)</f>
        <v/>
      </c>
      <c r="BC56" s="56">
        <f>$C56*INDEX(Curves!$V$8:$V$68,BC$4-$B56+1)</f>
        <v/>
      </c>
      <c r="BD56" s="56">
        <f>$C56*INDEX(Curves!$V$8:$V$68,BD$4-$B56+1)</f>
        <v/>
      </c>
      <c r="BE56" s="56">
        <f>$C56*INDEX(Curves!$V$8:$V$68,BE$4-$B56+1)</f>
        <v/>
      </c>
      <c r="BF56" s="56">
        <f>$C56*INDEX(Curves!$V$8:$V$68,BF$4-$B56+1)</f>
        <v/>
      </c>
      <c r="BG56" s="56">
        <f>$C56*INDEX(Curves!$V$8:$V$68,BG$4-$B56+1)</f>
        <v/>
      </c>
      <c r="BH56" s="56">
        <f>$C56*INDEX(Curves!$V$8:$V$68,BH$4-$B56+1)</f>
        <v/>
      </c>
      <c r="BI56" s="56">
        <f>$C56*INDEX(Curves!$V$8:$V$68,BI$4-$B56+1)</f>
        <v/>
      </c>
      <c r="BJ56" s="56">
        <f>$C56*INDEX(Curves!$V$8:$V$68,BJ$4-$B56+1)</f>
        <v/>
      </c>
      <c r="BK56" s="56">
        <f>$C56*INDEX(Curves!$V$8:$V$68,BK$4-$B56+1)</f>
        <v/>
      </c>
      <c r="BL56" s="56">
        <f>$C56*INDEX(Curves!$V$8:$V$68,BL$4-$B56+1)</f>
        <v/>
      </c>
    </row>
    <row r="57">
      <c r="A57" s="55" t="inlineStr">
        <is>
          <t>Cohort month 48</t>
        </is>
      </c>
      <c r="B57" s="55" t="n">
        <v>48</v>
      </c>
      <c r="C57" s="46">
        <f>INDEX(Ops!$E$40:$BL$40,1,$B57)</f>
        <v/>
      </c>
      <c r="BA57" s="56">
        <f>$C57*INDEX(Curves!$V$8:$V$68,BA$4-$B57+1)</f>
        <v/>
      </c>
      <c r="BB57" s="56">
        <f>$C57*INDEX(Curves!$V$8:$V$68,BB$4-$B57+1)</f>
        <v/>
      </c>
      <c r="BC57" s="56">
        <f>$C57*INDEX(Curves!$V$8:$V$68,BC$4-$B57+1)</f>
        <v/>
      </c>
      <c r="BD57" s="56">
        <f>$C57*INDEX(Curves!$V$8:$V$68,BD$4-$B57+1)</f>
        <v/>
      </c>
      <c r="BE57" s="56">
        <f>$C57*INDEX(Curves!$V$8:$V$68,BE$4-$B57+1)</f>
        <v/>
      </c>
      <c r="BF57" s="56">
        <f>$C57*INDEX(Curves!$V$8:$V$68,BF$4-$B57+1)</f>
        <v/>
      </c>
      <c r="BG57" s="56">
        <f>$C57*INDEX(Curves!$V$8:$V$68,BG$4-$B57+1)</f>
        <v/>
      </c>
      <c r="BH57" s="56">
        <f>$C57*INDEX(Curves!$V$8:$V$68,BH$4-$B57+1)</f>
        <v/>
      </c>
      <c r="BI57" s="56">
        <f>$C57*INDEX(Curves!$V$8:$V$68,BI$4-$B57+1)</f>
        <v/>
      </c>
      <c r="BJ57" s="56">
        <f>$C57*INDEX(Curves!$V$8:$V$68,BJ$4-$B57+1)</f>
        <v/>
      </c>
      <c r="BK57" s="56">
        <f>$C57*INDEX(Curves!$V$8:$V$68,BK$4-$B57+1)</f>
        <v/>
      </c>
      <c r="BL57" s="56">
        <f>$C57*INDEX(Curves!$V$8:$V$68,BL$4-$B57+1)</f>
        <v/>
      </c>
    </row>
    <row r="58">
      <c r="A58" s="55" t="inlineStr">
        <is>
          <t>Cohort month 49</t>
        </is>
      </c>
      <c r="B58" s="55" t="n">
        <v>49</v>
      </c>
      <c r="C58" s="46">
        <f>INDEX(Ops!$E$40:$BL$40,1,$B58)</f>
        <v/>
      </c>
      <c r="BB58" s="56">
        <f>$C58*INDEX(Curves!$V$8:$V$68,BB$4-$B58+1)</f>
        <v/>
      </c>
      <c r="BC58" s="56">
        <f>$C58*INDEX(Curves!$V$8:$V$68,BC$4-$B58+1)</f>
        <v/>
      </c>
      <c r="BD58" s="56">
        <f>$C58*INDEX(Curves!$V$8:$V$68,BD$4-$B58+1)</f>
        <v/>
      </c>
      <c r="BE58" s="56">
        <f>$C58*INDEX(Curves!$V$8:$V$68,BE$4-$B58+1)</f>
        <v/>
      </c>
      <c r="BF58" s="56">
        <f>$C58*INDEX(Curves!$V$8:$V$68,BF$4-$B58+1)</f>
        <v/>
      </c>
      <c r="BG58" s="56">
        <f>$C58*INDEX(Curves!$V$8:$V$68,BG$4-$B58+1)</f>
        <v/>
      </c>
      <c r="BH58" s="56">
        <f>$C58*INDEX(Curves!$V$8:$V$68,BH$4-$B58+1)</f>
        <v/>
      </c>
      <c r="BI58" s="56">
        <f>$C58*INDEX(Curves!$V$8:$V$68,BI$4-$B58+1)</f>
        <v/>
      </c>
      <c r="BJ58" s="56">
        <f>$C58*INDEX(Curves!$V$8:$V$68,BJ$4-$B58+1)</f>
        <v/>
      </c>
      <c r="BK58" s="56">
        <f>$C58*INDEX(Curves!$V$8:$V$68,BK$4-$B58+1)</f>
        <v/>
      </c>
      <c r="BL58" s="56">
        <f>$C58*INDEX(Curves!$V$8:$V$68,BL$4-$B58+1)</f>
        <v/>
      </c>
    </row>
    <row r="59">
      <c r="A59" s="55" t="inlineStr">
        <is>
          <t>Cohort month 50</t>
        </is>
      </c>
      <c r="B59" s="55" t="n">
        <v>50</v>
      </c>
      <c r="C59" s="46">
        <f>INDEX(Ops!$E$40:$BL$40,1,$B59)</f>
        <v/>
      </c>
      <c r="BC59" s="56">
        <f>$C59*INDEX(Curves!$V$8:$V$68,BC$4-$B59+1)</f>
        <v/>
      </c>
      <c r="BD59" s="56">
        <f>$C59*INDEX(Curves!$V$8:$V$68,BD$4-$B59+1)</f>
        <v/>
      </c>
      <c r="BE59" s="56">
        <f>$C59*INDEX(Curves!$V$8:$V$68,BE$4-$B59+1)</f>
        <v/>
      </c>
      <c r="BF59" s="56">
        <f>$C59*INDEX(Curves!$V$8:$V$68,BF$4-$B59+1)</f>
        <v/>
      </c>
      <c r="BG59" s="56">
        <f>$C59*INDEX(Curves!$V$8:$V$68,BG$4-$B59+1)</f>
        <v/>
      </c>
      <c r="BH59" s="56">
        <f>$C59*INDEX(Curves!$V$8:$V$68,BH$4-$B59+1)</f>
        <v/>
      </c>
      <c r="BI59" s="56">
        <f>$C59*INDEX(Curves!$V$8:$V$68,BI$4-$B59+1)</f>
        <v/>
      </c>
      <c r="BJ59" s="56">
        <f>$C59*INDEX(Curves!$V$8:$V$68,BJ$4-$B59+1)</f>
        <v/>
      </c>
      <c r="BK59" s="56">
        <f>$C59*INDEX(Curves!$V$8:$V$68,BK$4-$B59+1)</f>
        <v/>
      </c>
      <c r="BL59" s="56">
        <f>$C59*INDEX(Curves!$V$8:$V$68,BL$4-$B59+1)</f>
        <v/>
      </c>
    </row>
    <row r="60">
      <c r="A60" s="55" t="inlineStr">
        <is>
          <t>Cohort month 51</t>
        </is>
      </c>
      <c r="B60" s="55" t="n">
        <v>51</v>
      </c>
      <c r="C60" s="46">
        <f>INDEX(Ops!$E$40:$BL$40,1,$B60)</f>
        <v/>
      </c>
      <c r="BD60" s="56">
        <f>$C60*INDEX(Curves!$V$8:$V$68,BD$4-$B60+1)</f>
        <v/>
      </c>
      <c r="BE60" s="56">
        <f>$C60*INDEX(Curves!$V$8:$V$68,BE$4-$B60+1)</f>
        <v/>
      </c>
      <c r="BF60" s="56">
        <f>$C60*INDEX(Curves!$V$8:$V$68,BF$4-$B60+1)</f>
        <v/>
      </c>
      <c r="BG60" s="56">
        <f>$C60*INDEX(Curves!$V$8:$V$68,BG$4-$B60+1)</f>
        <v/>
      </c>
      <c r="BH60" s="56">
        <f>$C60*INDEX(Curves!$V$8:$V$68,BH$4-$B60+1)</f>
        <v/>
      </c>
      <c r="BI60" s="56">
        <f>$C60*INDEX(Curves!$V$8:$V$68,BI$4-$B60+1)</f>
        <v/>
      </c>
      <c r="BJ60" s="56">
        <f>$C60*INDEX(Curves!$V$8:$V$68,BJ$4-$B60+1)</f>
        <v/>
      </c>
      <c r="BK60" s="56">
        <f>$C60*INDEX(Curves!$V$8:$V$68,BK$4-$B60+1)</f>
        <v/>
      </c>
      <c r="BL60" s="56">
        <f>$C60*INDEX(Curves!$V$8:$V$68,BL$4-$B60+1)</f>
        <v/>
      </c>
    </row>
    <row r="61">
      <c r="A61" s="55" t="inlineStr">
        <is>
          <t>Cohort month 52</t>
        </is>
      </c>
      <c r="B61" s="55" t="n">
        <v>52</v>
      </c>
      <c r="C61" s="46">
        <f>INDEX(Ops!$E$40:$BL$40,1,$B61)</f>
        <v/>
      </c>
      <c r="BE61" s="56">
        <f>$C61*INDEX(Curves!$V$8:$V$68,BE$4-$B61+1)</f>
        <v/>
      </c>
      <c r="BF61" s="56">
        <f>$C61*INDEX(Curves!$V$8:$V$68,BF$4-$B61+1)</f>
        <v/>
      </c>
      <c r="BG61" s="56">
        <f>$C61*INDEX(Curves!$V$8:$V$68,BG$4-$B61+1)</f>
        <v/>
      </c>
      <c r="BH61" s="56">
        <f>$C61*INDEX(Curves!$V$8:$V$68,BH$4-$B61+1)</f>
        <v/>
      </c>
      <c r="BI61" s="56">
        <f>$C61*INDEX(Curves!$V$8:$V$68,BI$4-$B61+1)</f>
        <v/>
      </c>
      <c r="BJ61" s="56">
        <f>$C61*INDEX(Curves!$V$8:$V$68,BJ$4-$B61+1)</f>
        <v/>
      </c>
      <c r="BK61" s="56">
        <f>$C61*INDEX(Curves!$V$8:$V$68,BK$4-$B61+1)</f>
        <v/>
      </c>
      <c r="BL61" s="56">
        <f>$C61*INDEX(Curves!$V$8:$V$68,BL$4-$B61+1)</f>
        <v/>
      </c>
    </row>
    <row r="62">
      <c r="A62" s="55" t="inlineStr">
        <is>
          <t>Cohort month 53</t>
        </is>
      </c>
      <c r="B62" s="55" t="n">
        <v>53</v>
      </c>
      <c r="C62" s="46">
        <f>INDEX(Ops!$E$40:$BL$40,1,$B62)</f>
        <v/>
      </c>
      <c r="BF62" s="56">
        <f>$C62*INDEX(Curves!$V$8:$V$68,BF$4-$B62+1)</f>
        <v/>
      </c>
      <c r="BG62" s="56">
        <f>$C62*INDEX(Curves!$V$8:$V$68,BG$4-$B62+1)</f>
        <v/>
      </c>
      <c r="BH62" s="56">
        <f>$C62*INDEX(Curves!$V$8:$V$68,BH$4-$B62+1)</f>
        <v/>
      </c>
      <c r="BI62" s="56">
        <f>$C62*INDEX(Curves!$V$8:$V$68,BI$4-$B62+1)</f>
        <v/>
      </c>
      <c r="BJ62" s="56">
        <f>$C62*INDEX(Curves!$V$8:$V$68,BJ$4-$B62+1)</f>
        <v/>
      </c>
      <c r="BK62" s="56">
        <f>$C62*INDEX(Curves!$V$8:$V$68,BK$4-$B62+1)</f>
        <v/>
      </c>
      <c r="BL62" s="56">
        <f>$C62*INDEX(Curves!$V$8:$V$68,BL$4-$B62+1)</f>
        <v/>
      </c>
    </row>
    <row r="63">
      <c r="A63" s="55" t="inlineStr">
        <is>
          <t>Cohort month 54</t>
        </is>
      </c>
      <c r="B63" s="55" t="n">
        <v>54</v>
      </c>
      <c r="C63" s="46">
        <f>INDEX(Ops!$E$40:$BL$40,1,$B63)</f>
        <v/>
      </c>
      <c r="BG63" s="56">
        <f>$C63*INDEX(Curves!$V$8:$V$68,BG$4-$B63+1)</f>
        <v/>
      </c>
      <c r="BH63" s="56">
        <f>$C63*INDEX(Curves!$V$8:$V$68,BH$4-$B63+1)</f>
        <v/>
      </c>
      <c r="BI63" s="56">
        <f>$C63*INDEX(Curves!$V$8:$V$68,BI$4-$B63+1)</f>
        <v/>
      </c>
      <c r="BJ63" s="56">
        <f>$C63*INDEX(Curves!$V$8:$V$68,BJ$4-$B63+1)</f>
        <v/>
      </c>
      <c r="BK63" s="56">
        <f>$C63*INDEX(Curves!$V$8:$V$68,BK$4-$B63+1)</f>
        <v/>
      </c>
      <c r="BL63" s="56">
        <f>$C63*INDEX(Curves!$V$8:$V$68,BL$4-$B63+1)</f>
        <v/>
      </c>
    </row>
    <row r="64">
      <c r="A64" s="55" t="inlineStr">
        <is>
          <t>Cohort month 55</t>
        </is>
      </c>
      <c r="B64" s="55" t="n">
        <v>55</v>
      </c>
      <c r="C64" s="46">
        <f>INDEX(Ops!$E$40:$BL$40,1,$B64)</f>
        <v/>
      </c>
      <c r="BH64" s="56">
        <f>$C64*INDEX(Curves!$V$8:$V$68,BH$4-$B64+1)</f>
        <v/>
      </c>
      <c r="BI64" s="56">
        <f>$C64*INDEX(Curves!$V$8:$V$68,BI$4-$B64+1)</f>
        <v/>
      </c>
      <c r="BJ64" s="56">
        <f>$C64*INDEX(Curves!$V$8:$V$68,BJ$4-$B64+1)</f>
        <v/>
      </c>
      <c r="BK64" s="56">
        <f>$C64*INDEX(Curves!$V$8:$V$68,BK$4-$B64+1)</f>
        <v/>
      </c>
      <c r="BL64" s="56">
        <f>$C64*INDEX(Curves!$V$8:$V$68,BL$4-$B64+1)</f>
        <v/>
      </c>
    </row>
    <row r="65">
      <c r="A65" s="55" t="inlineStr">
        <is>
          <t>Cohort month 56</t>
        </is>
      </c>
      <c r="B65" s="55" t="n">
        <v>56</v>
      </c>
      <c r="C65" s="46">
        <f>INDEX(Ops!$E$40:$BL$40,1,$B65)</f>
        <v/>
      </c>
      <c r="BI65" s="56">
        <f>$C65*INDEX(Curves!$V$8:$V$68,BI$4-$B65+1)</f>
        <v/>
      </c>
      <c r="BJ65" s="56">
        <f>$C65*INDEX(Curves!$V$8:$V$68,BJ$4-$B65+1)</f>
        <v/>
      </c>
      <c r="BK65" s="56">
        <f>$C65*INDEX(Curves!$V$8:$V$68,BK$4-$B65+1)</f>
        <v/>
      </c>
      <c r="BL65" s="56">
        <f>$C65*INDEX(Curves!$V$8:$V$68,BL$4-$B65+1)</f>
        <v/>
      </c>
    </row>
    <row r="66">
      <c r="A66" s="55" t="inlineStr">
        <is>
          <t>Cohort month 57</t>
        </is>
      </c>
      <c r="B66" s="55" t="n">
        <v>57</v>
      </c>
      <c r="C66" s="46">
        <f>INDEX(Ops!$E$40:$BL$40,1,$B66)</f>
        <v/>
      </c>
      <c r="BJ66" s="56">
        <f>$C66*INDEX(Curves!$V$8:$V$68,BJ$4-$B66+1)</f>
        <v/>
      </c>
      <c r="BK66" s="56">
        <f>$C66*INDEX(Curves!$V$8:$V$68,BK$4-$B66+1)</f>
        <v/>
      </c>
      <c r="BL66" s="56">
        <f>$C66*INDEX(Curves!$V$8:$V$68,BL$4-$B66+1)</f>
        <v/>
      </c>
    </row>
    <row r="67">
      <c r="A67" s="55" t="inlineStr">
        <is>
          <t>Cohort month 58</t>
        </is>
      </c>
      <c r="B67" s="55" t="n">
        <v>58</v>
      </c>
      <c r="C67" s="46">
        <f>INDEX(Ops!$E$40:$BL$40,1,$B67)</f>
        <v/>
      </c>
      <c r="BK67" s="56">
        <f>$C67*INDEX(Curves!$V$8:$V$68,BK$4-$B67+1)</f>
        <v/>
      </c>
      <c r="BL67" s="56">
        <f>$C67*INDEX(Curves!$V$8:$V$68,BL$4-$B67+1)</f>
        <v/>
      </c>
    </row>
    <row r="68">
      <c r="A68" s="55" t="inlineStr">
        <is>
          <t>Cohort month 59</t>
        </is>
      </c>
      <c r="B68" s="55" t="n">
        <v>59</v>
      </c>
      <c r="C68" s="46">
        <f>INDEX(Ops!$E$40:$BL$40,1,$B68)</f>
        <v/>
      </c>
      <c r="BL68" s="56">
        <f>$C68*INDEX(Curves!$V$8:$V$68,BL$4-$B68+1)</f>
        <v/>
      </c>
    </row>
    <row r="69">
      <c r="A69" s="55" t="inlineStr">
        <is>
          <t>Cohort month 60</t>
        </is>
      </c>
      <c r="B69" s="55" t="n">
        <v>60</v>
      </c>
      <c r="C69" s="46">
        <f>INDEX(Ops!$E$40:$BL$40,1,$B69)</f>
        <v/>
      </c>
    </row>
    <row r="70"/>
    <row r="71">
      <c r="A71" s="11" t="inlineStr">
        <is>
          <t>Active accounts by cohort</t>
        </is>
      </c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12" t="n"/>
      <c r="AY71" s="12" t="n"/>
      <c r="AZ71" s="12" t="n"/>
      <c r="BA71" s="12" t="n"/>
      <c r="BB71" s="12" t="n"/>
      <c r="BC71" s="12" t="n"/>
      <c r="BD71" s="12" t="n"/>
      <c r="BE71" s="12" t="n"/>
      <c r="BF71" s="12" t="n"/>
      <c r="BG71" s="12" t="n"/>
      <c r="BH71" s="12" t="n"/>
      <c r="BI71" s="12" t="n"/>
      <c r="BJ71" s="12" t="n"/>
      <c r="BK71" s="12" t="n"/>
      <c r="BL71" s="12" t="n"/>
    </row>
    <row r="72">
      <c r="A72" s="47" t="inlineStr">
        <is>
          <t>Total</t>
        </is>
      </c>
      <c r="B72" s="48" t="inlineStr"/>
      <c r="C72" s="50" t="n"/>
      <c r="D72" s="50" t="n"/>
      <c r="E72" s="51">
        <f>SUM(E73:E132)</f>
        <v/>
      </c>
      <c r="F72" s="51">
        <f>SUM(F73:F132)</f>
        <v/>
      </c>
      <c r="G72" s="51">
        <f>SUM(G73:G132)</f>
        <v/>
      </c>
      <c r="H72" s="51">
        <f>SUM(H73:H132)</f>
        <v/>
      </c>
      <c r="I72" s="51">
        <f>SUM(I73:I132)</f>
        <v/>
      </c>
      <c r="J72" s="51">
        <f>SUM(J73:J132)</f>
        <v/>
      </c>
      <c r="K72" s="51">
        <f>SUM(K73:K132)</f>
        <v/>
      </c>
      <c r="L72" s="51">
        <f>SUM(L73:L132)</f>
        <v/>
      </c>
      <c r="M72" s="51">
        <f>SUM(M73:M132)</f>
        <v/>
      </c>
      <c r="N72" s="51">
        <f>SUM(N73:N132)</f>
        <v/>
      </c>
      <c r="O72" s="51">
        <f>SUM(O73:O132)</f>
        <v/>
      </c>
      <c r="P72" s="51">
        <f>SUM(P73:P132)</f>
        <v/>
      </c>
      <c r="Q72" s="51">
        <f>SUM(Q73:Q132)</f>
        <v/>
      </c>
      <c r="R72" s="51">
        <f>SUM(R73:R132)</f>
        <v/>
      </c>
      <c r="S72" s="51">
        <f>SUM(S73:S132)</f>
        <v/>
      </c>
      <c r="T72" s="51">
        <f>SUM(T73:T132)</f>
        <v/>
      </c>
      <c r="U72" s="51">
        <f>SUM(U73:U132)</f>
        <v/>
      </c>
      <c r="V72" s="51">
        <f>SUM(V73:V132)</f>
        <v/>
      </c>
      <c r="W72" s="51">
        <f>SUM(W73:W132)</f>
        <v/>
      </c>
      <c r="X72" s="51">
        <f>SUM(X73:X132)</f>
        <v/>
      </c>
      <c r="Y72" s="51">
        <f>SUM(Y73:Y132)</f>
        <v/>
      </c>
      <c r="Z72" s="51">
        <f>SUM(Z73:Z132)</f>
        <v/>
      </c>
      <c r="AA72" s="51">
        <f>SUM(AA73:AA132)</f>
        <v/>
      </c>
      <c r="AB72" s="51">
        <f>SUM(AB73:AB132)</f>
        <v/>
      </c>
      <c r="AC72" s="51">
        <f>SUM(AC73:AC132)</f>
        <v/>
      </c>
      <c r="AD72" s="51">
        <f>SUM(AD73:AD132)</f>
        <v/>
      </c>
      <c r="AE72" s="51">
        <f>SUM(AE73:AE132)</f>
        <v/>
      </c>
      <c r="AF72" s="51">
        <f>SUM(AF73:AF132)</f>
        <v/>
      </c>
      <c r="AG72" s="51">
        <f>SUM(AG73:AG132)</f>
        <v/>
      </c>
      <c r="AH72" s="51">
        <f>SUM(AH73:AH132)</f>
        <v/>
      </c>
      <c r="AI72" s="51">
        <f>SUM(AI73:AI132)</f>
        <v/>
      </c>
      <c r="AJ72" s="51">
        <f>SUM(AJ73:AJ132)</f>
        <v/>
      </c>
      <c r="AK72" s="51">
        <f>SUM(AK73:AK132)</f>
        <v/>
      </c>
      <c r="AL72" s="51">
        <f>SUM(AL73:AL132)</f>
        <v/>
      </c>
      <c r="AM72" s="51">
        <f>SUM(AM73:AM132)</f>
        <v/>
      </c>
      <c r="AN72" s="51">
        <f>SUM(AN73:AN132)</f>
        <v/>
      </c>
      <c r="AO72" s="51">
        <f>SUM(AO73:AO132)</f>
        <v/>
      </c>
      <c r="AP72" s="51">
        <f>SUM(AP73:AP132)</f>
        <v/>
      </c>
      <c r="AQ72" s="51">
        <f>SUM(AQ73:AQ132)</f>
        <v/>
      </c>
      <c r="AR72" s="51">
        <f>SUM(AR73:AR132)</f>
        <v/>
      </c>
      <c r="AS72" s="51">
        <f>SUM(AS73:AS132)</f>
        <v/>
      </c>
      <c r="AT72" s="51">
        <f>SUM(AT73:AT132)</f>
        <v/>
      </c>
      <c r="AU72" s="51">
        <f>SUM(AU73:AU132)</f>
        <v/>
      </c>
      <c r="AV72" s="51">
        <f>SUM(AV73:AV132)</f>
        <v/>
      </c>
      <c r="AW72" s="51">
        <f>SUM(AW73:AW132)</f>
        <v/>
      </c>
      <c r="AX72" s="51">
        <f>SUM(AX73:AX132)</f>
        <v/>
      </c>
      <c r="AY72" s="51">
        <f>SUM(AY73:AY132)</f>
        <v/>
      </c>
      <c r="AZ72" s="51">
        <f>SUM(AZ73:AZ132)</f>
        <v/>
      </c>
      <c r="BA72" s="51">
        <f>SUM(BA73:BA132)</f>
        <v/>
      </c>
      <c r="BB72" s="51">
        <f>SUM(BB73:BB132)</f>
        <v/>
      </c>
      <c r="BC72" s="51">
        <f>SUM(BC73:BC132)</f>
        <v/>
      </c>
      <c r="BD72" s="51">
        <f>SUM(BD73:BD132)</f>
        <v/>
      </c>
      <c r="BE72" s="51">
        <f>SUM(BE73:BE132)</f>
        <v/>
      </c>
      <c r="BF72" s="51">
        <f>SUM(BF73:BF132)</f>
        <v/>
      </c>
      <c r="BG72" s="51">
        <f>SUM(BG73:BG132)</f>
        <v/>
      </c>
      <c r="BH72" s="51">
        <f>SUM(BH73:BH132)</f>
        <v/>
      </c>
      <c r="BI72" s="51">
        <f>SUM(BI73:BI132)</f>
        <v/>
      </c>
      <c r="BJ72" s="51">
        <f>SUM(BJ73:BJ132)</f>
        <v/>
      </c>
      <c r="BK72" s="51">
        <f>SUM(BK73:BK132)</f>
        <v/>
      </c>
      <c r="BL72" s="51">
        <f>SUM(BL73:BL132)</f>
        <v/>
      </c>
    </row>
    <row r="73">
      <c r="A73" s="55" t="inlineStr">
        <is>
          <t>Cohort month 1</t>
        </is>
      </c>
      <c r="B73" s="55" t="n">
        <v>1</v>
      </c>
      <c r="C73" s="46">
        <f>INDEX(Ops!$E$39:$BL$39,1,$B73)</f>
        <v/>
      </c>
      <c r="F73" s="56">
        <f>$C73*INDEX(Curves!$Y$8:$Y$68,F$4-$B73+1)</f>
        <v/>
      </c>
      <c r="G73" s="56">
        <f>$C73*INDEX(Curves!$Y$8:$Y$68,G$4-$B73+1)</f>
        <v/>
      </c>
      <c r="H73" s="56">
        <f>$C73*INDEX(Curves!$Y$8:$Y$68,H$4-$B73+1)</f>
        <v/>
      </c>
      <c r="I73" s="56">
        <f>$C73*INDEX(Curves!$Y$8:$Y$68,I$4-$B73+1)</f>
        <v/>
      </c>
      <c r="J73" s="56">
        <f>$C73*INDEX(Curves!$Y$8:$Y$68,J$4-$B73+1)</f>
        <v/>
      </c>
      <c r="K73" s="56">
        <f>$C73*INDEX(Curves!$Y$8:$Y$68,K$4-$B73+1)</f>
        <v/>
      </c>
      <c r="L73" s="56">
        <f>$C73*INDEX(Curves!$Y$8:$Y$68,L$4-$B73+1)</f>
        <v/>
      </c>
      <c r="M73" s="56">
        <f>$C73*INDEX(Curves!$Y$8:$Y$68,M$4-$B73+1)</f>
        <v/>
      </c>
      <c r="N73" s="56">
        <f>$C73*INDEX(Curves!$Y$8:$Y$68,N$4-$B73+1)</f>
        <v/>
      </c>
      <c r="O73" s="56">
        <f>$C73*INDEX(Curves!$Y$8:$Y$68,O$4-$B73+1)</f>
        <v/>
      </c>
      <c r="P73" s="56">
        <f>$C73*INDEX(Curves!$Y$8:$Y$68,P$4-$B73+1)</f>
        <v/>
      </c>
      <c r="Q73" s="56">
        <f>$C73*INDEX(Curves!$Y$8:$Y$68,Q$4-$B73+1)</f>
        <v/>
      </c>
      <c r="R73" s="56">
        <f>$C73*INDEX(Curves!$Y$8:$Y$68,R$4-$B73+1)</f>
        <v/>
      </c>
      <c r="S73" s="56">
        <f>$C73*INDEX(Curves!$Y$8:$Y$68,S$4-$B73+1)</f>
        <v/>
      </c>
      <c r="T73" s="56">
        <f>$C73*INDEX(Curves!$Y$8:$Y$68,T$4-$B73+1)</f>
        <v/>
      </c>
      <c r="U73" s="56">
        <f>$C73*INDEX(Curves!$Y$8:$Y$68,U$4-$B73+1)</f>
        <v/>
      </c>
      <c r="V73" s="56">
        <f>$C73*INDEX(Curves!$Y$8:$Y$68,V$4-$B73+1)</f>
        <v/>
      </c>
      <c r="W73" s="56">
        <f>$C73*INDEX(Curves!$Y$8:$Y$68,W$4-$B73+1)</f>
        <v/>
      </c>
      <c r="X73" s="56">
        <f>$C73*INDEX(Curves!$Y$8:$Y$68,X$4-$B73+1)</f>
        <v/>
      </c>
      <c r="Y73" s="56">
        <f>$C73*INDEX(Curves!$Y$8:$Y$68,Y$4-$B73+1)</f>
        <v/>
      </c>
      <c r="Z73" s="56">
        <f>$C73*INDEX(Curves!$Y$8:$Y$68,Z$4-$B73+1)</f>
        <v/>
      </c>
      <c r="AA73" s="56">
        <f>$C73*INDEX(Curves!$Y$8:$Y$68,AA$4-$B73+1)</f>
        <v/>
      </c>
      <c r="AB73" s="56">
        <f>$C73*INDEX(Curves!$Y$8:$Y$68,AB$4-$B73+1)</f>
        <v/>
      </c>
      <c r="AC73" s="56">
        <f>$C73*INDEX(Curves!$Y$8:$Y$68,AC$4-$B73+1)</f>
        <v/>
      </c>
      <c r="AD73" s="56">
        <f>$C73*INDEX(Curves!$Y$8:$Y$68,AD$4-$B73+1)</f>
        <v/>
      </c>
      <c r="AE73" s="56">
        <f>$C73*INDEX(Curves!$Y$8:$Y$68,AE$4-$B73+1)</f>
        <v/>
      </c>
      <c r="AF73" s="56">
        <f>$C73*INDEX(Curves!$Y$8:$Y$68,AF$4-$B73+1)</f>
        <v/>
      </c>
      <c r="AG73" s="56">
        <f>$C73*INDEX(Curves!$Y$8:$Y$68,AG$4-$B73+1)</f>
        <v/>
      </c>
      <c r="AH73" s="56">
        <f>$C73*INDEX(Curves!$Y$8:$Y$68,AH$4-$B73+1)</f>
        <v/>
      </c>
      <c r="AI73" s="56">
        <f>$C73*INDEX(Curves!$Y$8:$Y$68,AI$4-$B73+1)</f>
        <v/>
      </c>
      <c r="AJ73" s="56">
        <f>$C73*INDEX(Curves!$Y$8:$Y$68,AJ$4-$B73+1)</f>
        <v/>
      </c>
      <c r="AK73" s="56">
        <f>$C73*INDEX(Curves!$Y$8:$Y$68,AK$4-$B73+1)</f>
        <v/>
      </c>
      <c r="AL73" s="56">
        <f>$C73*INDEX(Curves!$Y$8:$Y$68,AL$4-$B73+1)</f>
        <v/>
      </c>
      <c r="AM73" s="56">
        <f>$C73*INDEX(Curves!$Y$8:$Y$68,AM$4-$B73+1)</f>
        <v/>
      </c>
      <c r="AN73" s="56">
        <f>$C73*INDEX(Curves!$Y$8:$Y$68,AN$4-$B73+1)</f>
        <v/>
      </c>
      <c r="AO73" s="56">
        <f>$C73*INDEX(Curves!$Y$8:$Y$68,AO$4-$B73+1)</f>
        <v/>
      </c>
      <c r="AP73" s="56">
        <f>$C73*INDEX(Curves!$Y$8:$Y$68,AP$4-$B73+1)</f>
        <v/>
      </c>
      <c r="AQ73" s="56">
        <f>$C73*INDEX(Curves!$Y$8:$Y$68,AQ$4-$B73+1)</f>
        <v/>
      </c>
      <c r="AR73" s="56">
        <f>$C73*INDEX(Curves!$Y$8:$Y$68,AR$4-$B73+1)</f>
        <v/>
      </c>
      <c r="AS73" s="56">
        <f>$C73*INDEX(Curves!$Y$8:$Y$68,AS$4-$B73+1)</f>
        <v/>
      </c>
      <c r="AT73" s="56">
        <f>$C73*INDEX(Curves!$Y$8:$Y$68,AT$4-$B73+1)</f>
        <v/>
      </c>
      <c r="AU73" s="56">
        <f>$C73*INDEX(Curves!$Y$8:$Y$68,AU$4-$B73+1)</f>
        <v/>
      </c>
      <c r="AV73" s="56">
        <f>$C73*INDEX(Curves!$Y$8:$Y$68,AV$4-$B73+1)</f>
        <v/>
      </c>
      <c r="AW73" s="56">
        <f>$C73*INDEX(Curves!$Y$8:$Y$68,AW$4-$B73+1)</f>
        <v/>
      </c>
      <c r="AX73" s="56">
        <f>$C73*INDEX(Curves!$Y$8:$Y$68,AX$4-$B73+1)</f>
        <v/>
      </c>
      <c r="AY73" s="56">
        <f>$C73*INDEX(Curves!$Y$8:$Y$68,AY$4-$B73+1)</f>
        <v/>
      </c>
      <c r="AZ73" s="56">
        <f>$C73*INDEX(Curves!$Y$8:$Y$68,AZ$4-$B73+1)</f>
        <v/>
      </c>
      <c r="BA73" s="56">
        <f>$C73*INDEX(Curves!$Y$8:$Y$68,BA$4-$B73+1)</f>
        <v/>
      </c>
      <c r="BB73" s="56">
        <f>$C73*INDEX(Curves!$Y$8:$Y$68,BB$4-$B73+1)</f>
        <v/>
      </c>
      <c r="BC73" s="56">
        <f>$C73*INDEX(Curves!$Y$8:$Y$68,BC$4-$B73+1)</f>
        <v/>
      </c>
      <c r="BD73" s="56">
        <f>$C73*INDEX(Curves!$Y$8:$Y$68,BD$4-$B73+1)</f>
        <v/>
      </c>
      <c r="BE73" s="56">
        <f>$C73*INDEX(Curves!$Y$8:$Y$68,BE$4-$B73+1)</f>
        <v/>
      </c>
      <c r="BF73" s="56">
        <f>$C73*INDEX(Curves!$Y$8:$Y$68,BF$4-$B73+1)</f>
        <v/>
      </c>
      <c r="BG73" s="56">
        <f>$C73*INDEX(Curves!$Y$8:$Y$68,BG$4-$B73+1)</f>
        <v/>
      </c>
      <c r="BH73" s="56">
        <f>$C73*INDEX(Curves!$Y$8:$Y$68,BH$4-$B73+1)</f>
        <v/>
      </c>
      <c r="BI73" s="56">
        <f>$C73*INDEX(Curves!$Y$8:$Y$68,BI$4-$B73+1)</f>
        <v/>
      </c>
      <c r="BJ73" s="56">
        <f>$C73*INDEX(Curves!$Y$8:$Y$68,BJ$4-$B73+1)</f>
        <v/>
      </c>
      <c r="BK73" s="56">
        <f>$C73*INDEX(Curves!$Y$8:$Y$68,BK$4-$B73+1)</f>
        <v/>
      </c>
      <c r="BL73" s="56">
        <f>$C73*INDEX(Curves!$Y$8:$Y$68,BL$4-$B73+1)</f>
        <v/>
      </c>
    </row>
    <row r="74">
      <c r="A74" s="55" t="inlineStr">
        <is>
          <t>Cohort month 2</t>
        </is>
      </c>
      <c r="B74" s="55" t="n">
        <v>2</v>
      </c>
      <c r="C74" s="46">
        <f>INDEX(Ops!$E$39:$BL$39,1,$B74)</f>
        <v/>
      </c>
      <c r="G74" s="56">
        <f>$C74*INDEX(Curves!$Y$8:$Y$68,G$4-$B74+1)</f>
        <v/>
      </c>
      <c r="H74" s="56">
        <f>$C74*INDEX(Curves!$Y$8:$Y$68,H$4-$B74+1)</f>
        <v/>
      </c>
      <c r="I74" s="56">
        <f>$C74*INDEX(Curves!$Y$8:$Y$68,I$4-$B74+1)</f>
        <v/>
      </c>
      <c r="J74" s="56">
        <f>$C74*INDEX(Curves!$Y$8:$Y$68,J$4-$B74+1)</f>
        <v/>
      </c>
      <c r="K74" s="56">
        <f>$C74*INDEX(Curves!$Y$8:$Y$68,K$4-$B74+1)</f>
        <v/>
      </c>
      <c r="L74" s="56">
        <f>$C74*INDEX(Curves!$Y$8:$Y$68,L$4-$B74+1)</f>
        <v/>
      </c>
      <c r="M74" s="56">
        <f>$C74*INDEX(Curves!$Y$8:$Y$68,M$4-$B74+1)</f>
        <v/>
      </c>
      <c r="N74" s="56">
        <f>$C74*INDEX(Curves!$Y$8:$Y$68,N$4-$B74+1)</f>
        <v/>
      </c>
      <c r="O74" s="56">
        <f>$C74*INDEX(Curves!$Y$8:$Y$68,O$4-$B74+1)</f>
        <v/>
      </c>
      <c r="P74" s="56">
        <f>$C74*INDEX(Curves!$Y$8:$Y$68,P$4-$B74+1)</f>
        <v/>
      </c>
      <c r="Q74" s="56">
        <f>$C74*INDEX(Curves!$Y$8:$Y$68,Q$4-$B74+1)</f>
        <v/>
      </c>
      <c r="R74" s="56">
        <f>$C74*INDEX(Curves!$Y$8:$Y$68,R$4-$B74+1)</f>
        <v/>
      </c>
      <c r="S74" s="56">
        <f>$C74*INDEX(Curves!$Y$8:$Y$68,S$4-$B74+1)</f>
        <v/>
      </c>
      <c r="T74" s="56">
        <f>$C74*INDEX(Curves!$Y$8:$Y$68,T$4-$B74+1)</f>
        <v/>
      </c>
      <c r="U74" s="56">
        <f>$C74*INDEX(Curves!$Y$8:$Y$68,U$4-$B74+1)</f>
        <v/>
      </c>
      <c r="V74" s="56">
        <f>$C74*INDEX(Curves!$Y$8:$Y$68,V$4-$B74+1)</f>
        <v/>
      </c>
      <c r="W74" s="56">
        <f>$C74*INDEX(Curves!$Y$8:$Y$68,W$4-$B74+1)</f>
        <v/>
      </c>
      <c r="X74" s="56">
        <f>$C74*INDEX(Curves!$Y$8:$Y$68,X$4-$B74+1)</f>
        <v/>
      </c>
      <c r="Y74" s="56">
        <f>$C74*INDEX(Curves!$Y$8:$Y$68,Y$4-$B74+1)</f>
        <v/>
      </c>
      <c r="Z74" s="56">
        <f>$C74*INDEX(Curves!$Y$8:$Y$68,Z$4-$B74+1)</f>
        <v/>
      </c>
      <c r="AA74" s="56">
        <f>$C74*INDEX(Curves!$Y$8:$Y$68,AA$4-$B74+1)</f>
        <v/>
      </c>
      <c r="AB74" s="56">
        <f>$C74*INDEX(Curves!$Y$8:$Y$68,AB$4-$B74+1)</f>
        <v/>
      </c>
      <c r="AC74" s="56">
        <f>$C74*INDEX(Curves!$Y$8:$Y$68,AC$4-$B74+1)</f>
        <v/>
      </c>
      <c r="AD74" s="56">
        <f>$C74*INDEX(Curves!$Y$8:$Y$68,AD$4-$B74+1)</f>
        <v/>
      </c>
      <c r="AE74" s="56">
        <f>$C74*INDEX(Curves!$Y$8:$Y$68,AE$4-$B74+1)</f>
        <v/>
      </c>
      <c r="AF74" s="56">
        <f>$C74*INDEX(Curves!$Y$8:$Y$68,AF$4-$B74+1)</f>
        <v/>
      </c>
      <c r="AG74" s="56">
        <f>$C74*INDEX(Curves!$Y$8:$Y$68,AG$4-$B74+1)</f>
        <v/>
      </c>
      <c r="AH74" s="56">
        <f>$C74*INDEX(Curves!$Y$8:$Y$68,AH$4-$B74+1)</f>
        <v/>
      </c>
      <c r="AI74" s="56">
        <f>$C74*INDEX(Curves!$Y$8:$Y$68,AI$4-$B74+1)</f>
        <v/>
      </c>
      <c r="AJ74" s="56">
        <f>$C74*INDEX(Curves!$Y$8:$Y$68,AJ$4-$B74+1)</f>
        <v/>
      </c>
      <c r="AK74" s="56">
        <f>$C74*INDEX(Curves!$Y$8:$Y$68,AK$4-$B74+1)</f>
        <v/>
      </c>
      <c r="AL74" s="56">
        <f>$C74*INDEX(Curves!$Y$8:$Y$68,AL$4-$B74+1)</f>
        <v/>
      </c>
      <c r="AM74" s="56">
        <f>$C74*INDEX(Curves!$Y$8:$Y$68,AM$4-$B74+1)</f>
        <v/>
      </c>
      <c r="AN74" s="56">
        <f>$C74*INDEX(Curves!$Y$8:$Y$68,AN$4-$B74+1)</f>
        <v/>
      </c>
      <c r="AO74" s="56">
        <f>$C74*INDEX(Curves!$Y$8:$Y$68,AO$4-$B74+1)</f>
        <v/>
      </c>
      <c r="AP74" s="56">
        <f>$C74*INDEX(Curves!$Y$8:$Y$68,AP$4-$B74+1)</f>
        <v/>
      </c>
      <c r="AQ74" s="56">
        <f>$C74*INDEX(Curves!$Y$8:$Y$68,AQ$4-$B74+1)</f>
        <v/>
      </c>
      <c r="AR74" s="56">
        <f>$C74*INDEX(Curves!$Y$8:$Y$68,AR$4-$B74+1)</f>
        <v/>
      </c>
      <c r="AS74" s="56">
        <f>$C74*INDEX(Curves!$Y$8:$Y$68,AS$4-$B74+1)</f>
        <v/>
      </c>
      <c r="AT74" s="56">
        <f>$C74*INDEX(Curves!$Y$8:$Y$68,AT$4-$B74+1)</f>
        <v/>
      </c>
      <c r="AU74" s="56">
        <f>$C74*INDEX(Curves!$Y$8:$Y$68,AU$4-$B74+1)</f>
        <v/>
      </c>
      <c r="AV74" s="56">
        <f>$C74*INDEX(Curves!$Y$8:$Y$68,AV$4-$B74+1)</f>
        <v/>
      </c>
      <c r="AW74" s="56">
        <f>$C74*INDEX(Curves!$Y$8:$Y$68,AW$4-$B74+1)</f>
        <v/>
      </c>
      <c r="AX74" s="56">
        <f>$C74*INDEX(Curves!$Y$8:$Y$68,AX$4-$B74+1)</f>
        <v/>
      </c>
      <c r="AY74" s="56">
        <f>$C74*INDEX(Curves!$Y$8:$Y$68,AY$4-$B74+1)</f>
        <v/>
      </c>
      <c r="AZ74" s="56">
        <f>$C74*INDEX(Curves!$Y$8:$Y$68,AZ$4-$B74+1)</f>
        <v/>
      </c>
      <c r="BA74" s="56">
        <f>$C74*INDEX(Curves!$Y$8:$Y$68,BA$4-$B74+1)</f>
        <v/>
      </c>
      <c r="BB74" s="56">
        <f>$C74*INDEX(Curves!$Y$8:$Y$68,BB$4-$B74+1)</f>
        <v/>
      </c>
      <c r="BC74" s="56">
        <f>$C74*INDEX(Curves!$Y$8:$Y$68,BC$4-$B74+1)</f>
        <v/>
      </c>
      <c r="BD74" s="56">
        <f>$C74*INDEX(Curves!$Y$8:$Y$68,BD$4-$B74+1)</f>
        <v/>
      </c>
      <c r="BE74" s="56">
        <f>$C74*INDEX(Curves!$Y$8:$Y$68,BE$4-$B74+1)</f>
        <v/>
      </c>
      <c r="BF74" s="56">
        <f>$C74*INDEX(Curves!$Y$8:$Y$68,BF$4-$B74+1)</f>
        <v/>
      </c>
      <c r="BG74" s="56">
        <f>$C74*INDEX(Curves!$Y$8:$Y$68,BG$4-$B74+1)</f>
        <v/>
      </c>
      <c r="BH74" s="56">
        <f>$C74*INDEX(Curves!$Y$8:$Y$68,BH$4-$B74+1)</f>
        <v/>
      </c>
      <c r="BI74" s="56">
        <f>$C74*INDEX(Curves!$Y$8:$Y$68,BI$4-$B74+1)</f>
        <v/>
      </c>
      <c r="BJ74" s="56">
        <f>$C74*INDEX(Curves!$Y$8:$Y$68,BJ$4-$B74+1)</f>
        <v/>
      </c>
      <c r="BK74" s="56">
        <f>$C74*INDEX(Curves!$Y$8:$Y$68,BK$4-$B74+1)</f>
        <v/>
      </c>
      <c r="BL74" s="56">
        <f>$C74*INDEX(Curves!$Y$8:$Y$68,BL$4-$B74+1)</f>
        <v/>
      </c>
    </row>
    <row r="75">
      <c r="A75" s="55" t="inlineStr">
        <is>
          <t>Cohort month 3</t>
        </is>
      </c>
      <c r="B75" s="55" t="n">
        <v>3</v>
      </c>
      <c r="C75" s="46">
        <f>INDEX(Ops!$E$39:$BL$39,1,$B75)</f>
        <v/>
      </c>
      <c r="H75" s="56">
        <f>$C75*INDEX(Curves!$Y$8:$Y$68,H$4-$B75+1)</f>
        <v/>
      </c>
      <c r="I75" s="56">
        <f>$C75*INDEX(Curves!$Y$8:$Y$68,I$4-$B75+1)</f>
        <v/>
      </c>
      <c r="J75" s="56">
        <f>$C75*INDEX(Curves!$Y$8:$Y$68,J$4-$B75+1)</f>
        <v/>
      </c>
      <c r="K75" s="56">
        <f>$C75*INDEX(Curves!$Y$8:$Y$68,K$4-$B75+1)</f>
        <v/>
      </c>
      <c r="L75" s="56">
        <f>$C75*INDEX(Curves!$Y$8:$Y$68,L$4-$B75+1)</f>
        <v/>
      </c>
      <c r="M75" s="56">
        <f>$C75*INDEX(Curves!$Y$8:$Y$68,M$4-$B75+1)</f>
        <v/>
      </c>
      <c r="N75" s="56">
        <f>$C75*INDEX(Curves!$Y$8:$Y$68,N$4-$B75+1)</f>
        <v/>
      </c>
      <c r="O75" s="56">
        <f>$C75*INDEX(Curves!$Y$8:$Y$68,O$4-$B75+1)</f>
        <v/>
      </c>
      <c r="P75" s="56">
        <f>$C75*INDEX(Curves!$Y$8:$Y$68,P$4-$B75+1)</f>
        <v/>
      </c>
      <c r="Q75" s="56">
        <f>$C75*INDEX(Curves!$Y$8:$Y$68,Q$4-$B75+1)</f>
        <v/>
      </c>
      <c r="R75" s="56">
        <f>$C75*INDEX(Curves!$Y$8:$Y$68,R$4-$B75+1)</f>
        <v/>
      </c>
      <c r="S75" s="56">
        <f>$C75*INDEX(Curves!$Y$8:$Y$68,S$4-$B75+1)</f>
        <v/>
      </c>
      <c r="T75" s="56">
        <f>$C75*INDEX(Curves!$Y$8:$Y$68,T$4-$B75+1)</f>
        <v/>
      </c>
      <c r="U75" s="56">
        <f>$C75*INDEX(Curves!$Y$8:$Y$68,U$4-$B75+1)</f>
        <v/>
      </c>
      <c r="V75" s="56">
        <f>$C75*INDEX(Curves!$Y$8:$Y$68,V$4-$B75+1)</f>
        <v/>
      </c>
      <c r="W75" s="56">
        <f>$C75*INDEX(Curves!$Y$8:$Y$68,W$4-$B75+1)</f>
        <v/>
      </c>
      <c r="X75" s="56">
        <f>$C75*INDEX(Curves!$Y$8:$Y$68,X$4-$B75+1)</f>
        <v/>
      </c>
      <c r="Y75" s="56">
        <f>$C75*INDEX(Curves!$Y$8:$Y$68,Y$4-$B75+1)</f>
        <v/>
      </c>
      <c r="Z75" s="56">
        <f>$C75*INDEX(Curves!$Y$8:$Y$68,Z$4-$B75+1)</f>
        <v/>
      </c>
      <c r="AA75" s="56">
        <f>$C75*INDEX(Curves!$Y$8:$Y$68,AA$4-$B75+1)</f>
        <v/>
      </c>
      <c r="AB75" s="56">
        <f>$C75*INDEX(Curves!$Y$8:$Y$68,AB$4-$B75+1)</f>
        <v/>
      </c>
      <c r="AC75" s="56">
        <f>$C75*INDEX(Curves!$Y$8:$Y$68,AC$4-$B75+1)</f>
        <v/>
      </c>
      <c r="AD75" s="56">
        <f>$C75*INDEX(Curves!$Y$8:$Y$68,AD$4-$B75+1)</f>
        <v/>
      </c>
      <c r="AE75" s="56">
        <f>$C75*INDEX(Curves!$Y$8:$Y$68,AE$4-$B75+1)</f>
        <v/>
      </c>
      <c r="AF75" s="56">
        <f>$C75*INDEX(Curves!$Y$8:$Y$68,AF$4-$B75+1)</f>
        <v/>
      </c>
      <c r="AG75" s="56">
        <f>$C75*INDEX(Curves!$Y$8:$Y$68,AG$4-$B75+1)</f>
        <v/>
      </c>
      <c r="AH75" s="56">
        <f>$C75*INDEX(Curves!$Y$8:$Y$68,AH$4-$B75+1)</f>
        <v/>
      </c>
      <c r="AI75" s="56">
        <f>$C75*INDEX(Curves!$Y$8:$Y$68,AI$4-$B75+1)</f>
        <v/>
      </c>
      <c r="AJ75" s="56">
        <f>$C75*INDEX(Curves!$Y$8:$Y$68,AJ$4-$B75+1)</f>
        <v/>
      </c>
      <c r="AK75" s="56">
        <f>$C75*INDEX(Curves!$Y$8:$Y$68,AK$4-$B75+1)</f>
        <v/>
      </c>
      <c r="AL75" s="56">
        <f>$C75*INDEX(Curves!$Y$8:$Y$68,AL$4-$B75+1)</f>
        <v/>
      </c>
      <c r="AM75" s="56">
        <f>$C75*INDEX(Curves!$Y$8:$Y$68,AM$4-$B75+1)</f>
        <v/>
      </c>
      <c r="AN75" s="56">
        <f>$C75*INDEX(Curves!$Y$8:$Y$68,AN$4-$B75+1)</f>
        <v/>
      </c>
      <c r="AO75" s="56">
        <f>$C75*INDEX(Curves!$Y$8:$Y$68,AO$4-$B75+1)</f>
        <v/>
      </c>
      <c r="AP75" s="56">
        <f>$C75*INDEX(Curves!$Y$8:$Y$68,AP$4-$B75+1)</f>
        <v/>
      </c>
      <c r="AQ75" s="56">
        <f>$C75*INDEX(Curves!$Y$8:$Y$68,AQ$4-$B75+1)</f>
        <v/>
      </c>
      <c r="AR75" s="56">
        <f>$C75*INDEX(Curves!$Y$8:$Y$68,AR$4-$B75+1)</f>
        <v/>
      </c>
      <c r="AS75" s="56">
        <f>$C75*INDEX(Curves!$Y$8:$Y$68,AS$4-$B75+1)</f>
        <v/>
      </c>
      <c r="AT75" s="56">
        <f>$C75*INDEX(Curves!$Y$8:$Y$68,AT$4-$B75+1)</f>
        <v/>
      </c>
      <c r="AU75" s="56">
        <f>$C75*INDEX(Curves!$Y$8:$Y$68,AU$4-$B75+1)</f>
        <v/>
      </c>
      <c r="AV75" s="56">
        <f>$C75*INDEX(Curves!$Y$8:$Y$68,AV$4-$B75+1)</f>
        <v/>
      </c>
      <c r="AW75" s="56">
        <f>$C75*INDEX(Curves!$Y$8:$Y$68,AW$4-$B75+1)</f>
        <v/>
      </c>
      <c r="AX75" s="56">
        <f>$C75*INDEX(Curves!$Y$8:$Y$68,AX$4-$B75+1)</f>
        <v/>
      </c>
      <c r="AY75" s="56">
        <f>$C75*INDEX(Curves!$Y$8:$Y$68,AY$4-$B75+1)</f>
        <v/>
      </c>
      <c r="AZ75" s="56">
        <f>$C75*INDEX(Curves!$Y$8:$Y$68,AZ$4-$B75+1)</f>
        <v/>
      </c>
      <c r="BA75" s="56">
        <f>$C75*INDEX(Curves!$Y$8:$Y$68,BA$4-$B75+1)</f>
        <v/>
      </c>
      <c r="BB75" s="56">
        <f>$C75*INDEX(Curves!$Y$8:$Y$68,BB$4-$B75+1)</f>
        <v/>
      </c>
      <c r="BC75" s="56">
        <f>$C75*INDEX(Curves!$Y$8:$Y$68,BC$4-$B75+1)</f>
        <v/>
      </c>
      <c r="BD75" s="56">
        <f>$C75*INDEX(Curves!$Y$8:$Y$68,BD$4-$B75+1)</f>
        <v/>
      </c>
      <c r="BE75" s="56">
        <f>$C75*INDEX(Curves!$Y$8:$Y$68,BE$4-$B75+1)</f>
        <v/>
      </c>
      <c r="BF75" s="56">
        <f>$C75*INDEX(Curves!$Y$8:$Y$68,BF$4-$B75+1)</f>
        <v/>
      </c>
      <c r="BG75" s="56">
        <f>$C75*INDEX(Curves!$Y$8:$Y$68,BG$4-$B75+1)</f>
        <v/>
      </c>
      <c r="BH75" s="56">
        <f>$C75*INDEX(Curves!$Y$8:$Y$68,BH$4-$B75+1)</f>
        <v/>
      </c>
      <c r="BI75" s="56">
        <f>$C75*INDEX(Curves!$Y$8:$Y$68,BI$4-$B75+1)</f>
        <v/>
      </c>
      <c r="BJ75" s="56">
        <f>$C75*INDEX(Curves!$Y$8:$Y$68,BJ$4-$B75+1)</f>
        <v/>
      </c>
      <c r="BK75" s="56">
        <f>$C75*INDEX(Curves!$Y$8:$Y$68,BK$4-$B75+1)</f>
        <v/>
      </c>
      <c r="BL75" s="56">
        <f>$C75*INDEX(Curves!$Y$8:$Y$68,BL$4-$B75+1)</f>
        <v/>
      </c>
    </row>
    <row r="76">
      <c r="A76" s="55" t="inlineStr">
        <is>
          <t>Cohort month 4</t>
        </is>
      </c>
      <c r="B76" s="55" t="n">
        <v>4</v>
      </c>
      <c r="C76" s="46">
        <f>INDEX(Ops!$E$39:$BL$39,1,$B76)</f>
        <v/>
      </c>
      <c r="I76" s="56">
        <f>$C76*INDEX(Curves!$Y$8:$Y$68,I$4-$B76+1)</f>
        <v/>
      </c>
      <c r="J76" s="56">
        <f>$C76*INDEX(Curves!$Y$8:$Y$68,J$4-$B76+1)</f>
        <v/>
      </c>
      <c r="K76" s="56">
        <f>$C76*INDEX(Curves!$Y$8:$Y$68,K$4-$B76+1)</f>
        <v/>
      </c>
      <c r="L76" s="56">
        <f>$C76*INDEX(Curves!$Y$8:$Y$68,L$4-$B76+1)</f>
        <v/>
      </c>
      <c r="M76" s="56">
        <f>$C76*INDEX(Curves!$Y$8:$Y$68,M$4-$B76+1)</f>
        <v/>
      </c>
      <c r="N76" s="56">
        <f>$C76*INDEX(Curves!$Y$8:$Y$68,N$4-$B76+1)</f>
        <v/>
      </c>
      <c r="O76" s="56">
        <f>$C76*INDEX(Curves!$Y$8:$Y$68,O$4-$B76+1)</f>
        <v/>
      </c>
      <c r="P76" s="56">
        <f>$C76*INDEX(Curves!$Y$8:$Y$68,P$4-$B76+1)</f>
        <v/>
      </c>
      <c r="Q76" s="56">
        <f>$C76*INDEX(Curves!$Y$8:$Y$68,Q$4-$B76+1)</f>
        <v/>
      </c>
      <c r="R76" s="56">
        <f>$C76*INDEX(Curves!$Y$8:$Y$68,R$4-$B76+1)</f>
        <v/>
      </c>
      <c r="S76" s="56">
        <f>$C76*INDEX(Curves!$Y$8:$Y$68,S$4-$B76+1)</f>
        <v/>
      </c>
      <c r="T76" s="56">
        <f>$C76*INDEX(Curves!$Y$8:$Y$68,T$4-$B76+1)</f>
        <v/>
      </c>
      <c r="U76" s="56">
        <f>$C76*INDEX(Curves!$Y$8:$Y$68,U$4-$B76+1)</f>
        <v/>
      </c>
      <c r="V76" s="56">
        <f>$C76*INDEX(Curves!$Y$8:$Y$68,V$4-$B76+1)</f>
        <v/>
      </c>
      <c r="W76" s="56">
        <f>$C76*INDEX(Curves!$Y$8:$Y$68,W$4-$B76+1)</f>
        <v/>
      </c>
      <c r="X76" s="56">
        <f>$C76*INDEX(Curves!$Y$8:$Y$68,X$4-$B76+1)</f>
        <v/>
      </c>
      <c r="Y76" s="56">
        <f>$C76*INDEX(Curves!$Y$8:$Y$68,Y$4-$B76+1)</f>
        <v/>
      </c>
      <c r="Z76" s="56">
        <f>$C76*INDEX(Curves!$Y$8:$Y$68,Z$4-$B76+1)</f>
        <v/>
      </c>
      <c r="AA76" s="56">
        <f>$C76*INDEX(Curves!$Y$8:$Y$68,AA$4-$B76+1)</f>
        <v/>
      </c>
      <c r="AB76" s="56">
        <f>$C76*INDEX(Curves!$Y$8:$Y$68,AB$4-$B76+1)</f>
        <v/>
      </c>
      <c r="AC76" s="56">
        <f>$C76*INDEX(Curves!$Y$8:$Y$68,AC$4-$B76+1)</f>
        <v/>
      </c>
      <c r="AD76" s="56">
        <f>$C76*INDEX(Curves!$Y$8:$Y$68,AD$4-$B76+1)</f>
        <v/>
      </c>
      <c r="AE76" s="56">
        <f>$C76*INDEX(Curves!$Y$8:$Y$68,AE$4-$B76+1)</f>
        <v/>
      </c>
      <c r="AF76" s="56">
        <f>$C76*INDEX(Curves!$Y$8:$Y$68,AF$4-$B76+1)</f>
        <v/>
      </c>
      <c r="AG76" s="56">
        <f>$C76*INDEX(Curves!$Y$8:$Y$68,AG$4-$B76+1)</f>
        <v/>
      </c>
      <c r="AH76" s="56">
        <f>$C76*INDEX(Curves!$Y$8:$Y$68,AH$4-$B76+1)</f>
        <v/>
      </c>
      <c r="AI76" s="56">
        <f>$C76*INDEX(Curves!$Y$8:$Y$68,AI$4-$B76+1)</f>
        <v/>
      </c>
      <c r="AJ76" s="56">
        <f>$C76*INDEX(Curves!$Y$8:$Y$68,AJ$4-$B76+1)</f>
        <v/>
      </c>
      <c r="AK76" s="56">
        <f>$C76*INDEX(Curves!$Y$8:$Y$68,AK$4-$B76+1)</f>
        <v/>
      </c>
      <c r="AL76" s="56">
        <f>$C76*INDEX(Curves!$Y$8:$Y$68,AL$4-$B76+1)</f>
        <v/>
      </c>
      <c r="AM76" s="56">
        <f>$C76*INDEX(Curves!$Y$8:$Y$68,AM$4-$B76+1)</f>
        <v/>
      </c>
      <c r="AN76" s="56">
        <f>$C76*INDEX(Curves!$Y$8:$Y$68,AN$4-$B76+1)</f>
        <v/>
      </c>
      <c r="AO76" s="56">
        <f>$C76*INDEX(Curves!$Y$8:$Y$68,AO$4-$B76+1)</f>
        <v/>
      </c>
      <c r="AP76" s="56">
        <f>$C76*INDEX(Curves!$Y$8:$Y$68,AP$4-$B76+1)</f>
        <v/>
      </c>
      <c r="AQ76" s="56">
        <f>$C76*INDEX(Curves!$Y$8:$Y$68,AQ$4-$B76+1)</f>
        <v/>
      </c>
      <c r="AR76" s="56">
        <f>$C76*INDEX(Curves!$Y$8:$Y$68,AR$4-$B76+1)</f>
        <v/>
      </c>
      <c r="AS76" s="56">
        <f>$C76*INDEX(Curves!$Y$8:$Y$68,AS$4-$B76+1)</f>
        <v/>
      </c>
      <c r="AT76" s="56">
        <f>$C76*INDEX(Curves!$Y$8:$Y$68,AT$4-$B76+1)</f>
        <v/>
      </c>
      <c r="AU76" s="56">
        <f>$C76*INDEX(Curves!$Y$8:$Y$68,AU$4-$B76+1)</f>
        <v/>
      </c>
      <c r="AV76" s="56">
        <f>$C76*INDEX(Curves!$Y$8:$Y$68,AV$4-$B76+1)</f>
        <v/>
      </c>
      <c r="AW76" s="56">
        <f>$C76*INDEX(Curves!$Y$8:$Y$68,AW$4-$B76+1)</f>
        <v/>
      </c>
      <c r="AX76" s="56">
        <f>$C76*INDEX(Curves!$Y$8:$Y$68,AX$4-$B76+1)</f>
        <v/>
      </c>
      <c r="AY76" s="56">
        <f>$C76*INDEX(Curves!$Y$8:$Y$68,AY$4-$B76+1)</f>
        <v/>
      </c>
      <c r="AZ76" s="56">
        <f>$C76*INDEX(Curves!$Y$8:$Y$68,AZ$4-$B76+1)</f>
        <v/>
      </c>
      <c r="BA76" s="56">
        <f>$C76*INDEX(Curves!$Y$8:$Y$68,BA$4-$B76+1)</f>
        <v/>
      </c>
      <c r="BB76" s="56">
        <f>$C76*INDEX(Curves!$Y$8:$Y$68,BB$4-$B76+1)</f>
        <v/>
      </c>
      <c r="BC76" s="56">
        <f>$C76*INDEX(Curves!$Y$8:$Y$68,BC$4-$B76+1)</f>
        <v/>
      </c>
      <c r="BD76" s="56">
        <f>$C76*INDEX(Curves!$Y$8:$Y$68,BD$4-$B76+1)</f>
        <v/>
      </c>
      <c r="BE76" s="56">
        <f>$C76*INDEX(Curves!$Y$8:$Y$68,BE$4-$B76+1)</f>
        <v/>
      </c>
      <c r="BF76" s="56">
        <f>$C76*INDEX(Curves!$Y$8:$Y$68,BF$4-$B76+1)</f>
        <v/>
      </c>
      <c r="BG76" s="56">
        <f>$C76*INDEX(Curves!$Y$8:$Y$68,BG$4-$B76+1)</f>
        <v/>
      </c>
      <c r="BH76" s="56">
        <f>$C76*INDEX(Curves!$Y$8:$Y$68,BH$4-$B76+1)</f>
        <v/>
      </c>
      <c r="BI76" s="56">
        <f>$C76*INDEX(Curves!$Y$8:$Y$68,BI$4-$B76+1)</f>
        <v/>
      </c>
      <c r="BJ76" s="56">
        <f>$C76*INDEX(Curves!$Y$8:$Y$68,BJ$4-$B76+1)</f>
        <v/>
      </c>
      <c r="BK76" s="56">
        <f>$C76*INDEX(Curves!$Y$8:$Y$68,BK$4-$B76+1)</f>
        <v/>
      </c>
      <c r="BL76" s="56">
        <f>$C76*INDEX(Curves!$Y$8:$Y$68,BL$4-$B76+1)</f>
        <v/>
      </c>
    </row>
    <row r="77">
      <c r="A77" s="55" t="inlineStr">
        <is>
          <t>Cohort month 5</t>
        </is>
      </c>
      <c r="B77" s="55" t="n">
        <v>5</v>
      </c>
      <c r="C77" s="46">
        <f>INDEX(Ops!$E$39:$BL$39,1,$B77)</f>
        <v/>
      </c>
      <c r="J77" s="56">
        <f>$C77*INDEX(Curves!$Y$8:$Y$68,J$4-$B77+1)</f>
        <v/>
      </c>
      <c r="K77" s="56">
        <f>$C77*INDEX(Curves!$Y$8:$Y$68,K$4-$B77+1)</f>
        <v/>
      </c>
      <c r="L77" s="56">
        <f>$C77*INDEX(Curves!$Y$8:$Y$68,L$4-$B77+1)</f>
        <v/>
      </c>
      <c r="M77" s="56">
        <f>$C77*INDEX(Curves!$Y$8:$Y$68,M$4-$B77+1)</f>
        <v/>
      </c>
      <c r="N77" s="56">
        <f>$C77*INDEX(Curves!$Y$8:$Y$68,N$4-$B77+1)</f>
        <v/>
      </c>
      <c r="O77" s="56">
        <f>$C77*INDEX(Curves!$Y$8:$Y$68,O$4-$B77+1)</f>
        <v/>
      </c>
      <c r="P77" s="56">
        <f>$C77*INDEX(Curves!$Y$8:$Y$68,P$4-$B77+1)</f>
        <v/>
      </c>
      <c r="Q77" s="56">
        <f>$C77*INDEX(Curves!$Y$8:$Y$68,Q$4-$B77+1)</f>
        <v/>
      </c>
      <c r="R77" s="56">
        <f>$C77*INDEX(Curves!$Y$8:$Y$68,R$4-$B77+1)</f>
        <v/>
      </c>
      <c r="S77" s="56">
        <f>$C77*INDEX(Curves!$Y$8:$Y$68,S$4-$B77+1)</f>
        <v/>
      </c>
      <c r="T77" s="56">
        <f>$C77*INDEX(Curves!$Y$8:$Y$68,T$4-$B77+1)</f>
        <v/>
      </c>
      <c r="U77" s="56">
        <f>$C77*INDEX(Curves!$Y$8:$Y$68,U$4-$B77+1)</f>
        <v/>
      </c>
      <c r="V77" s="56">
        <f>$C77*INDEX(Curves!$Y$8:$Y$68,V$4-$B77+1)</f>
        <v/>
      </c>
      <c r="W77" s="56">
        <f>$C77*INDEX(Curves!$Y$8:$Y$68,W$4-$B77+1)</f>
        <v/>
      </c>
      <c r="X77" s="56">
        <f>$C77*INDEX(Curves!$Y$8:$Y$68,X$4-$B77+1)</f>
        <v/>
      </c>
      <c r="Y77" s="56">
        <f>$C77*INDEX(Curves!$Y$8:$Y$68,Y$4-$B77+1)</f>
        <v/>
      </c>
      <c r="Z77" s="56">
        <f>$C77*INDEX(Curves!$Y$8:$Y$68,Z$4-$B77+1)</f>
        <v/>
      </c>
      <c r="AA77" s="56">
        <f>$C77*INDEX(Curves!$Y$8:$Y$68,AA$4-$B77+1)</f>
        <v/>
      </c>
      <c r="AB77" s="56">
        <f>$C77*INDEX(Curves!$Y$8:$Y$68,AB$4-$B77+1)</f>
        <v/>
      </c>
      <c r="AC77" s="56">
        <f>$C77*INDEX(Curves!$Y$8:$Y$68,AC$4-$B77+1)</f>
        <v/>
      </c>
      <c r="AD77" s="56">
        <f>$C77*INDEX(Curves!$Y$8:$Y$68,AD$4-$B77+1)</f>
        <v/>
      </c>
      <c r="AE77" s="56">
        <f>$C77*INDEX(Curves!$Y$8:$Y$68,AE$4-$B77+1)</f>
        <v/>
      </c>
      <c r="AF77" s="56">
        <f>$C77*INDEX(Curves!$Y$8:$Y$68,AF$4-$B77+1)</f>
        <v/>
      </c>
      <c r="AG77" s="56">
        <f>$C77*INDEX(Curves!$Y$8:$Y$68,AG$4-$B77+1)</f>
        <v/>
      </c>
      <c r="AH77" s="56">
        <f>$C77*INDEX(Curves!$Y$8:$Y$68,AH$4-$B77+1)</f>
        <v/>
      </c>
      <c r="AI77" s="56">
        <f>$C77*INDEX(Curves!$Y$8:$Y$68,AI$4-$B77+1)</f>
        <v/>
      </c>
      <c r="AJ77" s="56">
        <f>$C77*INDEX(Curves!$Y$8:$Y$68,AJ$4-$B77+1)</f>
        <v/>
      </c>
      <c r="AK77" s="56">
        <f>$C77*INDEX(Curves!$Y$8:$Y$68,AK$4-$B77+1)</f>
        <v/>
      </c>
      <c r="AL77" s="56">
        <f>$C77*INDEX(Curves!$Y$8:$Y$68,AL$4-$B77+1)</f>
        <v/>
      </c>
      <c r="AM77" s="56">
        <f>$C77*INDEX(Curves!$Y$8:$Y$68,AM$4-$B77+1)</f>
        <v/>
      </c>
      <c r="AN77" s="56">
        <f>$C77*INDEX(Curves!$Y$8:$Y$68,AN$4-$B77+1)</f>
        <v/>
      </c>
      <c r="AO77" s="56">
        <f>$C77*INDEX(Curves!$Y$8:$Y$68,AO$4-$B77+1)</f>
        <v/>
      </c>
      <c r="AP77" s="56">
        <f>$C77*INDEX(Curves!$Y$8:$Y$68,AP$4-$B77+1)</f>
        <v/>
      </c>
      <c r="AQ77" s="56">
        <f>$C77*INDEX(Curves!$Y$8:$Y$68,AQ$4-$B77+1)</f>
        <v/>
      </c>
      <c r="AR77" s="56">
        <f>$C77*INDEX(Curves!$Y$8:$Y$68,AR$4-$B77+1)</f>
        <v/>
      </c>
      <c r="AS77" s="56">
        <f>$C77*INDEX(Curves!$Y$8:$Y$68,AS$4-$B77+1)</f>
        <v/>
      </c>
      <c r="AT77" s="56">
        <f>$C77*INDEX(Curves!$Y$8:$Y$68,AT$4-$B77+1)</f>
        <v/>
      </c>
      <c r="AU77" s="56">
        <f>$C77*INDEX(Curves!$Y$8:$Y$68,AU$4-$B77+1)</f>
        <v/>
      </c>
      <c r="AV77" s="56">
        <f>$C77*INDEX(Curves!$Y$8:$Y$68,AV$4-$B77+1)</f>
        <v/>
      </c>
      <c r="AW77" s="56">
        <f>$C77*INDEX(Curves!$Y$8:$Y$68,AW$4-$B77+1)</f>
        <v/>
      </c>
      <c r="AX77" s="56">
        <f>$C77*INDEX(Curves!$Y$8:$Y$68,AX$4-$B77+1)</f>
        <v/>
      </c>
      <c r="AY77" s="56">
        <f>$C77*INDEX(Curves!$Y$8:$Y$68,AY$4-$B77+1)</f>
        <v/>
      </c>
      <c r="AZ77" s="56">
        <f>$C77*INDEX(Curves!$Y$8:$Y$68,AZ$4-$B77+1)</f>
        <v/>
      </c>
      <c r="BA77" s="56">
        <f>$C77*INDEX(Curves!$Y$8:$Y$68,BA$4-$B77+1)</f>
        <v/>
      </c>
      <c r="BB77" s="56">
        <f>$C77*INDEX(Curves!$Y$8:$Y$68,BB$4-$B77+1)</f>
        <v/>
      </c>
      <c r="BC77" s="56">
        <f>$C77*INDEX(Curves!$Y$8:$Y$68,BC$4-$B77+1)</f>
        <v/>
      </c>
      <c r="BD77" s="56">
        <f>$C77*INDEX(Curves!$Y$8:$Y$68,BD$4-$B77+1)</f>
        <v/>
      </c>
      <c r="BE77" s="56">
        <f>$C77*INDEX(Curves!$Y$8:$Y$68,BE$4-$B77+1)</f>
        <v/>
      </c>
      <c r="BF77" s="56">
        <f>$C77*INDEX(Curves!$Y$8:$Y$68,BF$4-$B77+1)</f>
        <v/>
      </c>
      <c r="BG77" s="56">
        <f>$C77*INDEX(Curves!$Y$8:$Y$68,BG$4-$B77+1)</f>
        <v/>
      </c>
      <c r="BH77" s="56">
        <f>$C77*INDEX(Curves!$Y$8:$Y$68,BH$4-$B77+1)</f>
        <v/>
      </c>
      <c r="BI77" s="56">
        <f>$C77*INDEX(Curves!$Y$8:$Y$68,BI$4-$B77+1)</f>
        <v/>
      </c>
      <c r="BJ77" s="56">
        <f>$C77*INDEX(Curves!$Y$8:$Y$68,BJ$4-$B77+1)</f>
        <v/>
      </c>
      <c r="BK77" s="56">
        <f>$C77*INDEX(Curves!$Y$8:$Y$68,BK$4-$B77+1)</f>
        <v/>
      </c>
      <c r="BL77" s="56">
        <f>$C77*INDEX(Curves!$Y$8:$Y$68,BL$4-$B77+1)</f>
        <v/>
      </c>
    </row>
    <row r="78">
      <c r="A78" s="55" t="inlineStr">
        <is>
          <t>Cohort month 6</t>
        </is>
      </c>
      <c r="B78" s="55" t="n">
        <v>6</v>
      </c>
      <c r="C78" s="46">
        <f>INDEX(Ops!$E$39:$BL$39,1,$B78)</f>
        <v/>
      </c>
      <c r="K78" s="56">
        <f>$C78*INDEX(Curves!$Y$8:$Y$68,K$4-$B78+1)</f>
        <v/>
      </c>
      <c r="L78" s="56">
        <f>$C78*INDEX(Curves!$Y$8:$Y$68,L$4-$B78+1)</f>
        <v/>
      </c>
      <c r="M78" s="56">
        <f>$C78*INDEX(Curves!$Y$8:$Y$68,M$4-$B78+1)</f>
        <v/>
      </c>
      <c r="N78" s="56">
        <f>$C78*INDEX(Curves!$Y$8:$Y$68,N$4-$B78+1)</f>
        <v/>
      </c>
      <c r="O78" s="56">
        <f>$C78*INDEX(Curves!$Y$8:$Y$68,O$4-$B78+1)</f>
        <v/>
      </c>
      <c r="P78" s="56">
        <f>$C78*INDEX(Curves!$Y$8:$Y$68,P$4-$B78+1)</f>
        <v/>
      </c>
      <c r="Q78" s="56">
        <f>$C78*INDEX(Curves!$Y$8:$Y$68,Q$4-$B78+1)</f>
        <v/>
      </c>
      <c r="R78" s="56">
        <f>$C78*INDEX(Curves!$Y$8:$Y$68,R$4-$B78+1)</f>
        <v/>
      </c>
      <c r="S78" s="56">
        <f>$C78*INDEX(Curves!$Y$8:$Y$68,S$4-$B78+1)</f>
        <v/>
      </c>
      <c r="T78" s="56">
        <f>$C78*INDEX(Curves!$Y$8:$Y$68,T$4-$B78+1)</f>
        <v/>
      </c>
      <c r="U78" s="56">
        <f>$C78*INDEX(Curves!$Y$8:$Y$68,U$4-$B78+1)</f>
        <v/>
      </c>
      <c r="V78" s="56">
        <f>$C78*INDEX(Curves!$Y$8:$Y$68,V$4-$B78+1)</f>
        <v/>
      </c>
      <c r="W78" s="56">
        <f>$C78*INDEX(Curves!$Y$8:$Y$68,W$4-$B78+1)</f>
        <v/>
      </c>
      <c r="X78" s="56">
        <f>$C78*INDEX(Curves!$Y$8:$Y$68,X$4-$B78+1)</f>
        <v/>
      </c>
      <c r="Y78" s="56">
        <f>$C78*INDEX(Curves!$Y$8:$Y$68,Y$4-$B78+1)</f>
        <v/>
      </c>
      <c r="Z78" s="56">
        <f>$C78*INDEX(Curves!$Y$8:$Y$68,Z$4-$B78+1)</f>
        <v/>
      </c>
      <c r="AA78" s="56">
        <f>$C78*INDEX(Curves!$Y$8:$Y$68,AA$4-$B78+1)</f>
        <v/>
      </c>
      <c r="AB78" s="56">
        <f>$C78*INDEX(Curves!$Y$8:$Y$68,AB$4-$B78+1)</f>
        <v/>
      </c>
      <c r="AC78" s="56">
        <f>$C78*INDEX(Curves!$Y$8:$Y$68,AC$4-$B78+1)</f>
        <v/>
      </c>
      <c r="AD78" s="56">
        <f>$C78*INDEX(Curves!$Y$8:$Y$68,AD$4-$B78+1)</f>
        <v/>
      </c>
      <c r="AE78" s="56">
        <f>$C78*INDEX(Curves!$Y$8:$Y$68,AE$4-$B78+1)</f>
        <v/>
      </c>
      <c r="AF78" s="56">
        <f>$C78*INDEX(Curves!$Y$8:$Y$68,AF$4-$B78+1)</f>
        <v/>
      </c>
      <c r="AG78" s="56">
        <f>$C78*INDEX(Curves!$Y$8:$Y$68,AG$4-$B78+1)</f>
        <v/>
      </c>
      <c r="AH78" s="56">
        <f>$C78*INDEX(Curves!$Y$8:$Y$68,AH$4-$B78+1)</f>
        <v/>
      </c>
      <c r="AI78" s="56">
        <f>$C78*INDEX(Curves!$Y$8:$Y$68,AI$4-$B78+1)</f>
        <v/>
      </c>
      <c r="AJ78" s="56">
        <f>$C78*INDEX(Curves!$Y$8:$Y$68,AJ$4-$B78+1)</f>
        <v/>
      </c>
      <c r="AK78" s="56">
        <f>$C78*INDEX(Curves!$Y$8:$Y$68,AK$4-$B78+1)</f>
        <v/>
      </c>
      <c r="AL78" s="56">
        <f>$C78*INDEX(Curves!$Y$8:$Y$68,AL$4-$B78+1)</f>
        <v/>
      </c>
      <c r="AM78" s="56">
        <f>$C78*INDEX(Curves!$Y$8:$Y$68,AM$4-$B78+1)</f>
        <v/>
      </c>
      <c r="AN78" s="56">
        <f>$C78*INDEX(Curves!$Y$8:$Y$68,AN$4-$B78+1)</f>
        <v/>
      </c>
      <c r="AO78" s="56">
        <f>$C78*INDEX(Curves!$Y$8:$Y$68,AO$4-$B78+1)</f>
        <v/>
      </c>
      <c r="AP78" s="56">
        <f>$C78*INDEX(Curves!$Y$8:$Y$68,AP$4-$B78+1)</f>
        <v/>
      </c>
      <c r="AQ78" s="56">
        <f>$C78*INDEX(Curves!$Y$8:$Y$68,AQ$4-$B78+1)</f>
        <v/>
      </c>
      <c r="AR78" s="56">
        <f>$C78*INDEX(Curves!$Y$8:$Y$68,AR$4-$B78+1)</f>
        <v/>
      </c>
      <c r="AS78" s="56">
        <f>$C78*INDEX(Curves!$Y$8:$Y$68,AS$4-$B78+1)</f>
        <v/>
      </c>
      <c r="AT78" s="56">
        <f>$C78*INDEX(Curves!$Y$8:$Y$68,AT$4-$B78+1)</f>
        <v/>
      </c>
      <c r="AU78" s="56">
        <f>$C78*INDEX(Curves!$Y$8:$Y$68,AU$4-$B78+1)</f>
        <v/>
      </c>
      <c r="AV78" s="56">
        <f>$C78*INDEX(Curves!$Y$8:$Y$68,AV$4-$B78+1)</f>
        <v/>
      </c>
      <c r="AW78" s="56">
        <f>$C78*INDEX(Curves!$Y$8:$Y$68,AW$4-$B78+1)</f>
        <v/>
      </c>
      <c r="AX78" s="56">
        <f>$C78*INDEX(Curves!$Y$8:$Y$68,AX$4-$B78+1)</f>
        <v/>
      </c>
      <c r="AY78" s="56">
        <f>$C78*INDEX(Curves!$Y$8:$Y$68,AY$4-$B78+1)</f>
        <v/>
      </c>
      <c r="AZ78" s="56">
        <f>$C78*INDEX(Curves!$Y$8:$Y$68,AZ$4-$B78+1)</f>
        <v/>
      </c>
      <c r="BA78" s="56">
        <f>$C78*INDEX(Curves!$Y$8:$Y$68,BA$4-$B78+1)</f>
        <v/>
      </c>
      <c r="BB78" s="56">
        <f>$C78*INDEX(Curves!$Y$8:$Y$68,BB$4-$B78+1)</f>
        <v/>
      </c>
      <c r="BC78" s="56">
        <f>$C78*INDEX(Curves!$Y$8:$Y$68,BC$4-$B78+1)</f>
        <v/>
      </c>
      <c r="BD78" s="56">
        <f>$C78*INDEX(Curves!$Y$8:$Y$68,BD$4-$B78+1)</f>
        <v/>
      </c>
      <c r="BE78" s="56">
        <f>$C78*INDEX(Curves!$Y$8:$Y$68,BE$4-$B78+1)</f>
        <v/>
      </c>
      <c r="BF78" s="56">
        <f>$C78*INDEX(Curves!$Y$8:$Y$68,BF$4-$B78+1)</f>
        <v/>
      </c>
      <c r="BG78" s="56">
        <f>$C78*INDEX(Curves!$Y$8:$Y$68,BG$4-$B78+1)</f>
        <v/>
      </c>
      <c r="BH78" s="56">
        <f>$C78*INDEX(Curves!$Y$8:$Y$68,BH$4-$B78+1)</f>
        <v/>
      </c>
      <c r="BI78" s="56">
        <f>$C78*INDEX(Curves!$Y$8:$Y$68,BI$4-$B78+1)</f>
        <v/>
      </c>
      <c r="BJ78" s="56">
        <f>$C78*INDEX(Curves!$Y$8:$Y$68,BJ$4-$B78+1)</f>
        <v/>
      </c>
      <c r="BK78" s="56">
        <f>$C78*INDEX(Curves!$Y$8:$Y$68,BK$4-$B78+1)</f>
        <v/>
      </c>
      <c r="BL78" s="56">
        <f>$C78*INDEX(Curves!$Y$8:$Y$68,BL$4-$B78+1)</f>
        <v/>
      </c>
    </row>
    <row r="79">
      <c r="A79" s="55" t="inlineStr">
        <is>
          <t>Cohort month 7</t>
        </is>
      </c>
      <c r="B79" s="55" t="n">
        <v>7</v>
      </c>
      <c r="C79" s="46">
        <f>INDEX(Ops!$E$39:$BL$39,1,$B79)</f>
        <v/>
      </c>
      <c r="L79" s="56">
        <f>$C79*INDEX(Curves!$Y$8:$Y$68,L$4-$B79+1)</f>
        <v/>
      </c>
      <c r="M79" s="56">
        <f>$C79*INDEX(Curves!$Y$8:$Y$68,M$4-$B79+1)</f>
        <v/>
      </c>
      <c r="N79" s="56">
        <f>$C79*INDEX(Curves!$Y$8:$Y$68,N$4-$B79+1)</f>
        <v/>
      </c>
      <c r="O79" s="56">
        <f>$C79*INDEX(Curves!$Y$8:$Y$68,O$4-$B79+1)</f>
        <v/>
      </c>
      <c r="P79" s="56">
        <f>$C79*INDEX(Curves!$Y$8:$Y$68,P$4-$B79+1)</f>
        <v/>
      </c>
      <c r="Q79" s="56">
        <f>$C79*INDEX(Curves!$Y$8:$Y$68,Q$4-$B79+1)</f>
        <v/>
      </c>
      <c r="R79" s="56">
        <f>$C79*INDEX(Curves!$Y$8:$Y$68,R$4-$B79+1)</f>
        <v/>
      </c>
      <c r="S79" s="56">
        <f>$C79*INDEX(Curves!$Y$8:$Y$68,S$4-$B79+1)</f>
        <v/>
      </c>
      <c r="T79" s="56">
        <f>$C79*INDEX(Curves!$Y$8:$Y$68,T$4-$B79+1)</f>
        <v/>
      </c>
      <c r="U79" s="56">
        <f>$C79*INDEX(Curves!$Y$8:$Y$68,U$4-$B79+1)</f>
        <v/>
      </c>
      <c r="V79" s="56">
        <f>$C79*INDEX(Curves!$Y$8:$Y$68,V$4-$B79+1)</f>
        <v/>
      </c>
      <c r="W79" s="56">
        <f>$C79*INDEX(Curves!$Y$8:$Y$68,W$4-$B79+1)</f>
        <v/>
      </c>
      <c r="X79" s="56">
        <f>$C79*INDEX(Curves!$Y$8:$Y$68,X$4-$B79+1)</f>
        <v/>
      </c>
      <c r="Y79" s="56">
        <f>$C79*INDEX(Curves!$Y$8:$Y$68,Y$4-$B79+1)</f>
        <v/>
      </c>
      <c r="Z79" s="56">
        <f>$C79*INDEX(Curves!$Y$8:$Y$68,Z$4-$B79+1)</f>
        <v/>
      </c>
      <c r="AA79" s="56">
        <f>$C79*INDEX(Curves!$Y$8:$Y$68,AA$4-$B79+1)</f>
        <v/>
      </c>
      <c r="AB79" s="56">
        <f>$C79*INDEX(Curves!$Y$8:$Y$68,AB$4-$B79+1)</f>
        <v/>
      </c>
      <c r="AC79" s="56">
        <f>$C79*INDEX(Curves!$Y$8:$Y$68,AC$4-$B79+1)</f>
        <v/>
      </c>
      <c r="AD79" s="56">
        <f>$C79*INDEX(Curves!$Y$8:$Y$68,AD$4-$B79+1)</f>
        <v/>
      </c>
      <c r="AE79" s="56">
        <f>$C79*INDEX(Curves!$Y$8:$Y$68,AE$4-$B79+1)</f>
        <v/>
      </c>
      <c r="AF79" s="56">
        <f>$C79*INDEX(Curves!$Y$8:$Y$68,AF$4-$B79+1)</f>
        <v/>
      </c>
      <c r="AG79" s="56">
        <f>$C79*INDEX(Curves!$Y$8:$Y$68,AG$4-$B79+1)</f>
        <v/>
      </c>
      <c r="AH79" s="56">
        <f>$C79*INDEX(Curves!$Y$8:$Y$68,AH$4-$B79+1)</f>
        <v/>
      </c>
      <c r="AI79" s="56">
        <f>$C79*INDEX(Curves!$Y$8:$Y$68,AI$4-$B79+1)</f>
        <v/>
      </c>
      <c r="AJ79" s="56">
        <f>$C79*INDEX(Curves!$Y$8:$Y$68,AJ$4-$B79+1)</f>
        <v/>
      </c>
      <c r="AK79" s="56">
        <f>$C79*INDEX(Curves!$Y$8:$Y$68,AK$4-$B79+1)</f>
        <v/>
      </c>
      <c r="AL79" s="56">
        <f>$C79*INDEX(Curves!$Y$8:$Y$68,AL$4-$B79+1)</f>
        <v/>
      </c>
      <c r="AM79" s="56">
        <f>$C79*INDEX(Curves!$Y$8:$Y$68,AM$4-$B79+1)</f>
        <v/>
      </c>
      <c r="AN79" s="56">
        <f>$C79*INDEX(Curves!$Y$8:$Y$68,AN$4-$B79+1)</f>
        <v/>
      </c>
      <c r="AO79" s="56">
        <f>$C79*INDEX(Curves!$Y$8:$Y$68,AO$4-$B79+1)</f>
        <v/>
      </c>
      <c r="AP79" s="56">
        <f>$C79*INDEX(Curves!$Y$8:$Y$68,AP$4-$B79+1)</f>
        <v/>
      </c>
      <c r="AQ79" s="56">
        <f>$C79*INDEX(Curves!$Y$8:$Y$68,AQ$4-$B79+1)</f>
        <v/>
      </c>
      <c r="AR79" s="56">
        <f>$C79*INDEX(Curves!$Y$8:$Y$68,AR$4-$B79+1)</f>
        <v/>
      </c>
      <c r="AS79" s="56">
        <f>$C79*INDEX(Curves!$Y$8:$Y$68,AS$4-$B79+1)</f>
        <v/>
      </c>
      <c r="AT79" s="56">
        <f>$C79*INDEX(Curves!$Y$8:$Y$68,AT$4-$B79+1)</f>
        <v/>
      </c>
      <c r="AU79" s="56">
        <f>$C79*INDEX(Curves!$Y$8:$Y$68,AU$4-$B79+1)</f>
        <v/>
      </c>
      <c r="AV79" s="56">
        <f>$C79*INDEX(Curves!$Y$8:$Y$68,AV$4-$B79+1)</f>
        <v/>
      </c>
      <c r="AW79" s="56">
        <f>$C79*INDEX(Curves!$Y$8:$Y$68,AW$4-$B79+1)</f>
        <v/>
      </c>
      <c r="AX79" s="56">
        <f>$C79*INDEX(Curves!$Y$8:$Y$68,AX$4-$B79+1)</f>
        <v/>
      </c>
      <c r="AY79" s="56">
        <f>$C79*INDEX(Curves!$Y$8:$Y$68,AY$4-$B79+1)</f>
        <v/>
      </c>
      <c r="AZ79" s="56">
        <f>$C79*INDEX(Curves!$Y$8:$Y$68,AZ$4-$B79+1)</f>
        <v/>
      </c>
      <c r="BA79" s="56">
        <f>$C79*INDEX(Curves!$Y$8:$Y$68,BA$4-$B79+1)</f>
        <v/>
      </c>
      <c r="BB79" s="56">
        <f>$C79*INDEX(Curves!$Y$8:$Y$68,BB$4-$B79+1)</f>
        <v/>
      </c>
      <c r="BC79" s="56">
        <f>$C79*INDEX(Curves!$Y$8:$Y$68,BC$4-$B79+1)</f>
        <v/>
      </c>
      <c r="BD79" s="56">
        <f>$C79*INDEX(Curves!$Y$8:$Y$68,BD$4-$B79+1)</f>
        <v/>
      </c>
      <c r="BE79" s="56">
        <f>$C79*INDEX(Curves!$Y$8:$Y$68,BE$4-$B79+1)</f>
        <v/>
      </c>
      <c r="BF79" s="56">
        <f>$C79*INDEX(Curves!$Y$8:$Y$68,BF$4-$B79+1)</f>
        <v/>
      </c>
      <c r="BG79" s="56">
        <f>$C79*INDEX(Curves!$Y$8:$Y$68,BG$4-$B79+1)</f>
        <v/>
      </c>
      <c r="BH79" s="56">
        <f>$C79*INDEX(Curves!$Y$8:$Y$68,BH$4-$B79+1)</f>
        <v/>
      </c>
      <c r="BI79" s="56">
        <f>$C79*INDEX(Curves!$Y$8:$Y$68,BI$4-$B79+1)</f>
        <v/>
      </c>
      <c r="BJ79" s="56">
        <f>$C79*INDEX(Curves!$Y$8:$Y$68,BJ$4-$B79+1)</f>
        <v/>
      </c>
      <c r="BK79" s="56">
        <f>$C79*INDEX(Curves!$Y$8:$Y$68,BK$4-$B79+1)</f>
        <v/>
      </c>
      <c r="BL79" s="56">
        <f>$C79*INDEX(Curves!$Y$8:$Y$68,BL$4-$B79+1)</f>
        <v/>
      </c>
    </row>
    <row r="80">
      <c r="A80" s="55" t="inlineStr">
        <is>
          <t>Cohort month 8</t>
        </is>
      </c>
      <c r="B80" s="55" t="n">
        <v>8</v>
      </c>
      <c r="C80" s="46">
        <f>INDEX(Ops!$E$39:$BL$39,1,$B80)</f>
        <v/>
      </c>
      <c r="M80" s="56">
        <f>$C80*INDEX(Curves!$Y$8:$Y$68,M$4-$B80+1)</f>
        <v/>
      </c>
      <c r="N80" s="56">
        <f>$C80*INDEX(Curves!$Y$8:$Y$68,N$4-$B80+1)</f>
        <v/>
      </c>
      <c r="O80" s="56">
        <f>$C80*INDEX(Curves!$Y$8:$Y$68,O$4-$B80+1)</f>
        <v/>
      </c>
      <c r="P80" s="56">
        <f>$C80*INDEX(Curves!$Y$8:$Y$68,P$4-$B80+1)</f>
        <v/>
      </c>
      <c r="Q80" s="56">
        <f>$C80*INDEX(Curves!$Y$8:$Y$68,Q$4-$B80+1)</f>
        <v/>
      </c>
      <c r="R80" s="56">
        <f>$C80*INDEX(Curves!$Y$8:$Y$68,R$4-$B80+1)</f>
        <v/>
      </c>
      <c r="S80" s="56">
        <f>$C80*INDEX(Curves!$Y$8:$Y$68,S$4-$B80+1)</f>
        <v/>
      </c>
      <c r="T80" s="56">
        <f>$C80*INDEX(Curves!$Y$8:$Y$68,T$4-$B80+1)</f>
        <v/>
      </c>
      <c r="U80" s="56">
        <f>$C80*INDEX(Curves!$Y$8:$Y$68,U$4-$B80+1)</f>
        <v/>
      </c>
      <c r="V80" s="56">
        <f>$C80*INDEX(Curves!$Y$8:$Y$68,V$4-$B80+1)</f>
        <v/>
      </c>
      <c r="W80" s="56">
        <f>$C80*INDEX(Curves!$Y$8:$Y$68,W$4-$B80+1)</f>
        <v/>
      </c>
      <c r="X80" s="56">
        <f>$C80*INDEX(Curves!$Y$8:$Y$68,X$4-$B80+1)</f>
        <v/>
      </c>
      <c r="Y80" s="56">
        <f>$C80*INDEX(Curves!$Y$8:$Y$68,Y$4-$B80+1)</f>
        <v/>
      </c>
      <c r="Z80" s="56">
        <f>$C80*INDEX(Curves!$Y$8:$Y$68,Z$4-$B80+1)</f>
        <v/>
      </c>
      <c r="AA80" s="56">
        <f>$C80*INDEX(Curves!$Y$8:$Y$68,AA$4-$B80+1)</f>
        <v/>
      </c>
      <c r="AB80" s="56">
        <f>$C80*INDEX(Curves!$Y$8:$Y$68,AB$4-$B80+1)</f>
        <v/>
      </c>
      <c r="AC80" s="56">
        <f>$C80*INDEX(Curves!$Y$8:$Y$68,AC$4-$B80+1)</f>
        <v/>
      </c>
      <c r="AD80" s="56">
        <f>$C80*INDEX(Curves!$Y$8:$Y$68,AD$4-$B80+1)</f>
        <v/>
      </c>
      <c r="AE80" s="56">
        <f>$C80*INDEX(Curves!$Y$8:$Y$68,AE$4-$B80+1)</f>
        <v/>
      </c>
      <c r="AF80" s="56">
        <f>$C80*INDEX(Curves!$Y$8:$Y$68,AF$4-$B80+1)</f>
        <v/>
      </c>
      <c r="AG80" s="56">
        <f>$C80*INDEX(Curves!$Y$8:$Y$68,AG$4-$B80+1)</f>
        <v/>
      </c>
      <c r="AH80" s="56">
        <f>$C80*INDEX(Curves!$Y$8:$Y$68,AH$4-$B80+1)</f>
        <v/>
      </c>
      <c r="AI80" s="56">
        <f>$C80*INDEX(Curves!$Y$8:$Y$68,AI$4-$B80+1)</f>
        <v/>
      </c>
      <c r="AJ80" s="56">
        <f>$C80*INDEX(Curves!$Y$8:$Y$68,AJ$4-$B80+1)</f>
        <v/>
      </c>
      <c r="AK80" s="56">
        <f>$C80*INDEX(Curves!$Y$8:$Y$68,AK$4-$B80+1)</f>
        <v/>
      </c>
      <c r="AL80" s="56">
        <f>$C80*INDEX(Curves!$Y$8:$Y$68,AL$4-$B80+1)</f>
        <v/>
      </c>
      <c r="AM80" s="56">
        <f>$C80*INDEX(Curves!$Y$8:$Y$68,AM$4-$B80+1)</f>
        <v/>
      </c>
      <c r="AN80" s="56">
        <f>$C80*INDEX(Curves!$Y$8:$Y$68,AN$4-$B80+1)</f>
        <v/>
      </c>
      <c r="AO80" s="56">
        <f>$C80*INDEX(Curves!$Y$8:$Y$68,AO$4-$B80+1)</f>
        <v/>
      </c>
      <c r="AP80" s="56">
        <f>$C80*INDEX(Curves!$Y$8:$Y$68,AP$4-$B80+1)</f>
        <v/>
      </c>
      <c r="AQ80" s="56">
        <f>$C80*INDEX(Curves!$Y$8:$Y$68,AQ$4-$B80+1)</f>
        <v/>
      </c>
      <c r="AR80" s="56">
        <f>$C80*INDEX(Curves!$Y$8:$Y$68,AR$4-$B80+1)</f>
        <v/>
      </c>
      <c r="AS80" s="56">
        <f>$C80*INDEX(Curves!$Y$8:$Y$68,AS$4-$B80+1)</f>
        <v/>
      </c>
      <c r="AT80" s="56">
        <f>$C80*INDEX(Curves!$Y$8:$Y$68,AT$4-$B80+1)</f>
        <v/>
      </c>
      <c r="AU80" s="56">
        <f>$C80*INDEX(Curves!$Y$8:$Y$68,AU$4-$B80+1)</f>
        <v/>
      </c>
      <c r="AV80" s="56">
        <f>$C80*INDEX(Curves!$Y$8:$Y$68,AV$4-$B80+1)</f>
        <v/>
      </c>
      <c r="AW80" s="56">
        <f>$C80*INDEX(Curves!$Y$8:$Y$68,AW$4-$B80+1)</f>
        <v/>
      </c>
      <c r="AX80" s="56">
        <f>$C80*INDEX(Curves!$Y$8:$Y$68,AX$4-$B80+1)</f>
        <v/>
      </c>
      <c r="AY80" s="56">
        <f>$C80*INDEX(Curves!$Y$8:$Y$68,AY$4-$B80+1)</f>
        <v/>
      </c>
      <c r="AZ80" s="56">
        <f>$C80*INDEX(Curves!$Y$8:$Y$68,AZ$4-$B80+1)</f>
        <v/>
      </c>
      <c r="BA80" s="56">
        <f>$C80*INDEX(Curves!$Y$8:$Y$68,BA$4-$B80+1)</f>
        <v/>
      </c>
      <c r="BB80" s="56">
        <f>$C80*INDEX(Curves!$Y$8:$Y$68,BB$4-$B80+1)</f>
        <v/>
      </c>
      <c r="BC80" s="56">
        <f>$C80*INDEX(Curves!$Y$8:$Y$68,BC$4-$B80+1)</f>
        <v/>
      </c>
      <c r="BD80" s="56">
        <f>$C80*INDEX(Curves!$Y$8:$Y$68,BD$4-$B80+1)</f>
        <v/>
      </c>
      <c r="BE80" s="56">
        <f>$C80*INDEX(Curves!$Y$8:$Y$68,BE$4-$B80+1)</f>
        <v/>
      </c>
      <c r="BF80" s="56">
        <f>$C80*INDEX(Curves!$Y$8:$Y$68,BF$4-$B80+1)</f>
        <v/>
      </c>
      <c r="BG80" s="56">
        <f>$C80*INDEX(Curves!$Y$8:$Y$68,BG$4-$B80+1)</f>
        <v/>
      </c>
      <c r="BH80" s="56">
        <f>$C80*INDEX(Curves!$Y$8:$Y$68,BH$4-$B80+1)</f>
        <v/>
      </c>
      <c r="BI80" s="56">
        <f>$C80*INDEX(Curves!$Y$8:$Y$68,BI$4-$B80+1)</f>
        <v/>
      </c>
      <c r="BJ80" s="56">
        <f>$C80*INDEX(Curves!$Y$8:$Y$68,BJ$4-$B80+1)</f>
        <v/>
      </c>
      <c r="BK80" s="56">
        <f>$C80*INDEX(Curves!$Y$8:$Y$68,BK$4-$B80+1)</f>
        <v/>
      </c>
      <c r="BL80" s="56">
        <f>$C80*INDEX(Curves!$Y$8:$Y$68,BL$4-$B80+1)</f>
        <v/>
      </c>
    </row>
    <row r="81">
      <c r="A81" s="55" t="inlineStr">
        <is>
          <t>Cohort month 9</t>
        </is>
      </c>
      <c r="B81" s="55" t="n">
        <v>9</v>
      </c>
      <c r="C81" s="46">
        <f>INDEX(Ops!$E$39:$BL$39,1,$B81)</f>
        <v/>
      </c>
      <c r="N81" s="56">
        <f>$C81*INDEX(Curves!$Y$8:$Y$68,N$4-$B81+1)</f>
        <v/>
      </c>
      <c r="O81" s="56">
        <f>$C81*INDEX(Curves!$Y$8:$Y$68,O$4-$B81+1)</f>
        <v/>
      </c>
      <c r="P81" s="56">
        <f>$C81*INDEX(Curves!$Y$8:$Y$68,P$4-$B81+1)</f>
        <v/>
      </c>
      <c r="Q81" s="56">
        <f>$C81*INDEX(Curves!$Y$8:$Y$68,Q$4-$B81+1)</f>
        <v/>
      </c>
      <c r="R81" s="56">
        <f>$C81*INDEX(Curves!$Y$8:$Y$68,R$4-$B81+1)</f>
        <v/>
      </c>
      <c r="S81" s="56">
        <f>$C81*INDEX(Curves!$Y$8:$Y$68,S$4-$B81+1)</f>
        <v/>
      </c>
      <c r="T81" s="56">
        <f>$C81*INDEX(Curves!$Y$8:$Y$68,T$4-$B81+1)</f>
        <v/>
      </c>
      <c r="U81" s="56">
        <f>$C81*INDEX(Curves!$Y$8:$Y$68,U$4-$B81+1)</f>
        <v/>
      </c>
      <c r="V81" s="56">
        <f>$C81*INDEX(Curves!$Y$8:$Y$68,V$4-$B81+1)</f>
        <v/>
      </c>
      <c r="W81" s="56">
        <f>$C81*INDEX(Curves!$Y$8:$Y$68,W$4-$B81+1)</f>
        <v/>
      </c>
      <c r="X81" s="56">
        <f>$C81*INDEX(Curves!$Y$8:$Y$68,X$4-$B81+1)</f>
        <v/>
      </c>
      <c r="Y81" s="56">
        <f>$C81*INDEX(Curves!$Y$8:$Y$68,Y$4-$B81+1)</f>
        <v/>
      </c>
      <c r="Z81" s="56">
        <f>$C81*INDEX(Curves!$Y$8:$Y$68,Z$4-$B81+1)</f>
        <v/>
      </c>
      <c r="AA81" s="56">
        <f>$C81*INDEX(Curves!$Y$8:$Y$68,AA$4-$B81+1)</f>
        <v/>
      </c>
      <c r="AB81" s="56">
        <f>$C81*INDEX(Curves!$Y$8:$Y$68,AB$4-$B81+1)</f>
        <v/>
      </c>
      <c r="AC81" s="56">
        <f>$C81*INDEX(Curves!$Y$8:$Y$68,AC$4-$B81+1)</f>
        <v/>
      </c>
      <c r="AD81" s="56">
        <f>$C81*INDEX(Curves!$Y$8:$Y$68,AD$4-$B81+1)</f>
        <v/>
      </c>
      <c r="AE81" s="56">
        <f>$C81*INDEX(Curves!$Y$8:$Y$68,AE$4-$B81+1)</f>
        <v/>
      </c>
      <c r="AF81" s="56">
        <f>$C81*INDEX(Curves!$Y$8:$Y$68,AF$4-$B81+1)</f>
        <v/>
      </c>
      <c r="AG81" s="56">
        <f>$C81*INDEX(Curves!$Y$8:$Y$68,AG$4-$B81+1)</f>
        <v/>
      </c>
      <c r="AH81" s="56">
        <f>$C81*INDEX(Curves!$Y$8:$Y$68,AH$4-$B81+1)</f>
        <v/>
      </c>
      <c r="AI81" s="56">
        <f>$C81*INDEX(Curves!$Y$8:$Y$68,AI$4-$B81+1)</f>
        <v/>
      </c>
      <c r="AJ81" s="56">
        <f>$C81*INDEX(Curves!$Y$8:$Y$68,AJ$4-$B81+1)</f>
        <v/>
      </c>
      <c r="AK81" s="56">
        <f>$C81*INDEX(Curves!$Y$8:$Y$68,AK$4-$B81+1)</f>
        <v/>
      </c>
      <c r="AL81" s="56">
        <f>$C81*INDEX(Curves!$Y$8:$Y$68,AL$4-$B81+1)</f>
        <v/>
      </c>
      <c r="AM81" s="56">
        <f>$C81*INDEX(Curves!$Y$8:$Y$68,AM$4-$B81+1)</f>
        <v/>
      </c>
      <c r="AN81" s="56">
        <f>$C81*INDEX(Curves!$Y$8:$Y$68,AN$4-$B81+1)</f>
        <v/>
      </c>
      <c r="AO81" s="56">
        <f>$C81*INDEX(Curves!$Y$8:$Y$68,AO$4-$B81+1)</f>
        <v/>
      </c>
      <c r="AP81" s="56">
        <f>$C81*INDEX(Curves!$Y$8:$Y$68,AP$4-$B81+1)</f>
        <v/>
      </c>
      <c r="AQ81" s="56">
        <f>$C81*INDEX(Curves!$Y$8:$Y$68,AQ$4-$B81+1)</f>
        <v/>
      </c>
      <c r="AR81" s="56">
        <f>$C81*INDEX(Curves!$Y$8:$Y$68,AR$4-$B81+1)</f>
        <v/>
      </c>
      <c r="AS81" s="56">
        <f>$C81*INDEX(Curves!$Y$8:$Y$68,AS$4-$B81+1)</f>
        <v/>
      </c>
      <c r="AT81" s="56">
        <f>$C81*INDEX(Curves!$Y$8:$Y$68,AT$4-$B81+1)</f>
        <v/>
      </c>
      <c r="AU81" s="56">
        <f>$C81*INDEX(Curves!$Y$8:$Y$68,AU$4-$B81+1)</f>
        <v/>
      </c>
      <c r="AV81" s="56">
        <f>$C81*INDEX(Curves!$Y$8:$Y$68,AV$4-$B81+1)</f>
        <v/>
      </c>
      <c r="AW81" s="56">
        <f>$C81*INDEX(Curves!$Y$8:$Y$68,AW$4-$B81+1)</f>
        <v/>
      </c>
      <c r="AX81" s="56">
        <f>$C81*INDEX(Curves!$Y$8:$Y$68,AX$4-$B81+1)</f>
        <v/>
      </c>
      <c r="AY81" s="56">
        <f>$C81*INDEX(Curves!$Y$8:$Y$68,AY$4-$B81+1)</f>
        <v/>
      </c>
      <c r="AZ81" s="56">
        <f>$C81*INDEX(Curves!$Y$8:$Y$68,AZ$4-$B81+1)</f>
        <v/>
      </c>
      <c r="BA81" s="56">
        <f>$C81*INDEX(Curves!$Y$8:$Y$68,BA$4-$B81+1)</f>
        <v/>
      </c>
      <c r="BB81" s="56">
        <f>$C81*INDEX(Curves!$Y$8:$Y$68,BB$4-$B81+1)</f>
        <v/>
      </c>
      <c r="BC81" s="56">
        <f>$C81*INDEX(Curves!$Y$8:$Y$68,BC$4-$B81+1)</f>
        <v/>
      </c>
      <c r="BD81" s="56">
        <f>$C81*INDEX(Curves!$Y$8:$Y$68,BD$4-$B81+1)</f>
        <v/>
      </c>
      <c r="BE81" s="56">
        <f>$C81*INDEX(Curves!$Y$8:$Y$68,BE$4-$B81+1)</f>
        <v/>
      </c>
      <c r="BF81" s="56">
        <f>$C81*INDEX(Curves!$Y$8:$Y$68,BF$4-$B81+1)</f>
        <v/>
      </c>
      <c r="BG81" s="56">
        <f>$C81*INDEX(Curves!$Y$8:$Y$68,BG$4-$B81+1)</f>
        <v/>
      </c>
      <c r="BH81" s="56">
        <f>$C81*INDEX(Curves!$Y$8:$Y$68,BH$4-$B81+1)</f>
        <v/>
      </c>
      <c r="BI81" s="56">
        <f>$C81*INDEX(Curves!$Y$8:$Y$68,BI$4-$B81+1)</f>
        <v/>
      </c>
      <c r="BJ81" s="56">
        <f>$C81*INDEX(Curves!$Y$8:$Y$68,BJ$4-$B81+1)</f>
        <v/>
      </c>
      <c r="BK81" s="56">
        <f>$C81*INDEX(Curves!$Y$8:$Y$68,BK$4-$B81+1)</f>
        <v/>
      </c>
      <c r="BL81" s="56">
        <f>$C81*INDEX(Curves!$Y$8:$Y$68,BL$4-$B81+1)</f>
        <v/>
      </c>
    </row>
    <row r="82">
      <c r="A82" s="55" t="inlineStr">
        <is>
          <t>Cohort month 10</t>
        </is>
      </c>
      <c r="B82" s="55" t="n">
        <v>10</v>
      </c>
      <c r="C82" s="46">
        <f>INDEX(Ops!$E$39:$BL$39,1,$B82)</f>
        <v/>
      </c>
      <c r="O82" s="56">
        <f>$C82*INDEX(Curves!$Y$8:$Y$68,O$4-$B82+1)</f>
        <v/>
      </c>
      <c r="P82" s="56">
        <f>$C82*INDEX(Curves!$Y$8:$Y$68,P$4-$B82+1)</f>
        <v/>
      </c>
      <c r="Q82" s="56">
        <f>$C82*INDEX(Curves!$Y$8:$Y$68,Q$4-$B82+1)</f>
        <v/>
      </c>
      <c r="R82" s="56">
        <f>$C82*INDEX(Curves!$Y$8:$Y$68,R$4-$B82+1)</f>
        <v/>
      </c>
      <c r="S82" s="56">
        <f>$C82*INDEX(Curves!$Y$8:$Y$68,S$4-$B82+1)</f>
        <v/>
      </c>
      <c r="T82" s="56">
        <f>$C82*INDEX(Curves!$Y$8:$Y$68,T$4-$B82+1)</f>
        <v/>
      </c>
      <c r="U82" s="56">
        <f>$C82*INDEX(Curves!$Y$8:$Y$68,U$4-$B82+1)</f>
        <v/>
      </c>
      <c r="V82" s="56">
        <f>$C82*INDEX(Curves!$Y$8:$Y$68,V$4-$B82+1)</f>
        <v/>
      </c>
      <c r="W82" s="56">
        <f>$C82*INDEX(Curves!$Y$8:$Y$68,W$4-$B82+1)</f>
        <v/>
      </c>
      <c r="X82" s="56">
        <f>$C82*INDEX(Curves!$Y$8:$Y$68,X$4-$B82+1)</f>
        <v/>
      </c>
      <c r="Y82" s="56">
        <f>$C82*INDEX(Curves!$Y$8:$Y$68,Y$4-$B82+1)</f>
        <v/>
      </c>
      <c r="Z82" s="56">
        <f>$C82*INDEX(Curves!$Y$8:$Y$68,Z$4-$B82+1)</f>
        <v/>
      </c>
      <c r="AA82" s="56">
        <f>$C82*INDEX(Curves!$Y$8:$Y$68,AA$4-$B82+1)</f>
        <v/>
      </c>
      <c r="AB82" s="56">
        <f>$C82*INDEX(Curves!$Y$8:$Y$68,AB$4-$B82+1)</f>
        <v/>
      </c>
      <c r="AC82" s="56">
        <f>$C82*INDEX(Curves!$Y$8:$Y$68,AC$4-$B82+1)</f>
        <v/>
      </c>
      <c r="AD82" s="56">
        <f>$C82*INDEX(Curves!$Y$8:$Y$68,AD$4-$B82+1)</f>
        <v/>
      </c>
      <c r="AE82" s="56">
        <f>$C82*INDEX(Curves!$Y$8:$Y$68,AE$4-$B82+1)</f>
        <v/>
      </c>
      <c r="AF82" s="56">
        <f>$C82*INDEX(Curves!$Y$8:$Y$68,AF$4-$B82+1)</f>
        <v/>
      </c>
      <c r="AG82" s="56">
        <f>$C82*INDEX(Curves!$Y$8:$Y$68,AG$4-$B82+1)</f>
        <v/>
      </c>
      <c r="AH82" s="56">
        <f>$C82*INDEX(Curves!$Y$8:$Y$68,AH$4-$B82+1)</f>
        <v/>
      </c>
      <c r="AI82" s="56">
        <f>$C82*INDEX(Curves!$Y$8:$Y$68,AI$4-$B82+1)</f>
        <v/>
      </c>
      <c r="AJ82" s="56">
        <f>$C82*INDEX(Curves!$Y$8:$Y$68,AJ$4-$B82+1)</f>
        <v/>
      </c>
      <c r="AK82" s="56">
        <f>$C82*INDEX(Curves!$Y$8:$Y$68,AK$4-$B82+1)</f>
        <v/>
      </c>
      <c r="AL82" s="56">
        <f>$C82*INDEX(Curves!$Y$8:$Y$68,AL$4-$B82+1)</f>
        <v/>
      </c>
      <c r="AM82" s="56">
        <f>$C82*INDEX(Curves!$Y$8:$Y$68,AM$4-$B82+1)</f>
        <v/>
      </c>
      <c r="AN82" s="56">
        <f>$C82*INDEX(Curves!$Y$8:$Y$68,AN$4-$B82+1)</f>
        <v/>
      </c>
      <c r="AO82" s="56">
        <f>$C82*INDEX(Curves!$Y$8:$Y$68,AO$4-$B82+1)</f>
        <v/>
      </c>
      <c r="AP82" s="56">
        <f>$C82*INDEX(Curves!$Y$8:$Y$68,AP$4-$B82+1)</f>
        <v/>
      </c>
      <c r="AQ82" s="56">
        <f>$C82*INDEX(Curves!$Y$8:$Y$68,AQ$4-$B82+1)</f>
        <v/>
      </c>
      <c r="AR82" s="56">
        <f>$C82*INDEX(Curves!$Y$8:$Y$68,AR$4-$B82+1)</f>
        <v/>
      </c>
      <c r="AS82" s="56">
        <f>$C82*INDEX(Curves!$Y$8:$Y$68,AS$4-$B82+1)</f>
        <v/>
      </c>
      <c r="AT82" s="56">
        <f>$C82*INDEX(Curves!$Y$8:$Y$68,AT$4-$B82+1)</f>
        <v/>
      </c>
      <c r="AU82" s="56">
        <f>$C82*INDEX(Curves!$Y$8:$Y$68,AU$4-$B82+1)</f>
        <v/>
      </c>
      <c r="AV82" s="56">
        <f>$C82*INDEX(Curves!$Y$8:$Y$68,AV$4-$B82+1)</f>
        <v/>
      </c>
      <c r="AW82" s="56">
        <f>$C82*INDEX(Curves!$Y$8:$Y$68,AW$4-$B82+1)</f>
        <v/>
      </c>
      <c r="AX82" s="56">
        <f>$C82*INDEX(Curves!$Y$8:$Y$68,AX$4-$B82+1)</f>
        <v/>
      </c>
      <c r="AY82" s="56">
        <f>$C82*INDEX(Curves!$Y$8:$Y$68,AY$4-$B82+1)</f>
        <v/>
      </c>
      <c r="AZ82" s="56">
        <f>$C82*INDEX(Curves!$Y$8:$Y$68,AZ$4-$B82+1)</f>
        <v/>
      </c>
      <c r="BA82" s="56">
        <f>$C82*INDEX(Curves!$Y$8:$Y$68,BA$4-$B82+1)</f>
        <v/>
      </c>
      <c r="BB82" s="56">
        <f>$C82*INDEX(Curves!$Y$8:$Y$68,BB$4-$B82+1)</f>
        <v/>
      </c>
      <c r="BC82" s="56">
        <f>$C82*INDEX(Curves!$Y$8:$Y$68,BC$4-$B82+1)</f>
        <v/>
      </c>
      <c r="BD82" s="56">
        <f>$C82*INDEX(Curves!$Y$8:$Y$68,BD$4-$B82+1)</f>
        <v/>
      </c>
      <c r="BE82" s="56">
        <f>$C82*INDEX(Curves!$Y$8:$Y$68,BE$4-$B82+1)</f>
        <v/>
      </c>
      <c r="BF82" s="56">
        <f>$C82*INDEX(Curves!$Y$8:$Y$68,BF$4-$B82+1)</f>
        <v/>
      </c>
      <c r="BG82" s="56">
        <f>$C82*INDEX(Curves!$Y$8:$Y$68,BG$4-$B82+1)</f>
        <v/>
      </c>
      <c r="BH82" s="56">
        <f>$C82*INDEX(Curves!$Y$8:$Y$68,BH$4-$B82+1)</f>
        <v/>
      </c>
      <c r="BI82" s="56">
        <f>$C82*INDEX(Curves!$Y$8:$Y$68,BI$4-$B82+1)</f>
        <v/>
      </c>
      <c r="BJ82" s="56">
        <f>$C82*INDEX(Curves!$Y$8:$Y$68,BJ$4-$B82+1)</f>
        <v/>
      </c>
      <c r="BK82" s="56">
        <f>$C82*INDEX(Curves!$Y$8:$Y$68,BK$4-$B82+1)</f>
        <v/>
      </c>
      <c r="BL82" s="56">
        <f>$C82*INDEX(Curves!$Y$8:$Y$68,BL$4-$B82+1)</f>
        <v/>
      </c>
    </row>
    <row r="83">
      <c r="A83" s="55" t="inlineStr">
        <is>
          <t>Cohort month 11</t>
        </is>
      </c>
      <c r="B83" s="55" t="n">
        <v>11</v>
      </c>
      <c r="C83" s="46">
        <f>INDEX(Ops!$E$39:$BL$39,1,$B83)</f>
        <v/>
      </c>
      <c r="P83" s="56">
        <f>$C83*INDEX(Curves!$Y$8:$Y$68,P$4-$B83+1)</f>
        <v/>
      </c>
      <c r="Q83" s="56">
        <f>$C83*INDEX(Curves!$Y$8:$Y$68,Q$4-$B83+1)</f>
        <v/>
      </c>
      <c r="R83" s="56">
        <f>$C83*INDEX(Curves!$Y$8:$Y$68,R$4-$B83+1)</f>
        <v/>
      </c>
      <c r="S83" s="56">
        <f>$C83*INDEX(Curves!$Y$8:$Y$68,S$4-$B83+1)</f>
        <v/>
      </c>
      <c r="T83" s="56">
        <f>$C83*INDEX(Curves!$Y$8:$Y$68,T$4-$B83+1)</f>
        <v/>
      </c>
      <c r="U83" s="56">
        <f>$C83*INDEX(Curves!$Y$8:$Y$68,U$4-$B83+1)</f>
        <v/>
      </c>
      <c r="V83" s="56">
        <f>$C83*INDEX(Curves!$Y$8:$Y$68,V$4-$B83+1)</f>
        <v/>
      </c>
      <c r="W83" s="56">
        <f>$C83*INDEX(Curves!$Y$8:$Y$68,W$4-$B83+1)</f>
        <v/>
      </c>
      <c r="X83" s="56">
        <f>$C83*INDEX(Curves!$Y$8:$Y$68,X$4-$B83+1)</f>
        <v/>
      </c>
      <c r="Y83" s="56">
        <f>$C83*INDEX(Curves!$Y$8:$Y$68,Y$4-$B83+1)</f>
        <v/>
      </c>
      <c r="Z83" s="56">
        <f>$C83*INDEX(Curves!$Y$8:$Y$68,Z$4-$B83+1)</f>
        <v/>
      </c>
      <c r="AA83" s="56">
        <f>$C83*INDEX(Curves!$Y$8:$Y$68,AA$4-$B83+1)</f>
        <v/>
      </c>
      <c r="AB83" s="56">
        <f>$C83*INDEX(Curves!$Y$8:$Y$68,AB$4-$B83+1)</f>
        <v/>
      </c>
      <c r="AC83" s="56">
        <f>$C83*INDEX(Curves!$Y$8:$Y$68,AC$4-$B83+1)</f>
        <v/>
      </c>
      <c r="AD83" s="56">
        <f>$C83*INDEX(Curves!$Y$8:$Y$68,AD$4-$B83+1)</f>
        <v/>
      </c>
      <c r="AE83" s="56">
        <f>$C83*INDEX(Curves!$Y$8:$Y$68,AE$4-$B83+1)</f>
        <v/>
      </c>
      <c r="AF83" s="56">
        <f>$C83*INDEX(Curves!$Y$8:$Y$68,AF$4-$B83+1)</f>
        <v/>
      </c>
      <c r="AG83" s="56">
        <f>$C83*INDEX(Curves!$Y$8:$Y$68,AG$4-$B83+1)</f>
        <v/>
      </c>
      <c r="AH83" s="56">
        <f>$C83*INDEX(Curves!$Y$8:$Y$68,AH$4-$B83+1)</f>
        <v/>
      </c>
      <c r="AI83" s="56">
        <f>$C83*INDEX(Curves!$Y$8:$Y$68,AI$4-$B83+1)</f>
        <v/>
      </c>
      <c r="AJ83" s="56">
        <f>$C83*INDEX(Curves!$Y$8:$Y$68,AJ$4-$B83+1)</f>
        <v/>
      </c>
      <c r="AK83" s="56">
        <f>$C83*INDEX(Curves!$Y$8:$Y$68,AK$4-$B83+1)</f>
        <v/>
      </c>
      <c r="AL83" s="56">
        <f>$C83*INDEX(Curves!$Y$8:$Y$68,AL$4-$B83+1)</f>
        <v/>
      </c>
      <c r="AM83" s="56">
        <f>$C83*INDEX(Curves!$Y$8:$Y$68,AM$4-$B83+1)</f>
        <v/>
      </c>
      <c r="AN83" s="56">
        <f>$C83*INDEX(Curves!$Y$8:$Y$68,AN$4-$B83+1)</f>
        <v/>
      </c>
      <c r="AO83" s="56">
        <f>$C83*INDEX(Curves!$Y$8:$Y$68,AO$4-$B83+1)</f>
        <v/>
      </c>
      <c r="AP83" s="56">
        <f>$C83*INDEX(Curves!$Y$8:$Y$68,AP$4-$B83+1)</f>
        <v/>
      </c>
      <c r="AQ83" s="56">
        <f>$C83*INDEX(Curves!$Y$8:$Y$68,AQ$4-$B83+1)</f>
        <v/>
      </c>
      <c r="AR83" s="56">
        <f>$C83*INDEX(Curves!$Y$8:$Y$68,AR$4-$B83+1)</f>
        <v/>
      </c>
      <c r="AS83" s="56">
        <f>$C83*INDEX(Curves!$Y$8:$Y$68,AS$4-$B83+1)</f>
        <v/>
      </c>
      <c r="AT83" s="56">
        <f>$C83*INDEX(Curves!$Y$8:$Y$68,AT$4-$B83+1)</f>
        <v/>
      </c>
      <c r="AU83" s="56">
        <f>$C83*INDEX(Curves!$Y$8:$Y$68,AU$4-$B83+1)</f>
        <v/>
      </c>
      <c r="AV83" s="56">
        <f>$C83*INDEX(Curves!$Y$8:$Y$68,AV$4-$B83+1)</f>
        <v/>
      </c>
      <c r="AW83" s="56">
        <f>$C83*INDEX(Curves!$Y$8:$Y$68,AW$4-$B83+1)</f>
        <v/>
      </c>
      <c r="AX83" s="56">
        <f>$C83*INDEX(Curves!$Y$8:$Y$68,AX$4-$B83+1)</f>
        <v/>
      </c>
      <c r="AY83" s="56">
        <f>$C83*INDEX(Curves!$Y$8:$Y$68,AY$4-$B83+1)</f>
        <v/>
      </c>
      <c r="AZ83" s="56">
        <f>$C83*INDEX(Curves!$Y$8:$Y$68,AZ$4-$B83+1)</f>
        <v/>
      </c>
      <c r="BA83" s="56">
        <f>$C83*INDEX(Curves!$Y$8:$Y$68,BA$4-$B83+1)</f>
        <v/>
      </c>
      <c r="BB83" s="56">
        <f>$C83*INDEX(Curves!$Y$8:$Y$68,BB$4-$B83+1)</f>
        <v/>
      </c>
      <c r="BC83" s="56">
        <f>$C83*INDEX(Curves!$Y$8:$Y$68,BC$4-$B83+1)</f>
        <v/>
      </c>
      <c r="BD83" s="56">
        <f>$C83*INDEX(Curves!$Y$8:$Y$68,BD$4-$B83+1)</f>
        <v/>
      </c>
      <c r="BE83" s="56">
        <f>$C83*INDEX(Curves!$Y$8:$Y$68,BE$4-$B83+1)</f>
        <v/>
      </c>
      <c r="BF83" s="56">
        <f>$C83*INDEX(Curves!$Y$8:$Y$68,BF$4-$B83+1)</f>
        <v/>
      </c>
      <c r="BG83" s="56">
        <f>$C83*INDEX(Curves!$Y$8:$Y$68,BG$4-$B83+1)</f>
        <v/>
      </c>
      <c r="BH83" s="56">
        <f>$C83*INDEX(Curves!$Y$8:$Y$68,BH$4-$B83+1)</f>
        <v/>
      </c>
      <c r="BI83" s="56">
        <f>$C83*INDEX(Curves!$Y$8:$Y$68,BI$4-$B83+1)</f>
        <v/>
      </c>
      <c r="BJ83" s="56">
        <f>$C83*INDEX(Curves!$Y$8:$Y$68,BJ$4-$B83+1)</f>
        <v/>
      </c>
      <c r="BK83" s="56">
        <f>$C83*INDEX(Curves!$Y$8:$Y$68,BK$4-$B83+1)</f>
        <v/>
      </c>
      <c r="BL83" s="56">
        <f>$C83*INDEX(Curves!$Y$8:$Y$68,BL$4-$B83+1)</f>
        <v/>
      </c>
    </row>
    <row r="84">
      <c r="A84" s="55" t="inlineStr">
        <is>
          <t>Cohort month 12</t>
        </is>
      </c>
      <c r="B84" s="55" t="n">
        <v>12</v>
      </c>
      <c r="C84" s="46">
        <f>INDEX(Ops!$E$39:$BL$39,1,$B84)</f>
        <v/>
      </c>
      <c r="Q84" s="56">
        <f>$C84*INDEX(Curves!$Y$8:$Y$68,Q$4-$B84+1)</f>
        <v/>
      </c>
      <c r="R84" s="56">
        <f>$C84*INDEX(Curves!$Y$8:$Y$68,R$4-$B84+1)</f>
        <v/>
      </c>
      <c r="S84" s="56">
        <f>$C84*INDEX(Curves!$Y$8:$Y$68,S$4-$B84+1)</f>
        <v/>
      </c>
      <c r="T84" s="56">
        <f>$C84*INDEX(Curves!$Y$8:$Y$68,T$4-$B84+1)</f>
        <v/>
      </c>
      <c r="U84" s="56">
        <f>$C84*INDEX(Curves!$Y$8:$Y$68,U$4-$B84+1)</f>
        <v/>
      </c>
      <c r="V84" s="56">
        <f>$C84*INDEX(Curves!$Y$8:$Y$68,V$4-$B84+1)</f>
        <v/>
      </c>
      <c r="W84" s="56">
        <f>$C84*INDEX(Curves!$Y$8:$Y$68,W$4-$B84+1)</f>
        <v/>
      </c>
      <c r="X84" s="56">
        <f>$C84*INDEX(Curves!$Y$8:$Y$68,X$4-$B84+1)</f>
        <v/>
      </c>
      <c r="Y84" s="56">
        <f>$C84*INDEX(Curves!$Y$8:$Y$68,Y$4-$B84+1)</f>
        <v/>
      </c>
      <c r="Z84" s="56">
        <f>$C84*INDEX(Curves!$Y$8:$Y$68,Z$4-$B84+1)</f>
        <v/>
      </c>
      <c r="AA84" s="56">
        <f>$C84*INDEX(Curves!$Y$8:$Y$68,AA$4-$B84+1)</f>
        <v/>
      </c>
      <c r="AB84" s="56">
        <f>$C84*INDEX(Curves!$Y$8:$Y$68,AB$4-$B84+1)</f>
        <v/>
      </c>
      <c r="AC84" s="56">
        <f>$C84*INDEX(Curves!$Y$8:$Y$68,AC$4-$B84+1)</f>
        <v/>
      </c>
      <c r="AD84" s="56">
        <f>$C84*INDEX(Curves!$Y$8:$Y$68,AD$4-$B84+1)</f>
        <v/>
      </c>
      <c r="AE84" s="56">
        <f>$C84*INDEX(Curves!$Y$8:$Y$68,AE$4-$B84+1)</f>
        <v/>
      </c>
      <c r="AF84" s="56">
        <f>$C84*INDEX(Curves!$Y$8:$Y$68,AF$4-$B84+1)</f>
        <v/>
      </c>
      <c r="AG84" s="56">
        <f>$C84*INDEX(Curves!$Y$8:$Y$68,AG$4-$B84+1)</f>
        <v/>
      </c>
      <c r="AH84" s="56">
        <f>$C84*INDEX(Curves!$Y$8:$Y$68,AH$4-$B84+1)</f>
        <v/>
      </c>
      <c r="AI84" s="56">
        <f>$C84*INDEX(Curves!$Y$8:$Y$68,AI$4-$B84+1)</f>
        <v/>
      </c>
      <c r="AJ84" s="56">
        <f>$C84*INDEX(Curves!$Y$8:$Y$68,AJ$4-$B84+1)</f>
        <v/>
      </c>
      <c r="AK84" s="56">
        <f>$C84*INDEX(Curves!$Y$8:$Y$68,AK$4-$B84+1)</f>
        <v/>
      </c>
      <c r="AL84" s="56">
        <f>$C84*INDEX(Curves!$Y$8:$Y$68,AL$4-$B84+1)</f>
        <v/>
      </c>
      <c r="AM84" s="56">
        <f>$C84*INDEX(Curves!$Y$8:$Y$68,AM$4-$B84+1)</f>
        <v/>
      </c>
      <c r="AN84" s="56">
        <f>$C84*INDEX(Curves!$Y$8:$Y$68,AN$4-$B84+1)</f>
        <v/>
      </c>
      <c r="AO84" s="56">
        <f>$C84*INDEX(Curves!$Y$8:$Y$68,AO$4-$B84+1)</f>
        <v/>
      </c>
      <c r="AP84" s="56">
        <f>$C84*INDEX(Curves!$Y$8:$Y$68,AP$4-$B84+1)</f>
        <v/>
      </c>
      <c r="AQ84" s="56">
        <f>$C84*INDEX(Curves!$Y$8:$Y$68,AQ$4-$B84+1)</f>
        <v/>
      </c>
      <c r="AR84" s="56">
        <f>$C84*INDEX(Curves!$Y$8:$Y$68,AR$4-$B84+1)</f>
        <v/>
      </c>
      <c r="AS84" s="56">
        <f>$C84*INDEX(Curves!$Y$8:$Y$68,AS$4-$B84+1)</f>
        <v/>
      </c>
      <c r="AT84" s="56">
        <f>$C84*INDEX(Curves!$Y$8:$Y$68,AT$4-$B84+1)</f>
        <v/>
      </c>
      <c r="AU84" s="56">
        <f>$C84*INDEX(Curves!$Y$8:$Y$68,AU$4-$B84+1)</f>
        <v/>
      </c>
      <c r="AV84" s="56">
        <f>$C84*INDEX(Curves!$Y$8:$Y$68,AV$4-$B84+1)</f>
        <v/>
      </c>
      <c r="AW84" s="56">
        <f>$C84*INDEX(Curves!$Y$8:$Y$68,AW$4-$B84+1)</f>
        <v/>
      </c>
      <c r="AX84" s="56">
        <f>$C84*INDEX(Curves!$Y$8:$Y$68,AX$4-$B84+1)</f>
        <v/>
      </c>
      <c r="AY84" s="56">
        <f>$C84*INDEX(Curves!$Y$8:$Y$68,AY$4-$B84+1)</f>
        <v/>
      </c>
      <c r="AZ84" s="56">
        <f>$C84*INDEX(Curves!$Y$8:$Y$68,AZ$4-$B84+1)</f>
        <v/>
      </c>
      <c r="BA84" s="56">
        <f>$C84*INDEX(Curves!$Y$8:$Y$68,BA$4-$B84+1)</f>
        <v/>
      </c>
      <c r="BB84" s="56">
        <f>$C84*INDEX(Curves!$Y$8:$Y$68,BB$4-$B84+1)</f>
        <v/>
      </c>
      <c r="BC84" s="56">
        <f>$C84*INDEX(Curves!$Y$8:$Y$68,BC$4-$B84+1)</f>
        <v/>
      </c>
      <c r="BD84" s="56">
        <f>$C84*INDEX(Curves!$Y$8:$Y$68,BD$4-$B84+1)</f>
        <v/>
      </c>
      <c r="BE84" s="56">
        <f>$C84*INDEX(Curves!$Y$8:$Y$68,BE$4-$B84+1)</f>
        <v/>
      </c>
      <c r="BF84" s="56">
        <f>$C84*INDEX(Curves!$Y$8:$Y$68,BF$4-$B84+1)</f>
        <v/>
      </c>
      <c r="BG84" s="56">
        <f>$C84*INDEX(Curves!$Y$8:$Y$68,BG$4-$B84+1)</f>
        <v/>
      </c>
      <c r="BH84" s="56">
        <f>$C84*INDEX(Curves!$Y$8:$Y$68,BH$4-$B84+1)</f>
        <v/>
      </c>
      <c r="BI84" s="56">
        <f>$C84*INDEX(Curves!$Y$8:$Y$68,BI$4-$B84+1)</f>
        <v/>
      </c>
      <c r="BJ84" s="56">
        <f>$C84*INDEX(Curves!$Y$8:$Y$68,BJ$4-$B84+1)</f>
        <v/>
      </c>
      <c r="BK84" s="56">
        <f>$C84*INDEX(Curves!$Y$8:$Y$68,BK$4-$B84+1)</f>
        <v/>
      </c>
      <c r="BL84" s="56">
        <f>$C84*INDEX(Curves!$Y$8:$Y$68,BL$4-$B84+1)</f>
        <v/>
      </c>
    </row>
    <row r="85">
      <c r="A85" s="55" t="inlineStr">
        <is>
          <t>Cohort month 13</t>
        </is>
      </c>
      <c r="B85" s="55" t="n">
        <v>13</v>
      </c>
      <c r="C85" s="46">
        <f>INDEX(Ops!$E$39:$BL$39,1,$B85)</f>
        <v/>
      </c>
      <c r="R85" s="56">
        <f>$C85*INDEX(Curves!$Y$8:$Y$68,R$4-$B85+1)</f>
        <v/>
      </c>
      <c r="S85" s="56">
        <f>$C85*INDEX(Curves!$Y$8:$Y$68,S$4-$B85+1)</f>
        <v/>
      </c>
      <c r="T85" s="56">
        <f>$C85*INDEX(Curves!$Y$8:$Y$68,T$4-$B85+1)</f>
        <v/>
      </c>
      <c r="U85" s="56">
        <f>$C85*INDEX(Curves!$Y$8:$Y$68,U$4-$B85+1)</f>
        <v/>
      </c>
      <c r="V85" s="56">
        <f>$C85*INDEX(Curves!$Y$8:$Y$68,V$4-$B85+1)</f>
        <v/>
      </c>
      <c r="W85" s="56">
        <f>$C85*INDEX(Curves!$Y$8:$Y$68,W$4-$B85+1)</f>
        <v/>
      </c>
      <c r="X85" s="56">
        <f>$C85*INDEX(Curves!$Y$8:$Y$68,X$4-$B85+1)</f>
        <v/>
      </c>
      <c r="Y85" s="56">
        <f>$C85*INDEX(Curves!$Y$8:$Y$68,Y$4-$B85+1)</f>
        <v/>
      </c>
      <c r="Z85" s="56">
        <f>$C85*INDEX(Curves!$Y$8:$Y$68,Z$4-$B85+1)</f>
        <v/>
      </c>
      <c r="AA85" s="56">
        <f>$C85*INDEX(Curves!$Y$8:$Y$68,AA$4-$B85+1)</f>
        <v/>
      </c>
      <c r="AB85" s="56">
        <f>$C85*INDEX(Curves!$Y$8:$Y$68,AB$4-$B85+1)</f>
        <v/>
      </c>
      <c r="AC85" s="56">
        <f>$C85*INDEX(Curves!$Y$8:$Y$68,AC$4-$B85+1)</f>
        <v/>
      </c>
      <c r="AD85" s="56">
        <f>$C85*INDEX(Curves!$Y$8:$Y$68,AD$4-$B85+1)</f>
        <v/>
      </c>
      <c r="AE85" s="56">
        <f>$C85*INDEX(Curves!$Y$8:$Y$68,AE$4-$B85+1)</f>
        <v/>
      </c>
      <c r="AF85" s="56">
        <f>$C85*INDEX(Curves!$Y$8:$Y$68,AF$4-$B85+1)</f>
        <v/>
      </c>
      <c r="AG85" s="56">
        <f>$C85*INDEX(Curves!$Y$8:$Y$68,AG$4-$B85+1)</f>
        <v/>
      </c>
      <c r="AH85" s="56">
        <f>$C85*INDEX(Curves!$Y$8:$Y$68,AH$4-$B85+1)</f>
        <v/>
      </c>
      <c r="AI85" s="56">
        <f>$C85*INDEX(Curves!$Y$8:$Y$68,AI$4-$B85+1)</f>
        <v/>
      </c>
      <c r="AJ85" s="56">
        <f>$C85*INDEX(Curves!$Y$8:$Y$68,AJ$4-$B85+1)</f>
        <v/>
      </c>
      <c r="AK85" s="56">
        <f>$C85*INDEX(Curves!$Y$8:$Y$68,AK$4-$B85+1)</f>
        <v/>
      </c>
      <c r="AL85" s="56">
        <f>$C85*INDEX(Curves!$Y$8:$Y$68,AL$4-$B85+1)</f>
        <v/>
      </c>
      <c r="AM85" s="56">
        <f>$C85*INDEX(Curves!$Y$8:$Y$68,AM$4-$B85+1)</f>
        <v/>
      </c>
      <c r="AN85" s="56">
        <f>$C85*INDEX(Curves!$Y$8:$Y$68,AN$4-$B85+1)</f>
        <v/>
      </c>
      <c r="AO85" s="56">
        <f>$C85*INDEX(Curves!$Y$8:$Y$68,AO$4-$B85+1)</f>
        <v/>
      </c>
      <c r="AP85" s="56">
        <f>$C85*INDEX(Curves!$Y$8:$Y$68,AP$4-$B85+1)</f>
        <v/>
      </c>
      <c r="AQ85" s="56">
        <f>$C85*INDEX(Curves!$Y$8:$Y$68,AQ$4-$B85+1)</f>
        <v/>
      </c>
      <c r="AR85" s="56">
        <f>$C85*INDEX(Curves!$Y$8:$Y$68,AR$4-$B85+1)</f>
        <v/>
      </c>
      <c r="AS85" s="56">
        <f>$C85*INDEX(Curves!$Y$8:$Y$68,AS$4-$B85+1)</f>
        <v/>
      </c>
      <c r="AT85" s="56">
        <f>$C85*INDEX(Curves!$Y$8:$Y$68,AT$4-$B85+1)</f>
        <v/>
      </c>
      <c r="AU85" s="56">
        <f>$C85*INDEX(Curves!$Y$8:$Y$68,AU$4-$B85+1)</f>
        <v/>
      </c>
      <c r="AV85" s="56">
        <f>$C85*INDEX(Curves!$Y$8:$Y$68,AV$4-$B85+1)</f>
        <v/>
      </c>
      <c r="AW85" s="56">
        <f>$C85*INDEX(Curves!$Y$8:$Y$68,AW$4-$B85+1)</f>
        <v/>
      </c>
      <c r="AX85" s="56">
        <f>$C85*INDEX(Curves!$Y$8:$Y$68,AX$4-$B85+1)</f>
        <v/>
      </c>
      <c r="AY85" s="56">
        <f>$C85*INDEX(Curves!$Y$8:$Y$68,AY$4-$B85+1)</f>
        <v/>
      </c>
      <c r="AZ85" s="56">
        <f>$C85*INDEX(Curves!$Y$8:$Y$68,AZ$4-$B85+1)</f>
        <v/>
      </c>
      <c r="BA85" s="56">
        <f>$C85*INDEX(Curves!$Y$8:$Y$68,BA$4-$B85+1)</f>
        <v/>
      </c>
      <c r="BB85" s="56">
        <f>$C85*INDEX(Curves!$Y$8:$Y$68,BB$4-$B85+1)</f>
        <v/>
      </c>
      <c r="BC85" s="56">
        <f>$C85*INDEX(Curves!$Y$8:$Y$68,BC$4-$B85+1)</f>
        <v/>
      </c>
      <c r="BD85" s="56">
        <f>$C85*INDEX(Curves!$Y$8:$Y$68,BD$4-$B85+1)</f>
        <v/>
      </c>
      <c r="BE85" s="56">
        <f>$C85*INDEX(Curves!$Y$8:$Y$68,BE$4-$B85+1)</f>
        <v/>
      </c>
      <c r="BF85" s="56">
        <f>$C85*INDEX(Curves!$Y$8:$Y$68,BF$4-$B85+1)</f>
        <v/>
      </c>
      <c r="BG85" s="56">
        <f>$C85*INDEX(Curves!$Y$8:$Y$68,BG$4-$B85+1)</f>
        <v/>
      </c>
      <c r="BH85" s="56">
        <f>$C85*INDEX(Curves!$Y$8:$Y$68,BH$4-$B85+1)</f>
        <v/>
      </c>
      <c r="BI85" s="56">
        <f>$C85*INDEX(Curves!$Y$8:$Y$68,BI$4-$B85+1)</f>
        <v/>
      </c>
      <c r="BJ85" s="56">
        <f>$C85*INDEX(Curves!$Y$8:$Y$68,BJ$4-$B85+1)</f>
        <v/>
      </c>
      <c r="BK85" s="56">
        <f>$C85*INDEX(Curves!$Y$8:$Y$68,BK$4-$B85+1)</f>
        <v/>
      </c>
      <c r="BL85" s="56">
        <f>$C85*INDEX(Curves!$Y$8:$Y$68,BL$4-$B85+1)</f>
        <v/>
      </c>
    </row>
    <row r="86">
      <c r="A86" s="55" t="inlineStr">
        <is>
          <t>Cohort month 14</t>
        </is>
      </c>
      <c r="B86" s="55" t="n">
        <v>14</v>
      </c>
      <c r="C86" s="46">
        <f>INDEX(Ops!$E$39:$BL$39,1,$B86)</f>
        <v/>
      </c>
      <c r="S86" s="56">
        <f>$C86*INDEX(Curves!$Y$8:$Y$68,S$4-$B86+1)</f>
        <v/>
      </c>
      <c r="T86" s="56">
        <f>$C86*INDEX(Curves!$Y$8:$Y$68,T$4-$B86+1)</f>
        <v/>
      </c>
      <c r="U86" s="56">
        <f>$C86*INDEX(Curves!$Y$8:$Y$68,U$4-$B86+1)</f>
        <v/>
      </c>
      <c r="V86" s="56">
        <f>$C86*INDEX(Curves!$Y$8:$Y$68,V$4-$B86+1)</f>
        <v/>
      </c>
      <c r="W86" s="56">
        <f>$C86*INDEX(Curves!$Y$8:$Y$68,W$4-$B86+1)</f>
        <v/>
      </c>
      <c r="X86" s="56">
        <f>$C86*INDEX(Curves!$Y$8:$Y$68,X$4-$B86+1)</f>
        <v/>
      </c>
      <c r="Y86" s="56">
        <f>$C86*INDEX(Curves!$Y$8:$Y$68,Y$4-$B86+1)</f>
        <v/>
      </c>
      <c r="Z86" s="56">
        <f>$C86*INDEX(Curves!$Y$8:$Y$68,Z$4-$B86+1)</f>
        <v/>
      </c>
      <c r="AA86" s="56">
        <f>$C86*INDEX(Curves!$Y$8:$Y$68,AA$4-$B86+1)</f>
        <v/>
      </c>
      <c r="AB86" s="56">
        <f>$C86*INDEX(Curves!$Y$8:$Y$68,AB$4-$B86+1)</f>
        <v/>
      </c>
      <c r="AC86" s="56">
        <f>$C86*INDEX(Curves!$Y$8:$Y$68,AC$4-$B86+1)</f>
        <v/>
      </c>
      <c r="AD86" s="56">
        <f>$C86*INDEX(Curves!$Y$8:$Y$68,AD$4-$B86+1)</f>
        <v/>
      </c>
      <c r="AE86" s="56">
        <f>$C86*INDEX(Curves!$Y$8:$Y$68,AE$4-$B86+1)</f>
        <v/>
      </c>
      <c r="AF86" s="56">
        <f>$C86*INDEX(Curves!$Y$8:$Y$68,AF$4-$B86+1)</f>
        <v/>
      </c>
      <c r="AG86" s="56">
        <f>$C86*INDEX(Curves!$Y$8:$Y$68,AG$4-$B86+1)</f>
        <v/>
      </c>
      <c r="AH86" s="56">
        <f>$C86*INDEX(Curves!$Y$8:$Y$68,AH$4-$B86+1)</f>
        <v/>
      </c>
      <c r="AI86" s="56">
        <f>$C86*INDEX(Curves!$Y$8:$Y$68,AI$4-$B86+1)</f>
        <v/>
      </c>
      <c r="AJ86" s="56">
        <f>$C86*INDEX(Curves!$Y$8:$Y$68,AJ$4-$B86+1)</f>
        <v/>
      </c>
      <c r="AK86" s="56">
        <f>$C86*INDEX(Curves!$Y$8:$Y$68,AK$4-$B86+1)</f>
        <v/>
      </c>
      <c r="AL86" s="56">
        <f>$C86*INDEX(Curves!$Y$8:$Y$68,AL$4-$B86+1)</f>
        <v/>
      </c>
      <c r="AM86" s="56">
        <f>$C86*INDEX(Curves!$Y$8:$Y$68,AM$4-$B86+1)</f>
        <v/>
      </c>
      <c r="AN86" s="56">
        <f>$C86*INDEX(Curves!$Y$8:$Y$68,AN$4-$B86+1)</f>
        <v/>
      </c>
      <c r="AO86" s="56">
        <f>$C86*INDEX(Curves!$Y$8:$Y$68,AO$4-$B86+1)</f>
        <v/>
      </c>
      <c r="AP86" s="56">
        <f>$C86*INDEX(Curves!$Y$8:$Y$68,AP$4-$B86+1)</f>
        <v/>
      </c>
      <c r="AQ86" s="56">
        <f>$C86*INDEX(Curves!$Y$8:$Y$68,AQ$4-$B86+1)</f>
        <v/>
      </c>
      <c r="AR86" s="56">
        <f>$C86*INDEX(Curves!$Y$8:$Y$68,AR$4-$B86+1)</f>
        <v/>
      </c>
      <c r="AS86" s="56">
        <f>$C86*INDEX(Curves!$Y$8:$Y$68,AS$4-$B86+1)</f>
        <v/>
      </c>
      <c r="AT86" s="56">
        <f>$C86*INDEX(Curves!$Y$8:$Y$68,AT$4-$B86+1)</f>
        <v/>
      </c>
      <c r="AU86" s="56">
        <f>$C86*INDEX(Curves!$Y$8:$Y$68,AU$4-$B86+1)</f>
        <v/>
      </c>
      <c r="AV86" s="56">
        <f>$C86*INDEX(Curves!$Y$8:$Y$68,AV$4-$B86+1)</f>
        <v/>
      </c>
      <c r="AW86" s="56">
        <f>$C86*INDEX(Curves!$Y$8:$Y$68,AW$4-$B86+1)</f>
        <v/>
      </c>
      <c r="AX86" s="56">
        <f>$C86*INDEX(Curves!$Y$8:$Y$68,AX$4-$B86+1)</f>
        <v/>
      </c>
      <c r="AY86" s="56">
        <f>$C86*INDEX(Curves!$Y$8:$Y$68,AY$4-$B86+1)</f>
        <v/>
      </c>
      <c r="AZ86" s="56">
        <f>$C86*INDEX(Curves!$Y$8:$Y$68,AZ$4-$B86+1)</f>
        <v/>
      </c>
      <c r="BA86" s="56">
        <f>$C86*INDEX(Curves!$Y$8:$Y$68,BA$4-$B86+1)</f>
        <v/>
      </c>
      <c r="BB86" s="56">
        <f>$C86*INDEX(Curves!$Y$8:$Y$68,BB$4-$B86+1)</f>
        <v/>
      </c>
      <c r="BC86" s="56">
        <f>$C86*INDEX(Curves!$Y$8:$Y$68,BC$4-$B86+1)</f>
        <v/>
      </c>
      <c r="BD86" s="56">
        <f>$C86*INDEX(Curves!$Y$8:$Y$68,BD$4-$B86+1)</f>
        <v/>
      </c>
      <c r="BE86" s="56">
        <f>$C86*INDEX(Curves!$Y$8:$Y$68,BE$4-$B86+1)</f>
        <v/>
      </c>
      <c r="BF86" s="56">
        <f>$C86*INDEX(Curves!$Y$8:$Y$68,BF$4-$B86+1)</f>
        <v/>
      </c>
      <c r="BG86" s="56">
        <f>$C86*INDEX(Curves!$Y$8:$Y$68,BG$4-$B86+1)</f>
        <v/>
      </c>
      <c r="BH86" s="56">
        <f>$C86*INDEX(Curves!$Y$8:$Y$68,BH$4-$B86+1)</f>
        <v/>
      </c>
      <c r="BI86" s="56">
        <f>$C86*INDEX(Curves!$Y$8:$Y$68,BI$4-$B86+1)</f>
        <v/>
      </c>
      <c r="BJ86" s="56">
        <f>$C86*INDEX(Curves!$Y$8:$Y$68,BJ$4-$B86+1)</f>
        <v/>
      </c>
      <c r="BK86" s="56">
        <f>$C86*INDEX(Curves!$Y$8:$Y$68,BK$4-$B86+1)</f>
        <v/>
      </c>
      <c r="BL86" s="56">
        <f>$C86*INDEX(Curves!$Y$8:$Y$68,BL$4-$B86+1)</f>
        <v/>
      </c>
    </row>
    <row r="87">
      <c r="A87" s="55" t="inlineStr">
        <is>
          <t>Cohort month 15</t>
        </is>
      </c>
      <c r="B87" s="55" t="n">
        <v>15</v>
      </c>
      <c r="C87" s="46">
        <f>INDEX(Ops!$E$39:$BL$39,1,$B87)</f>
        <v/>
      </c>
      <c r="T87" s="56">
        <f>$C87*INDEX(Curves!$Y$8:$Y$68,T$4-$B87+1)</f>
        <v/>
      </c>
      <c r="U87" s="56">
        <f>$C87*INDEX(Curves!$Y$8:$Y$68,U$4-$B87+1)</f>
        <v/>
      </c>
      <c r="V87" s="56">
        <f>$C87*INDEX(Curves!$Y$8:$Y$68,V$4-$B87+1)</f>
        <v/>
      </c>
      <c r="W87" s="56">
        <f>$C87*INDEX(Curves!$Y$8:$Y$68,W$4-$B87+1)</f>
        <v/>
      </c>
      <c r="X87" s="56">
        <f>$C87*INDEX(Curves!$Y$8:$Y$68,X$4-$B87+1)</f>
        <v/>
      </c>
      <c r="Y87" s="56">
        <f>$C87*INDEX(Curves!$Y$8:$Y$68,Y$4-$B87+1)</f>
        <v/>
      </c>
      <c r="Z87" s="56">
        <f>$C87*INDEX(Curves!$Y$8:$Y$68,Z$4-$B87+1)</f>
        <v/>
      </c>
      <c r="AA87" s="56">
        <f>$C87*INDEX(Curves!$Y$8:$Y$68,AA$4-$B87+1)</f>
        <v/>
      </c>
      <c r="AB87" s="56">
        <f>$C87*INDEX(Curves!$Y$8:$Y$68,AB$4-$B87+1)</f>
        <v/>
      </c>
      <c r="AC87" s="56">
        <f>$C87*INDEX(Curves!$Y$8:$Y$68,AC$4-$B87+1)</f>
        <v/>
      </c>
      <c r="AD87" s="56">
        <f>$C87*INDEX(Curves!$Y$8:$Y$68,AD$4-$B87+1)</f>
        <v/>
      </c>
      <c r="AE87" s="56">
        <f>$C87*INDEX(Curves!$Y$8:$Y$68,AE$4-$B87+1)</f>
        <v/>
      </c>
      <c r="AF87" s="56">
        <f>$C87*INDEX(Curves!$Y$8:$Y$68,AF$4-$B87+1)</f>
        <v/>
      </c>
      <c r="AG87" s="56">
        <f>$C87*INDEX(Curves!$Y$8:$Y$68,AG$4-$B87+1)</f>
        <v/>
      </c>
      <c r="AH87" s="56">
        <f>$C87*INDEX(Curves!$Y$8:$Y$68,AH$4-$B87+1)</f>
        <v/>
      </c>
      <c r="AI87" s="56">
        <f>$C87*INDEX(Curves!$Y$8:$Y$68,AI$4-$B87+1)</f>
        <v/>
      </c>
      <c r="AJ87" s="56">
        <f>$C87*INDEX(Curves!$Y$8:$Y$68,AJ$4-$B87+1)</f>
        <v/>
      </c>
      <c r="AK87" s="56">
        <f>$C87*INDEX(Curves!$Y$8:$Y$68,AK$4-$B87+1)</f>
        <v/>
      </c>
      <c r="AL87" s="56">
        <f>$C87*INDEX(Curves!$Y$8:$Y$68,AL$4-$B87+1)</f>
        <v/>
      </c>
      <c r="AM87" s="56">
        <f>$C87*INDEX(Curves!$Y$8:$Y$68,AM$4-$B87+1)</f>
        <v/>
      </c>
      <c r="AN87" s="56">
        <f>$C87*INDEX(Curves!$Y$8:$Y$68,AN$4-$B87+1)</f>
        <v/>
      </c>
      <c r="AO87" s="56">
        <f>$C87*INDEX(Curves!$Y$8:$Y$68,AO$4-$B87+1)</f>
        <v/>
      </c>
      <c r="AP87" s="56">
        <f>$C87*INDEX(Curves!$Y$8:$Y$68,AP$4-$B87+1)</f>
        <v/>
      </c>
      <c r="AQ87" s="56">
        <f>$C87*INDEX(Curves!$Y$8:$Y$68,AQ$4-$B87+1)</f>
        <v/>
      </c>
      <c r="AR87" s="56">
        <f>$C87*INDEX(Curves!$Y$8:$Y$68,AR$4-$B87+1)</f>
        <v/>
      </c>
      <c r="AS87" s="56">
        <f>$C87*INDEX(Curves!$Y$8:$Y$68,AS$4-$B87+1)</f>
        <v/>
      </c>
      <c r="AT87" s="56">
        <f>$C87*INDEX(Curves!$Y$8:$Y$68,AT$4-$B87+1)</f>
        <v/>
      </c>
      <c r="AU87" s="56">
        <f>$C87*INDEX(Curves!$Y$8:$Y$68,AU$4-$B87+1)</f>
        <v/>
      </c>
      <c r="AV87" s="56">
        <f>$C87*INDEX(Curves!$Y$8:$Y$68,AV$4-$B87+1)</f>
        <v/>
      </c>
      <c r="AW87" s="56">
        <f>$C87*INDEX(Curves!$Y$8:$Y$68,AW$4-$B87+1)</f>
        <v/>
      </c>
      <c r="AX87" s="56">
        <f>$C87*INDEX(Curves!$Y$8:$Y$68,AX$4-$B87+1)</f>
        <v/>
      </c>
      <c r="AY87" s="56">
        <f>$C87*INDEX(Curves!$Y$8:$Y$68,AY$4-$B87+1)</f>
        <v/>
      </c>
      <c r="AZ87" s="56">
        <f>$C87*INDEX(Curves!$Y$8:$Y$68,AZ$4-$B87+1)</f>
        <v/>
      </c>
      <c r="BA87" s="56">
        <f>$C87*INDEX(Curves!$Y$8:$Y$68,BA$4-$B87+1)</f>
        <v/>
      </c>
      <c r="BB87" s="56">
        <f>$C87*INDEX(Curves!$Y$8:$Y$68,BB$4-$B87+1)</f>
        <v/>
      </c>
      <c r="BC87" s="56">
        <f>$C87*INDEX(Curves!$Y$8:$Y$68,BC$4-$B87+1)</f>
        <v/>
      </c>
      <c r="BD87" s="56">
        <f>$C87*INDEX(Curves!$Y$8:$Y$68,BD$4-$B87+1)</f>
        <v/>
      </c>
      <c r="BE87" s="56">
        <f>$C87*INDEX(Curves!$Y$8:$Y$68,BE$4-$B87+1)</f>
        <v/>
      </c>
      <c r="BF87" s="56">
        <f>$C87*INDEX(Curves!$Y$8:$Y$68,BF$4-$B87+1)</f>
        <v/>
      </c>
      <c r="BG87" s="56">
        <f>$C87*INDEX(Curves!$Y$8:$Y$68,BG$4-$B87+1)</f>
        <v/>
      </c>
      <c r="BH87" s="56">
        <f>$C87*INDEX(Curves!$Y$8:$Y$68,BH$4-$B87+1)</f>
        <v/>
      </c>
      <c r="BI87" s="56">
        <f>$C87*INDEX(Curves!$Y$8:$Y$68,BI$4-$B87+1)</f>
        <v/>
      </c>
      <c r="BJ87" s="56">
        <f>$C87*INDEX(Curves!$Y$8:$Y$68,BJ$4-$B87+1)</f>
        <v/>
      </c>
      <c r="BK87" s="56">
        <f>$C87*INDEX(Curves!$Y$8:$Y$68,BK$4-$B87+1)</f>
        <v/>
      </c>
      <c r="BL87" s="56">
        <f>$C87*INDEX(Curves!$Y$8:$Y$68,BL$4-$B87+1)</f>
        <v/>
      </c>
    </row>
    <row r="88">
      <c r="A88" s="55" t="inlineStr">
        <is>
          <t>Cohort month 16</t>
        </is>
      </c>
      <c r="B88" s="55" t="n">
        <v>16</v>
      </c>
      <c r="C88" s="46">
        <f>INDEX(Ops!$E$39:$BL$39,1,$B88)</f>
        <v/>
      </c>
      <c r="U88" s="56">
        <f>$C88*INDEX(Curves!$Y$8:$Y$68,U$4-$B88+1)</f>
        <v/>
      </c>
      <c r="V88" s="56">
        <f>$C88*INDEX(Curves!$Y$8:$Y$68,V$4-$B88+1)</f>
        <v/>
      </c>
      <c r="W88" s="56">
        <f>$C88*INDEX(Curves!$Y$8:$Y$68,W$4-$B88+1)</f>
        <v/>
      </c>
      <c r="X88" s="56">
        <f>$C88*INDEX(Curves!$Y$8:$Y$68,X$4-$B88+1)</f>
        <v/>
      </c>
      <c r="Y88" s="56">
        <f>$C88*INDEX(Curves!$Y$8:$Y$68,Y$4-$B88+1)</f>
        <v/>
      </c>
      <c r="Z88" s="56">
        <f>$C88*INDEX(Curves!$Y$8:$Y$68,Z$4-$B88+1)</f>
        <v/>
      </c>
      <c r="AA88" s="56">
        <f>$C88*INDEX(Curves!$Y$8:$Y$68,AA$4-$B88+1)</f>
        <v/>
      </c>
      <c r="AB88" s="56">
        <f>$C88*INDEX(Curves!$Y$8:$Y$68,AB$4-$B88+1)</f>
        <v/>
      </c>
      <c r="AC88" s="56">
        <f>$C88*INDEX(Curves!$Y$8:$Y$68,AC$4-$B88+1)</f>
        <v/>
      </c>
      <c r="AD88" s="56">
        <f>$C88*INDEX(Curves!$Y$8:$Y$68,AD$4-$B88+1)</f>
        <v/>
      </c>
      <c r="AE88" s="56">
        <f>$C88*INDEX(Curves!$Y$8:$Y$68,AE$4-$B88+1)</f>
        <v/>
      </c>
      <c r="AF88" s="56">
        <f>$C88*INDEX(Curves!$Y$8:$Y$68,AF$4-$B88+1)</f>
        <v/>
      </c>
      <c r="AG88" s="56">
        <f>$C88*INDEX(Curves!$Y$8:$Y$68,AG$4-$B88+1)</f>
        <v/>
      </c>
      <c r="AH88" s="56">
        <f>$C88*INDEX(Curves!$Y$8:$Y$68,AH$4-$B88+1)</f>
        <v/>
      </c>
      <c r="AI88" s="56">
        <f>$C88*INDEX(Curves!$Y$8:$Y$68,AI$4-$B88+1)</f>
        <v/>
      </c>
      <c r="AJ88" s="56">
        <f>$C88*INDEX(Curves!$Y$8:$Y$68,AJ$4-$B88+1)</f>
        <v/>
      </c>
      <c r="AK88" s="56">
        <f>$C88*INDEX(Curves!$Y$8:$Y$68,AK$4-$B88+1)</f>
        <v/>
      </c>
      <c r="AL88" s="56">
        <f>$C88*INDEX(Curves!$Y$8:$Y$68,AL$4-$B88+1)</f>
        <v/>
      </c>
      <c r="AM88" s="56">
        <f>$C88*INDEX(Curves!$Y$8:$Y$68,AM$4-$B88+1)</f>
        <v/>
      </c>
      <c r="AN88" s="56">
        <f>$C88*INDEX(Curves!$Y$8:$Y$68,AN$4-$B88+1)</f>
        <v/>
      </c>
      <c r="AO88" s="56">
        <f>$C88*INDEX(Curves!$Y$8:$Y$68,AO$4-$B88+1)</f>
        <v/>
      </c>
      <c r="AP88" s="56">
        <f>$C88*INDEX(Curves!$Y$8:$Y$68,AP$4-$B88+1)</f>
        <v/>
      </c>
      <c r="AQ88" s="56">
        <f>$C88*INDEX(Curves!$Y$8:$Y$68,AQ$4-$B88+1)</f>
        <v/>
      </c>
      <c r="AR88" s="56">
        <f>$C88*INDEX(Curves!$Y$8:$Y$68,AR$4-$B88+1)</f>
        <v/>
      </c>
      <c r="AS88" s="56">
        <f>$C88*INDEX(Curves!$Y$8:$Y$68,AS$4-$B88+1)</f>
        <v/>
      </c>
      <c r="AT88" s="56">
        <f>$C88*INDEX(Curves!$Y$8:$Y$68,AT$4-$B88+1)</f>
        <v/>
      </c>
      <c r="AU88" s="56">
        <f>$C88*INDEX(Curves!$Y$8:$Y$68,AU$4-$B88+1)</f>
        <v/>
      </c>
      <c r="AV88" s="56">
        <f>$C88*INDEX(Curves!$Y$8:$Y$68,AV$4-$B88+1)</f>
        <v/>
      </c>
      <c r="AW88" s="56">
        <f>$C88*INDEX(Curves!$Y$8:$Y$68,AW$4-$B88+1)</f>
        <v/>
      </c>
      <c r="AX88" s="56">
        <f>$C88*INDEX(Curves!$Y$8:$Y$68,AX$4-$B88+1)</f>
        <v/>
      </c>
      <c r="AY88" s="56">
        <f>$C88*INDEX(Curves!$Y$8:$Y$68,AY$4-$B88+1)</f>
        <v/>
      </c>
      <c r="AZ88" s="56">
        <f>$C88*INDEX(Curves!$Y$8:$Y$68,AZ$4-$B88+1)</f>
        <v/>
      </c>
      <c r="BA88" s="56">
        <f>$C88*INDEX(Curves!$Y$8:$Y$68,BA$4-$B88+1)</f>
        <v/>
      </c>
      <c r="BB88" s="56">
        <f>$C88*INDEX(Curves!$Y$8:$Y$68,BB$4-$B88+1)</f>
        <v/>
      </c>
      <c r="BC88" s="56">
        <f>$C88*INDEX(Curves!$Y$8:$Y$68,BC$4-$B88+1)</f>
        <v/>
      </c>
      <c r="BD88" s="56">
        <f>$C88*INDEX(Curves!$Y$8:$Y$68,BD$4-$B88+1)</f>
        <v/>
      </c>
      <c r="BE88" s="56">
        <f>$C88*INDEX(Curves!$Y$8:$Y$68,BE$4-$B88+1)</f>
        <v/>
      </c>
      <c r="BF88" s="56">
        <f>$C88*INDEX(Curves!$Y$8:$Y$68,BF$4-$B88+1)</f>
        <v/>
      </c>
      <c r="BG88" s="56">
        <f>$C88*INDEX(Curves!$Y$8:$Y$68,BG$4-$B88+1)</f>
        <v/>
      </c>
      <c r="BH88" s="56">
        <f>$C88*INDEX(Curves!$Y$8:$Y$68,BH$4-$B88+1)</f>
        <v/>
      </c>
      <c r="BI88" s="56">
        <f>$C88*INDEX(Curves!$Y$8:$Y$68,BI$4-$B88+1)</f>
        <v/>
      </c>
      <c r="BJ88" s="56">
        <f>$C88*INDEX(Curves!$Y$8:$Y$68,BJ$4-$B88+1)</f>
        <v/>
      </c>
      <c r="BK88" s="56">
        <f>$C88*INDEX(Curves!$Y$8:$Y$68,BK$4-$B88+1)</f>
        <v/>
      </c>
      <c r="BL88" s="56">
        <f>$C88*INDEX(Curves!$Y$8:$Y$68,BL$4-$B88+1)</f>
        <v/>
      </c>
    </row>
    <row r="89">
      <c r="A89" s="55" t="inlineStr">
        <is>
          <t>Cohort month 17</t>
        </is>
      </c>
      <c r="B89" s="55" t="n">
        <v>17</v>
      </c>
      <c r="C89" s="46">
        <f>INDEX(Ops!$E$39:$BL$39,1,$B89)</f>
        <v/>
      </c>
      <c r="V89" s="56">
        <f>$C89*INDEX(Curves!$Y$8:$Y$68,V$4-$B89+1)</f>
        <v/>
      </c>
      <c r="W89" s="56">
        <f>$C89*INDEX(Curves!$Y$8:$Y$68,W$4-$B89+1)</f>
        <v/>
      </c>
      <c r="X89" s="56">
        <f>$C89*INDEX(Curves!$Y$8:$Y$68,X$4-$B89+1)</f>
        <v/>
      </c>
      <c r="Y89" s="56">
        <f>$C89*INDEX(Curves!$Y$8:$Y$68,Y$4-$B89+1)</f>
        <v/>
      </c>
      <c r="Z89" s="56">
        <f>$C89*INDEX(Curves!$Y$8:$Y$68,Z$4-$B89+1)</f>
        <v/>
      </c>
      <c r="AA89" s="56">
        <f>$C89*INDEX(Curves!$Y$8:$Y$68,AA$4-$B89+1)</f>
        <v/>
      </c>
      <c r="AB89" s="56">
        <f>$C89*INDEX(Curves!$Y$8:$Y$68,AB$4-$B89+1)</f>
        <v/>
      </c>
      <c r="AC89" s="56">
        <f>$C89*INDEX(Curves!$Y$8:$Y$68,AC$4-$B89+1)</f>
        <v/>
      </c>
      <c r="AD89" s="56">
        <f>$C89*INDEX(Curves!$Y$8:$Y$68,AD$4-$B89+1)</f>
        <v/>
      </c>
      <c r="AE89" s="56">
        <f>$C89*INDEX(Curves!$Y$8:$Y$68,AE$4-$B89+1)</f>
        <v/>
      </c>
      <c r="AF89" s="56">
        <f>$C89*INDEX(Curves!$Y$8:$Y$68,AF$4-$B89+1)</f>
        <v/>
      </c>
      <c r="AG89" s="56">
        <f>$C89*INDEX(Curves!$Y$8:$Y$68,AG$4-$B89+1)</f>
        <v/>
      </c>
      <c r="AH89" s="56">
        <f>$C89*INDEX(Curves!$Y$8:$Y$68,AH$4-$B89+1)</f>
        <v/>
      </c>
      <c r="AI89" s="56">
        <f>$C89*INDEX(Curves!$Y$8:$Y$68,AI$4-$B89+1)</f>
        <v/>
      </c>
      <c r="AJ89" s="56">
        <f>$C89*INDEX(Curves!$Y$8:$Y$68,AJ$4-$B89+1)</f>
        <v/>
      </c>
      <c r="AK89" s="56">
        <f>$C89*INDEX(Curves!$Y$8:$Y$68,AK$4-$B89+1)</f>
        <v/>
      </c>
      <c r="AL89" s="56">
        <f>$C89*INDEX(Curves!$Y$8:$Y$68,AL$4-$B89+1)</f>
        <v/>
      </c>
      <c r="AM89" s="56">
        <f>$C89*INDEX(Curves!$Y$8:$Y$68,AM$4-$B89+1)</f>
        <v/>
      </c>
      <c r="AN89" s="56">
        <f>$C89*INDEX(Curves!$Y$8:$Y$68,AN$4-$B89+1)</f>
        <v/>
      </c>
      <c r="AO89" s="56">
        <f>$C89*INDEX(Curves!$Y$8:$Y$68,AO$4-$B89+1)</f>
        <v/>
      </c>
      <c r="AP89" s="56">
        <f>$C89*INDEX(Curves!$Y$8:$Y$68,AP$4-$B89+1)</f>
        <v/>
      </c>
      <c r="AQ89" s="56">
        <f>$C89*INDEX(Curves!$Y$8:$Y$68,AQ$4-$B89+1)</f>
        <v/>
      </c>
      <c r="AR89" s="56">
        <f>$C89*INDEX(Curves!$Y$8:$Y$68,AR$4-$B89+1)</f>
        <v/>
      </c>
      <c r="AS89" s="56">
        <f>$C89*INDEX(Curves!$Y$8:$Y$68,AS$4-$B89+1)</f>
        <v/>
      </c>
      <c r="AT89" s="56">
        <f>$C89*INDEX(Curves!$Y$8:$Y$68,AT$4-$B89+1)</f>
        <v/>
      </c>
      <c r="AU89" s="56">
        <f>$C89*INDEX(Curves!$Y$8:$Y$68,AU$4-$B89+1)</f>
        <v/>
      </c>
      <c r="AV89" s="56">
        <f>$C89*INDEX(Curves!$Y$8:$Y$68,AV$4-$B89+1)</f>
        <v/>
      </c>
      <c r="AW89" s="56">
        <f>$C89*INDEX(Curves!$Y$8:$Y$68,AW$4-$B89+1)</f>
        <v/>
      </c>
      <c r="AX89" s="56">
        <f>$C89*INDEX(Curves!$Y$8:$Y$68,AX$4-$B89+1)</f>
        <v/>
      </c>
      <c r="AY89" s="56">
        <f>$C89*INDEX(Curves!$Y$8:$Y$68,AY$4-$B89+1)</f>
        <v/>
      </c>
      <c r="AZ89" s="56">
        <f>$C89*INDEX(Curves!$Y$8:$Y$68,AZ$4-$B89+1)</f>
        <v/>
      </c>
      <c r="BA89" s="56">
        <f>$C89*INDEX(Curves!$Y$8:$Y$68,BA$4-$B89+1)</f>
        <v/>
      </c>
      <c r="BB89" s="56">
        <f>$C89*INDEX(Curves!$Y$8:$Y$68,BB$4-$B89+1)</f>
        <v/>
      </c>
      <c r="BC89" s="56">
        <f>$C89*INDEX(Curves!$Y$8:$Y$68,BC$4-$B89+1)</f>
        <v/>
      </c>
      <c r="BD89" s="56">
        <f>$C89*INDEX(Curves!$Y$8:$Y$68,BD$4-$B89+1)</f>
        <v/>
      </c>
      <c r="BE89" s="56">
        <f>$C89*INDEX(Curves!$Y$8:$Y$68,BE$4-$B89+1)</f>
        <v/>
      </c>
      <c r="BF89" s="56">
        <f>$C89*INDEX(Curves!$Y$8:$Y$68,BF$4-$B89+1)</f>
        <v/>
      </c>
      <c r="BG89" s="56">
        <f>$C89*INDEX(Curves!$Y$8:$Y$68,BG$4-$B89+1)</f>
        <v/>
      </c>
      <c r="BH89" s="56">
        <f>$C89*INDEX(Curves!$Y$8:$Y$68,BH$4-$B89+1)</f>
        <v/>
      </c>
      <c r="BI89" s="56">
        <f>$C89*INDEX(Curves!$Y$8:$Y$68,BI$4-$B89+1)</f>
        <v/>
      </c>
      <c r="BJ89" s="56">
        <f>$C89*INDEX(Curves!$Y$8:$Y$68,BJ$4-$B89+1)</f>
        <v/>
      </c>
      <c r="BK89" s="56">
        <f>$C89*INDEX(Curves!$Y$8:$Y$68,BK$4-$B89+1)</f>
        <v/>
      </c>
      <c r="BL89" s="56">
        <f>$C89*INDEX(Curves!$Y$8:$Y$68,BL$4-$B89+1)</f>
        <v/>
      </c>
    </row>
    <row r="90">
      <c r="A90" s="55" t="inlineStr">
        <is>
          <t>Cohort month 18</t>
        </is>
      </c>
      <c r="B90" s="55" t="n">
        <v>18</v>
      </c>
      <c r="C90" s="46">
        <f>INDEX(Ops!$E$39:$BL$39,1,$B90)</f>
        <v/>
      </c>
      <c r="W90" s="56">
        <f>$C90*INDEX(Curves!$Y$8:$Y$68,W$4-$B90+1)</f>
        <v/>
      </c>
      <c r="X90" s="56">
        <f>$C90*INDEX(Curves!$Y$8:$Y$68,X$4-$B90+1)</f>
        <v/>
      </c>
      <c r="Y90" s="56">
        <f>$C90*INDEX(Curves!$Y$8:$Y$68,Y$4-$B90+1)</f>
        <v/>
      </c>
      <c r="Z90" s="56">
        <f>$C90*INDEX(Curves!$Y$8:$Y$68,Z$4-$B90+1)</f>
        <v/>
      </c>
      <c r="AA90" s="56">
        <f>$C90*INDEX(Curves!$Y$8:$Y$68,AA$4-$B90+1)</f>
        <v/>
      </c>
      <c r="AB90" s="56">
        <f>$C90*INDEX(Curves!$Y$8:$Y$68,AB$4-$B90+1)</f>
        <v/>
      </c>
      <c r="AC90" s="56">
        <f>$C90*INDEX(Curves!$Y$8:$Y$68,AC$4-$B90+1)</f>
        <v/>
      </c>
      <c r="AD90" s="56">
        <f>$C90*INDEX(Curves!$Y$8:$Y$68,AD$4-$B90+1)</f>
        <v/>
      </c>
      <c r="AE90" s="56">
        <f>$C90*INDEX(Curves!$Y$8:$Y$68,AE$4-$B90+1)</f>
        <v/>
      </c>
      <c r="AF90" s="56">
        <f>$C90*INDEX(Curves!$Y$8:$Y$68,AF$4-$B90+1)</f>
        <v/>
      </c>
      <c r="AG90" s="56">
        <f>$C90*INDEX(Curves!$Y$8:$Y$68,AG$4-$B90+1)</f>
        <v/>
      </c>
      <c r="AH90" s="56">
        <f>$C90*INDEX(Curves!$Y$8:$Y$68,AH$4-$B90+1)</f>
        <v/>
      </c>
      <c r="AI90" s="56">
        <f>$C90*INDEX(Curves!$Y$8:$Y$68,AI$4-$B90+1)</f>
        <v/>
      </c>
      <c r="AJ90" s="56">
        <f>$C90*INDEX(Curves!$Y$8:$Y$68,AJ$4-$B90+1)</f>
        <v/>
      </c>
      <c r="AK90" s="56">
        <f>$C90*INDEX(Curves!$Y$8:$Y$68,AK$4-$B90+1)</f>
        <v/>
      </c>
      <c r="AL90" s="56">
        <f>$C90*INDEX(Curves!$Y$8:$Y$68,AL$4-$B90+1)</f>
        <v/>
      </c>
      <c r="AM90" s="56">
        <f>$C90*INDEX(Curves!$Y$8:$Y$68,AM$4-$B90+1)</f>
        <v/>
      </c>
      <c r="AN90" s="56">
        <f>$C90*INDEX(Curves!$Y$8:$Y$68,AN$4-$B90+1)</f>
        <v/>
      </c>
      <c r="AO90" s="56">
        <f>$C90*INDEX(Curves!$Y$8:$Y$68,AO$4-$B90+1)</f>
        <v/>
      </c>
      <c r="AP90" s="56">
        <f>$C90*INDEX(Curves!$Y$8:$Y$68,AP$4-$B90+1)</f>
        <v/>
      </c>
      <c r="AQ90" s="56">
        <f>$C90*INDEX(Curves!$Y$8:$Y$68,AQ$4-$B90+1)</f>
        <v/>
      </c>
      <c r="AR90" s="56">
        <f>$C90*INDEX(Curves!$Y$8:$Y$68,AR$4-$B90+1)</f>
        <v/>
      </c>
      <c r="AS90" s="56">
        <f>$C90*INDEX(Curves!$Y$8:$Y$68,AS$4-$B90+1)</f>
        <v/>
      </c>
      <c r="AT90" s="56">
        <f>$C90*INDEX(Curves!$Y$8:$Y$68,AT$4-$B90+1)</f>
        <v/>
      </c>
      <c r="AU90" s="56">
        <f>$C90*INDEX(Curves!$Y$8:$Y$68,AU$4-$B90+1)</f>
        <v/>
      </c>
      <c r="AV90" s="56">
        <f>$C90*INDEX(Curves!$Y$8:$Y$68,AV$4-$B90+1)</f>
        <v/>
      </c>
      <c r="AW90" s="56">
        <f>$C90*INDEX(Curves!$Y$8:$Y$68,AW$4-$B90+1)</f>
        <v/>
      </c>
      <c r="AX90" s="56">
        <f>$C90*INDEX(Curves!$Y$8:$Y$68,AX$4-$B90+1)</f>
        <v/>
      </c>
      <c r="AY90" s="56">
        <f>$C90*INDEX(Curves!$Y$8:$Y$68,AY$4-$B90+1)</f>
        <v/>
      </c>
      <c r="AZ90" s="56">
        <f>$C90*INDEX(Curves!$Y$8:$Y$68,AZ$4-$B90+1)</f>
        <v/>
      </c>
      <c r="BA90" s="56">
        <f>$C90*INDEX(Curves!$Y$8:$Y$68,BA$4-$B90+1)</f>
        <v/>
      </c>
      <c r="BB90" s="56">
        <f>$C90*INDEX(Curves!$Y$8:$Y$68,BB$4-$B90+1)</f>
        <v/>
      </c>
      <c r="BC90" s="56">
        <f>$C90*INDEX(Curves!$Y$8:$Y$68,BC$4-$B90+1)</f>
        <v/>
      </c>
      <c r="BD90" s="56">
        <f>$C90*INDEX(Curves!$Y$8:$Y$68,BD$4-$B90+1)</f>
        <v/>
      </c>
      <c r="BE90" s="56">
        <f>$C90*INDEX(Curves!$Y$8:$Y$68,BE$4-$B90+1)</f>
        <v/>
      </c>
      <c r="BF90" s="56">
        <f>$C90*INDEX(Curves!$Y$8:$Y$68,BF$4-$B90+1)</f>
        <v/>
      </c>
      <c r="BG90" s="56">
        <f>$C90*INDEX(Curves!$Y$8:$Y$68,BG$4-$B90+1)</f>
        <v/>
      </c>
      <c r="BH90" s="56">
        <f>$C90*INDEX(Curves!$Y$8:$Y$68,BH$4-$B90+1)</f>
        <v/>
      </c>
      <c r="BI90" s="56">
        <f>$C90*INDEX(Curves!$Y$8:$Y$68,BI$4-$B90+1)</f>
        <v/>
      </c>
      <c r="BJ90" s="56">
        <f>$C90*INDEX(Curves!$Y$8:$Y$68,BJ$4-$B90+1)</f>
        <v/>
      </c>
      <c r="BK90" s="56">
        <f>$C90*INDEX(Curves!$Y$8:$Y$68,BK$4-$B90+1)</f>
        <v/>
      </c>
      <c r="BL90" s="56">
        <f>$C90*INDEX(Curves!$Y$8:$Y$68,BL$4-$B90+1)</f>
        <v/>
      </c>
    </row>
    <row r="91">
      <c r="A91" s="55" t="inlineStr">
        <is>
          <t>Cohort month 19</t>
        </is>
      </c>
      <c r="B91" s="55" t="n">
        <v>19</v>
      </c>
      <c r="C91" s="46">
        <f>INDEX(Ops!$E$39:$BL$39,1,$B91)</f>
        <v/>
      </c>
      <c r="X91" s="56">
        <f>$C91*INDEX(Curves!$Y$8:$Y$68,X$4-$B91+1)</f>
        <v/>
      </c>
      <c r="Y91" s="56">
        <f>$C91*INDEX(Curves!$Y$8:$Y$68,Y$4-$B91+1)</f>
        <v/>
      </c>
      <c r="Z91" s="56">
        <f>$C91*INDEX(Curves!$Y$8:$Y$68,Z$4-$B91+1)</f>
        <v/>
      </c>
      <c r="AA91" s="56">
        <f>$C91*INDEX(Curves!$Y$8:$Y$68,AA$4-$B91+1)</f>
        <v/>
      </c>
      <c r="AB91" s="56">
        <f>$C91*INDEX(Curves!$Y$8:$Y$68,AB$4-$B91+1)</f>
        <v/>
      </c>
      <c r="AC91" s="56">
        <f>$C91*INDEX(Curves!$Y$8:$Y$68,AC$4-$B91+1)</f>
        <v/>
      </c>
      <c r="AD91" s="56">
        <f>$C91*INDEX(Curves!$Y$8:$Y$68,AD$4-$B91+1)</f>
        <v/>
      </c>
      <c r="AE91" s="56">
        <f>$C91*INDEX(Curves!$Y$8:$Y$68,AE$4-$B91+1)</f>
        <v/>
      </c>
      <c r="AF91" s="56">
        <f>$C91*INDEX(Curves!$Y$8:$Y$68,AF$4-$B91+1)</f>
        <v/>
      </c>
      <c r="AG91" s="56">
        <f>$C91*INDEX(Curves!$Y$8:$Y$68,AG$4-$B91+1)</f>
        <v/>
      </c>
      <c r="AH91" s="56">
        <f>$C91*INDEX(Curves!$Y$8:$Y$68,AH$4-$B91+1)</f>
        <v/>
      </c>
      <c r="AI91" s="56">
        <f>$C91*INDEX(Curves!$Y$8:$Y$68,AI$4-$B91+1)</f>
        <v/>
      </c>
      <c r="AJ91" s="56">
        <f>$C91*INDEX(Curves!$Y$8:$Y$68,AJ$4-$B91+1)</f>
        <v/>
      </c>
      <c r="AK91" s="56">
        <f>$C91*INDEX(Curves!$Y$8:$Y$68,AK$4-$B91+1)</f>
        <v/>
      </c>
      <c r="AL91" s="56">
        <f>$C91*INDEX(Curves!$Y$8:$Y$68,AL$4-$B91+1)</f>
        <v/>
      </c>
      <c r="AM91" s="56">
        <f>$C91*INDEX(Curves!$Y$8:$Y$68,AM$4-$B91+1)</f>
        <v/>
      </c>
      <c r="AN91" s="56">
        <f>$C91*INDEX(Curves!$Y$8:$Y$68,AN$4-$B91+1)</f>
        <v/>
      </c>
      <c r="AO91" s="56">
        <f>$C91*INDEX(Curves!$Y$8:$Y$68,AO$4-$B91+1)</f>
        <v/>
      </c>
      <c r="AP91" s="56">
        <f>$C91*INDEX(Curves!$Y$8:$Y$68,AP$4-$B91+1)</f>
        <v/>
      </c>
      <c r="AQ91" s="56">
        <f>$C91*INDEX(Curves!$Y$8:$Y$68,AQ$4-$B91+1)</f>
        <v/>
      </c>
      <c r="AR91" s="56">
        <f>$C91*INDEX(Curves!$Y$8:$Y$68,AR$4-$B91+1)</f>
        <v/>
      </c>
      <c r="AS91" s="56">
        <f>$C91*INDEX(Curves!$Y$8:$Y$68,AS$4-$B91+1)</f>
        <v/>
      </c>
      <c r="AT91" s="56">
        <f>$C91*INDEX(Curves!$Y$8:$Y$68,AT$4-$B91+1)</f>
        <v/>
      </c>
      <c r="AU91" s="56">
        <f>$C91*INDEX(Curves!$Y$8:$Y$68,AU$4-$B91+1)</f>
        <v/>
      </c>
      <c r="AV91" s="56">
        <f>$C91*INDEX(Curves!$Y$8:$Y$68,AV$4-$B91+1)</f>
        <v/>
      </c>
      <c r="AW91" s="56">
        <f>$C91*INDEX(Curves!$Y$8:$Y$68,AW$4-$B91+1)</f>
        <v/>
      </c>
      <c r="AX91" s="56">
        <f>$C91*INDEX(Curves!$Y$8:$Y$68,AX$4-$B91+1)</f>
        <v/>
      </c>
      <c r="AY91" s="56">
        <f>$C91*INDEX(Curves!$Y$8:$Y$68,AY$4-$B91+1)</f>
        <v/>
      </c>
      <c r="AZ91" s="56">
        <f>$C91*INDEX(Curves!$Y$8:$Y$68,AZ$4-$B91+1)</f>
        <v/>
      </c>
      <c r="BA91" s="56">
        <f>$C91*INDEX(Curves!$Y$8:$Y$68,BA$4-$B91+1)</f>
        <v/>
      </c>
      <c r="BB91" s="56">
        <f>$C91*INDEX(Curves!$Y$8:$Y$68,BB$4-$B91+1)</f>
        <v/>
      </c>
      <c r="BC91" s="56">
        <f>$C91*INDEX(Curves!$Y$8:$Y$68,BC$4-$B91+1)</f>
        <v/>
      </c>
      <c r="BD91" s="56">
        <f>$C91*INDEX(Curves!$Y$8:$Y$68,BD$4-$B91+1)</f>
        <v/>
      </c>
      <c r="BE91" s="56">
        <f>$C91*INDEX(Curves!$Y$8:$Y$68,BE$4-$B91+1)</f>
        <v/>
      </c>
      <c r="BF91" s="56">
        <f>$C91*INDEX(Curves!$Y$8:$Y$68,BF$4-$B91+1)</f>
        <v/>
      </c>
      <c r="BG91" s="56">
        <f>$C91*INDEX(Curves!$Y$8:$Y$68,BG$4-$B91+1)</f>
        <v/>
      </c>
      <c r="BH91" s="56">
        <f>$C91*INDEX(Curves!$Y$8:$Y$68,BH$4-$B91+1)</f>
        <v/>
      </c>
      <c r="BI91" s="56">
        <f>$C91*INDEX(Curves!$Y$8:$Y$68,BI$4-$B91+1)</f>
        <v/>
      </c>
      <c r="BJ91" s="56">
        <f>$C91*INDEX(Curves!$Y$8:$Y$68,BJ$4-$B91+1)</f>
        <v/>
      </c>
      <c r="BK91" s="56">
        <f>$C91*INDEX(Curves!$Y$8:$Y$68,BK$4-$B91+1)</f>
        <v/>
      </c>
      <c r="BL91" s="56">
        <f>$C91*INDEX(Curves!$Y$8:$Y$68,BL$4-$B91+1)</f>
        <v/>
      </c>
    </row>
    <row r="92">
      <c r="A92" s="55" t="inlineStr">
        <is>
          <t>Cohort month 20</t>
        </is>
      </c>
      <c r="B92" s="55" t="n">
        <v>20</v>
      </c>
      <c r="C92" s="46">
        <f>INDEX(Ops!$E$39:$BL$39,1,$B92)</f>
        <v/>
      </c>
      <c r="Y92" s="56">
        <f>$C92*INDEX(Curves!$Y$8:$Y$68,Y$4-$B92+1)</f>
        <v/>
      </c>
      <c r="Z92" s="56">
        <f>$C92*INDEX(Curves!$Y$8:$Y$68,Z$4-$B92+1)</f>
        <v/>
      </c>
      <c r="AA92" s="56">
        <f>$C92*INDEX(Curves!$Y$8:$Y$68,AA$4-$B92+1)</f>
        <v/>
      </c>
      <c r="AB92" s="56">
        <f>$C92*INDEX(Curves!$Y$8:$Y$68,AB$4-$B92+1)</f>
        <v/>
      </c>
      <c r="AC92" s="56">
        <f>$C92*INDEX(Curves!$Y$8:$Y$68,AC$4-$B92+1)</f>
        <v/>
      </c>
      <c r="AD92" s="56">
        <f>$C92*INDEX(Curves!$Y$8:$Y$68,AD$4-$B92+1)</f>
        <v/>
      </c>
      <c r="AE92" s="56">
        <f>$C92*INDEX(Curves!$Y$8:$Y$68,AE$4-$B92+1)</f>
        <v/>
      </c>
      <c r="AF92" s="56">
        <f>$C92*INDEX(Curves!$Y$8:$Y$68,AF$4-$B92+1)</f>
        <v/>
      </c>
      <c r="AG92" s="56">
        <f>$C92*INDEX(Curves!$Y$8:$Y$68,AG$4-$B92+1)</f>
        <v/>
      </c>
      <c r="AH92" s="56">
        <f>$C92*INDEX(Curves!$Y$8:$Y$68,AH$4-$B92+1)</f>
        <v/>
      </c>
      <c r="AI92" s="56">
        <f>$C92*INDEX(Curves!$Y$8:$Y$68,AI$4-$B92+1)</f>
        <v/>
      </c>
      <c r="AJ92" s="56">
        <f>$C92*INDEX(Curves!$Y$8:$Y$68,AJ$4-$B92+1)</f>
        <v/>
      </c>
      <c r="AK92" s="56">
        <f>$C92*INDEX(Curves!$Y$8:$Y$68,AK$4-$B92+1)</f>
        <v/>
      </c>
      <c r="AL92" s="56">
        <f>$C92*INDEX(Curves!$Y$8:$Y$68,AL$4-$B92+1)</f>
        <v/>
      </c>
      <c r="AM92" s="56">
        <f>$C92*INDEX(Curves!$Y$8:$Y$68,AM$4-$B92+1)</f>
        <v/>
      </c>
      <c r="AN92" s="56">
        <f>$C92*INDEX(Curves!$Y$8:$Y$68,AN$4-$B92+1)</f>
        <v/>
      </c>
      <c r="AO92" s="56">
        <f>$C92*INDEX(Curves!$Y$8:$Y$68,AO$4-$B92+1)</f>
        <v/>
      </c>
      <c r="AP92" s="56">
        <f>$C92*INDEX(Curves!$Y$8:$Y$68,AP$4-$B92+1)</f>
        <v/>
      </c>
      <c r="AQ92" s="56">
        <f>$C92*INDEX(Curves!$Y$8:$Y$68,AQ$4-$B92+1)</f>
        <v/>
      </c>
      <c r="AR92" s="56">
        <f>$C92*INDEX(Curves!$Y$8:$Y$68,AR$4-$B92+1)</f>
        <v/>
      </c>
      <c r="AS92" s="56">
        <f>$C92*INDEX(Curves!$Y$8:$Y$68,AS$4-$B92+1)</f>
        <v/>
      </c>
      <c r="AT92" s="56">
        <f>$C92*INDEX(Curves!$Y$8:$Y$68,AT$4-$B92+1)</f>
        <v/>
      </c>
      <c r="AU92" s="56">
        <f>$C92*INDEX(Curves!$Y$8:$Y$68,AU$4-$B92+1)</f>
        <v/>
      </c>
      <c r="AV92" s="56">
        <f>$C92*INDEX(Curves!$Y$8:$Y$68,AV$4-$B92+1)</f>
        <v/>
      </c>
      <c r="AW92" s="56">
        <f>$C92*INDEX(Curves!$Y$8:$Y$68,AW$4-$B92+1)</f>
        <v/>
      </c>
      <c r="AX92" s="56">
        <f>$C92*INDEX(Curves!$Y$8:$Y$68,AX$4-$B92+1)</f>
        <v/>
      </c>
      <c r="AY92" s="56">
        <f>$C92*INDEX(Curves!$Y$8:$Y$68,AY$4-$B92+1)</f>
        <v/>
      </c>
      <c r="AZ92" s="56">
        <f>$C92*INDEX(Curves!$Y$8:$Y$68,AZ$4-$B92+1)</f>
        <v/>
      </c>
      <c r="BA92" s="56">
        <f>$C92*INDEX(Curves!$Y$8:$Y$68,BA$4-$B92+1)</f>
        <v/>
      </c>
      <c r="BB92" s="56">
        <f>$C92*INDEX(Curves!$Y$8:$Y$68,BB$4-$B92+1)</f>
        <v/>
      </c>
      <c r="BC92" s="56">
        <f>$C92*INDEX(Curves!$Y$8:$Y$68,BC$4-$B92+1)</f>
        <v/>
      </c>
      <c r="BD92" s="56">
        <f>$C92*INDEX(Curves!$Y$8:$Y$68,BD$4-$B92+1)</f>
        <v/>
      </c>
      <c r="BE92" s="56">
        <f>$C92*INDEX(Curves!$Y$8:$Y$68,BE$4-$B92+1)</f>
        <v/>
      </c>
      <c r="BF92" s="56">
        <f>$C92*INDEX(Curves!$Y$8:$Y$68,BF$4-$B92+1)</f>
        <v/>
      </c>
      <c r="BG92" s="56">
        <f>$C92*INDEX(Curves!$Y$8:$Y$68,BG$4-$B92+1)</f>
        <v/>
      </c>
      <c r="BH92" s="56">
        <f>$C92*INDEX(Curves!$Y$8:$Y$68,BH$4-$B92+1)</f>
        <v/>
      </c>
      <c r="BI92" s="56">
        <f>$C92*INDEX(Curves!$Y$8:$Y$68,BI$4-$B92+1)</f>
        <v/>
      </c>
      <c r="BJ92" s="56">
        <f>$C92*INDEX(Curves!$Y$8:$Y$68,BJ$4-$B92+1)</f>
        <v/>
      </c>
      <c r="BK92" s="56">
        <f>$C92*INDEX(Curves!$Y$8:$Y$68,BK$4-$B92+1)</f>
        <v/>
      </c>
      <c r="BL92" s="56">
        <f>$C92*INDEX(Curves!$Y$8:$Y$68,BL$4-$B92+1)</f>
        <v/>
      </c>
    </row>
    <row r="93">
      <c r="A93" s="55" t="inlineStr">
        <is>
          <t>Cohort month 21</t>
        </is>
      </c>
      <c r="B93" s="55" t="n">
        <v>21</v>
      </c>
      <c r="C93" s="46">
        <f>INDEX(Ops!$E$39:$BL$39,1,$B93)</f>
        <v/>
      </c>
      <c r="Z93" s="56">
        <f>$C93*INDEX(Curves!$Y$8:$Y$68,Z$4-$B93+1)</f>
        <v/>
      </c>
      <c r="AA93" s="56">
        <f>$C93*INDEX(Curves!$Y$8:$Y$68,AA$4-$B93+1)</f>
        <v/>
      </c>
      <c r="AB93" s="56">
        <f>$C93*INDEX(Curves!$Y$8:$Y$68,AB$4-$B93+1)</f>
        <v/>
      </c>
      <c r="AC93" s="56">
        <f>$C93*INDEX(Curves!$Y$8:$Y$68,AC$4-$B93+1)</f>
        <v/>
      </c>
      <c r="AD93" s="56">
        <f>$C93*INDEX(Curves!$Y$8:$Y$68,AD$4-$B93+1)</f>
        <v/>
      </c>
      <c r="AE93" s="56">
        <f>$C93*INDEX(Curves!$Y$8:$Y$68,AE$4-$B93+1)</f>
        <v/>
      </c>
      <c r="AF93" s="56">
        <f>$C93*INDEX(Curves!$Y$8:$Y$68,AF$4-$B93+1)</f>
        <v/>
      </c>
      <c r="AG93" s="56">
        <f>$C93*INDEX(Curves!$Y$8:$Y$68,AG$4-$B93+1)</f>
        <v/>
      </c>
      <c r="AH93" s="56">
        <f>$C93*INDEX(Curves!$Y$8:$Y$68,AH$4-$B93+1)</f>
        <v/>
      </c>
      <c r="AI93" s="56">
        <f>$C93*INDEX(Curves!$Y$8:$Y$68,AI$4-$B93+1)</f>
        <v/>
      </c>
      <c r="AJ93" s="56">
        <f>$C93*INDEX(Curves!$Y$8:$Y$68,AJ$4-$B93+1)</f>
        <v/>
      </c>
      <c r="AK93" s="56">
        <f>$C93*INDEX(Curves!$Y$8:$Y$68,AK$4-$B93+1)</f>
        <v/>
      </c>
      <c r="AL93" s="56">
        <f>$C93*INDEX(Curves!$Y$8:$Y$68,AL$4-$B93+1)</f>
        <v/>
      </c>
      <c r="AM93" s="56">
        <f>$C93*INDEX(Curves!$Y$8:$Y$68,AM$4-$B93+1)</f>
        <v/>
      </c>
      <c r="AN93" s="56">
        <f>$C93*INDEX(Curves!$Y$8:$Y$68,AN$4-$B93+1)</f>
        <v/>
      </c>
      <c r="AO93" s="56">
        <f>$C93*INDEX(Curves!$Y$8:$Y$68,AO$4-$B93+1)</f>
        <v/>
      </c>
      <c r="AP93" s="56">
        <f>$C93*INDEX(Curves!$Y$8:$Y$68,AP$4-$B93+1)</f>
        <v/>
      </c>
      <c r="AQ93" s="56">
        <f>$C93*INDEX(Curves!$Y$8:$Y$68,AQ$4-$B93+1)</f>
        <v/>
      </c>
      <c r="AR93" s="56">
        <f>$C93*INDEX(Curves!$Y$8:$Y$68,AR$4-$B93+1)</f>
        <v/>
      </c>
      <c r="AS93" s="56">
        <f>$C93*INDEX(Curves!$Y$8:$Y$68,AS$4-$B93+1)</f>
        <v/>
      </c>
      <c r="AT93" s="56">
        <f>$C93*INDEX(Curves!$Y$8:$Y$68,AT$4-$B93+1)</f>
        <v/>
      </c>
      <c r="AU93" s="56">
        <f>$C93*INDEX(Curves!$Y$8:$Y$68,AU$4-$B93+1)</f>
        <v/>
      </c>
      <c r="AV93" s="56">
        <f>$C93*INDEX(Curves!$Y$8:$Y$68,AV$4-$B93+1)</f>
        <v/>
      </c>
      <c r="AW93" s="56">
        <f>$C93*INDEX(Curves!$Y$8:$Y$68,AW$4-$B93+1)</f>
        <v/>
      </c>
      <c r="AX93" s="56">
        <f>$C93*INDEX(Curves!$Y$8:$Y$68,AX$4-$B93+1)</f>
        <v/>
      </c>
      <c r="AY93" s="56">
        <f>$C93*INDEX(Curves!$Y$8:$Y$68,AY$4-$B93+1)</f>
        <v/>
      </c>
      <c r="AZ93" s="56">
        <f>$C93*INDEX(Curves!$Y$8:$Y$68,AZ$4-$B93+1)</f>
        <v/>
      </c>
      <c r="BA93" s="56">
        <f>$C93*INDEX(Curves!$Y$8:$Y$68,BA$4-$B93+1)</f>
        <v/>
      </c>
      <c r="BB93" s="56">
        <f>$C93*INDEX(Curves!$Y$8:$Y$68,BB$4-$B93+1)</f>
        <v/>
      </c>
      <c r="BC93" s="56">
        <f>$C93*INDEX(Curves!$Y$8:$Y$68,BC$4-$B93+1)</f>
        <v/>
      </c>
      <c r="BD93" s="56">
        <f>$C93*INDEX(Curves!$Y$8:$Y$68,BD$4-$B93+1)</f>
        <v/>
      </c>
      <c r="BE93" s="56">
        <f>$C93*INDEX(Curves!$Y$8:$Y$68,BE$4-$B93+1)</f>
        <v/>
      </c>
      <c r="BF93" s="56">
        <f>$C93*INDEX(Curves!$Y$8:$Y$68,BF$4-$B93+1)</f>
        <v/>
      </c>
      <c r="BG93" s="56">
        <f>$C93*INDEX(Curves!$Y$8:$Y$68,BG$4-$B93+1)</f>
        <v/>
      </c>
      <c r="BH93" s="56">
        <f>$C93*INDEX(Curves!$Y$8:$Y$68,BH$4-$B93+1)</f>
        <v/>
      </c>
      <c r="BI93" s="56">
        <f>$C93*INDEX(Curves!$Y$8:$Y$68,BI$4-$B93+1)</f>
        <v/>
      </c>
      <c r="BJ93" s="56">
        <f>$C93*INDEX(Curves!$Y$8:$Y$68,BJ$4-$B93+1)</f>
        <v/>
      </c>
      <c r="BK93" s="56">
        <f>$C93*INDEX(Curves!$Y$8:$Y$68,BK$4-$B93+1)</f>
        <v/>
      </c>
      <c r="BL93" s="56">
        <f>$C93*INDEX(Curves!$Y$8:$Y$68,BL$4-$B93+1)</f>
        <v/>
      </c>
    </row>
    <row r="94">
      <c r="A94" s="55" t="inlineStr">
        <is>
          <t>Cohort month 22</t>
        </is>
      </c>
      <c r="B94" s="55" t="n">
        <v>22</v>
      </c>
      <c r="C94" s="46">
        <f>INDEX(Ops!$E$39:$BL$39,1,$B94)</f>
        <v/>
      </c>
      <c r="AA94" s="56">
        <f>$C94*INDEX(Curves!$Y$8:$Y$68,AA$4-$B94+1)</f>
        <v/>
      </c>
      <c r="AB94" s="56">
        <f>$C94*INDEX(Curves!$Y$8:$Y$68,AB$4-$B94+1)</f>
        <v/>
      </c>
      <c r="AC94" s="56">
        <f>$C94*INDEX(Curves!$Y$8:$Y$68,AC$4-$B94+1)</f>
        <v/>
      </c>
      <c r="AD94" s="56">
        <f>$C94*INDEX(Curves!$Y$8:$Y$68,AD$4-$B94+1)</f>
        <v/>
      </c>
      <c r="AE94" s="56">
        <f>$C94*INDEX(Curves!$Y$8:$Y$68,AE$4-$B94+1)</f>
        <v/>
      </c>
      <c r="AF94" s="56">
        <f>$C94*INDEX(Curves!$Y$8:$Y$68,AF$4-$B94+1)</f>
        <v/>
      </c>
      <c r="AG94" s="56">
        <f>$C94*INDEX(Curves!$Y$8:$Y$68,AG$4-$B94+1)</f>
        <v/>
      </c>
      <c r="AH94" s="56">
        <f>$C94*INDEX(Curves!$Y$8:$Y$68,AH$4-$B94+1)</f>
        <v/>
      </c>
      <c r="AI94" s="56">
        <f>$C94*INDEX(Curves!$Y$8:$Y$68,AI$4-$B94+1)</f>
        <v/>
      </c>
      <c r="AJ94" s="56">
        <f>$C94*INDEX(Curves!$Y$8:$Y$68,AJ$4-$B94+1)</f>
        <v/>
      </c>
      <c r="AK94" s="56">
        <f>$C94*INDEX(Curves!$Y$8:$Y$68,AK$4-$B94+1)</f>
        <v/>
      </c>
      <c r="AL94" s="56">
        <f>$C94*INDEX(Curves!$Y$8:$Y$68,AL$4-$B94+1)</f>
        <v/>
      </c>
      <c r="AM94" s="56">
        <f>$C94*INDEX(Curves!$Y$8:$Y$68,AM$4-$B94+1)</f>
        <v/>
      </c>
      <c r="AN94" s="56">
        <f>$C94*INDEX(Curves!$Y$8:$Y$68,AN$4-$B94+1)</f>
        <v/>
      </c>
      <c r="AO94" s="56">
        <f>$C94*INDEX(Curves!$Y$8:$Y$68,AO$4-$B94+1)</f>
        <v/>
      </c>
      <c r="AP94" s="56">
        <f>$C94*INDEX(Curves!$Y$8:$Y$68,AP$4-$B94+1)</f>
        <v/>
      </c>
      <c r="AQ94" s="56">
        <f>$C94*INDEX(Curves!$Y$8:$Y$68,AQ$4-$B94+1)</f>
        <v/>
      </c>
      <c r="AR94" s="56">
        <f>$C94*INDEX(Curves!$Y$8:$Y$68,AR$4-$B94+1)</f>
        <v/>
      </c>
      <c r="AS94" s="56">
        <f>$C94*INDEX(Curves!$Y$8:$Y$68,AS$4-$B94+1)</f>
        <v/>
      </c>
      <c r="AT94" s="56">
        <f>$C94*INDEX(Curves!$Y$8:$Y$68,AT$4-$B94+1)</f>
        <v/>
      </c>
      <c r="AU94" s="56">
        <f>$C94*INDEX(Curves!$Y$8:$Y$68,AU$4-$B94+1)</f>
        <v/>
      </c>
      <c r="AV94" s="56">
        <f>$C94*INDEX(Curves!$Y$8:$Y$68,AV$4-$B94+1)</f>
        <v/>
      </c>
      <c r="AW94" s="56">
        <f>$C94*INDEX(Curves!$Y$8:$Y$68,AW$4-$B94+1)</f>
        <v/>
      </c>
      <c r="AX94" s="56">
        <f>$C94*INDEX(Curves!$Y$8:$Y$68,AX$4-$B94+1)</f>
        <v/>
      </c>
      <c r="AY94" s="56">
        <f>$C94*INDEX(Curves!$Y$8:$Y$68,AY$4-$B94+1)</f>
        <v/>
      </c>
      <c r="AZ94" s="56">
        <f>$C94*INDEX(Curves!$Y$8:$Y$68,AZ$4-$B94+1)</f>
        <v/>
      </c>
      <c r="BA94" s="56">
        <f>$C94*INDEX(Curves!$Y$8:$Y$68,BA$4-$B94+1)</f>
        <v/>
      </c>
      <c r="BB94" s="56">
        <f>$C94*INDEX(Curves!$Y$8:$Y$68,BB$4-$B94+1)</f>
        <v/>
      </c>
      <c r="BC94" s="56">
        <f>$C94*INDEX(Curves!$Y$8:$Y$68,BC$4-$B94+1)</f>
        <v/>
      </c>
      <c r="BD94" s="56">
        <f>$C94*INDEX(Curves!$Y$8:$Y$68,BD$4-$B94+1)</f>
        <v/>
      </c>
      <c r="BE94" s="56">
        <f>$C94*INDEX(Curves!$Y$8:$Y$68,BE$4-$B94+1)</f>
        <v/>
      </c>
      <c r="BF94" s="56">
        <f>$C94*INDEX(Curves!$Y$8:$Y$68,BF$4-$B94+1)</f>
        <v/>
      </c>
      <c r="BG94" s="56">
        <f>$C94*INDEX(Curves!$Y$8:$Y$68,BG$4-$B94+1)</f>
        <v/>
      </c>
      <c r="BH94" s="56">
        <f>$C94*INDEX(Curves!$Y$8:$Y$68,BH$4-$B94+1)</f>
        <v/>
      </c>
      <c r="BI94" s="56">
        <f>$C94*INDEX(Curves!$Y$8:$Y$68,BI$4-$B94+1)</f>
        <v/>
      </c>
      <c r="BJ94" s="56">
        <f>$C94*INDEX(Curves!$Y$8:$Y$68,BJ$4-$B94+1)</f>
        <v/>
      </c>
      <c r="BK94" s="56">
        <f>$C94*INDEX(Curves!$Y$8:$Y$68,BK$4-$B94+1)</f>
        <v/>
      </c>
      <c r="BL94" s="56">
        <f>$C94*INDEX(Curves!$Y$8:$Y$68,BL$4-$B94+1)</f>
        <v/>
      </c>
    </row>
    <row r="95">
      <c r="A95" s="55" t="inlineStr">
        <is>
          <t>Cohort month 23</t>
        </is>
      </c>
      <c r="B95" s="55" t="n">
        <v>23</v>
      </c>
      <c r="C95" s="46">
        <f>INDEX(Ops!$E$39:$BL$39,1,$B95)</f>
        <v/>
      </c>
      <c r="AB95" s="56">
        <f>$C95*INDEX(Curves!$Y$8:$Y$68,AB$4-$B95+1)</f>
        <v/>
      </c>
      <c r="AC95" s="56">
        <f>$C95*INDEX(Curves!$Y$8:$Y$68,AC$4-$B95+1)</f>
        <v/>
      </c>
      <c r="AD95" s="56">
        <f>$C95*INDEX(Curves!$Y$8:$Y$68,AD$4-$B95+1)</f>
        <v/>
      </c>
      <c r="AE95" s="56">
        <f>$C95*INDEX(Curves!$Y$8:$Y$68,AE$4-$B95+1)</f>
        <v/>
      </c>
      <c r="AF95" s="56">
        <f>$C95*INDEX(Curves!$Y$8:$Y$68,AF$4-$B95+1)</f>
        <v/>
      </c>
      <c r="AG95" s="56">
        <f>$C95*INDEX(Curves!$Y$8:$Y$68,AG$4-$B95+1)</f>
        <v/>
      </c>
      <c r="AH95" s="56">
        <f>$C95*INDEX(Curves!$Y$8:$Y$68,AH$4-$B95+1)</f>
        <v/>
      </c>
      <c r="AI95" s="56">
        <f>$C95*INDEX(Curves!$Y$8:$Y$68,AI$4-$B95+1)</f>
        <v/>
      </c>
      <c r="AJ95" s="56">
        <f>$C95*INDEX(Curves!$Y$8:$Y$68,AJ$4-$B95+1)</f>
        <v/>
      </c>
      <c r="AK95" s="56">
        <f>$C95*INDEX(Curves!$Y$8:$Y$68,AK$4-$B95+1)</f>
        <v/>
      </c>
      <c r="AL95" s="56">
        <f>$C95*INDEX(Curves!$Y$8:$Y$68,AL$4-$B95+1)</f>
        <v/>
      </c>
      <c r="AM95" s="56">
        <f>$C95*INDEX(Curves!$Y$8:$Y$68,AM$4-$B95+1)</f>
        <v/>
      </c>
      <c r="AN95" s="56">
        <f>$C95*INDEX(Curves!$Y$8:$Y$68,AN$4-$B95+1)</f>
        <v/>
      </c>
      <c r="AO95" s="56">
        <f>$C95*INDEX(Curves!$Y$8:$Y$68,AO$4-$B95+1)</f>
        <v/>
      </c>
      <c r="AP95" s="56">
        <f>$C95*INDEX(Curves!$Y$8:$Y$68,AP$4-$B95+1)</f>
        <v/>
      </c>
      <c r="AQ95" s="56">
        <f>$C95*INDEX(Curves!$Y$8:$Y$68,AQ$4-$B95+1)</f>
        <v/>
      </c>
      <c r="AR95" s="56">
        <f>$C95*INDEX(Curves!$Y$8:$Y$68,AR$4-$B95+1)</f>
        <v/>
      </c>
      <c r="AS95" s="56">
        <f>$C95*INDEX(Curves!$Y$8:$Y$68,AS$4-$B95+1)</f>
        <v/>
      </c>
      <c r="AT95" s="56">
        <f>$C95*INDEX(Curves!$Y$8:$Y$68,AT$4-$B95+1)</f>
        <v/>
      </c>
      <c r="AU95" s="56">
        <f>$C95*INDEX(Curves!$Y$8:$Y$68,AU$4-$B95+1)</f>
        <v/>
      </c>
      <c r="AV95" s="56">
        <f>$C95*INDEX(Curves!$Y$8:$Y$68,AV$4-$B95+1)</f>
        <v/>
      </c>
      <c r="AW95" s="56">
        <f>$C95*INDEX(Curves!$Y$8:$Y$68,AW$4-$B95+1)</f>
        <v/>
      </c>
      <c r="AX95" s="56">
        <f>$C95*INDEX(Curves!$Y$8:$Y$68,AX$4-$B95+1)</f>
        <v/>
      </c>
      <c r="AY95" s="56">
        <f>$C95*INDEX(Curves!$Y$8:$Y$68,AY$4-$B95+1)</f>
        <v/>
      </c>
      <c r="AZ95" s="56">
        <f>$C95*INDEX(Curves!$Y$8:$Y$68,AZ$4-$B95+1)</f>
        <v/>
      </c>
      <c r="BA95" s="56">
        <f>$C95*INDEX(Curves!$Y$8:$Y$68,BA$4-$B95+1)</f>
        <v/>
      </c>
      <c r="BB95" s="56">
        <f>$C95*INDEX(Curves!$Y$8:$Y$68,BB$4-$B95+1)</f>
        <v/>
      </c>
      <c r="BC95" s="56">
        <f>$C95*INDEX(Curves!$Y$8:$Y$68,BC$4-$B95+1)</f>
        <v/>
      </c>
      <c r="BD95" s="56">
        <f>$C95*INDEX(Curves!$Y$8:$Y$68,BD$4-$B95+1)</f>
        <v/>
      </c>
      <c r="BE95" s="56">
        <f>$C95*INDEX(Curves!$Y$8:$Y$68,BE$4-$B95+1)</f>
        <v/>
      </c>
      <c r="BF95" s="56">
        <f>$C95*INDEX(Curves!$Y$8:$Y$68,BF$4-$B95+1)</f>
        <v/>
      </c>
      <c r="BG95" s="56">
        <f>$C95*INDEX(Curves!$Y$8:$Y$68,BG$4-$B95+1)</f>
        <v/>
      </c>
      <c r="BH95" s="56">
        <f>$C95*INDEX(Curves!$Y$8:$Y$68,BH$4-$B95+1)</f>
        <v/>
      </c>
      <c r="BI95" s="56">
        <f>$C95*INDEX(Curves!$Y$8:$Y$68,BI$4-$B95+1)</f>
        <v/>
      </c>
      <c r="BJ95" s="56">
        <f>$C95*INDEX(Curves!$Y$8:$Y$68,BJ$4-$B95+1)</f>
        <v/>
      </c>
      <c r="BK95" s="56">
        <f>$C95*INDEX(Curves!$Y$8:$Y$68,BK$4-$B95+1)</f>
        <v/>
      </c>
      <c r="BL95" s="56">
        <f>$C95*INDEX(Curves!$Y$8:$Y$68,BL$4-$B95+1)</f>
        <v/>
      </c>
    </row>
    <row r="96">
      <c r="A96" s="55" t="inlineStr">
        <is>
          <t>Cohort month 24</t>
        </is>
      </c>
      <c r="B96" s="55" t="n">
        <v>24</v>
      </c>
      <c r="C96" s="46">
        <f>INDEX(Ops!$E$39:$BL$39,1,$B96)</f>
        <v/>
      </c>
      <c r="AC96" s="56">
        <f>$C96*INDEX(Curves!$Y$8:$Y$68,AC$4-$B96+1)</f>
        <v/>
      </c>
      <c r="AD96" s="56">
        <f>$C96*INDEX(Curves!$Y$8:$Y$68,AD$4-$B96+1)</f>
        <v/>
      </c>
      <c r="AE96" s="56">
        <f>$C96*INDEX(Curves!$Y$8:$Y$68,AE$4-$B96+1)</f>
        <v/>
      </c>
      <c r="AF96" s="56">
        <f>$C96*INDEX(Curves!$Y$8:$Y$68,AF$4-$B96+1)</f>
        <v/>
      </c>
      <c r="AG96" s="56">
        <f>$C96*INDEX(Curves!$Y$8:$Y$68,AG$4-$B96+1)</f>
        <v/>
      </c>
      <c r="AH96" s="56">
        <f>$C96*INDEX(Curves!$Y$8:$Y$68,AH$4-$B96+1)</f>
        <v/>
      </c>
      <c r="AI96" s="56">
        <f>$C96*INDEX(Curves!$Y$8:$Y$68,AI$4-$B96+1)</f>
        <v/>
      </c>
      <c r="AJ96" s="56">
        <f>$C96*INDEX(Curves!$Y$8:$Y$68,AJ$4-$B96+1)</f>
        <v/>
      </c>
      <c r="AK96" s="56">
        <f>$C96*INDEX(Curves!$Y$8:$Y$68,AK$4-$B96+1)</f>
        <v/>
      </c>
      <c r="AL96" s="56">
        <f>$C96*INDEX(Curves!$Y$8:$Y$68,AL$4-$B96+1)</f>
        <v/>
      </c>
      <c r="AM96" s="56">
        <f>$C96*INDEX(Curves!$Y$8:$Y$68,AM$4-$B96+1)</f>
        <v/>
      </c>
      <c r="AN96" s="56">
        <f>$C96*INDEX(Curves!$Y$8:$Y$68,AN$4-$B96+1)</f>
        <v/>
      </c>
      <c r="AO96" s="56">
        <f>$C96*INDEX(Curves!$Y$8:$Y$68,AO$4-$B96+1)</f>
        <v/>
      </c>
      <c r="AP96" s="56">
        <f>$C96*INDEX(Curves!$Y$8:$Y$68,AP$4-$B96+1)</f>
        <v/>
      </c>
      <c r="AQ96" s="56">
        <f>$C96*INDEX(Curves!$Y$8:$Y$68,AQ$4-$B96+1)</f>
        <v/>
      </c>
      <c r="AR96" s="56">
        <f>$C96*INDEX(Curves!$Y$8:$Y$68,AR$4-$B96+1)</f>
        <v/>
      </c>
      <c r="AS96" s="56">
        <f>$C96*INDEX(Curves!$Y$8:$Y$68,AS$4-$B96+1)</f>
        <v/>
      </c>
      <c r="AT96" s="56">
        <f>$C96*INDEX(Curves!$Y$8:$Y$68,AT$4-$B96+1)</f>
        <v/>
      </c>
      <c r="AU96" s="56">
        <f>$C96*INDEX(Curves!$Y$8:$Y$68,AU$4-$B96+1)</f>
        <v/>
      </c>
      <c r="AV96" s="56">
        <f>$C96*INDEX(Curves!$Y$8:$Y$68,AV$4-$B96+1)</f>
        <v/>
      </c>
      <c r="AW96" s="56">
        <f>$C96*INDEX(Curves!$Y$8:$Y$68,AW$4-$B96+1)</f>
        <v/>
      </c>
      <c r="AX96" s="56">
        <f>$C96*INDEX(Curves!$Y$8:$Y$68,AX$4-$B96+1)</f>
        <v/>
      </c>
      <c r="AY96" s="56">
        <f>$C96*INDEX(Curves!$Y$8:$Y$68,AY$4-$B96+1)</f>
        <v/>
      </c>
      <c r="AZ96" s="56">
        <f>$C96*INDEX(Curves!$Y$8:$Y$68,AZ$4-$B96+1)</f>
        <v/>
      </c>
      <c r="BA96" s="56">
        <f>$C96*INDEX(Curves!$Y$8:$Y$68,BA$4-$B96+1)</f>
        <v/>
      </c>
      <c r="BB96" s="56">
        <f>$C96*INDEX(Curves!$Y$8:$Y$68,BB$4-$B96+1)</f>
        <v/>
      </c>
      <c r="BC96" s="56">
        <f>$C96*INDEX(Curves!$Y$8:$Y$68,BC$4-$B96+1)</f>
        <v/>
      </c>
      <c r="BD96" s="56">
        <f>$C96*INDEX(Curves!$Y$8:$Y$68,BD$4-$B96+1)</f>
        <v/>
      </c>
      <c r="BE96" s="56">
        <f>$C96*INDEX(Curves!$Y$8:$Y$68,BE$4-$B96+1)</f>
        <v/>
      </c>
      <c r="BF96" s="56">
        <f>$C96*INDEX(Curves!$Y$8:$Y$68,BF$4-$B96+1)</f>
        <v/>
      </c>
      <c r="BG96" s="56">
        <f>$C96*INDEX(Curves!$Y$8:$Y$68,BG$4-$B96+1)</f>
        <v/>
      </c>
      <c r="BH96" s="56">
        <f>$C96*INDEX(Curves!$Y$8:$Y$68,BH$4-$B96+1)</f>
        <v/>
      </c>
      <c r="BI96" s="56">
        <f>$C96*INDEX(Curves!$Y$8:$Y$68,BI$4-$B96+1)</f>
        <v/>
      </c>
      <c r="BJ96" s="56">
        <f>$C96*INDEX(Curves!$Y$8:$Y$68,BJ$4-$B96+1)</f>
        <v/>
      </c>
      <c r="BK96" s="56">
        <f>$C96*INDEX(Curves!$Y$8:$Y$68,BK$4-$B96+1)</f>
        <v/>
      </c>
      <c r="BL96" s="56">
        <f>$C96*INDEX(Curves!$Y$8:$Y$68,BL$4-$B96+1)</f>
        <v/>
      </c>
    </row>
    <row r="97">
      <c r="A97" s="55" t="inlineStr">
        <is>
          <t>Cohort month 25</t>
        </is>
      </c>
      <c r="B97" s="55" t="n">
        <v>25</v>
      </c>
      <c r="C97" s="46">
        <f>INDEX(Ops!$E$39:$BL$39,1,$B97)</f>
        <v/>
      </c>
      <c r="AD97" s="56">
        <f>$C97*INDEX(Curves!$Y$8:$Y$68,AD$4-$B97+1)</f>
        <v/>
      </c>
      <c r="AE97" s="56">
        <f>$C97*INDEX(Curves!$Y$8:$Y$68,AE$4-$B97+1)</f>
        <v/>
      </c>
      <c r="AF97" s="56">
        <f>$C97*INDEX(Curves!$Y$8:$Y$68,AF$4-$B97+1)</f>
        <v/>
      </c>
      <c r="AG97" s="56">
        <f>$C97*INDEX(Curves!$Y$8:$Y$68,AG$4-$B97+1)</f>
        <v/>
      </c>
      <c r="AH97" s="56">
        <f>$C97*INDEX(Curves!$Y$8:$Y$68,AH$4-$B97+1)</f>
        <v/>
      </c>
      <c r="AI97" s="56">
        <f>$C97*INDEX(Curves!$Y$8:$Y$68,AI$4-$B97+1)</f>
        <v/>
      </c>
      <c r="AJ97" s="56">
        <f>$C97*INDEX(Curves!$Y$8:$Y$68,AJ$4-$B97+1)</f>
        <v/>
      </c>
      <c r="AK97" s="56">
        <f>$C97*INDEX(Curves!$Y$8:$Y$68,AK$4-$B97+1)</f>
        <v/>
      </c>
      <c r="AL97" s="56">
        <f>$C97*INDEX(Curves!$Y$8:$Y$68,AL$4-$B97+1)</f>
        <v/>
      </c>
      <c r="AM97" s="56">
        <f>$C97*INDEX(Curves!$Y$8:$Y$68,AM$4-$B97+1)</f>
        <v/>
      </c>
      <c r="AN97" s="56">
        <f>$C97*INDEX(Curves!$Y$8:$Y$68,AN$4-$B97+1)</f>
        <v/>
      </c>
      <c r="AO97" s="56">
        <f>$C97*INDEX(Curves!$Y$8:$Y$68,AO$4-$B97+1)</f>
        <v/>
      </c>
      <c r="AP97" s="56">
        <f>$C97*INDEX(Curves!$Y$8:$Y$68,AP$4-$B97+1)</f>
        <v/>
      </c>
      <c r="AQ97" s="56">
        <f>$C97*INDEX(Curves!$Y$8:$Y$68,AQ$4-$B97+1)</f>
        <v/>
      </c>
      <c r="AR97" s="56">
        <f>$C97*INDEX(Curves!$Y$8:$Y$68,AR$4-$B97+1)</f>
        <v/>
      </c>
      <c r="AS97" s="56">
        <f>$C97*INDEX(Curves!$Y$8:$Y$68,AS$4-$B97+1)</f>
        <v/>
      </c>
      <c r="AT97" s="56">
        <f>$C97*INDEX(Curves!$Y$8:$Y$68,AT$4-$B97+1)</f>
        <v/>
      </c>
      <c r="AU97" s="56">
        <f>$C97*INDEX(Curves!$Y$8:$Y$68,AU$4-$B97+1)</f>
        <v/>
      </c>
      <c r="AV97" s="56">
        <f>$C97*INDEX(Curves!$Y$8:$Y$68,AV$4-$B97+1)</f>
        <v/>
      </c>
      <c r="AW97" s="56">
        <f>$C97*INDEX(Curves!$Y$8:$Y$68,AW$4-$B97+1)</f>
        <v/>
      </c>
      <c r="AX97" s="56">
        <f>$C97*INDEX(Curves!$Y$8:$Y$68,AX$4-$B97+1)</f>
        <v/>
      </c>
      <c r="AY97" s="56">
        <f>$C97*INDEX(Curves!$Y$8:$Y$68,AY$4-$B97+1)</f>
        <v/>
      </c>
      <c r="AZ97" s="56">
        <f>$C97*INDEX(Curves!$Y$8:$Y$68,AZ$4-$B97+1)</f>
        <v/>
      </c>
      <c r="BA97" s="56">
        <f>$C97*INDEX(Curves!$Y$8:$Y$68,BA$4-$B97+1)</f>
        <v/>
      </c>
      <c r="BB97" s="56">
        <f>$C97*INDEX(Curves!$Y$8:$Y$68,BB$4-$B97+1)</f>
        <v/>
      </c>
      <c r="BC97" s="56">
        <f>$C97*INDEX(Curves!$Y$8:$Y$68,BC$4-$B97+1)</f>
        <v/>
      </c>
      <c r="BD97" s="56">
        <f>$C97*INDEX(Curves!$Y$8:$Y$68,BD$4-$B97+1)</f>
        <v/>
      </c>
      <c r="BE97" s="56">
        <f>$C97*INDEX(Curves!$Y$8:$Y$68,BE$4-$B97+1)</f>
        <v/>
      </c>
      <c r="BF97" s="56">
        <f>$C97*INDEX(Curves!$Y$8:$Y$68,BF$4-$B97+1)</f>
        <v/>
      </c>
      <c r="BG97" s="56">
        <f>$C97*INDEX(Curves!$Y$8:$Y$68,BG$4-$B97+1)</f>
        <v/>
      </c>
      <c r="BH97" s="56">
        <f>$C97*INDEX(Curves!$Y$8:$Y$68,BH$4-$B97+1)</f>
        <v/>
      </c>
      <c r="BI97" s="56">
        <f>$C97*INDEX(Curves!$Y$8:$Y$68,BI$4-$B97+1)</f>
        <v/>
      </c>
      <c r="BJ97" s="56">
        <f>$C97*INDEX(Curves!$Y$8:$Y$68,BJ$4-$B97+1)</f>
        <v/>
      </c>
      <c r="BK97" s="56">
        <f>$C97*INDEX(Curves!$Y$8:$Y$68,BK$4-$B97+1)</f>
        <v/>
      </c>
      <c r="BL97" s="56">
        <f>$C97*INDEX(Curves!$Y$8:$Y$68,BL$4-$B97+1)</f>
        <v/>
      </c>
    </row>
    <row r="98">
      <c r="A98" s="55" t="inlineStr">
        <is>
          <t>Cohort month 26</t>
        </is>
      </c>
      <c r="B98" s="55" t="n">
        <v>26</v>
      </c>
      <c r="C98" s="46">
        <f>INDEX(Ops!$E$39:$BL$39,1,$B98)</f>
        <v/>
      </c>
      <c r="AE98" s="56">
        <f>$C98*INDEX(Curves!$Y$8:$Y$68,AE$4-$B98+1)</f>
        <v/>
      </c>
      <c r="AF98" s="56">
        <f>$C98*INDEX(Curves!$Y$8:$Y$68,AF$4-$B98+1)</f>
        <v/>
      </c>
      <c r="AG98" s="56">
        <f>$C98*INDEX(Curves!$Y$8:$Y$68,AG$4-$B98+1)</f>
        <v/>
      </c>
      <c r="AH98" s="56">
        <f>$C98*INDEX(Curves!$Y$8:$Y$68,AH$4-$B98+1)</f>
        <v/>
      </c>
      <c r="AI98" s="56">
        <f>$C98*INDEX(Curves!$Y$8:$Y$68,AI$4-$B98+1)</f>
        <v/>
      </c>
      <c r="AJ98" s="56">
        <f>$C98*INDEX(Curves!$Y$8:$Y$68,AJ$4-$B98+1)</f>
        <v/>
      </c>
      <c r="AK98" s="56">
        <f>$C98*INDEX(Curves!$Y$8:$Y$68,AK$4-$B98+1)</f>
        <v/>
      </c>
      <c r="AL98" s="56">
        <f>$C98*INDEX(Curves!$Y$8:$Y$68,AL$4-$B98+1)</f>
        <v/>
      </c>
      <c r="AM98" s="56">
        <f>$C98*INDEX(Curves!$Y$8:$Y$68,AM$4-$B98+1)</f>
        <v/>
      </c>
      <c r="AN98" s="56">
        <f>$C98*INDEX(Curves!$Y$8:$Y$68,AN$4-$B98+1)</f>
        <v/>
      </c>
      <c r="AO98" s="56">
        <f>$C98*INDEX(Curves!$Y$8:$Y$68,AO$4-$B98+1)</f>
        <v/>
      </c>
      <c r="AP98" s="56">
        <f>$C98*INDEX(Curves!$Y$8:$Y$68,AP$4-$B98+1)</f>
        <v/>
      </c>
      <c r="AQ98" s="56">
        <f>$C98*INDEX(Curves!$Y$8:$Y$68,AQ$4-$B98+1)</f>
        <v/>
      </c>
      <c r="AR98" s="56">
        <f>$C98*INDEX(Curves!$Y$8:$Y$68,AR$4-$B98+1)</f>
        <v/>
      </c>
      <c r="AS98" s="56">
        <f>$C98*INDEX(Curves!$Y$8:$Y$68,AS$4-$B98+1)</f>
        <v/>
      </c>
      <c r="AT98" s="56">
        <f>$C98*INDEX(Curves!$Y$8:$Y$68,AT$4-$B98+1)</f>
        <v/>
      </c>
      <c r="AU98" s="56">
        <f>$C98*INDEX(Curves!$Y$8:$Y$68,AU$4-$B98+1)</f>
        <v/>
      </c>
      <c r="AV98" s="56">
        <f>$C98*INDEX(Curves!$Y$8:$Y$68,AV$4-$B98+1)</f>
        <v/>
      </c>
      <c r="AW98" s="56">
        <f>$C98*INDEX(Curves!$Y$8:$Y$68,AW$4-$B98+1)</f>
        <v/>
      </c>
      <c r="AX98" s="56">
        <f>$C98*INDEX(Curves!$Y$8:$Y$68,AX$4-$B98+1)</f>
        <v/>
      </c>
      <c r="AY98" s="56">
        <f>$C98*INDEX(Curves!$Y$8:$Y$68,AY$4-$B98+1)</f>
        <v/>
      </c>
      <c r="AZ98" s="56">
        <f>$C98*INDEX(Curves!$Y$8:$Y$68,AZ$4-$B98+1)</f>
        <v/>
      </c>
      <c r="BA98" s="56">
        <f>$C98*INDEX(Curves!$Y$8:$Y$68,BA$4-$B98+1)</f>
        <v/>
      </c>
      <c r="BB98" s="56">
        <f>$C98*INDEX(Curves!$Y$8:$Y$68,BB$4-$B98+1)</f>
        <v/>
      </c>
      <c r="BC98" s="56">
        <f>$C98*INDEX(Curves!$Y$8:$Y$68,BC$4-$B98+1)</f>
        <v/>
      </c>
      <c r="BD98" s="56">
        <f>$C98*INDEX(Curves!$Y$8:$Y$68,BD$4-$B98+1)</f>
        <v/>
      </c>
      <c r="BE98" s="56">
        <f>$C98*INDEX(Curves!$Y$8:$Y$68,BE$4-$B98+1)</f>
        <v/>
      </c>
      <c r="BF98" s="56">
        <f>$C98*INDEX(Curves!$Y$8:$Y$68,BF$4-$B98+1)</f>
        <v/>
      </c>
      <c r="BG98" s="56">
        <f>$C98*INDEX(Curves!$Y$8:$Y$68,BG$4-$B98+1)</f>
        <v/>
      </c>
      <c r="BH98" s="56">
        <f>$C98*INDEX(Curves!$Y$8:$Y$68,BH$4-$B98+1)</f>
        <v/>
      </c>
      <c r="BI98" s="56">
        <f>$C98*INDEX(Curves!$Y$8:$Y$68,BI$4-$B98+1)</f>
        <v/>
      </c>
      <c r="BJ98" s="56">
        <f>$C98*INDEX(Curves!$Y$8:$Y$68,BJ$4-$B98+1)</f>
        <v/>
      </c>
      <c r="BK98" s="56">
        <f>$C98*INDEX(Curves!$Y$8:$Y$68,BK$4-$B98+1)</f>
        <v/>
      </c>
      <c r="BL98" s="56">
        <f>$C98*INDEX(Curves!$Y$8:$Y$68,BL$4-$B98+1)</f>
        <v/>
      </c>
    </row>
    <row r="99">
      <c r="A99" s="55" t="inlineStr">
        <is>
          <t>Cohort month 27</t>
        </is>
      </c>
      <c r="B99" s="55" t="n">
        <v>27</v>
      </c>
      <c r="C99" s="46">
        <f>INDEX(Ops!$E$39:$BL$39,1,$B99)</f>
        <v/>
      </c>
      <c r="AF99" s="56">
        <f>$C99*INDEX(Curves!$Y$8:$Y$68,AF$4-$B99+1)</f>
        <v/>
      </c>
      <c r="AG99" s="56">
        <f>$C99*INDEX(Curves!$Y$8:$Y$68,AG$4-$B99+1)</f>
        <v/>
      </c>
      <c r="AH99" s="56">
        <f>$C99*INDEX(Curves!$Y$8:$Y$68,AH$4-$B99+1)</f>
        <v/>
      </c>
      <c r="AI99" s="56">
        <f>$C99*INDEX(Curves!$Y$8:$Y$68,AI$4-$B99+1)</f>
        <v/>
      </c>
      <c r="AJ99" s="56">
        <f>$C99*INDEX(Curves!$Y$8:$Y$68,AJ$4-$B99+1)</f>
        <v/>
      </c>
      <c r="AK99" s="56">
        <f>$C99*INDEX(Curves!$Y$8:$Y$68,AK$4-$B99+1)</f>
        <v/>
      </c>
      <c r="AL99" s="56">
        <f>$C99*INDEX(Curves!$Y$8:$Y$68,AL$4-$B99+1)</f>
        <v/>
      </c>
      <c r="AM99" s="56">
        <f>$C99*INDEX(Curves!$Y$8:$Y$68,AM$4-$B99+1)</f>
        <v/>
      </c>
      <c r="AN99" s="56">
        <f>$C99*INDEX(Curves!$Y$8:$Y$68,AN$4-$B99+1)</f>
        <v/>
      </c>
      <c r="AO99" s="56">
        <f>$C99*INDEX(Curves!$Y$8:$Y$68,AO$4-$B99+1)</f>
        <v/>
      </c>
      <c r="AP99" s="56">
        <f>$C99*INDEX(Curves!$Y$8:$Y$68,AP$4-$B99+1)</f>
        <v/>
      </c>
      <c r="AQ99" s="56">
        <f>$C99*INDEX(Curves!$Y$8:$Y$68,AQ$4-$B99+1)</f>
        <v/>
      </c>
      <c r="AR99" s="56">
        <f>$C99*INDEX(Curves!$Y$8:$Y$68,AR$4-$B99+1)</f>
        <v/>
      </c>
      <c r="AS99" s="56">
        <f>$C99*INDEX(Curves!$Y$8:$Y$68,AS$4-$B99+1)</f>
        <v/>
      </c>
      <c r="AT99" s="56">
        <f>$C99*INDEX(Curves!$Y$8:$Y$68,AT$4-$B99+1)</f>
        <v/>
      </c>
      <c r="AU99" s="56">
        <f>$C99*INDEX(Curves!$Y$8:$Y$68,AU$4-$B99+1)</f>
        <v/>
      </c>
      <c r="AV99" s="56">
        <f>$C99*INDEX(Curves!$Y$8:$Y$68,AV$4-$B99+1)</f>
        <v/>
      </c>
      <c r="AW99" s="56">
        <f>$C99*INDEX(Curves!$Y$8:$Y$68,AW$4-$B99+1)</f>
        <v/>
      </c>
      <c r="AX99" s="56">
        <f>$C99*INDEX(Curves!$Y$8:$Y$68,AX$4-$B99+1)</f>
        <v/>
      </c>
      <c r="AY99" s="56">
        <f>$C99*INDEX(Curves!$Y$8:$Y$68,AY$4-$B99+1)</f>
        <v/>
      </c>
      <c r="AZ99" s="56">
        <f>$C99*INDEX(Curves!$Y$8:$Y$68,AZ$4-$B99+1)</f>
        <v/>
      </c>
      <c r="BA99" s="56">
        <f>$C99*INDEX(Curves!$Y$8:$Y$68,BA$4-$B99+1)</f>
        <v/>
      </c>
      <c r="BB99" s="56">
        <f>$C99*INDEX(Curves!$Y$8:$Y$68,BB$4-$B99+1)</f>
        <v/>
      </c>
      <c r="BC99" s="56">
        <f>$C99*INDEX(Curves!$Y$8:$Y$68,BC$4-$B99+1)</f>
        <v/>
      </c>
      <c r="BD99" s="56">
        <f>$C99*INDEX(Curves!$Y$8:$Y$68,BD$4-$B99+1)</f>
        <v/>
      </c>
      <c r="BE99" s="56">
        <f>$C99*INDEX(Curves!$Y$8:$Y$68,BE$4-$B99+1)</f>
        <v/>
      </c>
      <c r="BF99" s="56">
        <f>$C99*INDEX(Curves!$Y$8:$Y$68,BF$4-$B99+1)</f>
        <v/>
      </c>
      <c r="BG99" s="56">
        <f>$C99*INDEX(Curves!$Y$8:$Y$68,BG$4-$B99+1)</f>
        <v/>
      </c>
      <c r="BH99" s="56">
        <f>$C99*INDEX(Curves!$Y$8:$Y$68,BH$4-$B99+1)</f>
        <v/>
      </c>
      <c r="BI99" s="56">
        <f>$C99*INDEX(Curves!$Y$8:$Y$68,BI$4-$B99+1)</f>
        <v/>
      </c>
      <c r="BJ99" s="56">
        <f>$C99*INDEX(Curves!$Y$8:$Y$68,BJ$4-$B99+1)</f>
        <v/>
      </c>
      <c r="BK99" s="56">
        <f>$C99*INDEX(Curves!$Y$8:$Y$68,BK$4-$B99+1)</f>
        <v/>
      </c>
      <c r="BL99" s="56">
        <f>$C99*INDEX(Curves!$Y$8:$Y$68,BL$4-$B99+1)</f>
        <v/>
      </c>
    </row>
    <row r="100">
      <c r="A100" s="55" t="inlineStr">
        <is>
          <t>Cohort month 28</t>
        </is>
      </c>
      <c r="B100" s="55" t="n">
        <v>28</v>
      </c>
      <c r="C100" s="46">
        <f>INDEX(Ops!$E$39:$BL$39,1,$B100)</f>
        <v/>
      </c>
      <c r="AG100" s="56">
        <f>$C100*INDEX(Curves!$Y$8:$Y$68,AG$4-$B100+1)</f>
        <v/>
      </c>
      <c r="AH100" s="56">
        <f>$C100*INDEX(Curves!$Y$8:$Y$68,AH$4-$B100+1)</f>
        <v/>
      </c>
      <c r="AI100" s="56">
        <f>$C100*INDEX(Curves!$Y$8:$Y$68,AI$4-$B100+1)</f>
        <v/>
      </c>
      <c r="AJ100" s="56">
        <f>$C100*INDEX(Curves!$Y$8:$Y$68,AJ$4-$B100+1)</f>
        <v/>
      </c>
      <c r="AK100" s="56">
        <f>$C100*INDEX(Curves!$Y$8:$Y$68,AK$4-$B100+1)</f>
        <v/>
      </c>
      <c r="AL100" s="56">
        <f>$C100*INDEX(Curves!$Y$8:$Y$68,AL$4-$B100+1)</f>
        <v/>
      </c>
      <c r="AM100" s="56">
        <f>$C100*INDEX(Curves!$Y$8:$Y$68,AM$4-$B100+1)</f>
        <v/>
      </c>
      <c r="AN100" s="56">
        <f>$C100*INDEX(Curves!$Y$8:$Y$68,AN$4-$B100+1)</f>
        <v/>
      </c>
      <c r="AO100" s="56">
        <f>$C100*INDEX(Curves!$Y$8:$Y$68,AO$4-$B100+1)</f>
        <v/>
      </c>
      <c r="AP100" s="56">
        <f>$C100*INDEX(Curves!$Y$8:$Y$68,AP$4-$B100+1)</f>
        <v/>
      </c>
      <c r="AQ100" s="56">
        <f>$C100*INDEX(Curves!$Y$8:$Y$68,AQ$4-$B100+1)</f>
        <v/>
      </c>
      <c r="AR100" s="56">
        <f>$C100*INDEX(Curves!$Y$8:$Y$68,AR$4-$B100+1)</f>
        <v/>
      </c>
      <c r="AS100" s="56">
        <f>$C100*INDEX(Curves!$Y$8:$Y$68,AS$4-$B100+1)</f>
        <v/>
      </c>
      <c r="AT100" s="56">
        <f>$C100*INDEX(Curves!$Y$8:$Y$68,AT$4-$B100+1)</f>
        <v/>
      </c>
      <c r="AU100" s="56">
        <f>$C100*INDEX(Curves!$Y$8:$Y$68,AU$4-$B100+1)</f>
        <v/>
      </c>
      <c r="AV100" s="56">
        <f>$C100*INDEX(Curves!$Y$8:$Y$68,AV$4-$B100+1)</f>
        <v/>
      </c>
      <c r="AW100" s="56">
        <f>$C100*INDEX(Curves!$Y$8:$Y$68,AW$4-$B100+1)</f>
        <v/>
      </c>
      <c r="AX100" s="56">
        <f>$C100*INDEX(Curves!$Y$8:$Y$68,AX$4-$B100+1)</f>
        <v/>
      </c>
      <c r="AY100" s="56">
        <f>$C100*INDEX(Curves!$Y$8:$Y$68,AY$4-$B100+1)</f>
        <v/>
      </c>
      <c r="AZ100" s="56">
        <f>$C100*INDEX(Curves!$Y$8:$Y$68,AZ$4-$B100+1)</f>
        <v/>
      </c>
      <c r="BA100" s="56">
        <f>$C100*INDEX(Curves!$Y$8:$Y$68,BA$4-$B100+1)</f>
        <v/>
      </c>
      <c r="BB100" s="56">
        <f>$C100*INDEX(Curves!$Y$8:$Y$68,BB$4-$B100+1)</f>
        <v/>
      </c>
      <c r="BC100" s="56">
        <f>$C100*INDEX(Curves!$Y$8:$Y$68,BC$4-$B100+1)</f>
        <v/>
      </c>
      <c r="BD100" s="56">
        <f>$C100*INDEX(Curves!$Y$8:$Y$68,BD$4-$B100+1)</f>
        <v/>
      </c>
      <c r="BE100" s="56">
        <f>$C100*INDEX(Curves!$Y$8:$Y$68,BE$4-$B100+1)</f>
        <v/>
      </c>
      <c r="BF100" s="56">
        <f>$C100*INDEX(Curves!$Y$8:$Y$68,BF$4-$B100+1)</f>
        <v/>
      </c>
      <c r="BG100" s="56">
        <f>$C100*INDEX(Curves!$Y$8:$Y$68,BG$4-$B100+1)</f>
        <v/>
      </c>
      <c r="BH100" s="56">
        <f>$C100*INDEX(Curves!$Y$8:$Y$68,BH$4-$B100+1)</f>
        <v/>
      </c>
      <c r="BI100" s="56">
        <f>$C100*INDEX(Curves!$Y$8:$Y$68,BI$4-$B100+1)</f>
        <v/>
      </c>
      <c r="BJ100" s="56">
        <f>$C100*INDEX(Curves!$Y$8:$Y$68,BJ$4-$B100+1)</f>
        <v/>
      </c>
      <c r="BK100" s="56">
        <f>$C100*INDEX(Curves!$Y$8:$Y$68,BK$4-$B100+1)</f>
        <v/>
      </c>
      <c r="BL100" s="56">
        <f>$C100*INDEX(Curves!$Y$8:$Y$68,BL$4-$B100+1)</f>
        <v/>
      </c>
    </row>
    <row r="101">
      <c r="A101" s="55" t="inlineStr">
        <is>
          <t>Cohort month 29</t>
        </is>
      </c>
      <c r="B101" s="55" t="n">
        <v>29</v>
      </c>
      <c r="C101" s="46">
        <f>INDEX(Ops!$E$39:$BL$39,1,$B101)</f>
        <v/>
      </c>
      <c r="AH101" s="56">
        <f>$C101*INDEX(Curves!$Y$8:$Y$68,AH$4-$B101+1)</f>
        <v/>
      </c>
      <c r="AI101" s="56">
        <f>$C101*INDEX(Curves!$Y$8:$Y$68,AI$4-$B101+1)</f>
        <v/>
      </c>
      <c r="AJ101" s="56">
        <f>$C101*INDEX(Curves!$Y$8:$Y$68,AJ$4-$B101+1)</f>
        <v/>
      </c>
      <c r="AK101" s="56">
        <f>$C101*INDEX(Curves!$Y$8:$Y$68,AK$4-$B101+1)</f>
        <v/>
      </c>
      <c r="AL101" s="56">
        <f>$C101*INDEX(Curves!$Y$8:$Y$68,AL$4-$B101+1)</f>
        <v/>
      </c>
      <c r="AM101" s="56">
        <f>$C101*INDEX(Curves!$Y$8:$Y$68,AM$4-$B101+1)</f>
        <v/>
      </c>
      <c r="AN101" s="56">
        <f>$C101*INDEX(Curves!$Y$8:$Y$68,AN$4-$B101+1)</f>
        <v/>
      </c>
      <c r="AO101" s="56">
        <f>$C101*INDEX(Curves!$Y$8:$Y$68,AO$4-$B101+1)</f>
        <v/>
      </c>
      <c r="AP101" s="56">
        <f>$C101*INDEX(Curves!$Y$8:$Y$68,AP$4-$B101+1)</f>
        <v/>
      </c>
      <c r="AQ101" s="56">
        <f>$C101*INDEX(Curves!$Y$8:$Y$68,AQ$4-$B101+1)</f>
        <v/>
      </c>
      <c r="AR101" s="56">
        <f>$C101*INDEX(Curves!$Y$8:$Y$68,AR$4-$B101+1)</f>
        <v/>
      </c>
      <c r="AS101" s="56">
        <f>$C101*INDEX(Curves!$Y$8:$Y$68,AS$4-$B101+1)</f>
        <v/>
      </c>
      <c r="AT101" s="56">
        <f>$C101*INDEX(Curves!$Y$8:$Y$68,AT$4-$B101+1)</f>
        <v/>
      </c>
      <c r="AU101" s="56">
        <f>$C101*INDEX(Curves!$Y$8:$Y$68,AU$4-$B101+1)</f>
        <v/>
      </c>
      <c r="AV101" s="56">
        <f>$C101*INDEX(Curves!$Y$8:$Y$68,AV$4-$B101+1)</f>
        <v/>
      </c>
      <c r="AW101" s="56">
        <f>$C101*INDEX(Curves!$Y$8:$Y$68,AW$4-$B101+1)</f>
        <v/>
      </c>
      <c r="AX101" s="56">
        <f>$C101*INDEX(Curves!$Y$8:$Y$68,AX$4-$B101+1)</f>
        <v/>
      </c>
      <c r="AY101" s="56">
        <f>$C101*INDEX(Curves!$Y$8:$Y$68,AY$4-$B101+1)</f>
        <v/>
      </c>
      <c r="AZ101" s="56">
        <f>$C101*INDEX(Curves!$Y$8:$Y$68,AZ$4-$B101+1)</f>
        <v/>
      </c>
      <c r="BA101" s="56">
        <f>$C101*INDEX(Curves!$Y$8:$Y$68,BA$4-$B101+1)</f>
        <v/>
      </c>
      <c r="BB101" s="56">
        <f>$C101*INDEX(Curves!$Y$8:$Y$68,BB$4-$B101+1)</f>
        <v/>
      </c>
      <c r="BC101" s="56">
        <f>$C101*INDEX(Curves!$Y$8:$Y$68,BC$4-$B101+1)</f>
        <v/>
      </c>
      <c r="BD101" s="56">
        <f>$C101*INDEX(Curves!$Y$8:$Y$68,BD$4-$B101+1)</f>
        <v/>
      </c>
      <c r="BE101" s="56">
        <f>$C101*INDEX(Curves!$Y$8:$Y$68,BE$4-$B101+1)</f>
        <v/>
      </c>
      <c r="BF101" s="56">
        <f>$C101*INDEX(Curves!$Y$8:$Y$68,BF$4-$B101+1)</f>
        <v/>
      </c>
      <c r="BG101" s="56">
        <f>$C101*INDEX(Curves!$Y$8:$Y$68,BG$4-$B101+1)</f>
        <v/>
      </c>
      <c r="BH101" s="56">
        <f>$C101*INDEX(Curves!$Y$8:$Y$68,BH$4-$B101+1)</f>
        <v/>
      </c>
      <c r="BI101" s="56">
        <f>$C101*INDEX(Curves!$Y$8:$Y$68,BI$4-$B101+1)</f>
        <v/>
      </c>
      <c r="BJ101" s="56">
        <f>$C101*INDEX(Curves!$Y$8:$Y$68,BJ$4-$B101+1)</f>
        <v/>
      </c>
      <c r="BK101" s="56">
        <f>$C101*INDEX(Curves!$Y$8:$Y$68,BK$4-$B101+1)</f>
        <v/>
      </c>
      <c r="BL101" s="56">
        <f>$C101*INDEX(Curves!$Y$8:$Y$68,BL$4-$B101+1)</f>
        <v/>
      </c>
    </row>
    <row r="102">
      <c r="A102" s="55" t="inlineStr">
        <is>
          <t>Cohort month 30</t>
        </is>
      </c>
      <c r="B102" s="55" t="n">
        <v>30</v>
      </c>
      <c r="C102" s="46">
        <f>INDEX(Ops!$E$39:$BL$39,1,$B102)</f>
        <v/>
      </c>
      <c r="AI102" s="56">
        <f>$C102*INDEX(Curves!$Y$8:$Y$68,AI$4-$B102+1)</f>
        <v/>
      </c>
      <c r="AJ102" s="56">
        <f>$C102*INDEX(Curves!$Y$8:$Y$68,AJ$4-$B102+1)</f>
        <v/>
      </c>
      <c r="AK102" s="56">
        <f>$C102*INDEX(Curves!$Y$8:$Y$68,AK$4-$B102+1)</f>
        <v/>
      </c>
      <c r="AL102" s="56">
        <f>$C102*INDEX(Curves!$Y$8:$Y$68,AL$4-$B102+1)</f>
        <v/>
      </c>
      <c r="AM102" s="56">
        <f>$C102*INDEX(Curves!$Y$8:$Y$68,AM$4-$B102+1)</f>
        <v/>
      </c>
      <c r="AN102" s="56">
        <f>$C102*INDEX(Curves!$Y$8:$Y$68,AN$4-$B102+1)</f>
        <v/>
      </c>
      <c r="AO102" s="56">
        <f>$C102*INDEX(Curves!$Y$8:$Y$68,AO$4-$B102+1)</f>
        <v/>
      </c>
      <c r="AP102" s="56">
        <f>$C102*INDEX(Curves!$Y$8:$Y$68,AP$4-$B102+1)</f>
        <v/>
      </c>
      <c r="AQ102" s="56">
        <f>$C102*INDEX(Curves!$Y$8:$Y$68,AQ$4-$B102+1)</f>
        <v/>
      </c>
      <c r="AR102" s="56">
        <f>$C102*INDEX(Curves!$Y$8:$Y$68,AR$4-$B102+1)</f>
        <v/>
      </c>
      <c r="AS102" s="56">
        <f>$C102*INDEX(Curves!$Y$8:$Y$68,AS$4-$B102+1)</f>
        <v/>
      </c>
      <c r="AT102" s="56">
        <f>$C102*INDEX(Curves!$Y$8:$Y$68,AT$4-$B102+1)</f>
        <v/>
      </c>
      <c r="AU102" s="56">
        <f>$C102*INDEX(Curves!$Y$8:$Y$68,AU$4-$B102+1)</f>
        <v/>
      </c>
      <c r="AV102" s="56">
        <f>$C102*INDEX(Curves!$Y$8:$Y$68,AV$4-$B102+1)</f>
        <v/>
      </c>
      <c r="AW102" s="56">
        <f>$C102*INDEX(Curves!$Y$8:$Y$68,AW$4-$B102+1)</f>
        <v/>
      </c>
      <c r="AX102" s="56">
        <f>$C102*INDEX(Curves!$Y$8:$Y$68,AX$4-$B102+1)</f>
        <v/>
      </c>
      <c r="AY102" s="56">
        <f>$C102*INDEX(Curves!$Y$8:$Y$68,AY$4-$B102+1)</f>
        <v/>
      </c>
      <c r="AZ102" s="56">
        <f>$C102*INDEX(Curves!$Y$8:$Y$68,AZ$4-$B102+1)</f>
        <v/>
      </c>
      <c r="BA102" s="56">
        <f>$C102*INDEX(Curves!$Y$8:$Y$68,BA$4-$B102+1)</f>
        <v/>
      </c>
      <c r="BB102" s="56">
        <f>$C102*INDEX(Curves!$Y$8:$Y$68,BB$4-$B102+1)</f>
        <v/>
      </c>
      <c r="BC102" s="56">
        <f>$C102*INDEX(Curves!$Y$8:$Y$68,BC$4-$B102+1)</f>
        <v/>
      </c>
      <c r="BD102" s="56">
        <f>$C102*INDEX(Curves!$Y$8:$Y$68,BD$4-$B102+1)</f>
        <v/>
      </c>
      <c r="BE102" s="56">
        <f>$C102*INDEX(Curves!$Y$8:$Y$68,BE$4-$B102+1)</f>
        <v/>
      </c>
      <c r="BF102" s="56">
        <f>$C102*INDEX(Curves!$Y$8:$Y$68,BF$4-$B102+1)</f>
        <v/>
      </c>
      <c r="BG102" s="56">
        <f>$C102*INDEX(Curves!$Y$8:$Y$68,BG$4-$B102+1)</f>
        <v/>
      </c>
      <c r="BH102" s="56">
        <f>$C102*INDEX(Curves!$Y$8:$Y$68,BH$4-$B102+1)</f>
        <v/>
      </c>
      <c r="BI102" s="56">
        <f>$C102*INDEX(Curves!$Y$8:$Y$68,BI$4-$B102+1)</f>
        <v/>
      </c>
      <c r="BJ102" s="56">
        <f>$C102*INDEX(Curves!$Y$8:$Y$68,BJ$4-$B102+1)</f>
        <v/>
      </c>
      <c r="BK102" s="56">
        <f>$C102*INDEX(Curves!$Y$8:$Y$68,BK$4-$B102+1)</f>
        <v/>
      </c>
      <c r="BL102" s="56">
        <f>$C102*INDEX(Curves!$Y$8:$Y$68,BL$4-$B102+1)</f>
        <v/>
      </c>
    </row>
    <row r="103">
      <c r="A103" s="55" t="inlineStr">
        <is>
          <t>Cohort month 31</t>
        </is>
      </c>
      <c r="B103" s="55" t="n">
        <v>31</v>
      </c>
      <c r="C103" s="46">
        <f>INDEX(Ops!$E$39:$BL$39,1,$B103)</f>
        <v/>
      </c>
      <c r="AJ103" s="56">
        <f>$C103*INDEX(Curves!$Y$8:$Y$68,AJ$4-$B103+1)</f>
        <v/>
      </c>
      <c r="AK103" s="56">
        <f>$C103*INDEX(Curves!$Y$8:$Y$68,AK$4-$B103+1)</f>
        <v/>
      </c>
      <c r="AL103" s="56">
        <f>$C103*INDEX(Curves!$Y$8:$Y$68,AL$4-$B103+1)</f>
        <v/>
      </c>
      <c r="AM103" s="56">
        <f>$C103*INDEX(Curves!$Y$8:$Y$68,AM$4-$B103+1)</f>
        <v/>
      </c>
      <c r="AN103" s="56">
        <f>$C103*INDEX(Curves!$Y$8:$Y$68,AN$4-$B103+1)</f>
        <v/>
      </c>
      <c r="AO103" s="56">
        <f>$C103*INDEX(Curves!$Y$8:$Y$68,AO$4-$B103+1)</f>
        <v/>
      </c>
      <c r="AP103" s="56">
        <f>$C103*INDEX(Curves!$Y$8:$Y$68,AP$4-$B103+1)</f>
        <v/>
      </c>
      <c r="AQ103" s="56">
        <f>$C103*INDEX(Curves!$Y$8:$Y$68,AQ$4-$B103+1)</f>
        <v/>
      </c>
      <c r="AR103" s="56">
        <f>$C103*INDEX(Curves!$Y$8:$Y$68,AR$4-$B103+1)</f>
        <v/>
      </c>
      <c r="AS103" s="56">
        <f>$C103*INDEX(Curves!$Y$8:$Y$68,AS$4-$B103+1)</f>
        <v/>
      </c>
      <c r="AT103" s="56">
        <f>$C103*INDEX(Curves!$Y$8:$Y$68,AT$4-$B103+1)</f>
        <v/>
      </c>
      <c r="AU103" s="56">
        <f>$C103*INDEX(Curves!$Y$8:$Y$68,AU$4-$B103+1)</f>
        <v/>
      </c>
      <c r="AV103" s="56">
        <f>$C103*INDEX(Curves!$Y$8:$Y$68,AV$4-$B103+1)</f>
        <v/>
      </c>
      <c r="AW103" s="56">
        <f>$C103*INDEX(Curves!$Y$8:$Y$68,AW$4-$B103+1)</f>
        <v/>
      </c>
      <c r="AX103" s="56">
        <f>$C103*INDEX(Curves!$Y$8:$Y$68,AX$4-$B103+1)</f>
        <v/>
      </c>
      <c r="AY103" s="56">
        <f>$C103*INDEX(Curves!$Y$8:$Y$68,AY$4-$B103+1)</f>
        <v/>
      </c>
      <c r="AZ103" s="56">
        <f>$C103*INDEX(Curves!$Y$8:$Y$68,AZ$4-$B103+1)</f>
        <v/>
      </c>
      <c r="BA103" s="56">
        <f>$C103*INDEX(Curves!$Y$8:$Y$68,BA$4-$B103+1)</f>
        <v/>
      </c>
      <c r="BB103" s="56">
        <f>$C103*INDEX(Curves!$Y$8:$Y$68,BB$4-$B103+1)</f>
        <v/>
      </c>
      <c r="BC103" s="56">
        <f>$C103*INDEX(Curves!$Y$8:$Y$68,BC$4-$B103+1)</f>
        <v/>
      </c>
      <c r="BD103" s="56">
        <f>$C103*INDEX(Curves!$Y$8:$Y$68,BD$4-$B103+1)</f>
        <v/>
      </c>
      <c r="BE103" s="56">
        <f>$C103*INDEX(Curves!$Y$8:$Y$68,BE$4-$B103+1)</f>
        <v/>
      </c>
      <c r="BF103" s="56">
        <f>$C103*INDEX(Curves!$Y$8:$Y$68,BF$4-$B103+1)</f>
        <v/>
      </c>
      <c r="BG103" s="56">
        <f>$C103*INDEX(Curves!$Y$8:$Y$68,BG$4-$B103+1)</f>
        <v/>
      </c>
      <c r="BH103" s="56">
        <f>$C103*INDEX(Curves!$Y$8:$Y$68,BH$4-$B103+1)</f>
        <v/>
      </c>
      <c r="BI103" s="56">
        <f>$C103*INDEX(Curves!$Y$8:$Y$68,BI$4-$B103+1)</f>
        <v/>
      </c>
      <c r="BJ103" s="56">
        <f>$C103*INDEX(Curves!$Y$8:$Y$68,BJ$4-$B103+1)</f>
        <v/>
      </c>
      <c r="BK103" s="56">
        <f>$C103*INDEX(Curves!$Y$8:$Y$68,BK$4-$B103+1)</f>
        <v/>
      </c>
      <c r="BL103" s="56">
        <f>$C103*INDEX(Curves!$Y$8:$Y$68,BL$4-$B103+1)</f>
        <v/>
      </c>
    </row>
    <row r="104">
      <c r="A104" s="55" t="inlineStr">
        <is>
          <t>Cohort month 32</t>
        </is>
      </c>
      <c r="B104" s="55" t="n">
        <v>32</v>
      </c>
      <c r="C104" s="46">
        <f>INDEX(Ops!$E$39:$BL$39,1,$B104)</f>
        <v/>
      </c>
      <c r="AK104" s="56">
        <f>$C104*INDEX(Curves!$Y$8:$Y$68,AK$4-$B104+1)</f>
        <v/>
      </c>
      <c r="AL104" s="56">
        <f>$C104*INDEX(Curves!$Y$8:$Y$68,AL$4-$B104+1)</f>
        <v/>
      </c>
      <c r="AM104" s="56">
        <f>$C104*INDEX(Curves!$Y$8:$Y$68,AM$4-$B104+1)</f>
        <v/>
      </c>
      <c r="AN104" s="56">
        <f>$C104*INDEX(Curves!$Y$8:$Y$68,AN$4-$B104+1)</f>
        <v/>
      </c>
      <c r="AO104" s="56">
        <f>$C104*INDEX(Curves!$Y$8:$Y$68,AO$4-$B104+1)</f>
        <v/>
      </c>
      <c r="AP104" s="56">
        <f>$C104*INDEX(Curves!$Y$8:$Y$68,AP$4-$B104+1)</f>
        <v/>
      </c>
      <c r="AQ104" s="56">
        <f>$C104*INDEX(Curves!$Y$8:$Y$68,AQ$4-$B104+1)</f>
        <v/>
      </c>
      <c r="AR104" s="56">
        <f>$C104*INDEX(Curves!$Y$8:$Y$68,AR$4-$B104+1)</f>
        <v/>
      </c>
      <c r="AS104" s="56">
        <f>$C104*INDEX(Curves!$Y$8:$Y$68,AS$4-$B104+1)</f>
        <v/>
      </c>
      <c r="AT104" s="56">
        <f>$C104*INDEX(Curves!$Y$8:$Y$68,AT$4-$B104+1)</f>
        <v/>
      </c>
      <c r="AU104" s="56">
        <f>$C104*INDEX(Curves!$Y$8:$Y$68,AU$4-$B104+1)</f>
        <v/>
      </c>
      <c r="AV104" s="56">
        <f>$C104*INDEX(Curves!$Y$8:$Y$68,AV$4-$B104+1)</f>
        <v/>
      </c>
      <c r="AW104" s="56">
        <f>$C104*INDEX(Curves!$Y$8:$Y$68,AW$4-$B104+1)</f>
        <v/>
      </c>
      <c r="AX104" s="56">
        <f>$C104*INDEX(Curves!$Y$8:$Y$68,AX$4-$B104+1)</f>
        <v/>
      </c>
      <c r="AY104" s="56">
        <f>$C104*INDEX(Curves!$Y$8:$Y$68,AY$4-$B104+1)</f>
        <v/>
      </c>
      <c r="AZ104" s="56">
        <f>$C104*INDEX(Curves!$Y$8:$Y$68,AZ$4-$B104+1)</f>
        <v/>
      </c>
      <c r="BA104" s="56">
        <f>$C104*INDEX(Curves!$Y$8:$Y$68,BA$4-$B104+1)</f>
        <v/>
      </c>
      <c r="BB104" s="56">
        <f>$C104*INDEX(Curves!$Y$8:$Y$68,BB$4-$B104+1)</f>
        <v/>
      </c>
      <c r="BC104" s="56">
        <f>$C104*INDEX(Curves!$Y$8:$Y$68,BC$4-$B104+1)</f>
        <v/>
      </c>
      <c r="BD104" s="56">
        <f>$C104*INDEX(Curves!$Y$8:$Y$68,BD$4-$B104+1)</f>
        <v/>
      </c>
      <c r="BE104" s="56">
        <f>$C104*INDEX(Curves!$Y$8:$Y$68,BE$4-$B104+1)</f>
        <v/>
      </c>
      <c r="BF104" s="56">
        <f>$C104*INDEX(Curves!$Y$8:$Y$68,BF$4-$B104+1)</f>
        <v/>
      </c>
      <c r="BG104" s="56">
        <f>$C104*INDEX(Curves!$Y$8:$Y$68,BG$4-$B104+1)</f>
        <v/>
      </c>
      <c r="BH104" s="56">
        <f>$C104*INDEX(Curves!$Y$8:$Y$68,BH$4-$B104+1)</f>
        <v/>
      </c>
      <c r="BI104" s="56">
        <f>$C104*INDEX(Curves!$Y$8:$Y$68,BI$4-$B104+1)</f>
        <v/>
      </c>
      <c r="BJ104" s="56">
        <f>$C104*INDEX(Curves!$Y$8:$Y$68,BJ$4-$B104+1)</f>
        <v/>
      </c>
      <c r="BK104" s="56">
        <f>$C104*INDEX(Curves!$Y$8:$Y$68,BK$4-$B104+1)</f>
        <v/>
      </c>
      <c r="BL104" s="56">
        <f>$C104*INDEX(Curves!$Y$8:$Y$68,BL$4-$B104+1)</f>
        <v/>
      </c>
    </row>
    <row r="105">
      <c r="A105" s="55" t="inlineStr">
        <is>
          <t>Cohort month 33</t>
        </is>
      </c>
      <c r="B105" s="55" t="n">
        <v>33</v>
      </c>
      <c r="C105" s="46">
        <f>INDEX(Ops!$E$39:$BL$39,1,$B105)</f>
        <v/>
      </c>
      <c r="AL105" s="56">
        <f>$C105*INDEX(Curves!$Y$8:$Y$68,AL$4-$B105+1)</f>
        <v/>
      </c>
      <c r="AM105" s="56">
        <f>$C105*INDEX(Curves!$Y$8:$Y$68,AM$4-$B105+1)</f>
        <v/>
      </c>
      <c r="AN105" s="56">
        <f>$C105*INDEX(Curves!$Y$8:$Y$68,AN$4-$B105+1)</f>
        <v/>
      </c>
      <c r="AO105" s="56">
        <f>$C105*INDEX(Curves!$Y$8:$Y$68,AO$4-$B105+1)</f>
        <v/>
      </c>
      <c r="AP105" s="56">
        <f>$C105*INDEX(Curves!$Y$8:$Y$68,AP$4-$B105+1)</f>
        <v/>
      </c>
      <c r="AQ105" s="56">
        <f>$C105*INDEX(Curves!$Y$8:$Y$68,AQ$4-$B105+1)</f>
        <v/>
      </c>
      <c r="AR105" s="56">
        <f>$C105*INDEX(Curves!$Y$8:$Y$68,AR$4-$B105+1)</f>
        <v/>
      </c>
      <c r="AS105" s="56">
        <f>$C105*INDEX(Curves!$Y$8:$Y$68,AS$4-$B105+1)</f>
        <v/>
      </c>
      <c r="AT105" s="56">
        <f>$C105*INDEX(Curves!$Y$8:$Y$68,AT$4-$B105+1)</f>
        <v/>
      </c>
      <c r="AU105" s="56">
        <f>$C105*INDEX(Curves!$Y$8:$Y$68,AU$4-$B105+1)</f>
        <v/>
      </c>
      <c r="AV105" s="56">
        <f>$C105*INDEX(Curves!$Y$8:$Y$68,AV$4-$B105+1)</f>
        <v/>
      </c>
      <c r="AW105" s="56">
        <f>$C105*INDEX(Curves!$Y$8:$Y$68,AW$4-$B105+1)</f>
        <v/>
      </c>
      <c r="AX105" s="56">
        <f>$C105*INDEX(Curves!$Y$8:$Y$68,AX$4-$B105+1)</f>
        <v/>
      </c>
      <c r="AY105" s="56">
        <f>$C105*INDEX(Curves!$Y$8:$Y$68,AY$4-$B105+1)</f>
        <v/>
      </c>
      <c r="AZ105" s="56">
        <f>$C105*INDEX(Curves!$Y$8:$Y$68,AZ$4-$B105+1)</f>
        <v/>
      </c>
      <c r="BA105" s="56">
        <f>$C105*INDEX(Curves!$Y$8:$Y$68,BA$4-$B105+1)</f>
        <v/>
      </c>
      <c r="BB105" s="56">
        <f>$C105*INDEX(Curves!$Y$8:$Y$68,BB$4-$B105+1)</f>
        <v/>
      </c>
      <c r="BC105" s="56">
        <f>$C105*INDEX(Curves!$Y$8:$Y$68,BC$4-$B105+1)</f>
        <v/>
      </c>
      <c r="BD105" s="56">
        <f>$C105*INDEX(Curves!$Y$8:$Y$68,BD$4-$B105+1)</f>
        <v/>
      </c>
      <c r="BE105" s="56">
        <f>$C105*INDEX(Curves!$Y$8:$Y$68,BE$4-$B105+1)</f>
        <v/>
      </c>
      <c r="BF105" s="56">
        <f>$C105*INDEX(Curves!$Y$8:$Y$68,BF$4-$B105+1)</f>
        <v/>
      </c>
      <c r="BG105" s="56">
        <f>$C105*INDEX(Curves!$Y$8:$Y$68,BG$4-$B105+1)</f>
        <v/>
      </c>
      <c r="BH105" s="56">
        <f>$C105*INDEX(Curves!$Y$8:$Y$68,BH$4-$B105+1)</f>
        <v/>
      </c>
      <c r="BI105" s="56">
        <f>$C105*INDEX(Curves!$Y$8:$Y$68,BI$4-$B105+1)</f>
        <v/>
      </c>
      <c r="BJ105" s="56">
        <f>$C105*INDEX(Curves!$Y$8:$Y$68,BJ$4-$B105+1)</f>
        <v/>
      </c>
      <c r="BK105" s="56">
        <f>$C105*INDEX(Curves!$Y$8:$Y$68,BK$4-$B105+1)</f>
        <v/>
      </c>
      <c r="BL105" s="56">
        <f>$C105*INDEX(Curves!$Y$8:$Y$68,BL$4-$B105+1)</f>
        <v/>
      </c>
    </row>
    <row r="106">
      <c r="A106" s="55" t="inlineStr">
        <is>
          <t>Cohort month 34</t>
        </is>
      </c>
      <c r="B106" s="55" t="n">
        <v>34</v>
      </c>
      <c r="C106" s="46">
        <f>INDEX(Ops!$E$39:$BL$39,1,$B106)</f>
        <v/>
      </c>
      <c r="AM106" s="56">
        <f>$C106*INDEX(Curves!$Y$8:$Y$68,AM$4-$B106+1)</f>
        <v/>
      </c>
      <c r="AN106" s="56">
        <f>$C106*INDEX(Curves!$Y$8:$Y$68,AN$4-$B106+1)</f>
        <v/>
      </c>
      <c r="AO106" s="56">
        <f>$C106*INDEX(Curves!$Y$8:$Y$68,AO$4-$B106+1)</f>
        <v/>
      </c>
      <c r="AP106" s="56">
        <f>$C106*INDEX(Curves!$Y$8:$Y$68,AP$4-$B106+1)</f>
        <v/>
      </c>
      <c r="AQ106" s="56">
        <f>$C106*INDEX(Curves!$Y$8:$Y$68,AQ$4-$B106+1)</f>
        <v/>
      </c>
      <c r="AR106" s="56">
        <f>$C106*INDEX(Curves!$Y$8:$Y$68,AR$4-$B106+1)</f>
        <v/>
      </c>
      <c r="AS106" s="56">
        <f>$C106*INDEX(Curves!$Y$8:$Y$68,AS$4-$B106+1)</f>
        <v/>
      </c>
      <c r="AT106" s="56">
        <f>$C106*INDEX(Curves!$Y$8:$Y$68,AT$4-$B106+1)</f>
        <v/>
      </c>
      <c r="AU106" s="56">
        <f>$C106*INDEX(Curves!$Y$8:$Y$68,AU$4-$B106+1)</f>
        <v/>
      </c>
      <c r="AV106" s="56">
        <f>$C106*INDEX(Curves!$Y$8:$Y$68,AV$4-$B106+1)</f>
        <v/>
      </c>
      <c r="AW106" s="56">
        <f>$C106*INDEX(Curves!$Y$8:$Y$68,AW$4-$B106+1)</f>
        <v/>
      </c>
      <c r="AX106" s="56">
        <f>$C106*INDEX(Curves!$Y$8:$Y$68,AX$4-$B106+1)</f>
        <v/>
      </c>
      <c r="AY106" s="56">
        <f>$C106*INDEX(Curves!$Y$8:$Y$68,AY$4-$B106+1)</f>
        <v/>
      </c>
      <c r="AZ106" s="56">
        <f>$C106*INDEX(Curves!$Y$8:$Y$68,AZ$4-$B106+1)</f>
        <v/>
      </c>
      <c r="BA106" s="56">
        <f>$C106*INDEX(Curves!$Y$8:$Y$68,BA$4-$B106+1)</f>
        <v/>
      </c>
      <c r="BB106" s="56">
        <f>$C106*INDEX(Curves!$Y$8:$Y$68,BB$4-$B106+1)</f>
        <v/>
      </c>
      <c r="BC106" s="56">
        <f>$C106*INDEX(Curves!$Y$8:$Y$68,BC$4-$B106+1)</f>
        <v/>
      </c>
      <c r="BD106" s="56">
        <f>$C106*INDEX(Curves!$Y$8:$Y$68,BD$4-$B106+1)</f>
        <v/>
      </c>
      <c r="BE106" s="56">
        <f>$C106*INDEX(Curves!$Y$8:$Y$68,BE$4-$B106+1)</f>
        <v/>
      </c>
      <c r="BF106" s="56">
        <f>$C106*INDEX(Curves!$Y$8:$Y$68,BF$4-$B106+1)</f>
        <v/>
      </c>
      <c r="BG106" s="56">
        <f>$C106*INDEX(Curves!$Y$8:$Y$68,BG$4-$B106+1)</f>
        <v/>
      </c>
      <c r="BH106" s="56">
        <f>$C106*INDEX(Curves!$Y$8:$Y$68,BH$4-$B106+1)</f>
        <v/>
      </c>
      <c r="BI106" s="56">
        <f>$C106*INDEX(Curves!$Y$8:$Y$68,BI$4-$B106+1)</f>
        <v/>
      </c>
      <c r="BJ106" s="56">
        <f>$C106*INDEX(Curves!$Y$8:$Y$68,BJ$4-$B106+1)</f>
        <v/>
      </c>
      <c r="BK106" s="56">
        <f>$C106*INDEX(Curves!$Y$8:$Y$68,BK$4-$B106+1)</f>
        <v/>
      </c>
      <c r="BL106" s="56">
        <f>$C106*INDEX(Curves!$Y$8:$Y$68,BL$4-$B106+1)</f>
        <v/>
      </c>
    </row>
    <row r="107">
      <c r="A107" s="55" t="inlineStr">
        <is>
          <t>Cohort month 35</t>
        </is>
      </c>
      <c r="B107" s="55" t="n">
        <v>35</v>
      </c>
      <c r="C107" s="46">
        <f>INDEX(Ops!$E$39:$BL$39,1,$B107)</f>
        <v/>
      </c>
      <c r="AN107" s="56">
        <f>$C107*INDEX(Curves!$Y$8:$Y$68,AN$4-$B107+1)</f>
        <v/>
      </c>
      <c r="AO107" s="56">
        <f>$C107*INDEX(Curves!$Y$8:$Y$68,AO$4-$B107+1)</f>
        <v/>
      </c>
      <c r="AP107" s="56">
        <f>$C107*INDEX(Curves!$Y$8:$Y$68,AP$4-$B107+1)</f>
        <v/>
      </c>
      <c r="AQ107" s="56">
        <f>$C107*INDEX(Curves!$Y$8:$Y$68,AQ$4-$B107+1)</f>
        <v/>
      </c>
      <c r="AR107" s="56">
        <f>$C107*INDEX(Curves!$Y$8:$Y$68,AR$4-$B107+1)</f>
        <v/>
      </c>
      <c r="AS107" s="56">
        <f>$C107*INDEX(Curves!$Y$8:$Y$68,AS$4-$B107+1)</f>
        <v/>
      </c>
      <c r="AT107" s="56">
        <f>$C107*INDEX(Curves!$Y$8:$Y$68,AT$4-$B107+1)</f>
        <v/>
      </c>
      <c r="AU107" s="56">
        <f>$C107*INDEX(Curves!$Y$8:$Y$68,AU$4-$B107+1)</f>
        <v/>
      </c>
      <c r="AV107" s="56">
        <f>$C107*INDEX(Curves!$Y$8:$Y$68,AV$4-$B107+1)</f>
        <v/>
      </c>
      <c r="AW107" s="56">
        <f>$C107*INDEX(Curves!$Y$8:$Y$68,AW$4-$B107+1)</f>
        <v/>
      </c>
      <c r="AX107" s="56">
        <f>$C107*INDEX(Curves!$Y$8:$Y$68,AX$4-$B107+1)</f>
        <v/>
      </c>
      <c r="AY107" s="56">
        <f>$C107*INDEX(Curves!$Y$8:$Y$68,AY$4-$B107+1)</f>
        <v/>
      </c>
      <c r="AZ107" s="56">
        <f>$C107*INDEX(Curves!$Y$8:$Y$68,AZ$4-$B107+1)</f>
        <v/>
      </c>
      <c r="BA107" s="56">
        <f>$C107*INDEX(Curves!$Y$8:$Y$68,BA$4-$B107+1)</f>
        <v/>
      </c>
      <c r="BB107" s="56">
        <f>$C107*INDEX(Curves!$Y$8:$Y$68,BB$4-$B107+1)</f>
        <v/>
      </c>
      <c r="BC107" s="56">
        <f>$C107*INDEX(Curves!$Y$8:$Y$68,BC$4-$B107+1)</f>
        <v/>
      </c>
      <c r="BD107" s="56">
        <f>$C107*INDEX(Curves!$Y$8:$Y$68,BD$4-$B107+1)</f>
        <v/>
      </c>
      <c r="BE107" s="56">
        <f>$C107*INDEX(Curves!$Y$8:$Y$68,BE$4-$B107+1)</f>
        <v/>
      </c>
      <c r="BF107" s="56">
        <f>$C107*INDEX(Curves!$Y$8:$Y$68,BF$4-$B107+1)</f>
        <v/>
      </c>
      <c r="BG107" s="56">
        <f>$C107*INDEX(Curves!$Y$8:$Y$68,BG$4-$B107+1)</f>
        <v/>
      </c>
      <c r="BH107" s="56">
        <f>$C107*INDEX(Curves!$Y$8:$Y$68,BH$4-$B107+1)</f>
        <v/>
      </c>
      <c r="BI107" s="56">
        <f>$C107*INDEX(Curves!$Y$8:$Y$68,BI$4-$B107+1)</f>
        <v/>
      </c>
      <c r="BJ107" s="56">
        <f>$C107*INDEX(Curves!$Y$8:$Y$68,BJ$4-$B107+1)</f>
        <v/>
      </c>
      <c r="BK107" s="56">
        <f>$C107*INDEX(Curves!$Y$8:$Y$68,BK$4-$B107+1)</f>
        <v/>
      </c>
      <c r="BL107" s="56">
        <f>$C107*INDEX(Curves!$Y$8:$Y$68,BL$4-$B107+1)</f>
        <v/>
      </c>
    </row>
    <row r="108">
      <c r="A108" s="55" t="inlineStr">
        <is>
          <t>Cohort month 36</t>
        </is>
      </c>
      <c r="B108" s="55" t="n">
        <v>36</v>
      </c>
      <c r="C108" s="46">
        <f>INDEX(Ops!$E$39:$BL$39,1,$B108)</f>
        <v/>
      </c>
      <c r="AO108" s="56">
        <f>$C108*INDEX(Curves!$Y$8:$Y$68,AO$4-$B108+1)</f>
        <v/>
      </c>
      <c r="AP108" s="56">
        <f>$C108*INDEX(Curves!$Y$8:$Y$68,AP$4-$B108+1)</f>
        <v/>
      </c>
      <c r="AQ108" s="56">
        <f>$C108*INDEX(Curves!$Y$8:$Y$68,AQ$4-$B108+1)</f>
        <v/>
      </c>
      <c r="AR108" s="56">
        <f>$C108*INDEX(Curves!$Y$8:$Y$68,AR$4-$B108+1)</f>
        <v/>
      </c>
      <c r="AS108" s="56">
        <f>$C108*INDEX(Curves!$Y$8:$Y$68,AS$4-$B108+1)</f>
        <v/>
      </c>
      <c r="AT108" s="56">
        <f>$C108*INDEX(Curves!$Y$8:$Y$68,AT$4-$B108+1)</f>
        <v/>
      </c>
      <c r="AU108" s="56">
        <f>$C108*INDEX(Curves!$Y$8:$Y$68,AU$4-$B108+1)</f>
        <v/>
      </c>
      <c r="AV108" s="56">
        <f>$C108*INDEX(Curves!$Y$8:$Y$68,AV$4-$B108+1)</f>
        <v/>
      </c>
      <c r="AW108" s="56">
        <f>$C108*INDEX(Curves!$Y$8:$Y$68,AW$4-$B108+1)</f>
        <v/>
      </c>
      <c r="AX108" s="56">
        <f>$C108*INDEX(Curves!$Y$8:$Y$68,AX$4-$B108+1)</f>
        <v/>
      </c>
      <c r="AY108" s="56">
        <f>$C108*INDEX(Curves!$Y$8:$Y$68,AY$4-$B108+1)</f>
        <v/>
      </c>
      <c r="AZ108" s="56">
        <f>$C108*INDEX(Curves!$Y$8:$Y$68,AZ$4-$B108+1)</f>
        <v/>
      </c>
      <c r="BA108" s="56">
        <f>$C108*INDEX(Curves!$Y$8:$Y$68,BA$4-$B108+1)</f>
        <v/>
      </c>
      <c r="BB108" s="56">
        <f>$C108*INDEX(Curves!$Y$8:$Y$68,BB$4-$B108+1)</f>
        <v/>
      </c>
      <c r="BC108" s="56">
        <f>$C108*INDEX(Curves!$Y$8:$Y$68,BC$4-$B108+1)</f>
        <v/>
      </c>
      <c r="BD108" s="56">
        <f>$C108*INDEX(Curves!$Y$8:$Y$68,BD$4-$B108+1)</f>
        <v/>
      </c>
      <c r="BE108" s="56">
        <f>$C108*INDEX(Curves!$Y$8:$Y$68,BE$4-$B108+1)</f>
        <v/>
      </c>
      <c r="BF108" s="56">
        <f>$C108*INDEX(Curves!$Y$8:$Y$68,BF$4-$B108+1)</f>
        <v/>
      </c>
      <c r="BG108" s="56">
        <f>$C108*INDEX(Curves!$Y$8:$Y$68,BG$4-$B108+1)</f>
        <v/>
      </c>
      <c r="BH108" s="56">
        <f>$C108*INDEX(Curves!$Y$8:$Y$68,BH$4-$B108+1)</f>
        <v/>
      </c>
      <c r="BI108" s="56">
        <f>$C108*INDEX(Curves!$Y$8:$Y$68,BI$4-$B108+1)</f>
        <v/>
      </c>
      <c r="BJ108" s="56">
        <f>$C108*INDEX(Curves!$Y$8:$Y$68,BJ$4-$B108+1)</f>
        <v/>
      </c>
      <c r="BK108" s="56">
        <f>$C108*INDEX(Curves!$Y$8:$Y$68,BK$4-$B108+1)</f>
        <v/>
      </c>
      <c r="BL108" s="56">
        <f>$C108*INDEX(Curves!$Y$8:$Y$68,BL$4-$B108+1)</f>
        <v/>
      </c>
    </row>
    <row r="109">
      <c r="A109" s="55" t="inlineStr">
        <is>
          <t>Cohort month 37</t>
        </is>
      </c>
      <c r="B109" s="55" t="n">
        <v>37</v>
      </c>
      <c r="C109" s="46">
        <f>INDEX(Ops!$E$39:$BL$39,1,$B109)</f>
        <v/>
      </c>
      <c r="AP109" s="56">
        <f>$C109*INDEX(Curves!$Y$8:$Y$68,AP$4-$B109+1)</f>
        <v/>
      </c>
      <c r="AQ109" s="56">
        <f>$C109*INDEX(Curves!$Y$8:$Y$68,AQ$4-$B109+1)</f>
        <v/>
      </c>
      <c r="AR109" s="56">
        <f>$C109*INDEX(Curves!$Y$8:$Y$68,AR$4-$B109+1)</f>
        <v/>
      </c>
      <c r="AS109" s="56">
        <f>$C109*INDEX(Curves!$Y$8:$Y$68,AS$4-$B109+1)</f>
        <v/>
      </c>
      <c r="AT109" s="56">
        <f>$C109*INDEX(Curves!$Y$8:$Y$68,AT$4-$B109+1)</f>
        <v/>
      </c>
      <c r="AU109" s="56">
        <f>$C109*INDEX(Curves!$Y$8:$Y$68,AU$4-$B109+1)</f>
        <v/>
      </c>
      <c r="AV109" s="56">
        <f>$C109*INDEX(Curves!$Y$8:$Y$68,AV$4-$B109+1)</f>
        <v/>
      </c>
      <c r="AW109" s="56">
        <f>$C109*INDEX(Curves!$Y$8:$Y$68,AW$4-$B109+1)</f>
        <v/>
      </c>
      <c r="AX109" s="56">
        <f>$C109*INDEX(Curves!$Y$8:$Y$68,AX$4-$B109+1)</f>
        <v/>
      </c>
      <c r="AY109" s="56">
        <f>$C109*INDEX(Curves!$Y$8:$Y$68,AY$4-$B109+1)</f>
        <v/>
      </c>
      <c r="AZ109" s="56">
        <f>$C109*INDEX(Curves!$Y$8:$Y$68,AZ$4-$B109+1)</f>
        <v/>
      </c>
      <c r="BA109" s="56">
        <f>$C109*INDEX(Curves!$Y$8:$Y$68,BA$4-$B109+1)</f>
        <v/>
      </c>
      <c r="BB109" s="56">
        <f>$C109*INDEX(Curves!$Y$8:$Y$68,BB$4-$B109+1)</f>
        <v/>
      </c>
      <c r="BC109" s="56">
        <f>$C109*INDEX(Curves!$Y$8:$Y$68,BC$4-$B109+1)</f>
        <v/>
      </c>
      <c r="BD109" s="56">
        <f>$C109*INDEX(Curves!$Y$8:$Y$68,BD$4-$B109+1)</f>
        <v/>
      </c>
      <c r="BE109" s="56">
        <f>$C109*INDEX(Curves!$Y$8:$Y$68,BE$4-$B109+1)</f>
        <v/>
      </c>
      <c r="BF109" s="56">
        <f>$C109*INDEX(Curves!$Y$8:$Y$68,BF$4-$B109+1)</f>
        <v/>
      </c>
      <c r="BG109" s="56">
        <f>$C109*INDEX(Curves!$Y$8:$Y$68,BG$4-$B109+1)</f>
        <v/>
      </c>
      <c r="BH109" s="56">
        <f>$C109*INDEX(Curves!$Y$8:$Y$68,BH$4-$B109+1)</f>
        <v/>
      </c>
      <c r="BI109" s="56">
        <f>$C109*INDEX(Curves!$Y$8:$Y$68,BI$4-$B109+1)</f>
        <v/>
      </c>
      <c r="BJ109" s="56">
        <f>$C109*INDEX(Curves!$Y$8:$Y$68,BJ$4-$B109+1)</f>
        <v/>
      </c>
      <c r="BK109" s="56">
        <f>$C109*INDEX(Curves!$Y$8:$Y$68,BK$4-$B109+1)</f>
        <v/>
      </c>
      <c r="BL109" s="56">
        <f>$C109*INDEX(Curves!$Y$8:$Y$68,BL$4-$B109+1)</f>
        <v/>
      </c>
    </row>
    <row r="110">
      <c r="A110" s="55" t="inlineStr">
        <is>
          <t>Cohort month 38</t>
        </is>
      </c>
      <c r="B110" s="55" t="n">
        <v>38</v>
      </c>
      <c r="C110" s="46">
        <f>INDEX(Ops!$E$39:$BL$39,1,$B110)</f>
        <v/>
      </c>
      <c r="AQ110" s="56">
        <f>$C110*INDEX(Curves!$Y$8:$Y$68,AQ$4-$B110+1)</f>
        <v/>
      </c>
      <c r="AR110" s="56">
        <f>$C110*INDEX(Curves!$Y$8:$Y$68,AR$4-$B110+1)</f>
        <v/>
      </c>
      <c r="AS110" s="56">
        <f>$C110*INDEX(Curves!$Y$8:$Y$68,AS$4-$B110+1)</f>
        <v/>
      </c>
      <c r="AT110" s="56">
        <f>$C110*INDEX(Curves!$Y$8:$Y$68,AT$4-$B110+1)</f>
        <v/>
      </c>
      <c r="AU110" s="56">
        <f>$C110*INDEX(Curves!$Y$8:$Y$68,AU$4-$B110+1)</f>
        <v/>
      </c>
      <c r="AV110" s="56">
        <f>$C110*INDEX(Curves!$Y$8:$Y$68,AV$4-$B110+1)</f>
        <v/>
      </c>
      <c r="AW110" s="56">
        <f>$C110*INDEX(Curves!$Y$8:$Y$68,AW$4-$B110+1)</f>
        <v/>
      </c>
      <c r="AX110" s="56">
        <f>$C110*INDEX(Curves!$Y$8:$Y$68,AX$4-$B110+1)</f>
        <v/>
      </c>
      <c r="AY110" s="56">
        <f>$C110*INDEX(Curves!$Y$8:$Y$68,AY$4-$B110+1)</f>
        <v/>
      </c>
      <c r="AZ110" s="56">
        <f>$C110*INDEX(Curves!$Y$8:$Y$68,AZ$4-$B110+1)</f>
        <v/>
      </c>
      <c r="BA110" s="56">
        <f>$C110*INDEX(Curves!$Y$8:$Y$68,BA$4-$B110+1)</f>
        <v/>
      </c>
      <c r="BB110" s="56">
        <f>$C110*INDEX(Curves!$Y$8:$Y$68,BB$4-$B110+1)</f>
        <v/>
      </c>
      <c r="BC110" s="56">
        <f>$C110*INDEX(Curves!$Y$8:$Y$68,BC$4-$B110+1)</f>
        <v/>
      </c>
      <c r="BD110" s="56">
        <f>$C110*INDEX(Curves!$Y$8:$Y$68,BD$4-$B110+1)</f>
        <v/>
      </c>
      <c r="BE110" s="56">
        <f>$C110*INDEX(Curves!$Y$8:$Y$68,BE$4-$B110+1)</f>
        <v/>
      </c>
      <c r="BF110" s="56">
        <f>$C110*INDEX(Curves!$Y$8:$Y$68,BF$4-$B110+1)</f>
        <v/>
      </c>
      <c r="BG110" s="56">
        <f>$C110*INDEX(Curves!$Y$8:$Y$68,BG$4-$B110+1)</f>
        <v/>
      </c>
      <c r="BH110" s="56">
        <f>$C110*INDEX(Curves!$Y$8:$Y$68,BH$4-$B110+1)</f>
        <v/>
      </c>
      <c r="BI110" s="56">
        <f>$C110*INDEX(Curves!$Y$8:$Y$68,BI$4-$B110+1)</f>
        <v/>
      </c>
      <c r="BJ110" s="56">
        <f>$C110*INDEX(Curves!$Y$8:$Y$68,BJ$4-$B110+1)</f>
        <v/>
      </c>
      <c r="BK110" s="56">
        <f>$C110*INDEX(Curves!$Y$8:$Y$68,BK$4-$B110+1)</f>
        <v/>
      </c>
      <c r="BL110" s="56">
        <f>$C110*INDEX(Curves!$Y$8:$Y$68,BL$4-$B110+1)</f>
        <v/>
      </c>
    </row>
    <row r="111">
      <c r="A111" s="55" t="inlineStr">
        <is>
          <t>Cohort month 39</t>
        </is>
      </c>
      <c r="B111" s="55" t="n">
        <v>39</v>
      </c>
      <c r="C111" s="46">
        <f>INDEX(Ops!$E$39:$BL$39,1,$B111)</f>
        <v/>
      </c>
      <c r="AR111" s="56">
        <f>$C111*INDEX(Curves!$Y$8:$Y$68,AR$4-$B111+1)</f>
        <v/>
      </c>
      <c r="AS111" s="56">
        <f>$C111*INDEX(Curves!$Y$8:$Y$68,AS$4-$B111+1)</f>
        <v/>
      </c>
      <c r="AT111" s="56">
        <f>$C111*INDEX(Curves!$Y$8:$Y$68,AT$4-$B111+1)</f>
        <v/>
      </c>
      <c r="AU111" s="56">
        <f>$C111*INDEX(Curves!$Y$8:$Y$68,AU$4-$B111+1)</f>
        <v/>
      </c>
      <c r="AV111" s="56">
        <f>$C111*INDEX(Curves!$Y$8:$Y$68,AV$4-$B111+1)</f>
        <v/>
      </c>
      <c r="AW111" s="56">
        <f>$C111*INDEX(Curves!$Y$8:$Y$68,AW$4-$B111+1)</f>
        <v/>
      </c>
      <c r="AX111" s="56">
        <f>$C111*INDEX(Curves!$Y$8:$Y$68,AX$4-$B111+1)</f>
        <v/>
      </c>
      <c r="AY111" s="56">
        <f>$C111*INDEX(Curves!$Y$8:$Y$68,AY$4-$B111+1)</f>
        <v/>
      </c>
      <c r="AZ111" s="56">
        <f>$C111*INDEX(Curves!$Y$8:$Y$68,AZ$4-$B111+1)</f>
        <v/>
      </c>
      <c r="BA111" s="56">
        <f>$C111*INDEX(Curves!$Y$8:$Y$68,BA$4-$B111+1)</f>
        <v/>
      </c>
      <c r="BB111" s="56">
        <f>$C111*INDEX(Curves!$Y$8:$Y$68,BB$4-$B111+1)</f>
        <v/>
      </c>
      <c r="BC111" s="56">
        <f>$C111*INDEX(Curves!$Y$8:$Y$68,BC$4-$B111+1)</f>
        <v/>
      </c>
      <c r="BD111" s="56">
        <f>$C111*INDEX(Curves!$Y$8:$Y$68,BD$4-$B111+1)</f>
        <v/>
      </c>
      <c r="BE111" s="56">
        <f>$C111*INDEX(Curves!$Y$8:$Y$68,BE$4-$B111+1)</f>
        <v/>
      </c>
      <c r="BF111" s="56">
        <f>$C111*INDEX(Curves!$Y$8:$Y$68,BF$4-$B111+1)</f>
        <v/>
      </c>
      <c r="BG111" s="56">
        <f>$C111*INDEX(Curves!$Y$8:$Y$68,BG$4-$B111+1)</f>
        <v/>
      </c>
      <c r="BH111" s="56">
        <f>$C111*INDEX(Curves!$Y$8:$Y$68,BH$4-$B111+1)</f>
        <v/>
      </c>
      <c r="BI111" s="56">
        <f>$C111*INDEX(Curves!$Y$8:$Y$68,BI$4-$B111+1)</f>
        <v/>
      </c>
      <c r="BJ111" s="56">
        <f>$C111*INDEX(Curves!$Y$8:$Y$68,BJ$4-$B111+1)</f>
        <v/>
      </c>
      <c r="BK111" s="56">
        <f>$C111*INDEX(Curves!$Y$8:$Y$68,BK$4-$B111+1)</f>
        <v/>
      </c>
      <c r="BL111" s="56">
        <f>$C111*INDEX(Curves!$Y$8:$Y$68,BL$4-$B111+1)</f>
        <v/>
      </c>
    </row>
    <row r="112">
      <c r="A112" s="55" t="inlineStr">
        <is>
          <t>Cohort month 40</t>
        </is>
      </c>
      <c r="B112" s="55" t="n">
        <v>40</v>
      </c>
      <c r="C112" s="46">
        <f>INDEX(Ops!$E$39:$BL$39,1,$B112)</f>
        <v/>
      </c>
      <c r="AS112" s="56">
        <f>$C112*INDEX(Curves!$Y$8:$Y$68,AS$4-$B112+1)</f>
        <v/>
      </c>
      <c r="AT112" s="56">
        <f>$C112*INDEX(Curves!$Y$8:$Y$68,AT$4-$B112+1)</f>
        <v/>
      </c>
      <c r="AU112" s="56">
        <f>$C112*INDEX(Curves!$Y$8:$Y$68,AU$4-$B112+1)</f>
        <v/>
      </c>
      <c r="AV112" s="56">
        <f>$C112*INDEX(Curves!$Y$8:$Y$68,AV$4-$B112+1)</f>
        <v/>
      </c>
      <c r="AW112" s="56">
        <f>$C112*INDEX(Curves!$Y$8:$Y$68,AW$4-$B112+1)</f>
        <v/>
      </c>
      <c r="AX112" s="56">
        <f>$C112*INDEX(Curves!$Y$8:$Y$68,AX$4-$B112+1)</f>
        <v/>
      </c>
      <c r="AY112" s="56">
        <f>$C112*INDEX(Curves!$Y$8:$Y$68,AY$4-$B112+1)</f>
        <v/>
      </c>
      <c r="AZ112" s="56">
        <f>$C112*INDEX(Curves!$Y$8:$Y$68,AZ$4-$B112+1)</f>
        <v/>
      </c>
      <c r="BA112" s="56">
        <f>$C112*INDEX(Curves!$Y$8:$Y$68,BA$4-$B112+1)</f>
        <v/>
      </c>
      <c r="BB112" s="56">
        <f>$C112*INDEX(Curves!$Y$8:$Y$68,BB$4-$B112+1)</f>
        <v/>
      </c>
      <c r="BC112" s="56">
        <f>$C112*INDEX(Curves!$Y$8:$Y$68,BC$4-$B112+1)</f>
        <v/>
      </c>
      <c r="BD112" s="56">
        <f>$C112*INDEX(Curves!$Y$8:$Y$68,BD$4-$B112+1)</f>
        <v/>
      </c>
      <c r="BE112" s="56">
        <f>$C112*INDEX(Curves!$Y$8:$Y$68,BE$4-$B112+1)</f>
        <v/>
      </c>
      <c r="BF112" s="56">
        <f>$C112*INDEX(Curves!$Y$8:$Y$68,BF$4-$B112+1)</f>
        <v/>
      </c>
      <c r="BG112" s="56">
        <f>$C112*INDEX(Curves!$Y$8:$Y$68,BG$4-$B112+1)</f>
        <v/>
      </c>
      <c r="BH112" s="56">
        <f>$C112*INDEX(Curves!$Y$8:$Y$68,BH$4-$B112+1)</f>
        <v/>
      </c>
      <c r="BI112" s="56">
        <f>$C112*INDEX(Curves!$Y$8:$Y$68,BI$4-$B112+1)</f>
        <v/>
      </c>
      <c r="BJ112" s="56">
        <f>$C112*INDEX(Curves!$Y$8:$Y$68,BJ$4-$B112+1)</f>
        <v/>
      </c>
      <c r="BK112" s="56">
        <f>$C112*INDEX(Curves!$Y$8:$Y$68,BK$4-$B112+1)</f>
        <v/>
      </c>
      <c r="BL112" s="56">
        <f>$C112*INDEX(Curves!$Y$8:$Y$68,BL$4-$B112+1)</f>
        <v/>
      </c>
    </row>
    <row r="113">
      <c r="A113" s="55" t="inlineStr">
        <is>
          <t>Cohort month 41</t>
        </is>
      </c>
      <c r="B113" s="55" t="n">
        <v>41</v>
      </c>
      <c r="C113" s="46">
        <f>INDEX(Ops!$E$39:$BL$39,1,$B113)</f>
        <v/>
      </c>
      <c r="AT113" s="56">
        <f>$C113*INDEX(Curves!$Y$8:$Y$68,AT$4-$B113+1)</f>
        <v/>
      </c>
      <c r="AU113" s="56">
        <f>$C113*INDEX(Curves!$Y$8:$Y$68,AU$4-$B113+1)</f>
        <v/>
      </c>
      <c r="AV113" s="56">
        <f>$C113*INDEX(Curves!$Y$8:$Y$68,AV$4-$B113+1)</f>
        <v/>
      </c>
      <c r="AW113" s="56">
        <f>$C113*INDEX(Curves!$Y$8:$Y$68,AW$4-$B113+1)</f>
        <v/>
      </c>
      <c r="AX113" s="56">
        <f>$C113*INDEX(Curves!$Y$8:$Y$68,AX$4-$B113+1)</f>
        <v/>
      </c>
      <c r="AY113" s="56">
        <f>$C113*INDEX(Curves!$Y$8:$Y$68,AY$4-$B113+1)</f>
        <v/>
      </c>
      <c r="AZ113" s="56">
        <f>$C113*INDEX(Curves!$Y$8:$Y$68,AZ$4-$B113+1)</f>
        <v/>
      </c>
      <c r="BA113" s="56">
        <f>$C113*INDEX(Curves!$Y$8:$Y$68,BA$4-$B113+1)</f>
        <v/>
      </c>
      <c r="BB113" s="56">
        <f>$C113*INDEX(Curves!$Y$8:$Y$68,BB$4-$B113+1)</f>
        <v/>
      </c>
      <c r="BC113" s="56">
        <f>$C113*INDEX(Curves!$Y$8:$Y$68,BC$4-$B113+1)</f>
        <v/>
      </c>
      <c r="BD113" s="56">
        <f>$C113*INDEX(Curves!$Y$8:$Y$68,BD$4-$B113+1)</f>
        <v/>
      </c>
      <c r="BE113" s="56">
        <f>$C113*INDEX(Curves!$Y$8:$Y$68,BE$4-$B113+1)</f>
        <v/>
      </c>
      <c r="BF113" s="56">
        <f>$C113*INDEX(Curves!$Y$8:$Y$68,BF$4-$B113+1)</f>
        <v/>
      </c>
      <c r="BG113" s="56">
        <f>$C113*INDEX(Curves!$Y$8:$Y$68,BG$4-$B113+1)</f>
        <v/>
      </c>
      <c r="BH113" s="56">
        <f>$C113*INDEX(Curves!$Y$8:$Y$68,BH$4-$B113+1)</f>
        <v/>
      </c>
      <c r="BI113" s="56">
        <f>$C113*INDEX(Curves!$Y$8:$Y$68,BI$4-$B113+1)</f>
        <v/>
      </c>
      <c r="BJ113" s="56">
        <f>$C113*INDEX(Curves!$Y$8:$Y$68,BJ$4-$B113+1)</f>
        <v/>
      </c>
      <c r="BK113" s="56">
        <f>$C113*INDEX(Curves!$Y$8:$Y$68,BK$4-$B113+1)</f>
        <v/>
      </c>
      <c r="BL113" s="56">
        <f>$C113*INDEX(Curves!$Y$8:$Y$68,BL$4-$B113+1)</f>
        <v/>
      </c>
    </row>
    <row r="114">
      <c r="A114" s="55" t="inlineStr">
        <is>
          <t>Cohort month 42</t>
        </is>
      </c>
      <c r="B114" s="55" t="n">
        <v>42</v>
      </c>
      <c r="C114" s="46">
        <f>INDEX(Ops!$E$39:$BL$39,1,$B114)</f>
        <v/>
      </c>
      <c r="AU114" s="56">
        <f>$C114*INDEX(Curves!$Y$8:$Y$68,AU$4-$B114+1)</f>
        <v/>
      </c>
      <c r="AV114" s="56">
        <f>$C114*INDEX(Curves!$Y$8:$Y$68,AV$4-$B114+1)</f>
        <v/>
      </c>
      <c r="AW114" s="56">
        <f>$C114*INDEX(Curves!$Y$8:$Y$68,AW$4-$B114+1)</f>
        <v/>
      </c>
      <c r="AX114" s="56">
        <f>$C114*INDEX(Curves!$Y$8:$Y$68,AX$4-$B114+1)</f>
        <v/>
      </c>
      <c r="AY114" s="56">
        <f>$C114*INDEX(Curves!$Y$8:$Y$68,AY$4-$B114+1)</f>
        <v/>
      </c>
      <c r="AZ114" s="56">
        <f>$C114*INDEX(Curves!$Y$8:$Y$68,AZ$4-$B114+1)</f>
        <v/>
      </c>
      <c r="BA114" s="56">
        <f>$C114*INDEX(Curves!$Y$8:$Y$68,BA$4-$B114+1)</f>
        <v/>
      </c>
      <c r="BB114" s="56">
        <f>$C114*INDEX(Curves!$Y$8:$Y$68,BB$4-$B114+1)</f>
        <v/>
      </c>
      <c r="BC114" s="56">
        <f>$C114*INDEX(Curves!$Y$8:$Y$68,BC$4-$B114+1)</f>
        <v/>
      </c>
      <c r="BD114" s="56">
        <f>$C114*INDEX(Curves!$Y$8:$Y$68,BD$4-$B114+1)</f>
        <v/>
      </c>
      <c r="BE114" s="56">
        <f>$C114*INDEX(Curves!$Y$8:$Y$68,BE$4-$B114+1)</f>
        <v/>
      </c>
      <c r="BF114" s="56">
        <f>$C114*INDEX(Curves!$Y$8:$Y$68,BF$4-$B114+1)</f>
        <v/>
      </c>
      <c r="BG114" s="56">
        <f>$C114*INDEX(Curves!$Y$8:$Y$68,BG$4-$B114+1)</f>
        <v/>
      </c>
      <c r="BH114" s="56">
        <f>$C114*INDEX(Curves!$Y$8:$Y$68,BH$4-$B114+1)</f>
        <v/>
      </c>
      <c r="BI114" s="56">
        <f>$C114*INDEX(Curves!$Y$8:$Y$68,BI$4-$B114+1)</f>
        <v/>
      </c>
      <c r="BJ114" s="56">
        <f>$C114*INDEX(Curves!$Y$8:$Y$68,BJ$4-$B114+1)</f>
        <v/>
      </c>
      <c r="BK114" s="56">
        <f>$C114*INDEX(Curves!$Y$8:$Y$68,BK$4-$B114+1)</f>
        <v/>
      </c>
      <c r="BL114" s="56">
        <f>$C114*INDEX(Curves!$Y$8:$Y$68,BL$4-$B114+1)</f>
        <v/>
      </c>
    </row>
    <row r="115">
      <c r="A115" s="55" t="inlineStr">
        <is>
          <t>Cohort month 43</t>
        </is>
      </c>
      <c r="B115" s="55" t="n">
        <v>43</v>
      </c>
      <c r="C115" s="46">
        <f>INDEX(Ops!$E$39:$BL$39,1,$B115)</f>
        <v/>
      </c>
      <c r="AV115" s="56">
        <f>$C115*INDEX(Curves!$Y$8:$Y$68,AV$4-$B115+1)</f>
        <v/>
      </c>
      <c r="AW115" s="56">
        <f>$C115*INDEX(Curves!$Y$8:$Y$68,AW$4-$B115+1)</f>
        <v/>
      </c>
      <c r="AX115" s="56">
        <f>$C115*INDEX(Curves!$Y$8:$Y$68,AX$4-$B115+1)</f>
        <v/>
      </c>
      <c r="AY115" s="56">
        <f>$C115*INDEX(Curves!$Y$8:$Y$68,AY$4-$B115+1)</f>
        <v/>
      </c>
      <c r="AZ115" s="56">
        <f>$C115*INDEX(Curves!$Y$8:$Y$68,AZ$4-$B115+1)</f>
        <v/>
      </c>
      <c r="BA115" s="56">
        <f>$C115*INDEX(Curves!$Y$8:$Y$68,BA$4-$B115+1)</f>
        <v/>
      </c>
      <c r="BB115" s="56">
        <f>$C115*INDEX(Curves!$Y$8:$Y$68,BB$4-$B115+1)</f>
        <v/>
      </c>
      <c r="BC115" s="56">
        <f>$C115*INDEX(Curves!$Y$8:$Y$68,BC$4-$B115+1)</f>
        <v/>
      </c>
      <c r="BD115" s="56">
        <f>$C115*INDEX(Curves!$Y$8:$Y$68,BD$4-$B115+1)</f>
        <v/>
      </c>
      <c r="BE115" s="56">
        <f>$C115*INDEX(Curves!$Y$8:$Y$68,BE$4-$B115+1)</f>
        <v/>
      </c>
      <c r="BF115" s="56">
        <f>$C115*INDEX(Curves!$Y$8:$Y$68,BF$4-$B115+1)</f>
        <v/>
      </c>
      <c r="BG115" s="56">
        <f>$C115*INDEX(Curves!$Y$8:$Y$68,BG$4-$B115+1)</f>
        <v/>
      </c>
      <c r="BH115" s="56">
        <f>$C115*INDEX(Curves!$Y$8:$Y$68,BH$4-$B115+1)</f>
        <v/>
      </c>
      <c r="BI115" s="56">
        <f>$C115*INDEX(Curves!$Y$8:$Y$68,BI$4-$B115+1)</f>
        <v/>
      </c>
      <c r="BJ115" s="56">
        <f>$C115*INDEX(Curves!$Y$8:$Y$68,BJ$4-$B115+1)</f>
        <v/>
      </c>
      <c r="BK115" s="56">
        <f>$C115*INDEX(Curves!$Y$8:$Y$68,BK$4-$B115+1)</f>
        <v/>
      </c>
      <c r="BL115" s="56">
        <f>$C115*INDEX(Curves!$Y$8:$Y$68,BL$4-$B115+1)</f>
        <v/>
      </c>
    </row>
    <row r="116">
      <c r="A116" s="55" t="inlineStr">
        <is>
          <t>Cohort month 44</t>
        </is>
      </c>
      <c r="B116" s="55" t="n">
        <v>44</v>
      </c>
      <c r="C116" s="46">
        <f>INDEX(Ops!$E$39:$BL$39,1,$B116)</f>
        <v/>
      </c>
      <c r="AW116" s="56">
        <f>$C116*INDEX(Curves!$Y$8:$Y$68,AW$4-$B116+1)</f>
        <v/>
      </c>
      <c r="AX116" s="56">
        <f>$C116*INDEX(Curves!$Y$8:$Y$68,AX$4-$B116+1)</f>
        <v/>
      </c>
      <c r="AY116" s="56">
        <f>$C116*INDEX(Curves!$Y$8:$Y$68,AY$4-$B116+1)</f>
        <v/>
      </c>
      <c r="AZ116" s="56">
        <f>$C116*INDEX(Curves!$Y$8:$Y$68,AZ$4-$B116+1)</f>
        <v/>
      </c>
      <c r="BA116" s="56">
        <f>$C116*INDEX(Curves!$Y$8:$Y$68,BA$4-$B116+1)</f>
        <v/>
      </c>
      <c r="BB116" s="56">
        <f>$C116*INDEX(Curves!$Y$8:$Y$68,BB$4-$B116+1)</f>
        <v/>
      </c>
      <c r="BC116" s="56">
        <f>$C116*INDEX(Curves!$Y$8:$Y$68,BC$4-$B116+1)</f>
        <v/>
      </c>
      <c r="BD116" s="56">
        <f>$C116*INDEX(Curves!$Y$8:$Y$68,BD$4-$B116+1)</f>
        <v/>
      </c>
      <c r="BE116" s="56">
        <f>$C116*INDEX(Curves!$Y$8:$Y$68,BE$4-$B116+1)</f>
        <v/>
      </c>
      <c r="BF116" s="56">
        <f>$C116*INDEX(Curves!$Y$8:$Y$68,BF$4-$B116+1)</f>
        <v/>
      </c>
      <c r="BG116" s="56">
        <f>$C116*INDEX(Curves!$Y$8:$Y$68,BG$4-$B116+1)</f>
        <v/>
      </c>
      <c r="BH116" s="56">
        <f>$C116*INDEX(Curves!$Y$8:$Y$68,BH$4-$B116+1)</f>
        <v/>
      </c>
      <c r="BI116" s="56">
        <f>$C116*INDEX(Curves!$Y$8:$Y$68,BI$4-$B116+1)</f>
        <v/>
      </c>
      <c r="BJ116" s="56">
        <f>$C116*INDEX(Curves!$Y$8:$Y$68,BJ$4-$B116+1)</f>
        <v/>
      </c>
      <c r="BK116" s="56">
        <f>$C116*INDEX(Curves!$Y$8:$Y$68,BK$4-$B116+1)</f>
        <v/>
      </c>
      <c r="BL116" s="56">
        <f>$C116*INDEX(Curves!$Y$8:$Y$68,BL$4-$B116+1)</f>
        <v/>
      </c>
    </row>
    <row r="117">
      <c r="A117" s="55" t="inlineStr">
        <is>
          <t>Cohort month 45</t>
        </is>
      </c>
      <c r="B117" s="55" t="n">
        <v>45</v>
      </c>
      <c r="C117" s="46">
        <f>INDEX(Ops!$E$39:$BL$39,1,$B117)</f>
        <v/>
      </c>
      <c r="AX117" s="56">
        <f>$C117*INDEX(Curves!$Y$8:$Y$68,AX$4-$B117+1)</f>
        <v/>
      </c>
      <c r="AY117" s="56">
        <f>$C117*INDEX(Curves!$Y$8:$Y$68,AY$4-$B117+1)</f>
        <v/>
      </c>
      <c r="AZ117" s="56">
        <f>$C117*INDEX(Curves!$Y$8:$Y$68,AZ$4-$B117+1)</f>
        <v/>
      </c>
      <c r="BA117" s="56">
        <f>$C117*INDEX(Curves!$Y$8:$Y$68,BA$4-$B117+1)</f>
        <v/>
      </c>
      <c r="BB117" s="56">
        <f>$C117*INDEX(Curves!$Y$8:$Y$68,BB$4-$B117+1)</f>
        <v/>
      </c>
      <c r="BC117" s="56">
        <f>$C117*INDEX(Curves!$Y$8:$Y$68,BC$4-$B117+1)</f>
        <v/>
      </c>
      <c r="BD117" s="56">
        <f>$C117*INDEX(Curves!$Y$8:$Y$68,BD$4-$B117+1)</f>
        <v/>
      </c>
      <c r="BE117" s="56">
        <f>$C117*INDEX(Curves!$Y$8:$Y$68,BE$4-$B117+1)</f>
        <v/>
      </c>
      <c r="BF117" s="56">
        <f>$C117*INDEX(Curves!$Y$8:$Y$68,BF$4-$B117+1)</f>
        <v/>
      </c>
      <c r="BG117" s="56">
        <f>$C117*INDEX(Curves!$Y$8:$Y$68,BG$4-$B117+1)</f>
        <v/>
      </c>
      <c r="BH117" s="56">
        <f>$C117*INDEX(Curves!$Y$8:$Y$68,BH$4-$B117+1)</f>
        <v/>
      </c>
      <c r="BI117" s="56">
        <f>$C117*INDEX(Curves!$Y$8:$Y$68,BI$4-$B117+1)</f>
        <v/>
      </c>
      <c r="BJ117" s="56">
        <f>$C117*INDEX(Curves!$Y$8:$Y$68,BJ$4-$B117+1)</f>
        <v/>
      </c>
      <c r="BK117" s="56">
        <f>$C117*INDEX(Curves!$Y$8:$Y$68,BK$4-$B117+1)</f>
        <v/>
      </c>
      <c r="BL117" s="56">
        <f>$C117*INDEX(Curves!$Y$8:$Y$68,BL$4-$B117+1)</f>
        <v/>
      </c>
    </row>
    <row r="118">
      <c r="A118" s="55" t="inlineStr">
        <is>
          <t>Cohort month 46</t>
        </is>
      </c>
      <c r="B118" s="55" t="n">
        <v>46</v>
      </c>
      <c r="C118" s="46">
        <f>INDEX(Ops!$E$39:$BL$39,1,$B118)</f>
        <v/>
      </c>
      <c r="AY118" s="56">
        <f>$C118*INDEX(Curves!$Y$8:$Y$68,AY$4-$B118+1)</f>
        <v/>
      </c>
      <c r="AZ118" s="56">
        <f>$C118*INDEX(Curves!$Y$8:$Y$68,AZ$4-$B118+1)</f>
        <v/>
      </c>
      <c r="BA118" s="56">
        <f>$C118*INDEX(Curves!$Y$8:$Y$68,BA$4-$B118+1)</f>
        <v/>
      </c>
      <c r="BB118" s="56">
        <f>$C118*INDEX(Curves!$Y$8:$Y$68,BB$4-$B118+1)</f>
        <v/>
      </c>
      <c r="BC118" s="56">
        <f>$C118*INDEX(Curves!$Y$8:$Y$68,BC$4-$B118+1)</f>
        <v/>
      </c>
      <c r="BD118" s="56">
        <f>$C118*INDEX(Curves!$Y$8:$Y$68,BD$4-$B118+1)</f>
        <v/>
      </c>
      <c r="BE118" s="56">
        <f>$C118*INDEX(Curves!$Y$8:$Y$68,BE$4-$B118+1)</f>
        <v/>
      </c>
      <c r="BF118" s="56">
        <f>$C118*INDEX(Curves!$Y$8:$Y$68,BF$4-$B118+1)</f>
        <v/>
      </c>
      <c r="BG118" s="56">
        <f>$C118*INDEX(Curves!$Y$8:$Y$68,BG$4-$B118+1)</f>
        <v/>
      </c>
      <c r="BH118" s="56">
        <f>$C118*INDEX(Curves!$Y$8:$Y$68,BH$4-$B118+1)</f>
        <v/>
      </c>
      <c r="BI118" s="56">
        <f>$C118*INDEX(Curves!$Y$8:$Y$68,BI$4-$B118+1)</f>
        <v/>
      </c>
      <c r="BJ118" s="56">
        <f>$C118*INDEX(Curves!$Y$8:$Y$68,BJ$4-$B118+1)</f>
        <v/>
      </c>
      <c r="BK118" s="56">
        <f>$C118*INDEX(Curves!$Y$8:$Y$68,BK$4-$B118+1)</f>
        <v/>
      </c>
      <c r="BL118" s="56">
        <f>$C118*INDEX(Curves!$Y$8:$Y$68,BL$4-$B118+1)</f>
        <v/>
      </c>
    </row>
    <row r="119">
      <c r="A119" s="55" t="inlineStr">
        <is>
          <t>Cohort month 47</t>
        </is>
      </c>
      <c r="B119" s="55" t="n">
        <v>47</v>
      </c>
      <c r="C119" s="46">
        <f>INDEX(Ops!$E$39:$BL$39,1,$B119)</f>
        <v/>
      </c>
      <c r="AZ119" s="56">
        <f>$C119*INDEX(Curves!$Y$8:$Y$68,AZ$4-$B119+1)</f>
        <v/>
      </c>
      <c r="BA119" s="56">
        <f>$C119*INDEX(Curves!$Y$8:$Y$68,BA$4-$B119+1)</f>
        <v/>
      </c>
      <c r="BB119" s="56">
        <f>$C119*INDEX(Curves!$Y$8:$Y$68,BB$4-$B119+1)</f>
        <v/>
      </c>
      <c r="BC119" s="56">
        <f>$C119*INDEX(Curves!$Y$8:$Y$68,BC$4-$B119+1)</f>
        <v/>
      </c>
      <c r="BD119" s="56">
        <f>$C119*INDEX(Curves!$Y$8:$Y$68,BD$4-$B119+1)</f>
        <v/>
      </c>
      <c r="BE119" s="56">
        <f>$C119*INDEX(Curves!$Y$8:$Y$68,BE$4-$B119+1)</f>
        <v/>
      </c>
      <c r="BF119" s="56">
        <f>$C119*INDEX(Curves!$Y$8:$Y$68,BF$4-$B119+1)</f>
        <v/>
      </c>
      <c r="BG119" s="56">
        <f>$C119*INDEX(Curves!$Y$8:$Y$68,BG$4-$B119+1)</f>
        <v/>
      </c>
      <c r="BH119" s="56">
        <f>$C119*INDEX(Curves!$Y$8:$Y$68,BH$4-$B119+1)</f>
        <v/>
      </c>
      <c r="BI119" s="56">
        <f>$C119*INDEX(Curves!$Y$8:$Y$68,BI$4-$B119+1)</f>
        <v/>
      </c>
      <c r="BJ119" s="56">
        <f>$C119*INDEX(Curves!$Y$8:$Y$68,BJ$4-$B119+1)</f>
        <v/>
      </c>
      <c r="BK119" s="56">
        <f>$C119*INDEX(Curves!$Y$8:$Y$68,BK$4-$B119+1)</f>
        <v/>
      </c>
      <c r="BL119" s="56">
        <f>$C119*INDEX(Curves!$Y$8:$Y$68,BL$4-$B119+1)</f>
        <v/>
      </c>
    </row>
    <row r="120">
      <c r="A120" s="55" t="inlineStr">
        <is>
          <t>Cohort month 48</t>
        </is>
      </c>
      <c r="B120" s="55" t="n">
        <v>48</v>
      </c>
      <c r="C120" s="46">
        <f>INDEX(Ops!$E$39:$BL$39,1,$B120)</f>
        <v/>
      </c>
      <c r="BA120" s="56">
        <f>$C120*INDEX(Curves!$Y$8:$Y$68,BA$4-$B120+1)</f>
        <v/>
      </c>
      <c r="BB120" s="56">
        <f>$C120*INDEX(Curves!$Y$8:$Y$68,BB$4-$B120+1)</f>
        <v/>
      </c>
      <c r="BC120" s="56">
        <f>$C120*INDEX(Curves!$Y$8:$Y$68,BC$4-$B120+1)</f>
        <v/>
      </c>
      <c r="BD120" s="56">
        <f>$C120*INDEX(Curves!$Y$8:$Y$68,BD$4-$B120+1)</f>
        <v/>
      </c>
      <c r="BE120" s="56">
        <f>$C120*INDEX(Curves!$Y$8:$Y$68,BE$4-$B120+1)</f>
        <v/>
      </c>
      <c r="BF120" s="56">
        <f>$C120*INDEX(Curves!$Y$8:$Y$68,BF$4-$B120+1)</f>
        <v/>
      </c>
      <c r="BG120" s="56">
        <f>$C120*INDEX(Curves!$Y$8:$Y$68,BG$4-$B120+1)</f>
        <v/>
      </c>
      <c r="BH120" s="56">
        <f>$C120*INDEX(Curves!$Y$8:$Y$68,BH$4-$B120+1)</f>
        <v/>
      </c>
      <c r="BI120" s="56">
        <f>$C120*INDEX(Curves!$Y$8:$Y$68,BI$4-$B120+1)</f>
        <v/>
      </c>
      <c r="BJ120" s="56">
        <f>$C120*INDEX(Curves!$Y$8:$Y$68,BJ$4-$B120+1)</f>
        <v/>
      </c>
      <c r="BK120" s="56">
        <f>$C120*INDEX(Curves!$Y$8:$Y$68,BK$4-$B120+1)</f>
        <v/>
      </c>
      <c r="BL120" s="56">
        <f>$C120*INDEX(Curves!$Y$8:$Y$68,BL$4-$B120+1)</f>
        <v/>
      </c>
    </row>
    <row r="121">
      <c r="A121" s="55" t="inlineStr">
        <is>
          <t>Cohort month 49</t>
        </is>
      </c>
      <c r="B121" s="55" t="n">
        <v>49</v>
      </c>
      <c r="C121" s="46">
        <f>INDEX(Ops!$E$39:$BL$39,1,$B121)</f>
        <v/>
      </c>
      <c r="BB121" s="56">
        <f>$C121*INDEX(Curves!$Y$8:$Y$68,BB$4-$B121+1)</f>
        <v/>
      </c>
      <c r="BC121" s="56">
        <f>$C121*INDEX(Curves!$Y$8:$Y$68,BC$4-$B121+1)</f>
        <v/>
      </c>
      <c r="BD121" s="56">
        <f>$C121*INDEX(Curves!$Y$8:$Y$68,BD$4-$B121+1)</f>
        <v/>
      </c>
      <c r="BE121" s="56">
        <f>$C121*INDEX(Curves!$Y$8:$Y$68,BE$4-$B121+1)</f>
        <v/>
      </c>
      <c r="BF121" s="56">
        <f>$C121*INDEX(Curves!$Y$8:$Y$68,BF$4-$B121+1)</f>
        <v/>
      </c>
      <c r="BG121" s="56">
        <f>$C121*INDEX(Curves!$Y$8:$Y$68,BG$4-$B121+1)</f>
        <v/>
      </c>
      <c r="BH121" s="56">
        <f>$C121*INDEX(Curves!$Y$8:$Y$68,BH$4-$B121+1)</f>
        <v/>
      </c>
      <c r="BI121" s="56">
        <f>$C121*INDEX(Curves!$Y$8:$Y$68,BI$4-$B121+1)</f>
        <v/>
      </c>
      <c r="BJ121" s="56">
        <f>$C121*INDEX(Curves!$Y$8:$Y$68,BJ$4-$B121+1)</f>
        <v/>
      </c>
      <c r="BK121" s="56">
        <f>$C121*INDEX(Curves!$Y$8:$Y$68,BK$4-$B121+1)</f>
        <v/>
      </c>
      <c r="BL121" s="56">
        <f>$C121*INDEX(Curves!$Y$8:$Y$68,BL$4-$B121+1)</f>
        <v/>
      </c>
    </row>
    <row r="122">
      <c r="A122" s="55" t="inlineStr">
        <is>
          <t>Cohort month 50</t>
        </is>
      </c>
      <c r="B122" s="55" t="n">
        <v>50</v>
      </c>
      <c r="C122" s="46">
        <f>INDEX(Ops!$E$39:$BL$39,1,$B122)</f>
        <v/>
      </c>
      <c r="BC122" s="56">
        <f>$C122*INDEX(Curves!$Y$8:$Y$68,BC$4-$B122+1)</f>
        <v/>
      </c>
      <c r="BD122" s="56">
        <f>$C122*INDEX(Curves!$Y$8:$Y$68,BD$4-$B122+1)</f>
        <v/>
      </c>
      <c r="BE122" s="56">
        <f>$C122*INDEX(Curves!$Y$8:$Y$68,BE$4-$B122+1)</f>
        <v/>
      </c>
      <c r="BF122" s="56">
        <f>$C122*INDEX(Curves!$Y$8:$Y$68,BF$4-$B122+1)</f>
        <v/>
      </c>
      <c r="BG122" s="56">
        <f>$C122*INDEX(Curves!$Y$8:$Y$68,BG$4-$B122+1)</f>
        <v/>
      </c>
      <c r="BH122" s="56">
        <f>$C122*INDEX(Curves!$Y$8:$Y$68,BH$4-$B122+1)</f>
        <v/>
      </c>
      <c r="BI122" s="56">
        <f>$C122*INDEX(Curves!$Y$8:$Y$68,BI$4-$B122+1)</f>
        <v/>
      </c>
      <c r="BJ122" s="56">
        <f>$C122*INDEX(Curves!$Y$8:$Y$68,BJ$4-$B122+1)</f>
        <v/>
      </c>
      <c r="BK122" s="56">
        <f>$C122*INDEX(Curves!$Y$8:$Y$68,BK$4-$B122+1)</f>
        <v/>
      </c>
      <c r="BL122" s="56">
        <f>$C122*INDEX(Curves!$Y$8:$Y$68,BL$4-$B122+1)</f>
        <v/>
      </c>
    </row>
    <row r="123">
      <c r="A123" s="55" t="inlineStr">
        <is>
          <t>Cohort month 51</t>
        </is>
      </c>
      <c r="B123" s="55" t="n">
        <v>51</v>
      </c>
      <c r="C123" s="46">
        <f>INDEX(Ops!$E$39:$BL$39,1,$B123)</f>
        <v/>
      </c>
      <c r="BD123" s="56">
        <f>$C123*INDEX(Curves!$Y$8:$Y$68,BD$4-$B123+1)</f>
        <v/>
      </c>
      <c r="BE123" s="56">
        <f>$C123*INDEX(Curves!$Y$8:$Y$68,BE$4-$B123+1)</f>
        <v/>
      </c>
      <c r="BF123" s="56">
        <f>$C123*INDEX(Curves!$Y$8:$Y$68,BF$4-$B123+1)</f>
        <v/>
      </c>
      <c r="BG123" s="56">
        <f>$C123*INDEX(Curves!$Y$8:$Y$68,BG$4-$B123+1)</f>
        <v/>
      </c>
      <c r="BH123" s="56">
        <f>$C123*INDEX(Curves!$Y$8:$Y$68,BH$4-$B123+1)</f>
        <v/>
      </c>
      <c r="BI123" s="56">
        <f>$C123*INDEX(Curves!$Y$8:$Y$68,BI$4-$B123+1)</f>
        <v/>
      </c>
      <c r="BJ123" s="56">
        <f>$C123*INDEX(Curves!$Y$8:$Y$68,BJ$4-$B123+1)</f>
        <v/>
      </c>
      <c r="BK123" s="56">
        <f>$C123*INDEX(Curves!$Y$8:$Y$68,BK$4-$B123+1)</f>
        <v/>
      </c>
      <c r="BL123" s="56">
        <f>$C123*INDEX(Curves!$Y$8:$Y$68,BL$4-$B123+1)</f>
        <v/>
      </c>
    </row>
    <row r="124">
      <c r="A124" s="55" t="inlineStr">
        <is>
          <t>Cohort month 52</t>
        </is>
      </c>
      <c r="B124" s="55" t="n">
        <v>52</v>
      </c>
      <c r="C124" s="46">
        <f>INDEX(Ops!$E$39:$BL$39,1,$B124)</f>
        <v/>
      </c>
      <c r="BE124" s="56">
        <f>$C124*INDEX(Curves!$Y$8:$Y$68,BE$4-$B124+1)</f>
        <v/>
      </c>
      <c r="BF124" s="56">
        <f>$C124*INDEX(Curves!$Y$8:$Y$68,BF$4-$B124+1)</f>
        <v/>
      </c>
      <c r="BG124" s="56">
        <f>$C124*INDEX(Curves!$Y$8:$Y$68,BG$4-$B124+1)</f>
        <v/>
      </c>
      <c r="BH124" s="56">
        <f>$C124*INDEX(Curves!$Y$8:$Y$68,BH$4-$B124+1)</f>
        <v/>
      </c>
      <c r="BI124" s="56">
        <f>$C124*INDEX(Curves!$Y$8:$Y$68,BI$4-$B124+1)</f>
        <v/>
      </c>
      <c r="BJ124" s="56">
        <f>$C124*INDEX(Curves!$Y$8:$Y$68,BJ$4-$B124+1)</f>
        <v/>
      </c>
      <c r="BK124" s="56">
        <f>$C124*INDEX(Curves!$Y$8:$Y$68,BK$4-$B124+1)</f>
        <v/>
      </c>
      <c r="BL124" s="56">
        <f>$C124*INDEX(Curves!$Y$8:$Y$68,BL$4-$B124+1)</f>
        <v/>
      </c>
    </row>
    <row r="125">
      <c r="A125" s="55" t="inlineStr">
        <is>
          <t>Cohort month 53</t>
        </is>
      </c>
      <c r="B125" s="55" t="n">
        <v>53</v>
      </c>
      <c r="C125" s="46">
        <f>INDEX(Ops!$E$39:$BL$39,1,$B125)</f>
        <v/>
      </c>
      <c r="BF125" s="56">
        <f>$C125*INDEX(Curves!$Y$8:$Y$68,BF$4-$B125+1)</f>
        <v/>
      </c>
      <c r="BG125" s="56">
        <f>$C125*INDEX(Curves!$Y$8:$Y$68,BG$4-$B125+1)</f>
        <v/>
      </c>
      <c r="BH125" s="56">
        <f>$C125*INDEX(Curves!$Y$8:$Y$68,BH$4-$B125+1)</f>
        <v/>
      </c>
      <c r="BI125" s="56">
        <f>$C125*INDEX(Curves!$Y$8:$Y$68,BI$4-$B125+1)</f>
        <v/>
      </c>
      <c r="BJ125" s="56">
        <f>$C125*INDEX(Curves!$Y$8:$Y$68,BJ$4-$B125+1)</f>
        <v/>
      </c>
      <c r="BK125" s="56">
        <f>$C125*INDEX(Curves!$Y$8:$Y$68,BK$4-$B125+1)</f>
        <v/>
      </c>
      <c r="BL125" s="56">
        <f>$C125*INDEX(Curves!$Y$8:$Y$68,BL$4-$B125+1)</f>
        <v/>
      </c>
    </row>
    <row r="126">
      <c r="A126" s="55" t="inlineStr">
        <is>
          <t>Cohort month 54</t>
        </is>
      </c>
      <c r="B126" s="55" t="n">
        <v>54</v>
      </c>
      <c r="C126" s="46">
        <f>INDEX(Ops!$E$39:$BL$39,1,$B126)</f>
        <v/>
      </c>
      <c r="BG126" s="56">
        <f>$C126*INDEX(Curves!$Y$8:$Y$68,BG$4-$B126+1)</f>
        <v/>
      </c>
      <c r="BH126" s="56">
        <f>$C126*INDEX(Curves!$Y$8:$Y$68,BH$4-$B126+1)</f>
        <v/>
      </c>
      <c r="BI126" s="56">
        <f>$C126*INDEX(Curves!$Y$8:$Y$68,BI$4-$B126+1)</f>
        <v/>
      </c>
      <c r="BJ126" s="56">
        <f>$C126*INDEX(Curves!$Y$8:$Y$68,BJ$4-$B126+1)</f>
        <v/>
      </c>
      <c r="BK126" s="56">
        <f>$C126*INDEX(Curves!$Y$8:$Y$68,BK$4-$B126+1)</f>
        <v/>
      </c>
      <c r="BL126" s="56">
        <f>$C126*INDEX(Curves!$Y$8:$Y$68,BL$4-$B126+1)</f>
        <v/>
      </c>
    </row>
    <row r="127">
      <c r="A127" s="55" t="inlineStr">
        <is>
          <t>Cohort month 55</t>
        </is>
      </c>
      <c r="B127" s="55" t="n">
        <v>55</v>
      </c>
      <c r="C127" s="46">
        <f>INDEX(Ops!$E$39:$BL$39,1,$B127)</f>
        <v/>
      </c>
      <c r="BH127" s="56">
        <f>$C127*INDEX(Curves!$Y$8:$Y$68,BH$4-$B127+1)</f>
        <v/>
      </c>
      <c r="BI127" s="56">
        <f>$C127*INDEX(Curves!$Y$8:$Y$68,BI$4-$B127+1)</f>
        <v/>
      </c>
      <c r="BJ127" s="56">
        <f>$C127*INDEX(Curves!$Y$8:$Y$68,BJ$4-$B127+1)</f>
        <v/>
      </c>
      <c r="BK127" s="56">
        <f>$C127*INDEX(Curves!$Y$8:$Y$68,BK$4-$B127+1)</f>
        <v/>
      </c>
      <c r="BL127" s="56">
        <f>$C127*INDEX(Curves!$Y$8:$Y$68,BL$4-$B127+1)</f>
        <v/>
      </c>
    </row>
    <row r="128">
      <c r="A128" s="55" t="inlineStr">
        <is>
          <t>Cohort month 56</t>
        </is>
      </c>
      <c r="B128" s="55" t="n">
        <v>56</v>
      </c>
      <c r="C128" s="46">
        <f>INDEX(Ops!$E$39:$BL$39,1,$B128)</f>
        <v/>
      </c>
      <c r="BI128" s="56">
        <f>$C128*INDEX(Curves!$Y$8:$Y$68,BI$4-$B128+1)</f>
        <v/>
      </c>
      <c r="BJ128" s="56">
        <f>$C128*INDEX(Curves!$Y$8:$Y$68,BJ$4-$B128+1)</f>
        <v/>
      </c>
      <c r="BK128" s="56">
        <f>$C128*INDEX(Curves!$Y$8:$Y$68,BK$4-$B128+1)</f>
        <v/>
      </c>
      <c r="BL128" s="56">
        <f>$C128*INDEX(Curves!$Y$8:$Y$68,BL$4-$B128+1)</f>
        <v/>
      </c>
    </row>
    <row r="129">
      <c r="A129" s="55" t="inlineStr">
        <is>
          <t>Cohort month 57</t>
        </is>
      </c>
      <c r="B129" s="55" t="n">
        <v>57</v>
      </c>
      <c r="C129" s="46">
        <f>INDEX(Ops!$E$39:$BL$39,1,$B129)</f>
        <v/>
      </c>
      <c r="BJ129" s="56">
        <f>$C129*INDEX(Curves!$Y$8:$Y$68,BJ$4-$B129+1)</f>
        <v/>
      </c>
      <c r="BK129" s="56">
        <f>$C129*INDEX(Curves!$Y$8:$Y$68,BK$4-$B129+1)</f>
        <v/>
      </c>
      <c r="BL129" s="56">
        <f>$C129*INDEX(Curves!$Y$8:$Y$68,BL$4-$B129+1)</f>
        <v/>
      </c>
    </row>
    <row r="130">
      <c r="A130" s="55" t="inlineStr">
        <is>
          <t>Cohort month 58</t>
        </is>
      </c>
      <c r="B130" s="55" t="n">
        <v>58</v>
      </c>
      <c r="C130" s="46">
        <f>INDEX(Ops!$E$39:$BL$39,1,$B130)</f>
        <v/>
      </c>
      <c r="BK130" s="56">
        <f>$C130*INDEX(Curves!$Y$8:$Y$68,BK$4-$B130+1)</f>
        <v/>
      </c>
      <c r="BL130" s="56">
        <f>$C130*INDEX(Curves!$Y$8:$Y$68,BL$4-$B130+1)</f>
        <v/>
      </c>
    </row>
    <row r="131">
      <c r="A131" s="55" t="inlineStr">
        <is>
          <t>Cohort month 59</t>
        </is>
      </c>
      <c r="B131" s="55" t="n">
        <v>59</v>
      </c>
      <c r="C131" s="46">
        <f>INDEX(Ops!$E$39:$BL$39,1,$B131)</f>
        <v/>
      </c>
      <c r="BL131" s="56">
        <f>$C131*INDEX(Curves!$Y$8:$Y$68,BL$4-$B131+1)</f>
        <v/>
      </c>
    </row>
    <row r="132">
      <c r="A132" s="55" t="inlineStr">
        <is>
          <t>Cohort month 60</t>
        </is>
      </c>
      <c r="B132" s="55" t="n">
        <v>60</v>
      </c>
      <c r="C132" s="46">
        <f>INDEX(Ops!$E$39:$BL$39,1,$B132)</f>
        <v/>
      </c>
    </row>
    <row r="133"/>
    <row r="134">
      <c r="A134" s="11" t="inlineStr">
        <is>
          <t>Receivables at risk by cohort (LCY)</t>
        </is>
      </c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  <c r="BJ134" s="12" t="n"/>
      <c r="BK134" s="12" t="n"/>
      <c r="BL134" s="12" t="n"/>
    </row>
    <row r="135">
      <c r="A135" s="47" t="inlineStr">
        <is>
          <t>Total</t>
        </is>
      </c>
      <c r="B135" s="48" t="inlineStr"/>
      <c r="C135" s="50" t="n"/>
      <c r="D135" s="50" t="n"/>
      <c r="E135" s="51">
        <f>SUM(E136:E195)</f>
        <v/>
      </c>
      <c r="F135" s="51">
        <f>SUM(F136:F195)</f>
        <v/>
      </c>
      <c r="G135" s="51">
        <f>SUM(G136:G195)</f>
        <v/>
      </c>
      <c r="H135" s="51">
        <f>SUM(H136:H195)</f>
        <v/>
      </c>
      <c r="I135" s="51">
        <f>SUM(I136:I195)</f>
        <v/>
      </c>
      <c r="J135" s="51">
        <f>SUM(J136:J195)</f>
        <v/>
      </c>
      <c r="K135" s="51">
        <f>SUM(K136:K195)</f>
        <v/>
      </c>
      <c r="L135" s="51">
        <f>SUM(L136:L195)</f>
        <v/>
      </c>
      <c r="M135" s="51">
        <f>SUM(M136:M195)</f>
        <v/>
      </c>
      <c r="N135" s="51">
        <f>SUM(N136:N195)</f>
        <v/>
      </c>
      <c r="O135" s="51">
        <f>SUM(O136:O195)</f>
        <v/>
      </c>
      <c r="P135" s="51">
        <f>SUM(P136:P195)</f>
        <v/>
      </c>
      <c r="Q135" s="51">
        <f>SUM(Q136:Q195)</f>
        <v/>
      </c>
      <c r="R135" s="51">
        <f>SUM(R136:R195)</f>
        <v/>
      </c>
      <c r="S135" s="51">
        <f>SUM(S136:S195)</f>
        <v/>
      </c>
      <c r="T135" s="51">
        <f>SUM(T136:T195)</f>
        <v/>
      </c>
      <c r="U135" s="51">
        <f>SUM(U136:U195)</f>
        <v/>
      </c>
      <c r="V135" s="51">
        <f>SUM(V136:V195)</f>
        <v/>
      </c>
      <c r="W135" s="51">
        <f>SUM(W136:W195)</f>
        <v/>
      </c>
      <c r="X135" s="51">
        <f>SUM(X136:X195)</f>
        <v/>
      </c>
      <c r="Y135" s="51">
        <f>SUM(Y136:Y195)</f>
        <v/>
      </c>
      <c r="Z135" s="51">
        <f>SUM(Z136:Z195)</f>
        <v/>
      </c>
      <c r="AA135" s="51">
        <f>SUM(AA136:AA195)</f>
        <v/>
      </c>
      <c r="AB135" s="51">
        <f>SUM(AB136:AB195)</f>
        <v/>
      </c>
      <c r="AC135" s="51">
        <f>SUM(AC136:AC195)</f>
        <v/>
      </c>
      <c r="AD135" s="51">
        <f>SUM(AD136:AD195)</f>
        <v/>
      </c>
      <c r="AE135" s="51">
        <f>SUM(AE136:AE195)</f>
        <v/>
      </c>
      <c r="AF135" s="51">
        <f>SUM(AF136:AF195)</f>
        <v/>
      </c>
      <c r="AG135" s="51">
        <f>SUM(AG136:AG195)</f>
        <v/>
      </c>
      <c r="AH135" s="51">
        <f>SUM(AH136:AH195)</f>
        <v/>
      </c>
      <c r="AI135" s="51">
        <f>SUM(AI136:AI195)</f>
        <v/>
      </c>
      <c r="AJ135" s="51">
        <f>SUM(AJ136:AJ195)</f>
        <v/>
      </c>
      <c r="AK135" s="51">
        <f>SUM(AK136:AK195)</f>
        <v/>
      </c>
      <c r="AL135" s="51">
        <f>SUM(AL136:AL195)</f>
        <v/>
      </c>
      <c r="AM135" s="51">
        <f>SUM(AM136:AM195)</f>
        <v/>
      </c>
      <c r="AN135" s="51">
        <f>SUM(AN136:AN195)</f>
        <v/>
      </c>
      <c r="AO135" s="51">
        <f>SUM(AO136:AO195)</f>
        <v/>
      </c>
      <c r="AP135" s="51">
        <f>SUM(AP136:AP195)</f>
        <v/>
      </c>
      <c r="AQ135" s="51">
        <f>SUM(AQ136:AQ195)</f>
        <v/>
      </c>
      <c r="AR135" s="51">
        <f>SUM(AR136:AR195)</f>
        <v/>
      </c>
      <c r="AS135" s="51">
        <f>SUM(AS136:AS195)</f>
        <v/>
      </c>
      <c r="AT135" s="51">
        <f>SUM(AT136:AT195)</f>
        <v/>
      </c>
      <c r="AU135" s="51">
        <f>SUM(AU136:AU195)</f>
        <v/>
      </c>
      <c r="AV135" s="51">
        <f>SUM(AV136:AV195)</f>
        <v/>
      </c>
      <c r="AW135" s="51">
        <f>SUM(AW136:AW195)</f>
        <v/>
      </c>
      <c r="AX135" s="51">
        <f>SUM(AX136:AX195)</f>
        <v/>
      </c>
      <c r="AY135" s="51">
        <f>SUM(AY136:AY195)</f>
        <v/>
      </c>
      <c r="AZ135" s="51">
        <f>SUM(AZ136:AZ195)</f>
        <v/>
      </c>
      <c r="BA135" s="51">
        <f>SUM(BA136:BA195)</f>
        <v/>
      </c>
      <c r="BB135" s="51">
        <f>SUM(BB136:BB195)</f>
        <v/>
      </c>
      <c r="BC135" s="51">
        <f>SUM(BC136:BC195)</f>
        <v/>
      </c>
      <c r="BD135" s="51">
        <f>SUM(BD136:BD195)</f>
        <v/>
      </c>
      <c r="BE135" s="51">
        <f>SUM(BE136:BE195)</f>
        <v/>
      </c>
      <c r="BF135" s="51">
        <f>SUM(BF136:BF195)</f>
        <v/>
      </c>
      <c r="BG135" s="51">
        <f>SUM(BG136:BG195)</f>
        <v/>
      </c>
      <c r="BH135" s="51">
        <f>SUM(BH136:BH195)</f>
        <v/>
      </c>
      <c r="BI135" s="51">
        <f>SUM(BI136:BI195)</f>
        <v/>
      </c>
      <c r="BJ135" s="51">
        <f>SUM(BJ136:BJ195)</f>
        <v/>
      </c>
      <c r="BK135" s="51">
        <f>SUM(BK136:BK195)</f>
        <v/>
      </c>
      <c r="BL135" s="51">
        <f>SUM(BL136:BL195)</f>
        <v/>
      </c>
    </row>
    <row r="136">
      <c r="A136" s="55" t="inlineStr">
        <is>
          <t>Cohort month 1</t>
        </is>
      </c>
      <c r="B136" s="55" t="n">
        <v>1</v>
      </c>
      <c r="C136" s="46">
        <f>INDEX(Ops!$E$40:$BL$40,1,$B136)</f>
        <v/>
      </c>
      <c r="F136" s="56">
        <f>$C136*INDEX(Curves!$X$8:$X$68,F$4-$B136+1)</f>
        <v/>
      </c>
      <c r="G136" s="56">
        <f>$C136*INDEX(Curves!$X$8:$X$68,G$4-$B136+1)</f>
        <v/>
      </c>
      <c r="H136" s="56">
        <f>$C136*INDEX(Curves!$X$8:$X$68,H$4-$B136+1)</f>
        <v/>
      </c>
      <c r="I136" s="56">
        <f>$C136*INDEX(Curves!$X$8:$X$68,I$4-$B136+1)</f>
        <v/>
      </c>
      <c r="J136" s="56">
        <f>$C136*INDEX(Curves!$X$8:$X$68,J$4-$B136+1)</f>
        <v/>
      </c>
      <c r="K136" s="56">
        <f>$C136*INDEX(Curves!$X$8:$X$68,K$4-$B136+1)</f>
        <v/>
      </c>
      <c r="L136" s="56">
        <f>$C136*INDEX(Curves!$X$8:$X$68,L$4-$B136+1)</f>
        <v/>
      </c>
      <c r="M136" s="56">
        <f>$C136*INDEX(Curves!$X$8:$X$68,M$4-$B136+1)</f>
        <v/>
      </c>
      <c r="N136" s="56">
        <f>$C136*INDEX(Curves!$X$8:$X$68,N$4-$B136+1)</f>
        <v/>
      </c>
      <c r="O136" s="56">
        <f>$C136*INDEX(Curves!$X$8:$X$68,O$4-$B136+1)</f>
        <v/>
      </c>
      <c r="P136" s="56">
        <f>$C136*INDEX(Curves!$X$8:$X$68,P$4-$B136+1)</f>
        <v/>
      </c>
      <c r="Q136" s="56">
        <f>$C136*INDEX(Curves!$X$8:$X$68,Q$4-$B136+1)</f>
        <v/>
      </c>
      <c r="R136" s="56">
        <f>$C136*INDEX(Curves!$X$8:$X$68,R$4-$B136+1)</f>
        <v/>
      </c>
      <c r="S136" s="56">
        <f>$C136*INDEX(Curves!$X$8:$X$68,S$4-$B136+1)</f>
        <v/>
      </c>
      <c r="T136" s="56">
        <f>$C136*INDEX(Curves!$X$8:$X$68,T$4-$B136+1)</f>
        <v/>
      </c>
      <c r="U136" s="56">
        <f>$C136*INDEX(Curves!$X$8:$X$68,U$4-$B136+1)</f>
        <v/>
      </c>
      <c r="V136" s="56">
        <f>$C136*INDEX(Curves!$X$8:$X$68,V$4-$B136+1)</f>
        <v/>
      </c>
      <c r="W136" s="56">
        <f>$C136*INDEX(Curves!$X$8:$X$68,W$4-$B136+1)</f>
        <v/>
      </c>
      <c r="X136" s="56">
        <f>$C136*INDEX(Curves!$X$8:$X$68,X$4-$B136+1)</f>
        <v/>
      </c>
      <c r="Y136" s="56">
        <f>$C136*INDEX(Curves!$X$8:$X$68,Y$4-$B136+1)</f>
        <v/>
      </c>
      <c r="Z136" s="56">
        <f>$C136*INDEX(Curves!$X$8:$X$68,Z$4-$B136+1)</f>
        <v/>
      </c>
      <c r="AA136" s="56">
        <f>$C136*INDEX(Curves!$X$8:$X$68,AA$4-$B136+1)</f>
        <v/>
      </c>
      <c r="AB136" s="56">
        <f>$C136*INDEX(Curves!$X$8:$X$68,AB$4-$B136+1)</f>
        <v/>
      </c>
      <c r="AC136" s="56">
        <f>$C136*INDEX(Curves!$X$8:$X$68,AC$4-$B136+1)</f>
        <v/>
      </c>
      <c r="AD136" s="56">
        <f>$C136*INDEX(Curves!$X$8:$X$68,AD$4-$B136+1)</f>
        <v/>
      </c>
      <c r="AE136" s="56">
        <f>$C136*INDEX(Curves!$X$8:$X$68,AE$4-$B136+1)</f>
        <v/>
      </c>
      <c r="AF136" s="56">
        <f>$C136*INDEX(Curves!$X$8:$X$68,AF$4-$B136+1)</f>
        <v/>
      </c>
      <c r="AG136" s="56">
        <f>$C136*INDEX(Curves!$X$8:$X$68,AG$4-$B136+1)</f>
        <v/>
      </c>
      <c r="AH136" s="56">
        <f>$C136*INDEX(Curves!$X$8:$X$68,AH$4-$B136+1)</f>
        <v/>
      </c>
      <c r="AI136" s="56">
        <f>$C136*INDEX(Curves!$X$8:$X$68,AI$4-$B136+1)</f>
        <v/>
      </c>
      <c r="AJ136" s="56">
        <f>$C136*INDEX(Curves!$X$8:$X$68,AJ$4-$B136+1)</f>
        <v/>
      </c>
      <c r="AK136" s="56">
        <f>$C136*INDEX(Curves!$X$8:$X$68,AK$4-$B136+1)</f>
        <v/>
      </c>
      <c r="AL136" s="56">
        <f>$C136*INDEX(Curves!$X$8:$X$68,AL$4-$B136+1)</f>
        <v/>
      </c>
      <c r="AM136" s="56">
        <f>$C136*INDEX(Curves!$X$8:$X$68,AM$4-$B136+1)</f>
        <v/>
      </c>
      <c r="AN136" s="56">
        <f>$C136*INDEX(Curves!$X$8:$X$68,AN$4-$B136+1)</f>
        <v/>
      </c>
      <c r="AO136" s="56">
        <f>$C136*INDEX(Curves!$X$8:$X$68,AO$4-$B136+1)</f>
        <v/>
      </c>
      <c r="AP136" s="56">
        <f>$C136*INDEX(Curves!$X$8:$X$68,AP$4-$B136+1)</f>
        <v/>
      </c>
      <c r="AQ136" s="56">
        <f>$C136*INDEX(Curves!$X$8:$X$68,AQ$4-$B136+1)</f>
        <v/>
      </c>
      <c r="AR136" s="56">
        <f>$C136*INDEX(Curves!$X$8:$X$68,AR$4-$B136+1)</f>
        <v/>
      </c>
      <c r="AS136" s="56">
        <f>$C136*INDEX(Curves!$X$8:$X$68,AS$4-$B136+1)</f>
        <v/>
      </c>
      <c r="AT136" s="56">
        <f>$C136*INDEX(Curves!$X$8:$X$68,AT$4-$B136+1)</f>
        <v/>
      </c>
      <c r="AU136" s="56">
        <f>$C136*INDEX(Curves!$X$8:$X$68,AU$4-$B136+1)</f>
        <v/>
      </c>
      <c r="AV136" s="56">
        <f>$C136*INDEX(Curves!$X$8:$X$68,AV$4-$B136+1)</f>
        <v/>
      </c>
      <c r="AW136" s="56">
        <f>$C136*INDEX(Curves!$X$8:$X$68,AW$4-$B136+1)</f>
        <v/>
      </c>
      <c r="AX136" s="56">
        <f>$C136*INDEX(Curves!$X$8:$X$68,AX$4-$B136+1)</f>
        <v/>
      </c>
      <c r="AY136" s="56">
        <f>$C136*INDEX(Curves!$X$8:$X$68,AY$4-$B136+1)</f>
        <v/>
      </c>
      <c r="AZ136" s="56">
        <f>$C136*INDEX(Curves!$X$8:$X$68,AZ$4-$B136+1)</f>
        <v/>
      </c>
      <c r="BA136" s="56">
        <f>$C136*INDEX(Curves!$X$8:$X$68,BA$4-$B136+1)</f>
        <v/>
      </c>
      <c r="BB136" s="56">
        <f>$C136*INDEX(Curves!$X$8:$X$68,BB$4-$B136+1)</f>
        <v/>
      </c>
      <c r="BC136" s="56">
        <f>$C136*INDEX(Curves!$X$8:$X$68,BC$4-$B136+1)</f>
        <v/>
      </c>
      <c r="BD136" s="56">
        <f>$C136*INDEX(Curves!$X$8:$X$68,BD$4-$B136+1)</f>
        <v/>
      </c>
      <c r="BE136" s="56">
        <f>$C136*INDEX(Curves!$X$8:$X$68,BE$4-$B136+1)</f>
        <v/>
      </c>
      <c r="BF136" s="56">
        <f>$C136*INDEX(Curves!$X$8:$X$68,BF$4-$B136+1)</f>
        <v/>
      </c>
      <c r="BG136" s="56">
        <f>$C136*INDEX(Curves!$X$8:$X$68,BG$4-$B136+1)</f>
        <v/>
      </c>
      <c r="BH136" s="56">
        <f>$C136*INDEX(Curves!$X$8:$X$68,BH$4-$B136+1)</f>
        <v/>
      </c>
      <c r="BI136" s="56">
        <f>$C136*INDEX(Curves!$X$8:$X$68,BI$4-$B136+1)</f>
        <v/>
      </c>
      <c r="BJ136" s="56">
        <f>$C136*INDEX(Curves!$X$8:$X$68,BJ$4-$B136+1)</f>
        <v/>
      </c>
      <c r="BK136" s="56">
        <f>$C136*INDEX(Curves!$X$8:$X$68,BK$4-$B136+1)</f>
        <v/>
      </c>
      <c r="BL136" s="56">
        <f>$C136*INDEX(Curves!$X$8:$X$68,BL$4-$B136+1)</f>
        <v/>
      </c>
    </row>
    <row r="137">
      <c r="A137" s="55" t="inlineStr">
        <is>
          <t>Cohort month 2</t>
        </is>
      </c>
      <c r="B137" s="55" t="n">
        <v>2</v>
      </c>
      <c r="C137" s="46">
        <f>INDEX(Ops!$E$40:$BL$40,1,$B137)</f>
        <v/>
      </c>
      <c r="G137" s="56">
        <f>$C137*INDEX(Curves!$X$8:$X$68,G$4-$B137+1)</f>
        <v/>
      </c>
      <c r="H137" s="56">
        <f>$C137*INDEX(Curves!$X$8:$X$68,H$4-$B137+1)</f>
        <v/>
      </c>
      <c r="I137" s="56">
        <f>$C137*INDEX(Curves!$X$8:$X$68,I$4-$B137+1)</f>
        <v/>
      </c>
      <c r="J137" s="56">
        <f>$C137*INDEX(Curves!$X$8:$X$68,J$4-$B137+1)</f>
        <v/>
      </c>
      <c r="K137" s="56">
        <f>$C137*INDEX(Curves!$X$8:$X$68,K$4-$B137+1)</f>
        <v/>
      </c>
      <c r="L137" s="56">
        <f>$C137*INDEX(Curves!$X$8:$X$68,L$4-$B137+1)</f>
        <v/>
      </c>
      <c r="M137" s="56">
        <f>$C137*INDEX(Curves!$X$8:$X$68,M$4-$B137+1)</f>
        <v/>
      </c>
      <c r="N137" s="56">
        <f>$C137*INDEX(Curves!$X$8:$X$68,N$4-$B137+1)</f>
        <v/>
      </c>
      <c r="O137" s="56">
        <f>$C137*INDEX(Curves!$X$8:$X$68,O$4-$B137+1)</f>
        <v/>
      </c>
      <c r="P137" s="56">
        <f>$C137*INDEX(Curves!$X$8:$X$68,P$4-$B137+1)</f>
        <v/>
      </c>
      <c r="Q137" s="56">
        <f>$C137*INDEX(Curves!$X$8:$X$68,Q$4-$B137+1)</f>
        <v/>
      </c>
      <c r="R137" s="56">
        <f>$C137*INDEX(Curves!$X$8:$X$68,R$4-$B137+1)</f>
        <v/>
      </c>
      <c r="S137" s="56">
        <f>$C137*INDEX(Curves!$X$8:$X$68,S$4-$B137+1)</f>
        <v/>
      </c>
      <c r="T137" s="56">
        <f>$C137*INDEX(Curves!$X$8:$X$68,T$4-$B137+1)</f>
        <v/>
      </c>
      <c r="U137" s="56">
        <f>$C137*INDEX(Curves!$X$8:$X$68,U$4-$B137+1)</f>
        <v/>
      </c>
      <c r="V137" s="56">
        <f>$C137*INDEX(Curves!$X$8:$X$68,V$4-$B137+1)</f>
        <v/>
      </c>
      <c r="W137" s="56">
        <f>$C137*INDEX(Curves!$X$8:$X$68,W$4-$B137+1)</f>
        <v/>
      </c>
      <c r="X137" s="56">
        <f>$C137*INDEX(Curves!$X$8:$X$68,X$4-$B137+1)</f>
        <v/>
      </c>
      <c r="Y137" s="56">
        <f>$C137*INDEX(Curves!$X$8:$X$68,Y$4-$B137+1)</f>
        <v/>
      </c>
      <c r="Z137" s="56">
        <f>$C137*INDEX(Curves!$X$8:$X$68,Z$4-$B137+1)</f>
        <v/>
      </c>
      <c r="AA137" s="56">
        <f>$C137*INDEX(Curves!$X$8:$X$68,AA$4-$B137+1)</f>
        <v/>
      </c>
      <c r="AB137" s="56">
        <f>$C137*INDEX(Curves!$X$8:$X$68,AB$4-$B137+1)</f>
        <v/>
      </c>
      <c r="AC137" s="56">
        <f>$C137*INDEX(Curves!$X$8:$X$68,AC$4-$B137+1)</f>
        <v/>
      </c>
      <c r="AD137" s="56">
        <f>$C137*INDEX(Curves!$X$8:$X$68,AD$4-$B137+1)</f>
        <v/>
      </c>
      <c r="AE137" s="56">
        <f>$C137*INDEX(Curves!$X$8:$X$68,AE$4-$B137+1)</f>
        <v/>
      </c>
      <c r="AF137" s="56">
        <f>$C137*INDEX(Curves!$X$8:$X$68,AF$4-$B137+1)</f>
        <v/>
      </c>
      <c r="AG137" s="56">
        <f>$C137*INDEX(Curves!$X$8:$X$68,AG$4-$B137+1)</f>
        <v/>
      </c>
      <c r="AH137" s="56">
        <f>$C137*INDEX(Curves!$X$8:$X$68,AH$4-$B137+1)</f>
        <v/>
      </c>
      <c r="AI137" s="56">
        <f>$C137*INDEX(Curves!$X$8:$X$68,AI$4-$B137+1)</f>
        <v/>
      </c>
      <c r="AJ137" s="56">
        <f>$C137*INDEX(Curves!$X$8:$X$68,AJ$4-$B137+1)</f>
        <v/>
      </c>
      <c r="AK137" s="56">
        <f>$C137*INDEX(Curves!$X$8:$X$68,AK$4-$B137+1)</f>
        <v/>
      </c>
      <c r="AL137" s="56">
        <f>$C137*INDEX(Curves!$X$8:$X$68,AL$4-$B137+1)</f>
        <v/>
      </c>
      <c r="AM137" s="56">
        <f>$C137*INDEX(Curves!$X$8:$X$68,AM$4-$B137+1)</f>
        <v/>
      </c>
      <c r="AN137" s="56">
        <f>$C137*INDEX(Curves!$X$8:$X$68,AN$4-$B137+1)</f>
        <v/>
      </c>
      <c r="AO137" s="56">
        <f>$C137*INDEX(Curves!$X$8:$X$68,AO$4-$B137+1)</f>
        <v/>
      </c>
      <c r="AP137" s="56">
        <f>$C137*INDEX(Curves!$X$8:$X$68,AP$4-$B137+1)</f>
        <v/>
      </c>
      <c r="AQ137" s="56">
        <f>$C137*INDEX(Curves!$X$8:$X$68,AQ$4-$B137+1)</f>
        <v/>
      </c>
      <c r="AR137" s="56">
        <f>$C137*INDEX(Curves!$X$8:$X$68,AR$4-$B137+1)</f>
        <v/>
      </c>
      <c r="AS137" s="56">
        <f>$C137*INDEX(Curves!$X$8:$X$68,AS$4-$B137+1)</f>
        <v/>
      </c>
      <c r="AT137" s="56">
        <f>$C137*INDEX(Curves!$X$8:$X$68,AT$4-$B137+1)</f>
        <v/>
      </c>
      <c r="AU137" s="56">
        <f>$C137*INDEX(Curves!$X$8:$X$68,AU$4-$B137+1)</f>
        <v/>
      </c>
      <c r="AV137" s="56">
        <f>$C137*INDEX(Curves!$X$8:$X$68,AV$4-$B137+1)</f>
        <v/>
      </c>
      <c r="AW137" s="56">
        <f>$C137*INDEX(Curves!$X$8:$X$68,AW$4-$B137+1)</f>
        <v/>
      </c>
      <c r="AX137" s="56">
        <f>$C137*INDEX(Curves!$X$8:$X$68,AX$4-$B137+1)</f>
        <v/>
      </c>
      <c r="AY137" s="56">
        <f>$C137*INDEX(Curves!$X$8:$X$68,AY$4-$B137+1)</f>
        <v/>
      </c>
      <c r="AZ137" s="56">
        <f>$C137*INDEX(Curves!$X$8:$X$68,AZ$4-$B137+1)</f>
        <v/>
      </c>
      <c r="BA137" s="56">
        <f>$C137*INDEX(Curves!$X$8:$X$68,BA$4-$B137+1)</f>
        <v/>
      </c>
      <c r="BB137" s="56">
        <f>$C137*INDEX(Curves!$X$8:$X$68,BB$4-$B137+1)</f>
        <v/>
      </c>
      <c r="BC137" s="56">
        <f>$C137*INDEX(Curves!$X$8:$X$68,BC$4-$B137+1)</f>
        <v/>
      </c>
      <c r="BD137" s="56">
        <f>$C137*INDEX(Curves!$X$8:$X$68,BD$4-$B137+1)</f>
        <v/>
      </c>
      <c r="BE137" s="56">
        <f>$C137*INDEX(Curves!$X$8:$X$68,BE$4-$B137+1)</f>
        <v/>
      </c>
      <c r="BF137" s="56">
        <f>$C137*INDEX(Curves!$X$8:$X$68,BF$4-$B137+1)</f>
        <v/>
      </c>
      <c r="BG137" s="56">
        <f>$C137*INDEX(Curves!$X$8:$X$68,BG$4-$B137+1)</f>
        <v/>
      </c>
      <c r="BH137" s="56">
        <f>$C137*INDEX(Curves!$X$8:$X$68,BH$4-$B137+1)</f>
        <v/>
      </c>
      <c r="BI137" s="56">
        <f>$C137*INDEX(Curves!$X$8:$X$68,BI$4-$B137+1)</f>
        <v/>
      </c>
      <c r="BJ137" s="56">
        <f>$C137*INDEX(Curves!$X$8:$X$68,BJ$4-$B137+1)</f>
        <v/>
      </c>
      <c r="BK137" s="56">
        <f>$C137*INDEX(Curves!$X$8:$X$68,BK$4-$B137+1)</f>
        <v/>
      </c>
      <c r="BL137" s="56">
        <f>$C137*INDEX(Curves!$X$8:$X$68,BL$4-$B137+1)</f>
        <v/>
      </c>
    </row>
    <row r="138">
      <c r="A138" s="55" t="inlineStr">
        <is>
          <t>Cohort month 3</t>
        </is>
      </c>
      <c r="B138" s="55" t="n">
        <v>3</v>
      </c>
      <c r="C138" s="46">
        <f>INDEX(Ops!$E$40:$BL$40,1,$B138)</f>
        <v/>
      </c>
      <c r="H138" s="56">
        <f>$C138*INDEX(Curves!$X$8:$X$68,H$4-$B138+1)</f>
        <v/>
      </c>
      <c r="I138" s="56">
        <f>$C138*INDEX(Curves!$X$8:$X$68,I$4-$B138+1)</f>
        <v/>
      </c>
      <c r="J138" s="56">
        <f>$C138*INDEX(Curves!$X$8:$X$68,J$4-$B138+1)</f>
        <v/>
      </c>
      <c r="K138" s="56">
        <f>$C138*INDEX(Curves!$X$8:$X$68,K$4-$B138+1)</f>
        <v/>
      </c>
      <c r="L138" s="56">
        <f>$C138*INDEX(Curves!$X$8:$X$68,L$4-$B138+1)</f>
        <v/>
      </c>
      <c r="M138" s="56">
        <f>$C138*INDEX(Curves!$X$8:$X$68,M$4-$B138+1)</f>
        <v/>
      </c>
      <c r="N138" s="56">
        <f>$C138*INDEX(Curves!$X$8:$X$68,N$4-$B138+1)</f>
        <v/>
      </c>
      <c r="O138" s="56">
        <f>$C138*INDEX(Curves!$X$8:$X$68,O$4-$B138+1)</f>
        <v/>
      </c>
      <c r="P138" s="56">
        <f>$C138*INDEX(Curves!$X$8:$X$68,P$4-$B138+1)</f>
        <v/>
      </c>
      <c r="Q138" s="56">
        <f>$C138*INDEX(Curves!$X$8:$X$68,Q$4-$B138+1)</f>
        <v/>
      </c>
      <c r="R138" s="56">
        <f>$C138*INDEX(Curves!$X$8:$X$68,R$4-$B138+1)</f>
        <v/>
      </c>
      <c r="S138" s="56">
        <f>$C138*INDEX(Curves!$X$8:$X$68,S$4-$B138+1)</f>
        <v/>
      </c>
      <c r="T138" s="56">
        <f>$C138*INDEX(Curves!$X$8:$X$68,T$4-$B138+1)</f>
        <v/>
      </c>
      <c r="U138" s="56">
        <f>$C138*INDEX(Curves!$X$8:$X$68,U$4-$B138+1)</f>
        <v/>
      </c>
      <c r="V138" s="56">
        <f>$C138*INDEX(Curves!$X$8:$X$68,V$4-$B138+1)</f>
        <v/>
      </c>
      <c r="W138" s="56">
        <f>$C138*INDEX(Curves!$X$8:$X$68,W$4-$B138+1)</f>
        <v/>
      </c>
      <c r="X138" s="56">
        <f>$C138*INDEX(Curves!$X$8:$X$68,X$4-$B138+1)</f>
        <v/>
      </c>
      <c r="Y138" s="56">
        <f>$C138*INDEX(Curves!$X$8:$X$68,Y$4-$B138+1)</f>
        <v/>
      </c>
      <c r="Z138" s="56">
        <f>$C138*INDEX(Curves!$X$8:$X$68,Z$4-$B138+1)</f>
        <v/>
      </c>
      <c r="AA138" s="56">
        <f>$C138*INDEX(Curves!$X$8:$X$68,AA$4-$B138+1)</f>
        <v/>
      </c>
      <c r="AB138" s="56">
        <f>$C138*INDEX(Curves!$X$8:$X$68,AB$4-$B138+1)</f>
        <v/>
      </c>
      <c r="AC138" s="56">
        <f>$C138*INDEX(Curves!$X$8:$X$68,AC$4-$B138+1)</f>
        <v/>
      </c>
      <c r="AD138" s="56">
        <f>$C138*INDEX(Curves!$X$8:$X$68,AD$4-$B138+1)</f>
        <v/>
      </c>
      <c r="AE138" s="56">
        <f>$C138*INDEX(Curves!$X$8:$X$68,AE$4-$B138+1)</f>
        <v/>
      </c>
      <c r="AF138" s="56">
        <f>$C138*INDEX(Curves!$X$8:$X$68,AF$4-$B138+1)</f>
        <v/>
      </c>
      <c r="AG138" s="56">
        <f>$C138*INDEX(Curves!$X$8:$X$68,AG$4-$B138+1)</f>
        <v/>
      </c>
      <c r="AH138" s="56">
        <f>$C138*INDEX(Curves!$X$8:$X$68,AH$4-$B138+1)</f>
        <v/>
      </c>
      <c r="AI138" s="56">
        <f>$C138*INDEX(Curves!$X$8:$X$68,AI$4-$B138+1)</f>
        <v/>
      </c>
      <c r="AJ138" s="56">
        <f>$C138*INDEX(Curves!$X$8:$X$68,AJ$4-$B138+1)</f>
        <v/>
      </c>
      <c r="AK138" s="56">
        <f>$C138*INDEX(Curves!$X$8:$X$68,AK$4-$B138+1)</f>
        <v/>
      </c>
      <c r="AL138" s="56">
        <f>$C138*INDEX(Curves!$X$8:$X$68,AL$4-$B138+1)</f>
        <v/>
      </c>
      <c r="AM138" s="56">
        <f>$C138*INDEX(Curves!$X$8:$X$68,AM$4-$B138+1)</f>
        <v/>
      </c>
      <c r="AN138" s="56">
        <f>$C138*INDEX(Curves!$X$8:$X$68,AN$4-$B138+1)</f>
        <v/>
      </c>
      <c r="AO138" s="56">
        <f>$C138*INDEX(Curves!$X$8:$X$68,AO$4-$B138+1)</f>
        <v/>
      </c>
      <c r="AP138" s="56">
        <f>$C138*INDEX(Curves!$X$8:$X$68,AP$4-$B138+1)</f>
        <v/>
      </c>
      <c r="AQ138" s="56">
        <f>$C138*INDEX(Curves!$X$8:$X$68,AQ$4-$B138+1)</f>
        <v/>
      </c>
      <c r="AR138" s="56">
        <f>$C138*INDEX(Curves!$X$8:$X$68,AR$4-$B138+1)</f>
        <v/>
      </c>
      <c r="AS138" s="56">
        <f>$C138*INDEX(Curves!$X$8:$X$68,AS$4-$B138+1)</f>
        <v/>
      </c>
      <c r="AT138" s="56">
        <f>$C138*INDEX(Curves!$X$8:$X$68,AT$4-$B138+1)</f>
        <v/>
      </c>
      <c r="AU138" s="56">
        <f>$C138*INDEX(Curves!$X$8:$X$68,AU$4-$B138+1)</f>
        <v/>
      </c>
      <c r="AV138" s="56">
        <f>$C138*INDEX(Curves!$X$8:$X$68,AV$4-$B138+1)</f>
        <v/>
      </c>
      <c r="AW138" s="56">
        <f>$C138*INDEX(Curves!$X$8:$X$68,AW$4-$B138+1)</f>
        <v/>
      </c>
      <c r="AX138" s="56">
        <f>$C138*INDEX(Curves!$X$8:$X$68,AX$4-$B138+1)</f>
        <v/>
      </c>
      <c r="AY138" s="56">
        <f>$C138*INDEX(Curves!$X$8:$X$68,AY$4-$B138+1)</f>
        <v/>
      </c>
      <c r="AZ138" s="56">
        <f>$C138*INDEX(Curves!$X$8:$X$68,AZ$4-$B138+1)</f>
        <v/>
      </c>
      <c r="BA138" s="56">
        <f>$C138*INDEX(Curves!$X$8:$X$68,BA$4-$B138+1)</f>
        <v/>
      </c>
      <c r="BB138" s="56">
        <f>$C138*INDEX(Curves!$X$8:$X$68,BB$4-$B138+1)</f>
        <v/>
      </c>
      <c r="BC138" s="56">
        <f>$C138*INDEX(Curves!$X$8:$X$68,BC$4-$B138+1)</f>
        <v/>
      </c>
      <c r="BD138" s="56">
        <f>$C138*INDEX(Curves!$X$8:$X$68,BD$4-$B138+1)</f>
        <v/>
      </c>
      <c r="BE138" s="56">
        <f>$C138*INDEX(Curves!$X$8:$X$68,BE$4-$B138+1)</f>
        <v/>
      </c>
      <c r="BF138" s="56">
        <f>$C138*INDEX(Curves!$X$8:$X$68,BF$4-$B138+1)</f>
        <v/>
      </c>
      <c r="BG138" s="56">
        <f>$C138*INDEX(Curves!$X$8:$X$68,BG$4-$B138+1)</f>
        <v/>
      </c>
      <c r="BH138" s="56">
        <f>$C138*INDEX(Curves!$X$8:$X$68,BH$4-$B138+1)</f>
        <v/>
      </c>
      <c r="BI138" s="56">
        <f>$C138*INDEX(Curves!$X$8:$X$68,BI$4-$B138+1)</f>
        <v/>
      </c>
      <c r="BJ138" s="56">
        <f>$C138*INDEX(Curves!$X$8:$X$68,BJ$4-$B138+1)</f>
        <v/>
      </c>
      <c r="BK138" s="56">
        <f>$C138*INDEX(Curves!$X$8:$X$68,BK$4-$B138+1)</f>
        <v/>
      </c>
      <c r="BL138" s="56">
        <f>$C138*INDEX(Curves!$X$8:$X$68,BL$4-$B138+1)</f>
        <v/>
      </c>
    </row>
    <row r="139">
      <c r="A139" s="55" t="inlineStr">
        <is>
          <t>Cohort month 4</t>
        </is>
      </c>
      <c r="B139" s="55" t="n">
        <v>4</v>
      </c>
      <c r="C139" s="46">
        <f>INDEX(Ops!$E$40:$BL$40,1,$B139)</f>
        <v/>
      </c>
      <c r="I139" s="56">
        <f>$C139*INDEX(Curves!$X$8:$X$68,I$4-$B139+1)</f>
        <v/>
      </c>
      <c r="J139" s="56">
        <f>$C139*INDEX(Curves!$X$8:$X$68,J$4-$B139+1)</f>
        <v/>
      </c>
      <c r="K139" s="56">
        <f>$C139*INDEX(Curves!$X$8:$X$68,K$4-$B139+1)</f>
        <v/>
      </c>
      <c r="L139" s="56">
        <f>$C139*INDEX(Curves!$X$8:$X$68,L$4-$B139+1)</f>
        <v/>
      </c>
      <c r="M139" s="56">
        <f>$C139*INDEX(Curves!$X$8:$X$68,M$4-$B139+1)</f>
        <v/>
      </c>
      <c r="N139" s="56">
        <f>$C139*INDEX(Curves!$X$8:$X$68,N$4-$B139+1)</f>
        <v/>
      </c>
      <c r="O139" s="56">
        <f>$C139*INDEX(Curves!$X$8:$X$68,O$4-$B139+1)</f>
        <v/>
      </c>
      <c r="P139" s="56">
        <f>$C139*INDEX(Curves!$X$8:$X$68,P$4-$B139+1)</f>
        <v/>
      </c>
      <c r="Q139" s="56">
        <f>$C139*INDEX(Curves!$X$8:$X$68,Q$4-$B139+1)</f>
        <v/>
      </c>
      <c r="R139" s="56">
        <f>$C139*INDEX(Curves!$X$8:$X$68,R$4-$B139+1)</f>
        <v/>
      </c>
      <c r="S139" s="56">
        <f>$C139*INDEX(Curves!$X$8:$X$68,S$4-$B139+1)</f>
        <v/>
      </c>
      <c r="T139" s="56">
        <f>$C139*INDEX(Curves!$X$8:$X$68,T$4-$B139+1)</f>
        <v/>
      </c>
      <c r="U139" s="56">
        <f>$C139*INDEX(Curves!$X$8:$X$68,U$4-$B139+1)</f>
        <v/>
      </c>
      <c r="V139" s="56">
        <f>$C139*INDEX(Curves!$X$8:$X$68,V$4-$B139+1)</f>
        <v/>
      </c>
      <c r="W139" s="56">
        <f>$C139*INDEX(Curves!$X$8:$X$68,W$4-$B139+1)</f>
        <v/>
      </c>
      <c r="X139" s="56">
        <f>$C139*INDEX(Curves!$X$8:$X$68,X$4-$B139+1)</f>
        <v/>
      </c>
      <c r="Y139" s="56">
        <f>$C139*INDEX(Curves!$X$8:$X$68,Y$4-$B139+1)</f>
        <v/>
      </c>
      <c r="Z139" s="56">
        <f>$C139*INDEX(Curves!$X$8:$X$68,Z$4-$B139+1)</f>
        <v/>
      </c>
      <c r="AA139" s="56">
        <f>$C139*INDEX(Curves!$X$8:$X$68,AA$4-$B139+1)</f>
        <v/>
      </c>
      <c r="AB139" s="56">
        <f>$C139*INDEX(Curves!$X$8:$X$68,AB$4-$B139+1)</f>
        <v/>
      </c>
      <c r="AC139" s="56">
        <f>$C139*INDEX(Curves!$X$8:$X$68,AC$4-$B139+1)</f>
        <v/>
      </c>
      <c r="AD139" s="56">
        <f>$C139*INDEX(Curves!$X$8:$X$68,AD$4-$B139+1)</f>
        <v/>
      </c>
      <c r="AE139" s="56">
        <f>$C139*INDEX(Curves!$X$8:$X$68,AE$4-$B139+1)</f>
        <v/>
      </c>
      <c r="AF139" s="56">
        <f>$C139*INDEX(Curves!$X$8:$X$68,AF$4-$B139+1)</f>
        <v/>
      </c>
      <c r="AG139" s="56">
        <f>$C139*INDEX(Curves!$X$8:$X$68,AG$4-$B139+1)</f>
        <v/>
      </c>
      <c r="AH139" s="56">
        <f>$C139*INDEX(Curves!$X$8:$X$68,AH$4-$B139+1)</f>
        <v/>
      </c>
      <c r="AI139" s="56">
        <f>$C139*INDEX(Curves!$X$8:$X$68,AI$4-$B139+1)</f>
        <v/>
      </c>
      <c r="AJ139" s="56">
        <f>$C139*INDEX(Curves!$X$8:$X$68,AJ$4-$B139+1)</f>
        <v/>
      </c>
      <c r="AK139" s="56">
        <f>$C139*INDEX(Curves!$X$8:$X$68,AK$4-$B139+1)</f>
        <v/>
      </c>
      <c r="AL139" s="56">
        <f>$C139*INDEX(Curves!$X$8:$X$68,AL$4-$B139+1)</f>
        <v/>
      </c>
      <c r="AM139" s="56">
        <f>$C139*INDEX(Curves!$X$8:$X$68,AM$4-$B139+1)</f>
        <v/>
      </c>
      <c r="AN139" s="56">
        <f>$C139*INDEX(Curves!$X$8:$X$68,AN$4-$B139+1)</f>
        <v/>
      </c>
      <c r="AO139" s="56">
        <f>$C139*INDEX(Curves!$X$8:$X$68,AO$4-$B139+1)</f>
        <v/>
      </c>
      <c r="AP139" s="56">
        <f>$C139*INDEX(Curves!$X$8:$X$68,AP$4-$B139+1)</f>
        <v/>
      </c>
      <c r="AQ139" s="56">
        <f>$C139*INDEX(Curves!$X$8:$X$68,AQ$4-$B139+1)</f>
        <v/>
      </c>
      <c r="AR139" s="56">
        <f>$C139*INDEX(Curves!$X$8:$X$68,AR$4-$B139+1)</f>
        <v/>
      </c>
      <c r="AS139" s="56">
        <f>$C139*INDEX(Curves!$X$8:$X$68,AS$4-$B139+1)</f>
        <v/>
      </c>
      <c r="AT139" s="56">
        <f>$C139*INDEX(Curves!$X$8:$X$68,AT$4-$B139+1)</f>
        <v/>
      </c>
      <c r="AU139" s="56">
        <f>$C139*INDEX(Curves!$X$8:$X$68,AU$4-$B139+1)</f>
        <v/>
      </c>
      <c r="AV139" s="56">
        <f>$C139*INDEX(Curves!$X$8:$X$68,AV$4-$B139+1)</f>
        <v/>
      </c>
      <c r="AW139" s="56">
        <f>$C139*INDEX(Curves!$X$8:$X$68,AW$4-$B139+1)</f>
        <v/>
      </c>
      <c r="AX139" s="56">
        <f>$C139*INDEX(Curves!$X$8:$X$68,AX$4-$B139+1)</f>
        <v/>
      </c>
      <c r="AY139" s="56">
        <f>$C139*INDEX(Curves!$X$8:$X$68,AY$4-$B139+1)</f>
        <v/>
      </c>
      <c r="AZ139" s="56">
        <f>$C139*INDEX(Curves!$X$8:$X$68,AZ$4-$B139+1)</f>
        <v/>
      </c>
      <c r="BA139" s="56">
        <f>$C139*INDEX(Curves!$X$8:$X$68,BA$4-$B139+1)</f>
        <v/>
      </c>
      <c r="BB139" s="56">
        <f>$C139*INDEX(Curves!$X$8:$X$68,BB$4-$B139+1)</f>
        <v/>
      </c>
      <c r="BC139" s="56">
        <f>$C139*INDEX(Curves!$X$8:$X$68,BC$4-$B139+1)</f>
        <v/>
      </c>
      <c r="BD139" s="56">
        <f>$C139*INDEX(Curves!$X$8:$X$68,BD$4-$B139+1)</f>
        <v/>
      </c>
      <c r="BE139" s="56">
        <f>$C139*INDEX(Curves!$X$8:$X$68,BE$4-$B139+1)</f>
        <v/>
      </c>
      <c r="BF139" s="56">
        <f>$C139*INDEX(Curves!$X$8:$X$68,BF$4-$B139+1)</f>
        <v/>
      </c>
      <c r="BG139" s="56">
        <f>$C139*INDEX(Curves!$X$8:$X$68,BG$4-$B139+1)</f>
        <v/>
      </c>
      <c r="BH139" s="56">
        <f>$C139*INDEX(Curves!$X$8:$X$68,BH$4-$B139+1)</f>
        <v/>
      </c>
      <c r="BI139" s="56">
        <f>$C139*INDEX(Curves!$X$8:$X$68,BI$4-$B139+1)</f>
        <v/>
      </c>
      <c r="BJ139" s="56">
        <f>$C139*INDEX(Curves!$X$8:$X$68,BJ$4-$B139+1)</f>
        <v/>
      </c>
      <c r="BK139" s="56">
        <f>$C139*INDEX(Curves!$X$8:$X$68,BK$4-$B139+1)</f>
        <v/>
      </c>
      <c r="BL139" s="56">
        <f>$C139*INDEX(Curves!$X$8:$X$68,BL$4-$B139+1)</f>
        <v/>
      </c>
    </row>
    <row r="140">
      <c r="A140" s="55" t="inlineStr">
        <is>
          <t>Cohort month 5</t>
        </is>
      </c>
      <c r="B140" s="55" t="n">
        <v>5</v>
      </c>
      <c r="C140" s="46">
        <f>INDEX(Ops!$E$40:$BL$40,1,$B140)</f>
        <v/>
      </c>
      <c r="J140" s="56">
        <f>$C140*INDEX(Curves!$X$8:$X$68,J$4-$B140+1)</f>
        <v/>
      </c>
      <c r="K140" s="56">
        <f>$C140*INDEX(Curves!$X$8:$X$68,K$4-$B140+1)</f>
        <v/>
      </c>
      <c r="L140" s="56">
        <f>$C140*INDEX(Curves!$X$8:$X$68,L$4-$B140+1)</f>
        <v/>
      </c>
      <c r="M140" s="56">
        <f>$C140*INDEX(Curves!$X$8:$X$68,M$4-$B140+1)</f>
        <v/>
      </c>
      <c r="N140" s="56">
        <f>$C140*INDEX(Curves!$X$8:$X$68,N$4-$B140+1)</f>
        <v/>
      </c>
      <c r="O140" s="56">
        <f>$C140*INDEX(Curves!$X$8:$X$68,O$4-$B140+1)</f>
        <v/>
      </c>
      <c r="P140" s="56">
        <f>$C140*INDEX(Curves!$X$8:$X$68,P$4-$B140+1)</f>
        <v/>
      </c>
      <c r="Q140" s="56">
        <f>$C140*INDEX(Curves!$X$8:$X$68,Q$4-$B140+1)</f>
        <v/>
      </c>
      <c r="R140" s="56">
        <f>$C140*INDEX(Curves!$X$8:$X$68,R$4-$B140+1)</f>
        <v/>
      </c>
      <c r="S140" s="56">
        <f>$C140*INDEX(Curves!$X$8:$X$68,S$4-$B140+1)</f>
        <v/>
      </c>
      <c r="T140" s="56">
        <f>$C140*INDEX(Curves!$X$8:$X$68,T$4-$B140+1)</f>
        <v/>
      </c>
      <c r="U140" s="56">
        <f>$C140*INDEX(Curves!$X$8:$X$68,U$4-$B140+1)</f>
        <v/>
      </c>
      <c r="V140" s="56">
        <f>$C140*INDEX(Curves!$X$8:$X$68,V$4-$B140+1)</f>
        <v/>
      </c>
      <c r="W140" s="56">
        <f>$C140*INDEX(Curves!$X$8:$X$68,W$4-$B140+1)</f>
        <v/>
      </c>
      <c r="X140" s="56">
        <f>$C140*INDEX(Curves!$X$8:$X$68,X$4-$B140+1)</f>
        <v/>
      </c>
      <c r="Y140" s="56">
        <f>$C140*INDEX(Curves!$X$8:$X$68,Y$4-$B140+1)</f>
        <v/>
      </c>
      <c r="Z140" s="56">
        <f>$C140*INDEX(Curves!$X$8:$X$68,Z$4-$B140+1)</f>
        <v/>
      </c>
      <c r="AA140" s="56">
        <f>$C140*INDEX(Curves!$X$8:$X$68,AA$4-$B140+1)</f>
        <v/>
      </c>
      <c r="AB140" s="56">
        <f>$C140*INDEX(Curves!$X$8:$X$68,AB$4-$B140+1)</f>
        <v/>
      </c>
      <c r="AC140" s="56">
        <f>$C140*INDEX(Curves!$X$8:$X$68,AC$4-$B140+1)</f>
        <v/>
      </c>
      <c r="AD140" s="56">
        <f>$C140*INDEX(Curves!$X$8:$X$68,AD$4-$B140+1)</f>
        <v/>
      </c>
      <c r="AE140" s="56">
        <f>$C140*INDEX(Curves!$X$8:$X$68,AE$4-$B140+1)</f>
        <v/>
      </c>
      <c r="AF140" s="56">
        <f>$C140*INDEX(Curves!$X$8:$X$68,AF$4-$B140+1)</f>
        <v/>
      </c>
      <c r="AG140" s="56">
        <f>$C140*INDEX(Curves!$X$8:$X$68,AG$4-$B140+1)</f>
        <v/>
      </c>
      <c r="AH140" s="56">
        <f>$C140*INDEX(Curves!$X$8:$X$68,AH$4-$B140+1)</f>
        <v/>
      </c>
      <c r="AI140" s="56">
        <f>$C140*INDEX(Curves!$X$8:$X$68,AI$4-$B140+1)</f>
        <v/>
      </c>
      <c r="AJ140" s="56">
        <f>$C140*INDEX(Curves!$X$8:$X$68,AJ$4-$B140+1)</f>
        <v/>
      </c>
      <c r="AK140" s="56">
        <f>$C140*INDEX(Curves!$X$8:$X$68,AK$4-$B140+1)</f>
        <v/>
      </c>
      <c r="AL140" s="56">
        <f>$C140*INDEX(Curves!$X$8:$X$68,AL$4-$B140+1)</f>
        <v/>
      </c>
      <c r="AM140" s="56">
        <f>$C140*INDEX(Curves!$X$8:$X$68,AM$4-$B140+1)</f>
        <v/>
      </c>
      <c r="AN140" s="56">
        <f>$C140*INDEX(Curves!$X$8:$X$68,AN$4-$B140+1)</f>
        <v/>
      </c>
      <c r="AO140" s="56">
        <f>$C140*INDEX(Curves!$X$8:$X$68,AO$4-$B140+1)</f>
        <v/>
      </c>
      <c r="AP140" s="56">
        <f>$C140*INDEX(Curves!$X$8:$X$68,AP$4-$B140+1)</f>
        <v/>
      </c>
      <c r="AQ140" s="56">
        <f>$C140*INDEX(Curves!$X$8:$X$68,AQ$4-$B140+1)</f>
        <v/>
      </c>
      <c r="AR140" s="56">
        <f>$C140*INDEX(Curves!$X$8:$X$68,AR$4-$B140+1)</f>
        <v/>
      </c>
      <c r="AS140" s="56">
        <f>$C140*INDEX(Curves!$X$8:$X$68,AS$4-$B140+1)</f>
        <v/>
      </c>
      <c r="AT140" s="56">
        <f>$C140*INDEX(Curves!$X$8:$X$68,AT$4-$B140+1)</f>
        <v/>
      </c>
      <c r="AU140" s="56">
        <f>$C140*INDEX(Curves!$X$8:$X$68,AU$4-$B140+1)</f>
        <v/>
      </c>
      <c r="AV140" s="56">
        <f>$C140*INDEX(Curves!$X$8:$X$68,AV$4-$B140+1)</f>
        <v/>
      </c>
      <c r="AW140" s="56">
        <f>$C140*INDEX(Curves!$X$8:$X$68,AW$4-$B140+1)</f>
        <v/>
      </c>
      <c r="AX140" s="56">
        <f>$C140*INDEX(Curves!$X$8:$X$68,AX$4-$B140+1)</f>
        <v/>
      </c>
      <c r="AY140" s="56">
        <f>$C140*INDEX(Curves!$X$8:$X$68,AY$4-$B140+1)</f>
        <v/>
      </c>
      <c r="AZ140" s="56">
        <f>$C140*INDEX(Curves!$X$8:$X$68,AZ$4-$B140+1)</f>
        <v/>
      </c>
      <c r="BA140" s="56">
        <f>$C140*INDEX(Curves!$X$8:$X$68,BA$4-$B140+1)</f>
        <v/>
      </c>
      <c r="BB140" s="56">
        <f>$C140*INDEX(Curves!$X$8:$X$68,BB$4-$B140+1)</f>
        <v/>
      </c>
      <c r="BC140" s="56">
        <f>$C140*INDEX(Curves!$X$8:$X$68,BC$4-$B140+1)</f>
        <v/>
      </c>
      <c r="BD140" s="56">
        <f>$C140*INDEX(Curves!$X$8:$X$68,BD$4-$B140+1)</f>
        <v/>
      </c>
      <c r="BE140" s="56">
        <f>$C140*INDEX(Curves!$X$8:$X$68,BE$4-$B140+1)</f>
        <v/>
      </c>
      <c r="BF140" s="56">
        <f>$C140*INDEX(Curves!$X$8:$X$68,BF$4-$B140+1)</f>
        <v/>
      </c>
      <c r="BG140" s="56">
        <f>$C140*INDEX(Curves!$X$8:$X$68,BG$4-$B140+1)</f>
        <v/>
      </c>
      <c r="BH140" s="56">
        <f>$C140*INDEX(Curves!$X$8:$X$68,BH$4-$B140+1)</f>
        <v/>
      </c>
      <c r="BI140" s="56">
        <f>$C140*INDEX(Curves!$X$8:$X$68,BI$4-$B140+1)</f>
        <v/>
      </c>
      <c r="BJ140" s="56">
        <f>$C140*INDEX(Curves!$X$8:$X$68,BJ$4-$B140+1)</f>
        <v/>
      </c>
      <c r="BK140" s="56">
        <f>$C140*INDEX(Curves!$X$8:$X$68,BK$4-$B140+1)</f>
        <v/>
      </c>
      <c r="BL140" s="56">
        <f>$C140*INDEX(Curves!$X$8:$X$68,BL$4-$B140+1)</f>
        <v/>
      </c>
    </row>
    <row r="141">
      <c r="A141" s="55" t="inlineStr">
        <is>
          <t>Cohort month 6</t>
        </is>
      </c>
      <c r="B141" s="55" t="n">
        <v>6</v>
      </c>
      <c r="C141" s="46">
        <f>INDEX(Ops!$E$40:$BL$40,1,$B141)</f>
        <v/>
      </c>
      <c r="K141" s="56">
        <f>$C141*INDEX(Curves!$X$8:$X$68,K$4-$B141+1)</f>
        <v/>
      </c>
      <c r="L141" s="56">
        <f>$C141*INDEX(Curves!$X$8:$X$68,L$4-$B141+1)</f>
        <v/>
      </c>
      <c r="M141" s="56">
        <f>$C141*INDEX(Curves!$X$8:$X$68,M$4-$B141+1)</f>
        <v/>
      </c>
      <c r="N141" s="56">
        <f>$C141*INDEX(Curves!$X$8:$X$68,N$4-$B141+1)</f>
        <v/>
      </c>
      <c r="O141" s="56">
        <f>$C141*INDEX(Curves!$X$8:$X$68,O$4-$B141+1)</f>
        <v/>
      </c>
      <c r="P141" s="56">
        <f>$C141*INDEX(Curves!$X$8:$X$68,P$4-$B141+1)</f>
        <v/>
      </c>
      <c r="Q141" s="56">
        <f>$C141*INDEX(Curves!$X$8:$X$68,Q$4-$B141+1)</f>
        <v/>
      </c>
      <c r="R141" s="56">
        <f>$C141*INDEX(Curves!$X$8:$X$68,R$4-$B141+1)</f>
        <v/>
      </c>
      <c r="S141" s="56">
        <f>$C141*INDEX(Curves!$X$8:$X$68,S$4-$B141+1)</f>
        <v/>
      </c>
      <c r="T141" s="56">
        <f>$C141*INDEX(Curves!$X$8:$X$68,T$4-$B141+1)</f>
        <v/>
      </c>
      <c r="U141" s="56">
        <f>$C141*INDEX(Curves!$X$8:$X$68,U$4-$B141+1)</f>
        <v/>
      </c>
      <c r="V141" s="56">
        <f>$C141*INDEX(Curves!$X$8:$X$68,V$4-$B141+1)</f>
        <v/>
      </c>
      <c r="W141" s="56">
        <f>$C141*INDEX(Curves!$X$8:$X$68,W$4-$B141+1)</f>
        <v/>
      </c>
      <c r="X141" s="56">
        <f>$C141*INDEX(Curves!$X$8:$X$68,X$4-$B141+1)</f>
        <v/>
      </c>
      <c r="Y141" s="56">
        <f>$C141*INDEX(Curves!$X$8:$X$68,Y$4-$B141+1)</f>
        <v/>
      </c>
      <c r="Z141" s="56">
        <f>$C141*INDEX(Curves!$X$8:$X$68,Z$4-$B141+1)</f>
        <v/>
      </c>
      <c r="AA141" s="56">
        <f>$C141*INDEX(Curves!$X$8:$X$68,AA$4-$B141+1)</f>
        <v/>
      </c>
      <c r="AB141" s="56">
        <f>$C141*INDEX(Curves!$X$8:$X$68,AB$4-$B141+1)</f>
        <v/>
      </c>
      <c r="AC141" s="56">
        <f>$C141*INDEX(Curves!$X$8:$X$68,AC$4-$B141+1)</f>
        <v/>
      </c>
      <c r="AD141" s="56">
        <f>$C141*INDEX(Curves!$X$8:$X$68,AD$4-$B141+1)</f>
        <v/>
      </c>
      <c r="AE141" s="56">
        <f>$C141*INDEX(Curves!$X$8:$X$68,AE$4-$B141+1)</f>
        <v/>
      </c>
      <c r="AF141" s="56">
        <f>$C141*INDEX(Curves!$X$8:$X$68,AF$4-$B141+1)</f>
        <v/>
      </c>
      <c r="AG141" s="56">
        <f>$C141*INDEX(Curves!$X$8:$X$68,AG$4-$B141+1)</f>
        <v/>
      </c>
      <c r="AH141" s="56">
        <f>$C141*INDEX(Curves!$X$8:$X$68,AH$4-$B141+1)</f>
        <v/>
      </c>
      <c r="AI141" s="56">
        <f>$C141*INDEX(Curves!$X$8:$X$68,AI$4-$B141+1)</f>
        <v/>
      </c>
      <c r="AJ141" s="56">
        <f>$C141*INDEX(Curves!$X$8:$X$68,AJ$4-$B141+1)</f>
        <v/>
      </c>
      <c r="AK141" s="56">
        <f>$C141*INDEX(Curves!$X$8:$X$68,AK$4-$B141+1)</f>
        <v/>
      </c>
      <c r="AL141" s="56">
        <f>$C141*INDEX(Curves!$X$8:$X$68,AL$4-$B141+1)</f>
        <v/>
      </c>
      <c r="AM141" s="56">
        <f>$C141*INDEX(Curves!$X$8:$X$68,AM$4-$B141+1)</f>
        <v/>
      </c>
      <c r="AN141" s="56">
        <f>$C141*INDEX(Curves!$X$8:$X$68,AN$4-$B141+1)</f>
        <v/>
      </c>
      <c r="AO141" s="56">
        <f>$C141*INDEX(Curves!$X$8:$X$68,AO$4-$B141+1)</f>
        <v/>
      </c>
      <c r="AP141" s="56">
        <f>$C141*INDEX(Curves!$X$8:$X$68,AP$4-$B141+1)</f>
        <v/>
      </c>
      <c r="AQ141" s="56">
        <f>$C141*INDEX(Curves!$X$8:$X$68,AQ$4-$B141+1)</f>
        <v/>
      </c>
      <c r="AR141" s="56">
        <f>$C141*INDEX(Curves!$X$8:$X$68,AR$4-$B141+1)</f>
        <v/>
      </c>
      <c r="AS141" s="56">
        <f>$C141*INDEX(Curves!$X$8:$X$68,AS$4-$B141+1)</f>
        <v/>
      </c>
      <c r="AT141" s="56">
        <f>$C141*INDEX(Curves!$X$8:$X$68,AT$4-$B141+1)</f>
        <v/>
      </c>
      <c r="AU141" s="56">
        <f>$C141*INDEX(Curves!$X$8:$X$68,AU$4-$B141+1)</f>
        <v/>
      </c>
      <c r="AV141" s="56">
        <f>$C141*INDEX(Curves!$X$8:$X$68,AV$4-$B141+1)</f>
        <v/>
      </c>
      <c r="AW141" s="56">
        <f>$C141*INDEX(Curves!$X$8:$X$68,AW$4-$B141+1)</f>
        <v/>
      </c>
      <c r="AX141" s="56">
        <f>$C141*INDEX(Curves!$X$8:$X$68,AX$4-$B141+1)</f>
        <v/>
      </c>
      <c r="AY141" s="56">
        <f>$C141*INDEX(Curves!$X$8:$X$68,AY$4-$B141+1)</f>
        <v/>
      </c>
      <c r="AZ141" s="56">
        <f>$C141*INDEX(Curves!$X$8:$X$68,AZ$4-$B141+1)</f>
        <v/>
      </c>
      <c r="BA141" s="56">
        <f>$C141*INDEX(Curves!$X$8:$X$68,BA$4-$B141+1)</f>
        <v/>
      </c>
      <c r="BB141" s="56">
        <f>$C141*INDEX(Curves!$X$8:$X$68,BB$4-$B141+1)</f>
        <v/>
      </c>
      <c r="BC141" s="56">
        <f>$C141*INDEX(Curves!$X$8:$X$68,BC$4-$B141+1)</f>
        <v/>
      </c>
      <c r="BD141" s="56">
        <f>$C141*INDEX(Curves!$X$8:$X$68,BD$4-$B141+1)</f>
        <v/>
      </c>
      <c r="BE141" s="56">
        <f>$C141*INDEX(Curves!$X$8:$X$68,BE$4-$B141+1)</f>
        <v/>
      </c>
      <c r="BF141" s="56">
        <f>$C141*INDEX(Curves!$X$8:$X$68,BF$4-$B141+1)</f>
        <v/>
      </c>
      <c r="BG141" s="56">
        <f>$C141*INDEX(Curves!$X$8:$X$68,BG$4-$B141+1)</f>
        <v/>
      </c>
      <c r="BH141" s="56">
        <f>$C141*INDEX(Curves!$X$8:$X$68,BH$4-$B141+1)</f>
        <v/>
      </c>
      <c r="BI141" s="56">
        <f>$C141*INDEX(Curves!$X$8:$X$68,BI$4-$B141+1)</f>
        <v/>
      </c>
      <c r="BJ141" s="56">
        <f>$C141*INDEX(Curves!$X$8:$X$68,BJ$4-$B141+1)</f>
        <v/>
      </c>
      <c r="BK141" s="56">
        <f>$C141*INDEX(Curves!$X$8:$X$68,BK$4-$B141+1)</f>
        <v/>
      </c>
      <c r="BL141" s="56">
        <f>$C141*INDEX(Curves!$X$8:$X$68,BL$4-$B141+1)</f>
        <v/>
      </c>
    </row>
    <row r="142">
      <c r="A142" s="55" t="inlineStr">
        <is>
          <t>Cohort month 7</t>
        </is>
      </c>
      <c r="B142" s="55" t="n">
        <v>7</v>
      </c>
      <c r="C142" s="46">
        <f>INDEX(Ops!$E$40:$BL$40,1,$B142)</f>
        <v/>
      </c>
      <c r="L142" s="56">
        <f>$C142*INDEX(Curves!$X$8:$X$68,L$4-$B142+1)</f>
        <v/>
      </c>
      <c r="M142" s="56">
        <f>$C142*INDEX(Curves!$X$8:$X$68,M$4-$B142+1)</f>
        <v/>
      </c>
      <c r="N142" s="56">
        <f>$C142*INDEX(Curves!$X$8:$X$68,N$4-$B142+1)</f>
        <v/>
      </c>
      <c r="O142" s="56">
        <f>$C142*INDEX(Curves!$X$8:$X$68,O$4-$B142+1)</f>
        <v/>
      </c>
      <c r="P142" s="56">
        <f>$C142*INDEX(Curves!$X$8:$X$68,P$4-$B142+1)</f>
        <v/>
      </c>
      <c r="Q142" s="56">
        <f>$C142*INDEX(Curves!$X$8:$X$68,Q$4-$B142+1)</f>
        <v/>
      </c>
      <c r="R142" s="56">
        <f>$C142*INDEX(Curves!$X$8:$X$68,R$4-$B142+1)</f>
        <v/>
      </c>
      <c r="S142" s="56">
        <f>$C142*INDEX(Curves!$X$8:$X$68,S$4-$B142+1)</f>
        <v/>
      </c>
      <c r="T142" s="56">
        <f>$C142*INDEX(Curves!$X$8:$X$68,T$4-$B142+1)</f>
        <v/>
      </c>
      <c r="U142" s="56">
        <f>$C142*INDEX(Curves!$X$8:$X$68,U$4-$B142+1)</f>
        <v/>
      </c>
      <c r="V142" s="56">
        <f>$C142*INDEX(Curves!$X$8:$X$68,V$4-$B142+1)</f>
        <v/>
      </c>
      <c r="W142" s="56">
        <f>$C142*INDEX(Curves!$X$8:$X$68,W$4-$B142+1)</f>
        <v/>
      </c>
      <c r="X142" s="56">
        <f>$C142*INDEX(Curves!$X$8:$X$68,X$4-$B142+1)</f>
        <v/>
      </c>
      <c r="Y142" s="56">
        <f>$C142*INDEX(Curves!$X$8:$X$68,Y$4-$B142+1)</f>
        <v/>
      </c>
      <c r="Z142" s="56">
        <f>$C142*INDEX(Curves!$X$8:$X$68,Z$4-$B142+1)</f>
        <v/>
      </c>
      <c r="AA142" s="56">
        <f>$C142*INDEX(Curves!$X$8:$X$68,AA$4-$B142+1)</f>
        <v/>
      </c>
      <c r="AB142" s="56">
        <f>$C142*INDEX(Curves!$X$8:$X$68,AB$4-$B142+1)</f>
        <v/>
      </c>
      <c r="AC142" s="56">
        <f>$C142*INDEX(Curves!$X$8:$X$68,AC$4-$B142+1)</f>
        <v/>
      </c>
      <c r="AD142" s="56">
        <f>$C142*INDEX(Curves!$X$8:$X$68,AD$4-$B142+1)</f>
        <v/>
      </c>
      <c r="AE142" s="56">
        <f>$C142*INDEX(Curves!$X$8:$X$68,AE$4-$B142+1)</f>
        <v/>
      </c>
      <c r="AF142" s="56">
        <f>$C142*INDEX(Curves!$X$8:$X$68,AF$4-$B142+1)</f>
        <v/>
      </c>
      <c r="AG142" s="56">
        <f>$C142*INDEX(Curves!$X$8:$X$68,AG$4-$B142+1)</f>
        <v/>
      </c>
      <c r="AH142" s="56">
        <f>$C142*INDEX(Curves!$X$8:$X$68,AH$4-$B142+1)</f>
        <v/>
      </c>
      <c r="AI142" s="56">
        <f>$C142*INDEX(Curves!$X$8:$X$68,AI$4-$B142+1)</f>
        <v/>
      </c>
      <c r="AJ142" s="56">
        <f>$C142*INDEX(Curves!$X$8:$X$68,AJ$4-$B142+1)</f>
        <v/>
      </c>
      <c r="AK142" s="56">
        <f>$C142*INDEX(Curves!$X$8:$X$68,AK$4-$B142+1)</f>
        <v/>
      </c>
      <c r="AL142" s="56">
        <f>$C142*INDEX(Curves!$X$8:$X$68,AL$4-$B142+1)</f>
        <v/>
      </c>
      <c r="AM142" s="56">
        <f>$C142*INDEX(Curves!$X$8:$X$68,AM$4-$B142+1)</f>
        <v/>
      </c>
      <c r="AN142" s="56">
        <f>$C142*INDEX(Curves!$X$8:$X$68,AN$4-$B142+1)</f>
        <v/>
      </c>
      <c r="AO142" s="56">
        <f>$C142*INDEX(Curves!$X$8:$X$68,AO$4-$B142+1)</f>
        <v/>
      </c>
      <c r="AP142" s="56">
        <f>$C142*INDEX(Curves!$X$8:$X$68,AP$4-$B142+1)</f>
        <v/>
      </c>
      <c r="AQ142" s="56">
        <f>$C142*INDEX(Curves!$X$8:$X$68,AQ$4-$B142+1)</f>
        <v/>
      </c>
      <c r="AR142" s="56">
        <f>$C142*INDEX(Curves!$X$8:$X$68,AR$4-$B142+1)</f>
        <v/>
      </c>
      <c r="AS142" s="56">
        <f>$C142*INDEX(Curves!$X$8:$X$68,AS$4-$B142+1)</f>
        <v/>
      </c>
      <c r="AT142" s="56">
        <f>$C142*INDEX(Curves!$X$8:$X$68,AT$4-$B142+1)</f>
        <v/>
      </c>
      <c r="AU142" s="56">
        <f>$C142*INDEX(Curves!$X$8:$X$68,AU$4-$B142+1)</f>
        <v/>
      </c>
      <c r="AV142" s="56">
        <f>$C142*INDEX(Curves!$X$8:$X$68,AV$4-$B142+1)</f>
        <v/>
      </c>
      <c r="AW142" s="56">
        <f>$C142*INDEX(Curves!$X$8:$X$68,AW$4-$B142+1)</f>
        <v/>
      </c>
      <c r="AX142" s="56">
        <f>$C142*INDEX(Curves!$X$8:$X$68,AX$4-$B142+1)</f>
        <v/>
      </c>
      <c r="AY142" s="56">
        <f>$C142*INDEX(Curves!$X$8:$X$68,AY$4-$B142+1)</f>
        <v/>
      </c>
      <c r="AZ142" s="56">
        <f>$C142*INDEX(Curves!$X$8:$X$68,AZ$4-$B142+1)</f>
        <v/>
      </c>
      <c r="BA142" s="56">
        <f>$C142*INDEX(Curves!$X$8:$X$68,BA$4-$B142+1)</f>
        <v/>
      </c>
      <c r="BB142" s="56">
        <f>$C142*INDEX(Curves!$X$8:$X$68,BB$4-$B142+1)</f>
        <v/>
      </c>
      <c r="BC142" s="56">
        <f>$C142*INDEX(Curves!$X$8:$X$68,BC$4-$B142+1)</f>
        <v/>
      </c>
      <c r="BD142" s="56">
        <f>$C142*INDEX(Curves!$X$8:$X$68,BD$4-$B142+1)</f>
        <v/>
      </c>
      <c r="BE142" s="56">
        <f>$C142*INDEX(Curves!$X$8:$X$68,BE$4-$B142+1)</f>
        <v/>
      </c>
      <c r="BF142" s="56">
        <f>$C142*INDEX(Curves!$X$8:$X$68,BF$4-$B142+1)</f>
        <v/>
      </c>
      <c r="BG142" s="56">
        <f>$C142*INDEX(Curves!$X$8:$X$68,BG$4-$B142+1)</f>
        <v/>
      </c>
      <c r="BH142" s="56">
        <f>$C142*INDEX(Curves!$X$8:$X$68,BH$4-$B142+1)</f>
        <v/>
      </c>
      <c r="BI142" s="56">
        <f>$C142*INDEX(Curves!$X$8:$X$68,BI$4-$B142+1)</f>
        <v/>
      </c>
      <c r="BJ142" s="56">
        <f>$C142*INDEX(Curves!$X$8:$X$68,BJ$4-$B142+1)</f>
        <v/>
      </c>
      <c r="BK142" s="56">
        <f>$C142*INDEX(Curves!$X$8:$X$68,BK$4-$B142+1)</f>
        <v/>
      </c>
      <c r="BL142" s="56">
        <f>$C142*INDEX(Curves!$X$8:$X$68,BL$4-$B142+1)</f>
        <v/>
      </c>
    </row>
    <row r="143">
      <c r="A143" s="55" t="inlineStr">
        <is>
          <t>Cohort month 8</t>
        </is>
      </c>
      <c r="B143" s="55" t="n">
        <v>8</v>
      </c>
      <c r="C143" s="46">
        <f>INDEX(Ops!$E$40:$BL$40,1,$B143)</f>
        <v/>
      </c>
      <c r="M143" s="56">
        <f>$C143*INDEX(Curves!$X$8:$X$68,M$4-$B143+1)</f>
        <v/>
      </c>
      <c r="N143" s="56">
        <f>$C143*INDEX(Curves!$X$8:$X$68,N$4-$B143+1)</f>
        <v/>
      </c>
      <c r="O143" s="56">
        <f>$C143*INDEX(Curves!$X$8:$X$68,O$4-$B143+1)</f>
        <v/>
      </c>
      <c r="P143" s="56">
        <f>$C143*INDEX(Curves!$X$8:$X$68,P$4-$B143+1)</f>
        <v/>
      </c>
      <c r="Q143" s="56">
        <f>$C143*INDEX(Curves!$X$8:$X$68,Q$4-$B143+1)</f>
        <v/>
      </c>
      <c r="R143" s="56">
        <f>$C143*INDEX(Curves!$X$8:$X$68,R$4-$B143+1)</f>
        <v/>
      </c>
      <c r="S143" s="56">
        <f>$C143*INDEX(Curves!$X$8:$X$68,S$4-$B143+1)</f>
        <v/>
      </c>
      <c r="T143" s="56">
        <f>$C143*INDEX(Curves!$X$8:$X$68,T$4-$B143+1)</f>
        <v/>
      </c>
      <c r="U143" s="56">
        <f>$C143*INDEX(Curves!$X$8:$X$68,U$4-$B143+1)</f>
        <v/>
      </c>
      <c r="V143" s="56">
        <f>$C143*INDEX(Curves!$X$8:$X$68,V$4-$B143+1)</f>
        <v/>
      </c>
      <c r="W143" s="56">
        <f>$C143*INDEX(Curves!$X$8:$X$68,W$4-$B143+1)</f>
        <v/>
      </c>
      <c r="X143" s="56">
        <f>$C143*INDEX(Curves!$X$8:$X$68,X$4-$B143+1)</f>
        <v/>
      </c>
      <c r="Y143" s="56">
        <f>$C143*INDEX(Curves!$X$8:$X$68,Y$4-$B143+1)</f>
        <v/>
      </c>
      <c r="Z143" s="56">
        <f>$C143*INDEX(Curves!$X$8:$X$68,Z$4-$B143+1)</f>
        <v/>
      </c>
      <c r="AA143" s="56">
        <f>$C143*INDEX(Curves!$X$8:$X$68,AA$4-$B143+1)</f>
        <v/>
      </c>
      <c r="AB143" s="56">
        <f>$C143*INDEX(Curves!$X$8:$X$68,AB$4-$B143+1)</f>
        <v/>
      </c>
      <c r="AC143" s="56">
        <f>$C143*INDEX(Curves!$X$8:$X$68,AC$4-$B143+1)</f>
        <v/>
      </c>
      <c r="AD143" s="56">
        <f>$C143*INDEX(Curves!$X$8:$X$68,AD$4-$B143+1)</f>
        <v/>
      </c>
      <c r="AE143" s="56">
        <f>$C143*INDEX(Curves!$X$8:$X$68,AE$4-$B143+1)</f>
        <v/>
      </c>
      <c r="AF143" s="56">
        <f>$C143*INDEX(Curves!$X$8:$X$68,AF$4-$B143+1)</f>
        <v/>
      </c>
      <c r="AG143" s="56">
        <f>$C143*INDEX(Curves!$X$8:$X$68,AG$4-$B143+1)</f>
        <v/>
      </c>
      <c r="AH143" s="56">
        <f>$C143*INDEX(Curves!$X$8:$X$68,AH$4-$B143+1)</f>
        <v/>
      </c>
      <c r="AI143" s="56">
        <f>$C143*INDEX(Curves!$X$8:$X$68,AI$4-$B143+1)</f>
        <v/>
      </c>
      <c r="AJ143" s="56">
        <f>$C143*INDEX(Curves!$X$8:$X$68,AJ$4-$B143+1)</f>
        <v/>
      </c>
      <c r="AK143" s="56">
        <f>$C143*INDEX(Curves!$X$8:$X$68,AK$4-$B143+1)</f>
        <v/>
      </c>
      <c r="AL143" s="56">
        <f>$C143*INDEX(Curves!$X$8:$X$68,AL$4-$B143+1)</f>
        <v/>
      </c>
      <c r="AM143" s="56">
        <f>$C143*INDEX(Curves!$X$8:$X$68,AM$4-$B143+1)</f>
        <v/>
      </c>
      <c r="AN143" s="56">
        <f>$C143*INDEX(Curves!$X$8:$X$68,AN$4-$B143+1)</f>
        <v/>
      </c>
      <c r="AO143" s="56">
        <f>$C143*INDEX(Curves!$X$8:$X$68,AO$4-$B143+1)</f>
        <v/>
      </c>
      <c r="AP143" s="56">
        <f>$C143*INDEX(Curves!$X$8:$X$68,AP$4-$B143+1)</f>
        <v/>
      </c>
      <c r="AQ143" s="56">
        <f>$C143*INDEX(Curves!$X$8:$X$68,AQ$4-$B143+1)</f>
        <v/>
      </c>
      <c r="AR143" s="56">
        <f>$C143*INDEX(Curves!$X$8:$X$68,AR$4-$B143+1)</f>
        <v/>
      </c>
      <c r="AS143" s="56">
        <f>$C143*INDEX(Curves!$X$8:$X$68,AS$4-$B143+1)</f>
        <v/>
      </c>
      <c r="AT143" s="56">
        <f>$C143*INDEX(Curves!$X$8:$X$68,AT$4-$B143+1)</f>
        <v/>
      </c>
      <c r="AU143" s="56">
        <f>$C143*INDEX(Curves!$X$8:$X$68,AU$4-$B143+1)</f>
        <v/>
      </c>
      <c r="AV143" s="56">
        <f>$C143*INDEX(Curves!$X$8:$X$68,AV$4-$B143+1)</f>
        <v/>
      </c>
      <c r="AW143" s="56">
        <f>$C143*INDEX(Curves!$X$8:$X$68,AW$4-$B143+1)</f>
        <v/>
      </c>
      <c r="AX143" s="56">
        <f>$C143*INDEX(Curves!$X$8:$X$68,AX$4-$B143+1)</f>
        <v/>
      </c>
      <c r="AY143" s="56">
        <f>$C143*INDEX(Curves!$X$8:$X$68,AY$4-$B143+1)</f>
        <v/>
      </c>
      <c r="AZ143" s="56">
        <f>$C143*INDEX(Curves!$X$8:$X$68,AZ$4-$B143+1)</f>
        <v/>
      </c>
      <c r="BA143" s="56">
        <f>$C143*INDEX(Curves!$X$8:$X$68,BA$4-$B143+1)</f>
        <v/>
      </c>
      <c r="BB143" s="56">
        <f>$C143*INDEX(Curves!$X$8:$X$68,BB$4-$B143+1)</f>
        <v/>
      </c>
      <c r="BC143" s="56">
        <f>$C143*INDEX(Curves!$X$8:$X$68,BC$4-$B143+1)</f>
        <v/>
      </c>
      <c r="BD143" s="56">
        <f>$C143*INDEX(Curves!$X$8:$X$68,BD$4-$B143+1)</f>
        <v/>
      </c>
      <c r="BE143" s="56">
        <f>$C143*INDEX(Curves!$X$8:$X$68,BE$4-$B143+1)</f>
        <v/>
      </c>
      <c r="BF143" s="56">
        <f>$C143*INDEX(Curves!$X$8:$X$68,BF$4-$B143+1)</f>
        <v/>
      </c>
      <c r="BG143" s="56">
        <f>$C143*INDEX(Curves!$X$8:$X$68,BG$4-$B143+1)</f>
        <v/>
      </c>
      <c r="BH143" s="56">
        <f>$C143*INDEX(Curves!$X$8:$X$68,BH$4-$B143+1)</f>
        <v/>
      </c>
      <c r="BI143" s="56">
        <f>$C143*INDEX(Curves!$X$8:$X$68,BI$4-$B143+1)</f>
        <v/>
      </c>
      <c r="BJ143" s="56">
        <f>$C143*INDEX(Curves!$X$8:$X$68,BJ$4-$B143+1)</f>
        <v/>
      </c>
      <c r="BK143" s="56">
        <f>$C143*INDEX(Curves!$X$8:$X$68,BK$4-$B143+1)</f>
        <v/>
      </c>
      <c r="BL143" s="56">
        <f>$C143*INDEX(Curves!$X$8:$X$68,BL$4-$B143+1)</f>
        <v/>
      </c>
    </row>
    <row r="144">
      <c r="A144" s="55" t="inlineStr">
        <is>
          <t>Cohort month 9</t>
        </is>
      </c>
      <c r="B144" s="55" t="n">
        <v>9</v>
      </c>
      <c r="C144" s="46">
        <f>INDEX(Ops!$E$40:$BL$40,1,$B144)</f>
        <v/>
      </c>
      <c r="N144" s="56">
        <f>$C144*INDEX(Curves!$X$8:$X$68,N$4-$B144+1)</f>
        <v/>
      </c>
      <c r="O144" s="56">
        <f>$C144*INDEX(Curves!$X$8:$X$68,O$4-$B144+1)</f>
        <v/>
      </c>
      <c r="P144" s="56">
        <f>$C144*INDEX(Curves!$X$8:$X$68,P$4-$B144+1)</f>
        <v/>
      </c>
      <c r="Q144" s="56">
        <f>$C144*INDEX(Curves!$X$8:$X$68,Q$4-$B144+1)</f>
        <v/>
      </c>
      <c r="R144" s="56">
        <f>$C144*INDEX(Curves!$X$8:$X$68,R$4-$B144+1)</f>
        <v/>
      </c>
      <c r="S144" s="56">
        <f>$C144*INDEX(Curves!$X$8:$X$68,S$4-$B144+1)</f>
        <v/>
      </c>
      <c r="T144" s="56">
        <f>$C144*INDEX(Curves!$X$8:$X$68,T$4-$B144+1)</f>
        <v/>
      </c>
      <c r="U144" s="56">
        <f>$C144*INDEX(Curves!$X$8:$X$68,U$4-$B144+1)</f>
        <v/>
      </c>
      <c r="V144" s="56">
        <f>$C144*INDEX(Curves!$X$8:$X$68,V$4-$B144+1)</f>
        <v/>
      </c>
      <c r="W144" s="56">
        <f>$C144*INDEX(Curves!$X$8:$X$68,W$4-$B144+1)</f>
        <v/>
      </c>
      <c r="X144" s="56">
        <f>$C144*INDEX(Curves!$X$8:$X$68,X$4-$B144+1)</f>
        <v/>
      </c>
      <c r="Y144" s="56">
        <f>$C144*INDEX(Curves!$X$8:$X$68,Y$4-$B144+1)</f>
        <v/>
      </c>
      <c r="Z144" s="56">
        <f>$C144*INDEX(Curves!$X$8:$X$68,Z$4-$B144+1)</f>
        <v/>
      </c>
      <c r="AA144" s="56">
        <f>$C144*INDEX(Curves!$X$8:$X$68,AA$4-$B144+1)</f>
        <v/>
      </c>
      <c r="AB144" s="56">
        <f>$C144*INDEX(Curves!$X$8:$X$68,AB$4-$B144+1)</f>
        <v/>
      </c>
      <c r="AC144" s="56">
        <f>$C144*INDEX(Curves!$X$8:$X$68,AC$4-$B144+1)</f>
        <v/>
      </c>
      <c r="AD144" s="56">
        <f>$C144*INDEX(Curves!$X$8:$X$68,AD$4-$B144+1)</f>
        <v/>
      </c>
      <c r="AE144" s="56">
        <f>$C144*INDEX(Curves!$X$8:$X$68,AE$4-$B144+1)</f>
        <v/>
      </c>
      <c r="AF144" s="56">
        <f>$C144*INDEX(Curves!$X$8:$X$68,AF$4-$B144+1)</f>
        <v/>
      </c>
      <c r="AG144" s="56">
        <f>$C144*INDEX(Curves!$X$8:$X$68,AG$4-$B144+1)</f>
        <v/>
      </c>
      <c r="AH144" s="56">
        <f>$C144*INDEX(Curves!$X$8:$X$68,AH$4-$B144+1)</f>
        <v/>
      </c>
      <c r="AI144" s="56">
        <f>$C144*INDEX(Curves!$X$8:$X$68,AI$4-$B144+1)</f>
        <v/>
      </c>
      <c r="AJ144" s="56">
        <f>$C144*INDEX(Curves!$X$8:$X$68,AJ$4-$B144+1)</f>
        <v/>
      </c>
      <c r="AK144" s="56">
        <f>$C144*INDEX(Curves!$X$8:$X$68,AK$4-$B144+1)</f>
        <v/>
      </c>
      <c r="AL144" s="56">
        <f>$C144*INDEX(Curves!$X$8:$X$68,AL$4-$B144+1)</f>
        <v/>
      </c>
      <c r="AM144" s="56">
        <f>$C144*INDEX(Curves!$X$8:$X$68,AM$4-$B144+1)</f>
        <v/>
      </c>
      <c r="AN144" s="56">
        <f>$C144*INDEX(Curves!$X$8:$X$68,AN$4-$B144+1)</f>
        <v/>
      </c>
      <c r="AO144" s="56">
        <f>$C144*INDEX(Curves!$X$8:$X$68,AO$4-$B144+1)</f>
        <v/>
      </c>
      <c r="AP144" s="56">
        <f>$C144*INDEX(Curves!$X$8:$X$68,AP$4-$B144+1)</f>
        <v/>
      </c>
      <c r="AQ144" s="56">
        <f>$C144*INDEX(Curves!$X$8:$X$68,AQ$4-$B144+1)</f>
        <v/>
      </c>
      <c r="AR144" s="56">
        <f>$C144*INDEX(Curves!$X$8:$X$68,AR$4-$B144+1)</f>
        <v/>
      </c>
      <c r="AS144" s="56">
        <f>$C144*INDEX(Curves!$X$8:$X$68,AS$4-$B144+1)</f>
        <v/>
      </c>
      <c r="AT144" s="56">
        <f>$C144*INDEX(Curves!$X$8:$X$68,AT$4-$B144+1)</f>
        <v/>
      </c>
      <c r="AU144" s="56">
        <f>$C144*INDEX(Curves!$X$8:$X$68,AU$4-$B144+1)</f>
        <v/>
      </c>
      <c r="AV144" s="56">
        <f>$C144*INDEX(Curves!$X$8:$X$68,AV$4-$B144+1)</f>
        <v/>
      </c>
      <c r="AW144" s="56">
        <f>$C144*INDEX(Curves!$X$8:$X$68,AW$4-$B144+1)</f>
        <v/>
      </c>
      <c r="AX144" s="56">
        <f>$C144*INDEX(Curves!$X$8:$X$68,AX$4-$B144+1)</f>
        <v/>
      </c>
      <c r="AY144" s="56">
        <f>$C144*INDEX(Curves!$X$8:$X$68,AY$4-$B144+1)</f>
        <v/>
      </c>
      <c r="AZ144" s="56">
        <f>$C144*INDEX(Curves!$X$8:$X$68,AZ$4-$B144+1)</f>
        <v/>
      </c>
      <c r="BA144" s="56">
        <f>$C144*INDEX(Curves!$X$8:$X$68,BA$4-$B144+1)</f>
        <v/>
      </c>
      <c r="BB144" s="56">
        <f>$C144*INDEX(Curves!$X$8:$X$68,BB$4-$B144+1)</f>
        <v/>
      </c>
      <c r="BC144" s="56">
        <f>$C144*INDEX(Curves!$X$8:$X$68,BC$4-$B144+1)</f>
        <v/>
      </c>
      <c r="BD144" s="56">
        <f>$C144*INDEX(Curves!$X$8:$X$68,BD$4-$B144+1)</f>
        <v/>
      </c>
      <c r="BE144" s="56">
        <f>$C144*INDEX(Curves!$X$8:$X$68,BE$4-$B144+1)</f>
        <v/>
      </c>
      <c r="BF144" s="56">
        <f>$C144*INDEX(Curves!$X$8:$X$68,BF$4-$B144+1)</f>
        <v/>
      </c>
      <c r="BG144" s="56">
        <f>$C144*INDEX(Curves!$X$8:$X$68,BG$4-$B144+1)</f>
        <v/>
      </c>
      <c r="BH144" s="56">
        <f>$C144*INDEX(Curves!$X$8:$X$68,BH$4-$B144+1)</f>
        <v/>
      </c>
      <c r="BI144" s="56">
        <f>$C144*INDEX(Curves!$X$8:$X$68,BI$4-$B144+1)</f>
        <v/>
      </c>
      <c r="BJ144" s="56">
        <f>$C144*INDEX(Curves!$X$8:$X$68,BJ$4-$B144+1)</f>
        <v/>
      </c>
      <c r="BK144" s="56">
        <f>$C144*INDEX(Curves!$X$8:$X$68,BK$4-$B144+1)</f>
        <v/>
      </c>
      <c r="BL144" s="56">
        <f>$C144*INDEX(Curves!$X$8:$X$68,BL$4-$B144+1)</f>
        <v/>
      </c>
    </row>
    <row r="145">
      <c r="A145" s="55" t="inlineStr">
        <is>
          <t>Cohort month 10</t>
        </is>
      </c>
      <c r="B145" s="55" t="n">
        <v>10</v>
      </c>
      <c r="C145" s="46">
        <f>INDEX(Ops!$E$40:$BL$40,1,$B145)</f>
        <v/>
      </c>
      <c r="O145" s="56">
        <f>$C145*INDEX(Curves!$X$8:$X$68,O$4-$B145+1)</f>
        <v/>
      </c>
      <c r="P145" s="56">
        <f>$C145*INDEX(Curves!$X$8:$X$68,P$4-$B145+1)</f>
        <v/>
      </c>
      <c r="Q145" s="56">
        <f>$C145*INDEX(Curves!$X$8:$X$68,Q$4-$B145+1)</f>
        <v/>
      </c>
      <c r="R145" s="56">
        <f>$C145*INDEX(Curves!$X$8:$X$68,R$4-$B145+1)</f>
        <v/>
      </c>
      <c r="S145" s="56">
        <f>$C145*INDEX(Curves!$X$8:$X$68,S$4-$B145+1)</f>
        <v/>
      </c>
      <c r="T145" s="56">
        <f>$C145*INDEX(Curves!$X$8:$X$68,T$4-$B145+1)</f>
        <v/>
      </c>
      <c r="U145" s="56">
        <f>$C145*INDEX(Curves!$X$8:$X$68,U$4-$B145+1)</f>
        <v/>
      </c>
      <c r="V145" s="56">
        <f>$C145*INDEX(Curves!$X$8:$X$68,V$4-$B145+1)</f>
        <v/>
      </c>
      <c r="W145" s="56">
        <f>$C145*INDEX(Curves!$X$8:$X$68,W$4-$B145+1)</f>
        <v/>
      </c>
      <c r="X145" s="56">
        <f>$C145*INDEX(Curves!$X$8:$X$68,X$4-$B145+1)</f>
        <v/>
      </c>
      <c r="Y145" s="56">
        <f>$C145*INDEX(Curves!$X$8:$X$68,Y$4-$B145+1)</f>
        <v/>
      </c>
      <c r="Z145" s="56">
        <f>$C145*INDEX(Curves!$X$8:$X$68,Z$4-$B145+1)</f>
        <v/>
      </c>
      <c r="AA145" s="56">
        <f>$C145*INDEX(Curves!$X$8:$X$68,AA$4-$B145+1)</f>
        <v/>
      </c>
      <c r="AB145" s="56">
        <f>$C145*INDEX(Curves!$X$8:$X$68,AB$4-$B145+1)</f>
        <v/>
      </c>
      <c r="AC145" s="56">
        <f>$C145*INDEX(Curves!$X$8:$X$68,AC$4-$B145+1)</f>
        <v/>
      </c>
      <c r="AD145" s="56">
        <f>$C145*INDEX(Curves!$X$8:$X$68,AD$4-$B145+1)</f>
        <v/>
      </c>
      <c r="AE145" s="56">
        <f>$C145*INDEX(Curves!$X$8:$X$68,AE$4-$B145+1)</f>
        <v/>
      </c>
      <c r="AF145" s="56">
        <f>$C145*INDEX(Curves!$X$8:$X$68,AF$4-$B145+1)</f>
        <v/>
      </c>
      <c r="AG145" s="56">
        <f>$C145*INDEX(Curves!$X$8:$X$68,AG$4-$B145+1)</f>
        <v/>
      </c>
      <c r="AH145" s="56">
        <f>$C145*INDEX(Curves!$X$8:$X$68,AH$4-$B145+1)</f>
        <v/>
      </c>
      <c r="AI145" s="56">
        <f>$C145*INDEX(Curves!$X$8:$X$68,AI$4-$B145+1)</f>
        <v/>
      </c>
      <c r="AJ145" s="56">
        <f>$C145*INDEX(Curves!$X$8:$X$68,AJ$4-$B145+1)</f>
        <v/>
      </c>
      <c r="AK145" s="56">
        <f>$C145*INDEX(Curves!$X$8:$X$68,AK$4-$B145+1)</f>
        <v/>
      </c>
      <c r="AL145" s="56">
        <f>$C145*INDEX(Curves!$X$8:$X$68,AL$4-$B145+1)</f>
        <v/>
      </c>
      <c r="AM145" s="56">
        <f>$C145*INDEX(Curves!$X$8:$X$68,AM$4-$B145+1)</f>
        <v/>
      </c>
      <c r="AN145" s="56">
        <f>$C145*INDEX(Curves!$X$8:$X$68,AN$4-$B145+1)</f>
        <v/>
      </c>
      <c r="AO145" s="56">
        <f>$C145*INDEX(Curves!$X$8:$X$68,AO$4-$B145+1)</f>
        <v/>
      </c>
      <c r="AP145" s="56">
        <f>$C145*INDEX(Curves!$X$8:$X$68,AP$4-$B145+1)</f>
        <v/>
      </c>
      <c r="AQ145" s="56">
        <f>$C145*INDEX(Curves!$X$8:$X$68,AQ$4-$B145+1)</f>
        <v/>
      </c>
      <c r="AR145" s="56">
        <f>$C145*INDEX(Curves!$X$8:$X$68,AR$4-$B145+1)</f>
        <v/>
      </c>
      <c r="AS145" s="56">
        <f>$C145*INDEX(Curves!$X$8:$X$68,AS$4-$B145+1)</f>
        <v/>
      </c>
      <c r="AT145" s="56">
        <f>$C145*INDEX(Curves!$X$8:$X$68,AT$4-$B145+1)</f>
        <v/>
      </c>
      <c r="AU145" s="56">
        <f>$C145*INDEX(Curves!$X$8:$X$68,AU$4-$B145+1)</f>
        <v/>
      </c>
      <c r="AV145" s="56">
        <f>$C145*INDEX(Curves!$X$8:$X$68,AV$4-$B145+1)</f>
        <v/>
      </c>
      <c r="AW145" s="56">
        <f>$C145*INDEX(Curves!$X$8:$X$68,AW$4-$B145+1)</f>
        <v/>
      </c>
      <c r="AX145" s="56">
        <f>$C145*INDEX(Curves!$X$8:$X$68,AX$4-$B145+1)</f>
        <v/>
      </c>
      <c r="AY145" s="56">
        <f>$C145*INDEX(Curves!$X$8:$X$68,AY$4-$B145+1)</f>
        <v/>
      </c>
      <c r="AZ145" s="56">
        <f>$C145*INDEX(Curves!$X$8:$X$68,AZ$4-$B145+1)</f>
        <v/>
      </c>
      <c r="BA145" s="56">
        <f>$C145*INDEX(Curves!$X$8:$X$68,BA$4-$B145+1)</f>
        <v/>
      </c>
      <c r="BB145" s="56">
        <f>$C145*INDEX(Curves!$X$8:$X$68,BB$4-$B145+1)</f>
        <v/>
      </c>
      <c r="BC145" s="56">
        <f>$C145*INDEX(Curves!$X$8:$X$68,BC$4-$B145+1)</f>
        <v/>
      </c>
      <c r="BD145" s="56">
        <f>$C145*INDEX(Curves!$X$8:$X$68,BD$4-$B145+1)</f>
        <v/>
      </c>
      <c r="BE145" s="56">
        <f>$C145*INDEX(Curves!$X$8:$X$68,BE$4-$B145+1)</f>
        <v/>
      </c>
      <c r="BF145" s="56">
        <f>$C145*INDEX(Curves!$X$8:$X$68,BF$4-$B145+1)</f>
        <v/>
      </c>
      <c r="BG145" s="56">
        <f>$C145*INDEX(Curves!$X$8:$X$68,BG$4-$B145+1)</f>
        <v/>
      </c>
      <c r="BH145" s="56">
        <f>$C145*INDEX(Curves!$X$8:$X$68,BH$4-$B145+1)</f>
        <v/>
      </c>
      <c r="BI145" s="56">
        <f>$C145*INDEX(Curves!$X$8:$X$68,BI$4-$B145+1)</f>
        <v/>
      </c>
      <c r="BJ145" s="56">
        <f>$C145*INDEX(Curves!$X$8:$X$68,BJ$4-$B145+1)</f>
        <v/>
      </c>
      <c r="BK145" s="56">
        <f>$C145*INDEX(Curves!$X$8:$X$68,BK$4-$B145+1)</f>
        <v/>
      </c>
      <c r="BL145" s="56">
        <f>$C145*INDEX(Curves!$X$8:$X$68,BL$4-$B145+1)</f>
        <v/>
      </c>
    </row>
    <row r="146">
      <c r="A146" s="55" t="inlineStr">
        <is>
          <t>Cohort month 11</t>
        </is>
      </c>
      <c r="B146" s="55" t="n">
        <v>11</v>
      </c>
      <c r="C146" s="46">
        <f>INDEX(Ops!$E$40:$BL$40,1,$B146)</f>
        <v/>
      </c>
      <c r="P146" s="56">
        <f>$C146*INDEX(Curves!$X$8:$X$68,P$4-$B146+1)</f>
        <v/>
      </c>
      <c r="Q146" s="56">
        <f>$C146*INDEX(Curves!$X$8:$X$68,Q$4-$B146+1)</f>
        <v/>
      </c>
      <c r="R146" s="56">
        <f>$C146*INDEX(Curves!$X$8:$X$68,R$4-$B146+1)</f>
        <v/>
      </c>
      <c r="S146" s="56">
        <f>$C146*INDEX(Curves!$X$8:$X$68,S$4-$B146+1)</f>
        <v/>
      </c>
      <c r="T146" s="56">
        <f>$C146*INDEX(Curves!$X$8:$X$68,T$4-$B146+1)</f>
        <v/>
      </c>
      <c r="U146" s="56">
        <f>$C146*INDEX(Curves!$X$8:$X$68,U$4-$B146+1)</f>
        <v/>
      </c>
      <c r="V146" s="56">
        <f>$C146*INDEX(Curves!$X$8:$X$68,V$4-$B146+1)</f>
        <v/>
      </c>
      <c r="W146" s="56">
        <f>$C146*INDEX(Curves!$X$8:$X$68,W$4-$B146+1)</f>
        <v/>
      </c>
      <c r="X146" s="56">
        <f>$C146*INDEX(Curves!$X$8:$X$68,X$4-$B146+1)</f>
        <v/>
      </c>
      <c r="Y146" s="56">
        <f>$C146*INDEX(Curves!$X$8:$X$68,Y$4-$B146+1)</f>
        <v/>
      </c>
      <c r="Z146" s="56">
        <f>$C146*INDEX(Curves!$X$8:$X$68,Z$4-$B146+1)</f>
        <v/>
      </c>
      <c r="AA146" s="56">
        <f>$C146*INDEX(Curves!$X$8:$X$68,AA$4-$B146+1)</f>
        <v/>
      </c>
      <c r="AB146" s="56">
        <f>$C146*INDEX(Curves!$X$8:$X$68,AB$4-$B146+1)</f>
        <v/>
      </c>
      <c r="AC146" s="56">
        <f>$C146*INDEX(Curves!$X$8:$X$68,AC$4-$B146+1)</f>
        <v/>
      </c>
      <c r="AD146" s="56">
        <f>$C146*INDEX(Curves!$X$8:$X$68,AD$4-$B146+1)</f>
        <v/>
      </c>
      <c r="AE146" s="56">
        <f>$C146*INDEX(Curves!$X$8:$X$68,AE$4-$B146+1)</f>
        <v/>
      </c>
      <c r="AF146" s="56">
        <f>$C146*INDEX(Curves!$X$8:$X$68,AF$4-$B146+1)</f>
        <v/>
      </c>
      <c r="AG146" s="56">
        <f>$C146*INDEX(Curves!$X$8:$X$68,AG$4-$B146+1)</f>
        <v/>
      </c>
      <c r="AH146" s="56">
        <f>$C146*INDEX(Curves!$X$8:$X$68,AH$4-$B146+1)</f>
        <v/>
      </c>
      <c r="AI146" s="56">
        <f>$C146*INDEX(Curves!$X$8:$X$68,AI$4-$B146+1)</f>
        <v/>
      </c>
      <c r="AJ146" s="56">
        <f>$C146*INDEX(Curves!$X$8:$X$68,AJ$4-$B146+1)</f>
        <v/>
      </c>
      <c r="AK146" s="56">
        <f>$C146*INDEX(Curves!$X$8:$X$68,AK$4-$B146+1)</f>
        <v/>
      </c>
      <c r="AL146" s="56">
        <f>$C146*INDEX(Curves!$X$8:$X$68,AL$4-$B146+1)</f>
        <v/>
      </c>
      <c r="AM146" s="56">
        <f>$C146*INDEX(Curves!$X$8:$X$68,AM$4-$B146+1)</f>
        <v/>
      </c>
      <c r="AN146" s="56">
        <f>$C146*INDEX(Curves!$X$8:$X$68,AN$4-$B146+1)</f>
        <v/>
      </c>
      <c r="AO146" s="56">
        <f>$C146*INDEX(Curves!$X$8:$X$68,AO$4-$B146+1)</f>
        <v/>
      </c>
      <c r="AP146" s="56">
        <f>$C146*INDEX(Curves!$X$8:$X$68,AP$4-$B146+1)</f>
        <v/>
      </c>
      <c r="AQ146" s="56">
        <f>$C146*INDEX(Curves!$X$8:$X$68,AQ$4-$B146+1)</f>
        <v/>
      </c>
      <c r="AR146" s="56">
        <f>$C146*INDEX(Curves!$X$8:$X$68,AR$4-$B146+1)</f>
        <v/>
      </c>
      <c r="AS146" s="56">
        <f>$C146*INDEX(Curves!$X$8:$X$68,AS$4-$B146+1)</f>
        <v/>
      </c>
      <c r="AT146" s="56">
        <f>$C146*INDEX(Curves!$X$8:$X$68,AT$4-$B146+1)</f>
        <v/>
      </c>
      <c r="AU146" s="56">
        <f>$C146*INDEX(Curves!$X$8:$X$68,AU$4-$B146+1)</f>
        <v/>
      </c>
      <c r="AV146" s="56">
        <f>$C146*INDEX(Curves!$X$8:$X$68,AV$4-$B146+1)</f>
        <v/>
      </c>
      <c r="AW146" s="56">
        <f>$C146*INDEX(Curves!$X$8:$X$68,AW$4-$B146+1)</f>
        <v/>
      </c>
      <c r="AX146" s="56">
        <f>$C146*INDEX(Curves!$X$8:$X$68,AX$4-$B146+1)</f>
        <v/>
      </c>
      <c r="AY146" s="56">
        <f>$C146*INDEX(Curves!$X$8:$X$68,AY$4-$B146+1)</f>
        <v/>
      </c>
      <c r="AZ146" s="56">
        <f>$C146*INDEX(Curves!$X$8:$X$68,AZ$4-$B146+1)</f>
        <v/>
      </c>
      <c r="BA146" s="56">
        <f>$C146*INDEX(Curves!$X$8:$X$68,BA$4-$B146+1)</f>
        <v/>
      </c>
      <c r="BB146" s="56">
        <f>$C146*INDEX(Curves!$X$8:$X$68,BB$4-$B146+1)</f>
        <v/>
      </c>
      <c r="BC146" s="56">
        <f>$C146*INDEX(Curves!$X$8:$X$68,BC$4-$B146+1)</f>
        <v/>
      </c>
      <c r="BD146" s="56">
        <f>$C146*INDEX(Curves!$X$8:$X$68,BD$4-$B146+1)</f>
        <v/>
      </c>
      <c r="BE146" s="56">
        <f>$C146*INDEX(Curves!$X$8:$X$68,BE$4-$B146+1)</f>
        <v/>
      </c>
      <c r="BF146" s="56">
        <f>$C146*INDEX(Curves!$X$8:$X$68,BF$4-$B146+1)</f>
        <v/>
      </c>
      <c r="BG146" s="56">
        <f>$C146*INDEX(Curves!$X$8:$X$68,BG$4-$B146+1)</f>
        <v/>
      </c>
      <c r="BH146" s="56">
        <f>$C146*INDEX(Curves!$X$8:$X$68,BH$4-$B146+1)</f>
        <v/>
      </c>
      <c r="BI146" s="56">
        <f>$C146*INDEX(Curves!$X$8:$X$68,BI$4-$B146+1)</f>
        <v/>
      </c>
      <c r="BJ146" s="56">
        <f>$C146*INDEX(Curves!$X$8:$X$68,BJ$4-$B146+1)</f>
        <v/>
      </c>
      <c r="BK146" s="56">
        <f>$C146*INDEX(Curves!$X$8:$X$68,BK$4-$B146+1)</f>
        <v/>
      </c>
      <c r="BL146" s="56">
        <f>$C146*INDEX(Curves!$X$8:$X$68,BL$4-$B146+1)</f>
        <v/>
      </c>
    </row>
    <row r="147">
      <c r="A147" s="55" t="inlineStr">
        <is>
          <t>Cohort month 12</t>
        </is>
      </c>
      <c r="B147" s="55" t="n">
        <v>12</v>
      </c>
      <c r="C147" s="46">
        <f>INDEX(Ops!$E$40:$BL$40,1,$B147)</f>
        <v/>
      </c>
      <c r="Q147" s="56">
        <f>$C147*INDEX(Curves!$X$8:$X$68,Q$4-$B147+1)</f>
        <v/>
      </c>
      <c r="R147" s="56">
        <f>$C147*INDEX(Curves!$X$8:$X$68,R$4-$B147+1)</f>
        <v/>
      </c>
      <c r="S147" s="56">
        <f>$C147*INDEX(Curves!$X$8:$X$68,S$4-$B147+1)</f>
        <v/>
      </c>
      <c r="T147" s="56">
        <f>$C147*INDEX(Curves!$X$8:$X$68,T$4-$B147+1)</f>
        <v/>
      </c>
      <c r="U147" s="56">
        <f>$C147*INDEX(Curves!$X$8:$X$68,U$4-$B147+1)</f>
        <v/>
      </c>
      <c r="V147" s="56">
        <f>$C147*INDEX(Curves!$X$8:$X$68,V$4-$B147+1)</f>
        <v/>
      </c>
      <c r="W147" s="56">
        <f>$C147*INDEX(Curves!$X$8:$X$68,W$4-$B147+1)</f>
        <v/>
      </c>
      <c r="X147" s="56">
        <f>$C147*INDEX(Curves!$X$8:$X$68,X$4-$B147+1)</f>
        <v/>
      </c>
      <c r="Y147" s="56">
        <f>$C147*INDEX(Curves!$X$8:$X$68,Y$4-$B147+1)</f>
        <v/>
      </c>
      <c r="Z147" s="56">
        <f>$C147*INDEX(Curves!$X$8:$X$68,Z$4-$B147+1)</f>
        <v/>
      </c>
      <c r="AA147" s="56">
        <f>$C147*INDEX(Curves!$X$8:$X$68,AA$4-$B147+1)</f>
        <v/>
      </c>
      <c r="AB147" s="56">
        <f>$C147*INDEX(Curves!$X$8:$X$68,AB$4-$B147+1)</f>
        <v/>
      </c>
      <c r="AC147" s="56">
        <f>$C147*INDEX(Curves!$X$8:$X$68,AC$4-$B147+1)</f>
        <v/>
      </c>
      <c r="AD147" s="56">
        <f>$C147*INDEX(Curves!$X$8:$X$68,AD$4-$B147+1)</f>
        <v/>
      </c>
      <c r="AE147" s="56">
        <f>$C147*INDEX(Curves!$X$8:$X$68,AE$4-$B147+1)</f>
        <v/>
      </c>
      <c r="AF147" s="56">
        <f>$C147*INDEX(Curves!$X$8:$X$68,AF$4-$B147+1)</f>
        <v/>
      </c>
      <c r="AG147" s="56">
        <f>$C147*INDEX(Curves!$X$8:$X$68,AG$4-$B147+1)</f>
        <v/>
      </c>
      <c r="AH147" s="56">
        <f>$C147*INDEX(Curves!$X$8:$X$68,AH$4-$B147+1)</f>
        <v/>
      </c>
      <c r="AI147" s="56">
        <f>$C147*INDEX(Curves!$X$8:$X$68,AI$4-$B147+1)</f>
        <v/>
      </c>
      <c r="AJ147" s="56">
        <f>$C147*INDEX(Curves!$X$8:$X$68,AJ$4-$B147+1)</f>
        <v/>
      </c>
      <c r="AK147" s="56">
        <f>$C147*INDEX(Curves!$X$8:$X$68,AK$4-$B147+1)</f>
        <v/>
      </c>
      <c r="AL147" s="56">
        <f>$C147*INDEX(Curves!$X$8:$X$68,AL$4-$B147+1)</f>
        <v/>
      </c>
      <c r="AM147" s="56">
        <f>$C147*INDEX(Curves!$X$8:$X$68,AM$4-$B147+1)</f>
        <v/>
      </c>
      <c r="AN147" s="56">
        <f>$C147*INDEX(Curves!$X$8:$X$68,AN$4-$B147+1)</f>
        <v/>
      </c>
      <c r="AO147" s="56">
        <f>$C147*INDEX(Curves!$X$8:$X$68,AO$4-$B147+1)</f>
        <v/>
      </c>
      <c r="AP147" s="56">
        <f>$C147*INDEX(Curves!$X$8:$X$68,AP$4-$B147+1)</f>
        <v/>
      </c>
      <c r="AQ147" s="56">
        <f>$C147*INDEX(Curves!$X$8:$X$68,AQ$4-$B147+1)</f>
        <v/>
      </c>
      <c r="AR147" s="56">
        <f>$C147*INDEX(Curves!$X$8:$X$68,AR$4-$B147+1)</f>
        <v/>
      </c>
      <c r="AS147" s="56">
        <f>$C147*INDEX(Curves!$X$8:$X$68,AS$4-$B147+1)</f>
        <v/>
      </c>
      <c r="AT147" s="56">
        <f>$C147*INDEX(Curves!$X$8:$X$68,AT$4-$B147+1)</f>
        <v/>
      </c>
      <c r="AU147" s="56">
        <f>$C147*INDEX(Curves!$X$8:$X$68,AU$4-$B147+1)</f>
        <v/>
      </c>
      <c r="AV147" s="56">
        <f>$C147*INDEX(Curves!$X$8:$X$68,AV$4-$B147+1)</f>
        <v/>
      </c>
      <c r="AW147" s="56">
        <f>$C147*INDEX(Curves!$X$8:$X$68,AW$4-$B147+1)</f>
        <v/>
      </c>
      <c r="AX147" s="56">
        <f>$C147*INDEX(Curves!$X$8:$X$68,AX$4-$B147+1)</f>
        <v/>
      </c>
      <c r="AY147" s="56">
        <f>$C147*INDEX(Curves!$X$8:$X$68,AY$4-$B147+1)</f>
        <v/>
      </c>
      <c r="AZ147" s="56">
        <f>$C147*INDEX(Curves!$X$8:$X$68,AZ$4-$B147+1)</f>
        <v/>
      </c>
      <c r="BA147" s="56">
        <f>$C147*INDEX(Curves!$X$8:$X$68,BA$4-$B147+1)</f>
        <v/>
      </c>
      <c r="BB147" s="56">
        <f>$C147*INDEX(Curves!$X$8:$X$68,BB$4-$B147+1)</f>
        <v/>
      </c>
      <c r="BC147" s="56">
        <f>$C147*INDEX(Curves!$X$8:$X$68,BC$4-$B147+1)</f>
        <v/>
      </c>
      <c r="BD147" s="56">
        <f>$C147*INDEX(Curves!$X$8:$X$68,BD$4-$B147+1)</f>
        <v/>
      </c>
      <c r="BE147" s="56">
        <f>$C147*INDEX(Curves!$X$8:$X$68,BE$4-$B147+1)</f>
        <v/>
      </c>
      <c r="BF147" s="56">
        <f>$C147*INDEX(Curves!$X$8:$X$68,BF$4-$B147+1)</f>
        <v/>
      </c>
      <c r="BG147" s="56">
        <f>$C147*INDEX(Curves!$X$8:$X$68,BG$4-$B147+1)</f>
        <v/>
      </c>
      <c r="BH147" s="56">
        <f>$C147*INDEX(Curves!$X$8:$X$68,BH$4-$B147+1)</f>
        <v/>
      </c>
      <c r="BI147" s="56">
        <f>$C147*INDEX(Curves!$X$8:$X$68,BI$4-$B147+1)</f>
        <v/>
      </c>
      <c r="BJ147" s="56">
        <f>$C147*INDEX(Curves!$X$8:$X$68,BJ$4-$B147+1)</f>
        <v/>
      </c>
      <c r="BK147" s="56">
        <f>$C147*INDEX(Curves!$X$8:$X$68,BK$4-$B147+1)</f>
        <v/>
      </c>
      <c r="BL147" s="56">
        <f>$C147*INDEX(Curves!$X$8:$X$68,BL$4-$B147+1)</f>
        <v/>
      </c>
    </row>
    <row r="148">
      <c r="A148" s="55" t="inlineStr">
        <is>
          <t>Cohort month 13</t>
        </is>
      </c>
      <c r="B148" s="55" t="n">
        <v>13</v>
      </c>
      <c r="C148" s="46">
        <f>INDEX(Ops!$E$40:$BL$40,1,$B148)</f>
        <v/>
      </c>
      <c r="R148" s="56">
        <f>$C148*INDEX(Curves!$X$8:$X$68,R$4-$B148+1)</f>
        <v/>
      </c>
      <c r="S148" s="56">
        <f>$C148*INDEX(Curves!$X$8:$X$68,S$4-$B148+1)</f>
        <v/>
      </c>
      <c r="T148" s="56">
        <f>$C148*INDEX(Curves!$X$8:$X$68,T$4-$B148+1)</f>
        <v/>
      </c>
      <c r="U148" s="56">
        <f>$C148*INDEX(Curves!$X$8:$X$68,U$4-$B148+1)</f>
        <v/>
      </c>
      <c r="V148" s="56">
        <f>$C148*INDEX(Curves!$X$8:$X$68,V$4-$B148+1)</f>
        <v/>
      </c>
      <c r="W148" s="56">
        <f>$C148*INDEX(Curves!$X$8:$X$68,W$4-$B148+1)</f>
        <v/>
      </c>
      <c r="X148" s="56">
        <f>$C148*INDEX(Curves!$X$8:$X$68,X$4-$B148+1)</f>
        <v/>
      </c>
      <c r="Y148" s="56">
        <f>$C148*INDEX(Curves!$X$8:$X$68,Y$4-$B148+1)</f>
        <v/>
      </c>
      <c r="Z148" s="56">
        <f>$C148*INDEX(Curves!$X$8:$X$68,Z$4-$B148+1)</f>
        <v/>
      </c>
      <c r="AA148" s="56">
        <f>$C148*INDEX(Curves!$X$8:$X$68,AA$4-$B148+1)</f>
        <v/>
      </c>
      <c r="AB148" s="56">
        <f>$C148*INDEX(Curves!$X$8:$X$68,AB$4-$B148+1)</f>
        <v/>
      </c>
      <c r="AC148" s="56">
        <f>$C148*INDEX(Curves!$X$8:$X$68,AC$4-$B148+1)</f>
        <v/>
      </c>
      <c r="AD148" s="56">
        <f>$C148*INDEX(Curves!$X$8:$X$68,AD$4-$B148+1)</f>
        <v/>
      </c>
      <c r="AE148" s="56">
        <f>$C148*INDEX(Curves!$X$8:$X$68,AE$4-$B148+1)</f>
        <v/>
      </c>
      <c r="AF148" s="56">
        <f>$C148*INDEX(Curves!$X$8:$X$68,AF$4-$B148+1)</f>
        <v/>
      </c>
      <c r="AG148" s="56">
        <f>$C148*INDEX(Curves!$X$8:$X$68,AG$4-$B148+1)</f>
        <v/>
      </c>
      <c r="AH148" s="56">
        <f>$C148*INDEX(Curves!$X$8:$X$68,AH$4-$B148+1)</f>
        <v/>
      </c>
      <c r="AI148" s="56">
        <f>$C148*INDEX(Curves!$X$8:$X$68,AI$4-$B148+1)</f>
        <v/>
      </c>
      <c r="AJ148" s="56">
        <f>$C148*INDEX(Curves!$X$8:$X$68,AJ$4-$B148+1)</f>
        <v/>
      </c>
      <c r="AK148" s="56">
        <f>$C148*INDEX(Curves!$X$8:$X$68,AK$4-$B148+1)</f>
        <v/>
      </c>
      <c r="AL148" s="56">
        <f>$C148*INDEX(Curves!$X$8:$X$68,AL$4-$B148+1)</f>
        <v/>
      </c>
      <c r="AM148" s="56">
        <f>$C148*INDEX(Curves!$X$8:$X$68,AM$4-$B148+1)</f>
        <v/>
      </c>
      <c r="AN148" s="56">
        <f>$C148*INDEX(Curves!$X$8:$X$68,AN$4-$B148+1)</f>
        <v/>
      </c>
      <c r="AO148" s="56">
        <f>$C148*INDEX(Curves!$X$8:$X$68,AO$4-$B148+1)</f>
        <v/>
      </c>
      <c r="AP148" s="56">
        <f>$C148*INDEX(Curves!$X$8:$X$68,AP$4-$B148+1)</f>
        <v/>
      </c>
      <c r="AQ148" s="56">
        <f>$C148*INDEX(Curves!$X$8:$X$68,AQ$4-$B148+1)</f>
        <v/>
      </c>
      <c r="AR148" s="56">
        <f>$C148*INDEX(Curves!$X$8:$X$68,AR$4-$B148+1)</f>
        <v/>
      </c>
      <c r="AS148" s="56">
        <f>$C148*INDEX(Curves!$X$8:$X$68,AS$4-$B148+1)</f>
        <v/>
      </c>
      <c r="AT148" s="56">
        <f>$C148*INDEX(Curves!$X$8:$X$68,AT$4-$B148+1)</f>
        <v/>
      </c>
      <c r="AU148" s="56">
        <f>$C148*INDEX(Curves!$X$8:$X$68,AU$4-$B148+1)</f>
        <v/>
      </c>
      <c r="AV148" s="56">
        <f>$C148*INDEX(Curves!$X$8:$X$68,AV$4-$B148+1)</f>
        <v/>
      </c>
      <c r="AW148" s="56">
        <f>$C148*INDEX(Curves!$X$8:$X$68,AW$4-$B148+1)</f>
        <v/>
      </c>
      <c r="AX148" s="56">
        <f>$C148*INDEX(Curves!$X$8:$X$68,AX$4-$B148+1)</f>
        <v/>
      </c>
      <c r="AY148" s="56">
        <f>$C148*INDEX(Curves!$X$8:$X$68,AY$4-$B148+1)</f>
        <v/>
      </c>
      <c r="AZ148" s="56">
        <f>$C148*INDEX(Curves!$X$8:$X$68,AZ$4-$B148+1)</f>
        <v/>
      </c>
      <c r="BA148" s="56">
        <f>$C148*INDEX(Curves!$X$8:$X$68,BA$4-$B148+1)</f>
        <v/>
      </c>
      <c r="BB148" s="56">
        <f>$C148*INDEX(Curves!$X$8:$X$68,BB$4-$B148+1)</f>
        <v/>
      </c>
      <c r="BC148" s="56">
        <f>$C148*INDEX(Curves!$X$8:$X$68,BC$4-$B148+1)</f>
        <v/>
      </c>
      <c r="BD148" s="56">
        <f>$C148*INDEX(Curves!$X$8:$X$68,BD$4-$B148+1)</f>
        <v/>
      </c>
      <c r="BE148" s="56">
        <f>$C148*INDEX(Curves!$X$8:$X$68,BE$4-$B148+1)</f>
        <v/>
      </c>
      <c r="BF148" s="56">
        <f>$C148*INDEX(Curves!$X$8:$X$68,BF$4-$B148+1)</f>
        <v/>
      </c>
      <c r="BG148" s="56">
        <f>$C148*INDEX(Curves!$X$8:$X$68,BG$4-$B148+1)</f>
        <v/>
      </c>
      <c r="BH148" s="56">
        <f>$C148*INDEX(Curves!$X$8:$X$68,BH$4-$B148+1)</f>
        <v/>
      </c>
      <c r="BI148" s="56">
        <f>$C148*INDEX(Curves!$X$8:$X$68,BI$4-$B148+1)</f>
        <v/>
      </c>
      <c r="BJ148" s="56">
        <f>$C148*INDEX(Curves!$X$8:$X$68,BJ$4-$B148+1)</f>
        <v/>
      </c>
      <c r="BK148" s="56">
        <f>$C148*INDEX(Curves!$X$8:$X$68,BK$4-$B148+1)</f>
        <v/>
      </c>
      <c r="BL148" s="56">
        <f>$C148*INDEX(Curves!$X$8:$X$68,BL$4-$B148+1)</f>
        <v/>
      </c>
    </row>
    <row r="149">
      <c r="A149" s="55" t="inlineStr">
        <is>
          <t>Cohort month 14</t>
        </is>
      </c>
      <c r="B149" s="55" t="n">
        <v>14</v>
      </c>
      <c r="C149" s="46">
        <f>INDEX(Ops!$E$40:$BL$40,1,$B149)</f>
        <v/>
      </c>
      <c r="S149" s="56">
        <f>$C149*INDEX(Curves!$X$8:$X$68,S$4-$B149+1)</f>
        <v/>
      </c>
      <c r="T149" s="56">
        <f>$C149*INDEX(Curves!$X$8:$X$68,T$4-$B149+1)</f>
        <v/>
      </c>
      <c r="U149" s="56">
        <f>$C149*INDEX(Curves!$X$8:$X$68,U$4-$B149+1)</f>
        <v/>
      </c>
      <c r="V149" s="56">
        <f>$C149*INDEX(Curves!$X$8:$X$68,V$4-$B149+1)</f>
        <v/>
      </c>
      <c r="W149" s="56">
        <f>$C149*INDEX(Curves!$X$8:$X$68,W$4-$B149+1)</f>
        <v/>
      </c>
      <c r="X149" s="56">
        <f>$C149*INDEX(Curves!$X$8:$X$68,X$4-$B149+1)</f>
        <v/>
      </c>
      <c r="Y149" s="56">
        <f>$C149*INDEX(Curves!$X$8:$X$68,Y$4-$B149+1)</f>
        <v/>
      </c>
      <c r="Z149" s="56">
        <f>$C149*INDEX(Curves!$X$8:$X$68,Z$4-$B149+1)</f>
        <v/>
      </c>
      <c r="AA149" s="56">
        <f>$C149*INDEX(Curves!$X$8:$X$68,AA$4-$B149+1)</f>
        <v/>
      </c>
      <c r="AB149" s="56">
        <f>$C149*INDEX(Curves!$X$8:$X$68,AB$4-$B149+1)</f>
        <v/>
      </c>
      <c r="AC149" s="56">
        <f>$C149*INDEX(Curves!$X$8:$X$68,AC$4-$B149+1)</f>
        <v/>
      </c>
      <c r="AD149" s="56">
        <f>$C149*INDEX(Curves!$X$8:$X$68,AD$4-$B149+1)</f>
        <v/>
      </c>
      <c r="AE149" s="56">
        <f>$C149*INDEX(Curves!$X$8:$X$68,AE$4-$B149+1)</f>
        <v/>
      </c>
      <c r="AF149" s="56">
        <f>$C149*INDEX(Curves!$X$8:$X$68,AF$4-$B149+1)</f>
        <v/>
      </c>
      <c r="AG149" s="56">
        <f>$C149*INDEX(Curves!$X$8:$X$68,AG$4-$B149+1)</f>
        <v/>
      </c>
      <c r="AH149" s="56">
        <f>$C149*INDEX(Curves!$X$8:$X$68,AH$4-$B149+1)</f>
        <v/>
      </c>
      <c r="AI149" s="56">
        <f>$C149*INDEX(Curves!$X$8:$X$68,AI$4-$B149+1)</f>
        <v/>
      </c>
      <c r="AJ149" s="56">
        <f>$C149*INDEX(Curves!$X$8:$X$68,AJ$4-$B149+1)</f>
        <v/>
      </c>
      <c r="AK149" s="56">
        <f>$C149*INDEX(Curves!$X$8:$X$68,AK$4-$B149+1)</f>
        <v/>
      </c>
      <c r="AL149" s="56">
        <f>$C149*INDEX(Curves!$X$8:$X$68,AL$4-$B149+1)</f>
        <v/>
      </c>
      <c r="AM149" s="56">
        <f>$C149*INDEX(Curves!$X$8:$X$68,AM$4-$B149+1)</f>
        <v/>
      </c>
      <c r="AN149" s="56">
        <f>$C149*INDEX(Curves!$X$8:$X$68,AN$4-$B149+1)</f>
        <v/>
      </c>
      <c r="AO149" s="56">
        <f>$C149*INDEX(Curves!$X$8:$X$68,AO$4-$B149+1)</f>
        <v/>
      </c>
      <c r="AP149" s="56">
        <f>$C149*INDEX(Curves!$X$8:$X$68,AP$4-$B149+1)</f>
        <v/>
      </c>
      <c r="AQ149" s="56">
        <f>$C149*INDEX(Curves!$X$8:$X$68,AQ$4-$B149+1)</f>
        <v/>
      </c>
      <c r="AR149" s="56">
        <f>$C149*INDEX(Curves!$X$8:$X$68,AR$4-$B149+1)</f>
        <v/>
      </c>
      <c r="AS149" s="56">
        <f>$C149*INDEX(Curves!$X$8:$X$68,AS$4-$B149+1)</f>
        <v/>
      </c>
      <c r="AT149" s="56">
        <f>$C149*INDEX(Curves!$X$8:$X$68,AT$4-$B149+1)</f>
        <v/>
      </c>
      <c r="AU149" s="56">
        <f>$C149*INDEX(Curves!$X$8:$X$68,AU$4-$B149+1)</f>
        <v/>
      </c>
      <c r="AV149" s="56">
        <f>$C149*INDEX(Curves!$X$8:$X$68,AV$4-$B149+1)</f>
        <v/>
      </c>
      <c r="AW149" s="56">
        <f>$C149*INDEX(Curves!$X$8:$X$68,AW$4-$B149+1)</f>
        <v/>
      </c>
      <c r="AX149" s="56">
        <f>$C149*INDEX(Curves!$X$8:$X$68,AX$4-$B149+1)</f>
        <v/>
      </c>
      <c r="AY149" s="56">
        <f>$C149*INDEX(Curves!$X$8:$X$68,AY$4-$B149+1)</f>
        <v/>
      </c>
      <c r="AZ149" s="56">
        <f>$C149*INDEX(Curves!$X$8:$X$68,AZ$4-$B149+1)</f>
        <v/>
      </c>
      <c r="BA149" s="56">
        <f>$C149*INDEX(Curves!$X$8:$X$68,BA$4-$B149+1)</f>
        <v/>
      </c>
      <c r="BB149" s="56">
        <f>$C149*INDEX(Curves!$X$8:$X$68,BB$4-$B149+1)</f>
        <v/>
      </c>
      <c r="BC149" s="56">
        <f>$C149*INDEX(Curves!$X$8:$X$68,BC$4-$B149+1)</f>
        <v/>
      </c>
      <c r="BD149" s="56">
        <f>$C149*INDEX(Curves!$X$8:$X$68,BD$4-$B149+1)</f>
        <v/>
      </c>
      <c r="BE149" s="56">
        <f>$C149*INDEX(Curves!$X$8:$X$68,BE$4-$B149+1)</f>
        <v/>
      </c>
      <c r="BF149" s="56">
        <f>$C149*INDEX(Curves!$X$8:$X$68,BF$4-$B149+1)</f>
        <v/>
      </c>
      <c r="BG149" s="56">
        <f>$C149*INDEX(Curves!$X$8:$X$68,BG$4-$B149+1)</f>
        <v/>
      </c>
      <c r="BH149" s="56">
        <f>$C149*INDEX(Curves!$X$8:$X$68,BH$4-$B149+1)</f>
        <v/>
      </c>
      <c r="BI149" s="56">
        <f>$C149*INDEX(Curves!$X$8:$X$68,BI$4-$B149+1)</f>
        <v/>
      </c>
      <c r="BJ149" s="56">
        <f>$C149*INDEX(Curves!$X$8:$X$68,BJ$4-$B149+1)</f>
        <v/>
      </c>
      <c r="BK149" s="56">
        <f>$C149*INDEX(Curves!$X$8:$X$68,BK$4-$B149+1)</f>
        <v/>
      </c>
      <c r="BL149" s="56">
        <f>$C149*INDEX(Curves!$X$8:$X$68,BL$4-$B149+1)</f>
        <v/>
      </c>
    </row>
    <row r="150">
      <c r="A150" s="55" t="inlineStr">
        <is>
          <t>Cohort month 15</t>
        </is>
      </c>
      <c r="B150" s="55" t="n">
        <v>15</v>
      </c>
      <c r="C150" s="46">
        <f>INDEX(Ops!$E$40:$BL$40,1,$B150)</f>
        <v/>
      </c>
      <c r="T150" s="56">
        <f>$C150*INDEX(Curves!$X$8:$X$68,T$4-$B150+1)</f>
        <v/>
      </c>
      <c r="U150" s="56">
        <f>$C150*INDEX(Curves!$X$8:$X$68,U$4-$B150+1)</f>
        <v/>
      </c>
      <c r="V150" s="56">
        <f>$C150*INDEX(Curves!$X$8:$X$68,V$4-$B150+1)</f>
        <v/>
      </c>
      <c r="W150" s="56">
        <f>$C150*INDEX(Curves!$X$8:$X$68,W$4-$B150+1)</f>
        <v/>
      </c>
      <c r="X150" s="56">
        <f>$C150*INDEX(Curves!$X$8:$X$68,X$4-$B150+1)</f>
        <v/>
      </c>
      <c r="Y150" s="56">
        <f>$C150*INDEX(Curves!$X$8:$X$68,Y$4-$B150+1)</f>
        <v/>
      </c>
      <c r="Z150" s="56">
        <f>$C150*INDEX(Curves!$X$8:$X$68,Z$4-$B150+1)</f>
        <v/>
      </c>
      <c r="AA150" s="56">
        <f>$C150*INDEX(Curves!$X$8:$X$68,AA$4-$B150+1)</f>
        <v/>
      </c>
      <c r="AB150" s="56">
        <f>$C150*INDEX(Curves!$X$8:$X$68,AB$4-$B150+1)</f>
        <v/>
      </c>
      <c r="AC150" s="56">
        <f>$C150*INDEX(Curves!$X$8:$X$68,AC$4-$B150+1)</f>
        <v/>
      </c>
      <c r="AD150" s="56">
        <f>$C150*INDEX(Curves!$X$8:$X$68,AD$4-$B150+1)</f>
        <v/>
      </c>
      <c r="AE150" s="56">
        <f>$C150*INDEX(Curves!$X$8:$X$68,AE$4-$B150+1)</f>
        <v/>
      </c>
      <c r="AF150" s="56">
        <f>$C150*INDEX(Curves!$X$8:$X$68,AF$4-$B150+1)</f>
        <v/>
      </c>
      <c r="AG150" s="56">
        <f>$C150*INDEX(Curves!$X$8:$X$68,AG$4-$B150+1)</f>
        <v/>
      </c>
      <c r="AH150" s="56">
        <f>$C150*INDEX(Curves!$X$8:$X$68,AH$4-$B150+1)</f>
        <v/>
      </c>
      <c r="AI150" s="56">
        <f>$C150*INDEX(Curves!$X$8:$X$68,AI$4-$B150+1)</f>
        <v/>
      </c>
      <c r="AJ150" s="56">
        <f>$C150*INDEX(Curves!$X$8:$X$68,AJ$4-$B150+1)</f>
        <v/>
      </c>
      <c r="AK150" s="56">
        <f>$C150*INDEX(Curves!$X$8:$X$68,AK$4-$B150+1)</f>
        <v/>
      </c>
      <c r="AL150" s="56">
        <f>$C150*INDEX(Curves!$X$8:$X$68,AL$4-$B150+1)</f>
        <v/>
      </c>
      <c r="AM150" s="56">
        <f>$C150*INDEX(Curves!$X$8:$X$68,AM$4-$B150+1)</f>
        <v/>
      </c>
      <c r="AN150" s="56">
        <f>$C150*INDEX(Curves!$X$8:$X$68,AN$4-$B150+1)</f>
        <v/>
      </c>
      <c r="AO150" s="56">
        <f>$C150*INDEX(Curves!$X$8:$X$68,AO$4-$B150+1)</f>
        <v/>
      </c>
      <c r="AP150" s="56">
        <f>$C150*INDEX(Curves!$X$8:$X$68,AP$4-$B150+1)</f>
        <v/>
      </c>
      <c r="AQ150" s="56">
        <f>$C150*INDEX(Curves!$X$8:$X$68,AQ$4-$B150+1)</f>
        <v/>
      </c>
      <c r="AR150" s="56">
        <f>$C150*INDEX(Curves!$X$8:$X$68,AR$4-$B150+1)</f>
        <v/>
      </c>
      <c r="AS150" s="56">
        <f>$C150*INDEX(Curves!$X$8:$X$68,AS$4-$B150+1)</f>
        <v/>
      </c>
      <c r="AT150" s="56">
        <f>$C150*INDEX(Curves!$X$8:$X$68,AT$4-$B150+1)</f>
        <v/>
      </c>
      <c r="AU150" s="56">
        <f>$C150*INDEX(Curves!$X$8:$X$68,AU$4-$B150+1)</f>
        <v/>
      </c>
      <c r="AV150" s="56">
        <f>$C150*INDEX(Curves!$X$8:$X$68,AV$4-$B150+1)</f>
        <v/>
      </c>
      <c r="AW150" s="56">
        <f>$C150*INDEX(Curves!$X$8:$X$68,AW$4-$B150+1)</f>
        <v/>
      </c>
      <c r="AX150" s="56">
        <f>$C150*INDEX(Curves!$X$8:$X$68,AX$4-$B150+1)</f>
        <v/>
      </c>
      <c r="AY150" s="56">
        <f>$C150*INDEX(Curves!$X$8:$X$68,AY$4-$B150+1)</f>
        <v/>
      </c>
      <c r="AZ150" s="56">
        <f>$C150*INDEX(Curves!$X$8:$X$68,AZ$4-$B150+1)</f>
        <v/>
      </c>
      <c r="BA150" s="56">
        <f>$C150*INDEX(Curves!$X$8:$X$68,BA$4-$B150+1)</f>
        <v/>
      </c>
      <c r="BB150" s="56">
        <f>$C150*INDEX(Curves!$X$8:$X$68,BB$4-$B150+1)</f>
        <v/>
      </c>
      <c r="BC150" s="56">
        <f>$C150*INDEX(Curves!$X$8:$X$68,BC$4-$B150+1)</f>
        <v/>
      </c>
      <c r="BD150" s="56">
        <f>$C150*INDEX(Curves!$X$8:$X$68,BD$4-$B150+1)</f>
        <v/>
      </c>
      <c r="BE150" s="56">
        <f>$C150*INDEX(Curves!$X$8:$X$68,BE$4-$B150+1)</f>
        <v/>
      </c>
      <c r="BF150" s="56">
        <f>$C150*INDEX(Curves!$X$8:$X$68,BF$4-$B150+1)</f>
        <v/>
      </c>
      <c r="BG150" s="56">
        <f>$C150*INDEX(Curves!$X$8:$X$68,BG$4-$B150+1)</f>
        <v/>
      </c>
      <c r="BH150" s="56">
        <f>$C150*INDEX(Curves!$X$8:$X$68,BH$4-$B150+1)</f>
        <v/>
      </c>
      <c r="BI150" s="56">
        <f>$C150*INDEX(Curves!$X$8:$X$68,BI$4-$B150+1)</f>
        <v/>
      </c>
      <c r="BJ150" s="56">
        <f>$C150*INDEX(Curves!$X$8:$X$68,BJ$4-$B150+1)</f>
        <v/>
      </c>
      <c r="BK150" s="56">
        <f>$C150*INDEX(Curves!$X$8:$X$68,BK$4-$B150+1)</f>
        <v/>
      </c>
      <c r="BL150" s="56">
        <f>$C150*INDEX(Curves!$X$8:$X$68,BL$4-$B150+1)</f>
        <v/>
      </c>
    </row>
    <row r="151">
      <c r="A151" s="55" t="inlineStr">
        <is>
          <t>Cohort month 16</t>
        </is>
      </c>
      <c r="B151" s="55" t="n">
        <v>16</v>
      </c>
      <c r="C151" s="46">
        <f>INDEX(Ops!$E$40:$BL$40,1,$B151)</f>
        <v/>
      </c>
      <c r="U151" s="56">
        <f>$C151*INDEX(Curves!$X$8:$X$68,U$4-$B151+1)</f>
        <v/>
      </c>
      <c r="V151" s="56">
        <f>$C151*INDEX(Curves!$X$8:$X$68,V$4-$B151+1)</f>
        <v/>
      </c>
      <c r="W151" s="56">
        <f>$C151*INDEX(Curves!$X$8:$X$68,W$4-$B151+1)</f>
        <v/>
      </c>
      <c r="X151" s="56">
        <f>$C151*INDEX(Curves!$X$8:$X$68,X$4-$B151+1)</f>
        <v/>
      </c>
      <c r="Y151" s="56">
        <f>$C151*INDEX(Curves!$X$8:$X$68,Y$4-$B151+1)</f>
        <v/>
      </c>
      <c r="Z151" s="56">
        <f>$C151*INDEX(Curves!$X$8:$X$68,Z$4-$B151+1)</f>
        <v/>
      </c>
      <c r="AA151" s="56">
        <f>$C151*INDEX(Curves!$X$8:$X$68,AA$4-$B151+1)</f>
        <v/>
      </c>
      <c r="AB151" s="56">
        <f>$C151*INDEX(Curves!$X$8:$X$68,AB$4-$B151+1)</f>
        <v/>
      </c>
      <c r="AC151" s="56">
        <f>$C151*INDEX(Curves!$X$8:$X$68,AC$4-$B151+1)</f>
        <v/>
      </c>
      <c r="AD151" s="56">
        <f>$C151*INDEX(Curves!$X$8:$X$68,AD$4-$B151+1)</f>
        <v/>
      </c>
      <c r="AE151" s="56">
        <f>$C151*INDEX(Curves!$X$8:$X$68,AE$4-$B151+1)</f>
        <v/>
      </c>
      <c r="AF151" s="56">
        <f>$C151*INDEX(Curves!$X$8:$X$68,AF$4-$B151+1)</f>
        <v/>
      </c>
      <c r="AG151" s="56">
        <f>$C151*INDEX(Curves!$X$8:$X$68,AG$4-$B151+1)</f>
        <v/>
      </c>
      <c r="AH151" s="56">
        <f>$C151*INDEX(Curves!$X$8:$X$68,AH$4-$B151+1)</f>
        <v/>
      </c>
      <c r="AI151" s="56">
        <f>$C151*INDEX(Curves!$X$8:$X$68,AI$4-$B151+1)</f>
        <v/>
      </c>
      <c r="AJ151" s="56">
        <f>$C151*INDEX(Curves!$X$8:$X$68,AJ$4-$B151+1)</f>
        <v/>
      </c>
      <c r="AK151" s="56">
        <f>$C151*INDEX(Curves!$X$8:$X$68,AK$4-$B151+1)</f>
        <v/>
      </c>
      <c r="AL151" s="56">
        <f>$C151*INDEX(Curves!$X$8:$X$68,AL$4-$B151+1)</f>
        <v/>
      </c>
      <c r="AM151" s="56">
        <f>$C151*INDEX(Curves!$X$8:$X$68,AM$4-$B151+1)</f>
        <v/>
      </c>
      <c r="AN151" s="56">
        <f>$C151*INDEX(Curves!$X$8:$X$68,AN$4-$B151+1)</f>
        <v/>
      </c>
      <c r="AO151" s="56">
        <f>$C151*INDEX(Curves!$X$8:$X$68,AO$4-$B151+1)</f>
        <v/>
      </c>
      <c r="AP151" s="56">
        <f>$C151*INDEX(Curves!$X$8:$X$68,AP$4-$B151+1)</f>
        <v/>
      </c>
      <c r="AQ151" s="56">
        <f>$C151*INDEX(Curves!$X$8:$X$68,AQ$4-$B151+1)</f>
        <v/>
      </c>
      <c r="AR151" s="56">
        <f>$C151*INDEX(Curves!$X$8:$X$68,AR$4-$B151+1)</f>
        <v/>
      </c>
      <c r="AS151" s="56">
        <f>$C151*INDEX(Curves!$X$8:$X$68,AS$4-$B151+1)</f>
        <v/>
      </c>
      <c r="AT151" s="56">
        <f>$C151*INDEX(Curves!$X$8:$X$68,AT$4-$B151+1)</f>
        <v/>
      </c>
      <c r="AU151" s="56">
        <f>$C151*INDEX(Curves!$X$8:$X$68,AU$4-$B151+1)</f>
        <v/>
      </c>
      <c r="AV151" s="56">
        <f>$C151*INDEX(Curves!$X$8:$X$68,AV$4-$B151+1)</f>
        <v/>
      </c>
      <c r="AW151" s="56">
        <f>$C151*INDEX(Curves!$X$8:$X$68,AW$4-$B151+1)</f>
        <v/>
      </c>
      <c r="AX151" s="56">
        <f>$C151*INDEX(Curves!$X$8:$X$68,AX$4-$B151+1)</f>
        <v/>
      </c>
      <c r="AY151" s="56">
        <f>$C151*INDEX(Curves!$X$8:$X$68,AY$4-$B151+1)</f>
        <v/>
      </c>
      <c r="AZ151" s="56">
        <f>$C151*INDEX(Curves!$X$8:$X$68,AZ$4-$B151+1)</f>
        <v/>
      </c>
      <c r="BA151" s="56">
        <f>$C151*INDEX(Curves!$X$8:$X$68,BA$4-$B151+1)</f>
        <v/>
      </c>
      <c r="BB151" s="56">
        <f>$C151*INDEX(Curves!$X$8:$X$68,BB$4-$B151+1)</f>
        <v/>
      </c>
      <c r="BC151" s="56">
        <f>$C151*INDEX(Curves!$X$8:$X$68,BC$4-$B151+1)</f>
        <v/>
      </c>
      <c r="BD151" s="56">
        <f>$C151*INDEX(Curves!$X$8:$X$68,BD$4-$B151+1)</f>
        <v/>
      </c>
      <c r="BE151" s="56">
        <f>$C151*INDEX(Curves!$X$8:$X$68,BE$4-$B151+1)</f>
        <v/>
      </c>
      <c r="BF151" s="56">
        <f>$C151*INDEX(Curves!$X$8:$X$68,BF$4-$B151+1)</f>
        <v/>
      </c>
      <c r="BG151" s="56">
        <f>$C151*INDEX(Curves!$X$8:$X$68,BG$4-$B151+1)</f>
        <v/>
      </c>
      <c r="BH151" s="56">
        <f>$C151*INDEX(Curves!$X$8:$X$68,BH$4-$B151+1)</f>
        <v/>
      </c>
      <c r="BI151" s="56">
        <f>$C151*INDEX(Curves!$X$8:$X$68,BI$4-$B151+1)</f>
        <v/>
      </c>
      <c r="BJ151" s="56">
        <f>$C151*INDEX(Curves!$X$8:$X$68,BJ$4-$B151+1)</f>
        <v/>
      </c>
      <c r="BK151" s="56">
        <f>$C151*INDEX(Curves!$X$8:$X$68,BK$4-$B151+1)</f>
        <v/>
      </c>
      <c r="BL151" s="56">
        <f>$C151*INDEX(Curves!$X$8:$X$68,BL$4-$B151+1)</f>
        <v/>
      </c>
    </row>
    <row r="152">
      <c r="A152" s="55" t="inlineStr">
        <is>
          <t>Cohort month 17</t>
        </is>
      </c>
      <c r="B152" s="55" t="n">
        <v>17</v>
      </c>
      <c r="C152" s="46">
        <f>INDEX(Ops!$E$40:$BL$40,1,$B152)</f>
        <v/>
      </c>
      <c r="V152" s="56">
        <f>$C152*INDEX(Curves!$X$8:$X$68,V$4-$B152+1)</f>
        <v/>
      </c>
      <c r="W152" s="56">
        <f>$C152*INDEX(Curves!$X$8:$X$68,W$4-$B152+1)</f>
        <v/>
      </c>
      <c r="X152" s="56">
        <f>$C152*INDEX(Curves!$X$8:$X$68,X$4-$B152+1)</f>
        <v/>
      </c>
      <c r="Y152" s="56">
        <f>$C152*INDEX(Curves!$X$8:$X$68,Y$4-$B152+1)</f>
        <v/>
      </c>
      <c r="Z152" s="56">
        <f>$C152*INDEX(Curves!$X$8:$X$68,Z$4-$B152+1)</f>
        <v/>
      </c>
      <c r="AA152" s="56">
        <f>$C152*INDEX(Curves!$X$8:$X$68,AA$4-$B152+1)</f>
        <v/>
      </c>
      <c r="AB152" s="56">
        <f>$C152*INDEX(Curves!$X$8:$X$68,AB$4-$B152+1)</f>
        <v/>
      </c>
      <c r="AC152" s="56">
        <f>$C152*INDEX(Curves!$X$8:$X$68,AC$4-$B152+1)</f>
        <v/>
      </c>
      <c r="AD152" s="56">
        <f>$C152*INDEX(Curves!$X$8:$X$68,AD$4-$B152+1)</f>
        <v/>
      </c>
      <c r="AE152" s="56">
        <f>$C152*INDEX(Curves!$X$8:$X$68,AE$4-$B152+1)</f>
        <v/>
      </c>
      <c r="AF152" s="56">
        <f>$C152*INDEX(Curves!$X$8:$X$68,AF$4-$B152+1)</f>
        <v/>
      </c>
      <c r="AG152" s="56">
        <f>$C152*INDEX(Curves!$X$8:$X$68,AG$4-$B152+1)</f>
        <v/>
      </c>
      <c r="AH152" s="56">
        <f>$C152*INDEX(Curves!$X$8:$X$68,AH$4-$B152+1)</f>
        <v/>
      </c>
      <c r="AI152" s="56">
        <f>$C152*INDEX(Curves!$X$8:$X$68,AI$4-$B152+1)</f>
        <v/>
      </c>
      <c r="AJ152" s="56">
        <f>$C152*INDEX(Curves!$X$8:$X$68,AJ$4-$B152+1)</f>
        <v/>
      </c>
      <c r="AK152" s="56">
        <f>$C152*INDEX(Curves!$X$8:$X$68,AK$4-$B152+1)</f>
        <v/>
      </c>
      <c r="AL152" s="56">
        <f>$C152*INDEX(Curves!$X$8:$X$68,AL$4-$B152+1)</f>
        <v/>
      </c>
      <c r="AM152" s="56">
        <f>$C152*INDEX(Curves!$X$8:$X$68,AM$4-$B152+1)</f>
        <v/>
      </c>
      <c r="AN152" s="56">
        <f>$C152*INDEX(Curves!$X$8:$X$68,AN$4-$B152+1)</f>
        <v/>
      </c>
      <c r="AO152" s="56">
        <f>$C152*INDEX(Curves!$X$8:$X$68,AO$4-$B152+1)</f>
        <v/>
      </c>
      <c r="AP152" s="56">
        <f>$C152*INDEX(Curves!$X$8:$X$68,AP$4-$B152+1)</f>
        <v/>
      </c>
      <c r="AQ152" s="56">
        <f>$C152*INDEX(Curves!$X$8:$X$68,AQ$4-$B152+1)</f>
        <v/>
      </c>
      <c r="AR152" s="56">
        <f>$C152*INDEX(Curves!$X$8:$X$68,AR$4-$B152+1)</f>
        <v/>
      </c>
      <c r="AS152" s="56">
        <f>$C152*INDEX(Curves!$X$8:$X$68,AS$4-$B152+1)</f>
        <v/>
      </c>
      <c r="AT152" s="56">
        <f>$C152*INDEX(Curves!$X$8:$X$68,AT$4-$B152+1)</f>
        <v/>
      </c>
      <c r="AU152" s="56">
        <f>$C152*INDEX(Curves!$X$8:$X$68,AU$4-$B152+1)</f>
        <v/>
      </c>
      <c r="AV152" s="56">
        <f>$C152*INDEX(Curves!$X$8:$X$68,AV$4-$B152+1)</f>
        <v/>
      </c>
      <c r="AW152" s="56">
        <f>$C152*INDEX(Curves!$X$8:$X$68,AW$4-$B152+1)</f>
        <v/>
      </c>
      <c r="AX152" s="56">
        <f>$C152*INDEX(Curves!$X$8:$X$68,AX$4-$B152+1)</f>
        <v/>
      </c>
      <c r="AY152" s="56">
        <f>$C152*INDEX(Curves!$X$8:$X$68,AY$4-$B152+1)</f>
        <v/>
      </c>
      <c r="AZ152" s="56">
        <f>$C152*INDEX(Curves!$X$8:$X$68,AZ$4-$B152+1)</f>
        <v/>
      </c>
      <c r="BA152" s="56">
        <f>$C152*INDEX(Curves!$X$8:$X$68,BA$4-$B152+1)</f>
        <v/>
      </c>
      <c r="BB152" s="56">
        <f>$C152*INDEX(Curves!$X$8:$X$68,BB$4-$B152+1)</f>
        <v/>
      </c>
      <c r="BC152" s="56">
        <f>$C152*INDEX(Curves!$X$8:$X$68,BC$4-$B152+1)</f>
        <v/>
      </c>
      <c r="BD152" s="56">
        <f>$C152*INDEX(Curves!$X$8:$X$68,BD$4-$B152+1)</f>
        <v/>
      </c>
      <c r="BE152" s="56">
        <f>$C152*INDEX(Curves!$X$8:$X$68,BE$4-$B152+1)</f>
        <v/>
      </c>
      <c r="BF152" s="56">
        <f>$C152*INDEX(Curves!$X$8:$X$68,BF$4-$B152+1)</f>
        <v/>
      </c>
      <c r="BG152" s="56">
        <f>$C152*INDEX(Curves!$X$8:$X$68,BG$4-$B152+1)</f>
        <v/>
      </c>
      <c r="BH152" s="56">
        <f>$C152*INDEX(Curves!$X$8:$X$68,BH$4-$B152+1)</f>
        <v/>
      </c>
      <c r="BI152" s="56">
        <f>$C152*INDEX(Curves!$X$8:$X$68,BI$4-$B152+1)</f>
        <v/>
      </c>
      <c r="BJ152" s="56">
        <f>$C152*INDEX(Curves!$X$8:$X$68,BJ$4-$B152+1)</f>
        <v/>
      </c>
      <c r="BK152" s="56">
        <f>$C152*INDEX(Curves!$X$8:$X$68,BK$4-$B152+1)</f>
        <v/>
      </c>
      <c r="BL152" s="56">
        <f>$C152*INDEX(Curves!$X$8:$X$68,BL$4-$B152+1)</f>
        <v/>
      </c>
    </row>
    <row r="153">
      <c r="A153" s="55" t="inlineStr">
        <is>
          <t>Cohort month 18</t>
        </is>
      </c>
      <c r="B153" s="55" t="n">
        <v>18</v>
      </c>
      <c r="C153" s="46">
        <f>INDEX(Ops!$E$40:$BL$40,1,$B153)</f>
        <v/>
      </c>
      <c r="W153" s="56">
        <f>$C153*INDEX(Curves!$X$8:$X$68,W$4-$B153+1)</f>
        <v/>
      </c>
      <c r="X153" s="56">
        <f>$C153*INDEX(Curves!$X$8:$X$68,X$4-$B153+1)</f>
        <v/>
      </c>
      <c r="Y153" s="56">
        <f>$C153*INDEX(Curves!$X$8:$X$68,Y$4-$B153+1)</f>
        <v/>
      </c>
      <c r="Z153" s="56">
        <f>$C153*INDEX(Curves!$X$8:$X$68,Z$4-$B153+1)</f>
        <v/>
      </c>
      <c r="AA153" s="56">
        <f>$C153*INDEX(Curves!$X$8:$X$68,AA$4-$B153+1)</f>
        <v/>
      </c>
      <c r="AB153" s="56">
        <f>$C153*INDEX(Curves!$X$8:$X$68,AB$4-$B153+1)</f>
        <v/>
      </c>
      <c r="AC153" s="56">
        <f>$C153*INDEX(Curves!$X$8:$X$68,AC$4-$B153+1)</f>
        <v/>
      </c>
      <c r="AD153" s="56">
        <f>$C153*INDEX(Curves!$X$8:$X$68,AD$4-$B153+1)</f>
        <v/>
      </c>
      <c r="AE153" s="56">
        <f>$C153*INDEX(Curves!$X$8:$X$68,AE$4-$B153+1)</f>
        <v/>
      </c>
      <c r="AF153" s="56">
        <f>$C153*INDEX(Curves!$X$8:$X$68,AF$4-$B153+1)</f>
        <v/>
      </c>
      <c r="AG153" s="56">
        <f>$C153*INDEX(Curves!$X$8:$X$68,AG$4-$B153+1)</f>
        <v/>
      </c>
      <c r="AH153" s="56">
        <f>$C153*INDEX(Curves!$X$8:$X$68,AH$4-$B153+1)</f>
        <v/>
      </c>
      <c r="AI153" s="56">
        <f>$C153*INDEX(Curves!$X$8:$X$68,AI$4-$B153+1)</f>
        <v/>
      </c>
      <c r="AJ153" s="56">
        <f>$C153*INDEX(Curves!$X$8:$X$68,AJ$4-$B153+1)</f>
        <v/>
      </c>
      <c r="AK153" s="56">
        <f>$C153*INDEX(Curves!$X$8:$X$68,AK$4-$B153+1)</f>
        <v/>
      </c>
      <c r="AL153" s="56">
        <f>$C153*INDEX(Curves!$X$8:$X$68,AL$4-$B153+1)</f>
        <v/>
      </c>
      <c r="AM153" s="56">
        <f>$C153*INDEX(Curves!$X$8:$X$68,AM$4-$B153+1)</f>
        <v/>
      </c>
      <c r="AN153" s="56">
        <f>$C153*INDEX(Curves!$X$8:$X$68,AN$4-$B153+1)</f>
        <v/>
      </c>
      <c r="AO153" s="56">
        <f>$C153*INDEX(Curves!$X$8:$X$68,AO$4-$B153+1)</f>
        <v/>
      </c>
      <c r="AP153" s="56">
        <f>$C153*INDEX(Curves!$X$8:$X$68,AP$4-$B153+1)</f>
        <v/>
      </c>
      <c r="AQ153" s="56">
        <f>$C153*INDEX(Curves!$X$8:$X$68,AQ$4-$B153+1)</f>
        <v/>
      </c>
      <c r="AR153" s="56">
        <f>$C153*INDEX(Curves!$X$8:$X$68,AR$4-$B153+1)</f>
        <v/>
      </c>
      <c r="AS153" s="56">
        <f>$C153*INDEX(Curves!$X$8:$X$68,AS$4-$B153+1)</f>
        <v/>
      </c>
      <c r="AT153" s="56">
        <f>$C153*INDEX(Curves!$X$8:$X$68,AT$4-$B153+1)</f>
        <v/>
      </c>
      <c r="AU153" s="56">
        <f>$C153*INDEX(Curves!$X$8:$X$68,AU$4-$B153+1)</f>
        <v/>
      </c>
      <c r="AV153" s="56">
        <f>$C153*INDEX(Curves!$X$8:$X$68,AV$4-$B153+1)</f>
        <v/>
      </c>
      <c r="AW153" s="56">
        <f>$C153*INDEX(Curves!$X$8:$X$68,AW$4-$B153+1)</f>
        <v/>
      </c>
      <c r="AX153" s="56">
        <f>$C153*INDEX(Curves!$X$8:$X$68,AX$4-$B153+1)</f>
        <v/>
      </c>
      <c r="AY153" s="56">
        <f>$C153*INDEX(Curves!$X$8:$X$68,AY$4-$B153+1)</f>
        <v/>
      </c>
      <c r="AZ153" s="56">
        <f>$C153*INDEX(Curves!$X$8:$X$68,AZ$4-$B153+1)</f>
        <v/>
      </c>
      <c r="BA153" s="56">
        <f>$C153*INDEX(Curves!$X$8:$X$68,BA$4-$B153+1)</f>
        <v/>
      </c>
      <c r="BB153" s="56">
        <f>$C153*INDEX(Curves!$X$8:$X$68,BB$4-$B153+1)</f>
        <v/>
      </c>
      <c r="BC153" s="56">
        <f>$C153*INDEX(Curves!$X$8:$X$68,BC$4-$B153+1)</f>
        <v/>
      </c>
      <c r="BD153" s="56">
        <f>$C153*INDEX(Curves!$X$8:$X$68,BD$4-$B153+1)</f>
        <v/>
      </c>
      <c r="BE153" s="56">
        <f>$C153*INDEX(Curves!$X$8:$X$68,BE$4-$B153+1)</f>
        <v/>
      </c>
      <c r="BF153" s="56">
        <f>$C153*INDEX(Curves!$X$8:$X$68,BF$4-$B153+1)</f>
        <v/>
      </c>
      <c r="BG153" s="56">
        <f>$C153*INDEX(Curves!$X$8:$X$68,BG$4-$B153+1)</f>
        <v/>
      </c>
      <c r="BH153" s="56">
        <f>$C153*INDEX(Curves!$X$8:$X$68,BH$4-$B153+1)</f>
        <v/>
      </c>
      <c r="BI153" s="56">
        <f>$C153*INDEX(Curves!$X$8:$X$68,BI$4-$B153+1)</f>
        <v/>
      </c>
      <c r="BJ153" s="56">
        <f>$C153*INDEX(Curves!$X$8:$X$68,BJ$4-$B153+1)</f>
        <v/>
      </c>
      <c r="BK153" s="56">
        <f>$C153*INDEX(Curves!$X$8:$X$68,BK$4-$B153+1)</f>
        <v/>
      </c>
      <c r="BL153" s="56">
        <f>$C153*INDEX(Curves!$X$8:$X$68,BL$4-$B153+1)</f>
        <v/>
      </c>
    </row>
    <row r="154">
      <c r="A154" s="55" t="inlineStr">
        <is>
          <t>Cohort month 19</t>
        </is>
      </c>
      <c r="B154" s="55" t="n">
        <v>19</v>
      </c>
      <c r="C154" s="46">
        <f>INDEX(Ops!$E$40:$BL$40,1,$B154)</f>
        <v/>
      </c>
      <c r="X154" s="56">
        <f>$C154*INDEX(Curves!$X$8:$X$68,X$4-$B154+1)</f>
        <v/>
      </c>
      <c r="Y154" s="56">
        <f>$C154*INDEX(Curves!$X$8:$X$68,Y$4-$B154+1)</f>
        <v/>
      </c>
      <c r="Z154" s="56">
        <f>$C154*INDEX(Curves!$X$8:$X$68,Z$4-$B154+1)</f>
        <v/>
      </c>
      <c r="AA154" s="56">
        <f>$C154*INDEX(Curves!$X$8:$X$68,AA$4-$B154+1)</f>
        <v/>
      </c>
      <c r="AB154" s="56">
        <f>$C154*INDEX(Curves!$X$8:$X$68,AB$4-$B154+1)</f>
        <v/>
      </c>
      <c r="AC154" s="56">
        <f>$C154*INDEX(Curves!$X$8:$X$68,AC$4-$B154+1)</f>
        <v/>
      </c>
      <c r="AD154" s="56">
        <f>$C154*INDEX(Curves!$X$8:$X$68,AD$4-$B154+1)</f>
        <v/>
      </c>
      <c r="AE154" s="56">
        <f>$C154*INDEX(Curves!$X$8:$X$68,AE$4-$B154+1)</f>
        <v/>
      </c>
      <c r="AF154" s="56">
        <f>$C154*INDEX(Curves!$X$8:$X$68,AF$4-$B154+1)</f>
        <v/>
      </c>
      <c r="AG154" s="56">
        <f>$C154*INDEX(Curves!$X$8:$X$68,AG$4-$B154+1)</f>
        <v/>
      </c>
      <c r="AH154" s="56">
        <f>$C154*INDEX(Curves!$X$8:$X$68,AH$4-$B154+1)</f>
        <v/>
      </c>
      <c r="AI154" s="56">
        <f>$C154*INDEX(Curves!$X$8:$X$68,AI$4-$B154+1)</f>
        <v/>
      </c>
      <c r="AJ154" s="56">
        <f>$C154*INDEX(Curves!$X$8:$X$68,AJ$4-$B154+1)</f>
        <v/>
      </c>
      <c r="AK154" s="56">
        <f>$C154*INDEX(Curves!$X$8:$X$68,AK$4-$B154+1)</f>
        <v/>
      </c>
      <c r="AL154" s="56">
        <f>$C154*INDEX(Curves!$X$8:$X$68,AL$4-$B154+1)</f>
        <v/>
      </c>
      <c r="AM154" s="56">
        <f>$C154*INDEX(Curves!$X$8:$X$68,AM$4-$B154+1)</f>
        <v/>
      </c>
      <c r="AN154" s="56">
        <f>$C154*INDEX(Curves!$X$8:$X$68,AN$4-$B154+1)</f>
        <v/>
      </c>
      <c r="AO154" s="56">
        <f>$C154*INDEX(Curves!$X$8:$X$68,AO$4-$B154+1)</f>
        <v/>
      </c>
      <c r="AP154" s="56">
        <f>$C154*INDEX(Curves!$X$8:$X$68,AP$4-$B154+1)</f>
        <v/>
      </c>
      <c r="AQ154" s="56">
        <f>$C154*INDEX(Curves!$X$8:$X$68,AQ$4-$B154+1)</f>
        <v/>
      </c>
      <c r="AR154" s="56">
        <f>$C154*INDEX(Curves!$X$8:$X$68,AR$4-$B154+1)</f>
        <v/>
      </c>
      <c r="AS154" s="56">
        <f>$C154*INDEX(Curves!$X$8:$X$68,AS$4-$B154+1)</f>
        <v/>
      </c>
      <c r="AT154" s="56">
        <f>$C154*INDEX(Curves!$X$8:$X$68,AT$4-$B154+1)</f>
        <v/>
      </c>
      <c r="AU154" s="56">
        <f>$C154*INDEX(Curves!$X$8:$X$68,AU$4-$B154+1)</f>
        <v/>
      </c>
      <c r="AV154" s="56">
        <f>$C154*INDEX(Curves!$X$8:$X$68,AV$4-$B154+1)</f>
        <v/>
      </c>
      <c r="AW154" s="56">
        <f>$C154*INDEX(Curves!$X$8:$X$68,AW$4-$B154+1)</f>
        <v/>
      </c>
      <c r="AX154" s="56">
        <f>$C154*INDEX(Curves!$X$8:$X$68,AX$4-$B154+1)</f>
        <v/>
      </c>
      <c r="AY154" s="56">
        <f>$C154*INDEX(Curves!$X$8:$X$68,AY$4-$B154+1)</f>
        <v/>
      </c>
      <c r="AZ154" s="56">
        <f>$C154*INDEX(Curves!$X$8:$X$68,AZ$4-$B154+1)</f>
        <v/>
      </c>
      <c r="BA154" s="56">
        <f>$C154*INDEX(Curves!$X$8:$X$68,BA$4-$B154+1)</f>
        <v/>
      </c>
      <c r="BB154" s="56">
        <f>$C154*INDEX(Curves!$X$8:$X$68,BB$4-$B154+1)</f>
        <v/>
      </c>
      <c r="BC154" s="56">
        <f>$C154*INDEX(Curves!$X$8:$X$68,BC$4-$B154+1)</f>
        <v/>
      </c>
      <c r="BD154" s="56">
        <f>$C154*INDEX(Curves!$X$8:$X$68,BD$4-$B154+1)</f>
        <v/>
      </c>
      <c r="BE154" s="56">
        <f>$C154*INDEX(Curves!$X$8:$X$68,BE$4-$B154+1)</f>
        <v/>
      </c>
      <c r="BF154" s="56">
        <f>$C154*INDEX(Curves!$X$8:$X$68,BF$4-$B154+1)</f>
        <v/>
      </c>
      <c r="BG154" s="56">
        <f>$C154*INDEX(Curves!$X$8:$X$68,BG$4-$B154+1)</f>
        <v/>
      </c>
      <c r="BH154" s="56">
        <f>$C154*INDEX(Curves!$X$8:$X$68,BH$4-$B154+1)</f>
        <v/>
      </c>
      <c r="BI154" s="56">
        <f>$C154*INDEX(Curves!$X$8:$X$68,BI$4-$B154+1)</f>
        <v/>
      </c>
      <c r="BJ154" s="56">
        <f>$C154*INDEX(Curves!$X$8:$X$68,BJ$4-$B154+1)</f>
        <v/>
      </c>
      <c r="BK154" s="56">
        <f>$C154*INDEX(Curves!$X$8:$X$68,BK$4-$B154+1)</f>
        <v/>
      </c>
      <c r="BL154" s="56">
        <f>$C154*INDEX(Curves!$X$8:$X$68,BL$4-$B154+1)</f>
        <v/>
      </c>
    </row>
    <row r="155">
      <c r="A155" s="55" t="inlineStr">
        <is>
          <t>Cohort month 20</t>
        </is>
      </c>
      <c r="B155" s="55" t="n">
        <v>20</v>
      </c>
      <c r="C155" s="46">
        <f>INDEX(Ops!$E$40:$BL$40,1,$B155)</f>
        <v/>
      </c>
      <c r="Y155" s="56">
        <f>$C155*INDEX(Curves!$X$8:$X$68,Y$4-$B155+1)</f>
        <v/>
      </c>
      <c r="Z155" s="56">
        <f>$C155*INDEX(Curves!$X$8:$X$68,Z$4-$B155+1)</f>
        <v/>
      </c>
      <c r="AA155" s="56">
        <f>$C155*INDEX(Curves!$X$8:$X$68,AA$4-$B155+1)</f>
        <v/>
      </c>
      <c r="AB155" s="56">
        <f>$C155*INDEX(Curves!$X$8:$X$68,AB$4-$B155+1)</f>
        <v/>
      </c>
      <c r="AC155" s="56">
        <f>$C155*INDEX(Curves!$X$8:$X$68,AC$4-$B155+1)</f>
        <v/>
      </c>
      <c r="AD155" s="56">
        <f>$C155*INDEX(Curves!$X$8:$X$68,AD$4-$B155+1)</f>
        <v/>
      </c>
      <c r="AE155" s="56">
        <f>$C155*INDEX(Curves!$X$8:$X$68,AE$4-$B155+1)</f>
        <v/>
      </c>
      <c r="AF155" s="56">
        <f>$C155*INDEX(Curves!$X$8:$X$68,AF$4-$B155+1)</f>
        <v/>
      </c>
      <c r="AG155" s="56">
        <f>$C155*INDEX(Curves!$X$8:$X$68,AG$4-$B155+1)</f>
        <v/>
      </c>
      <c r="AH155" s="56">
        <f>$C155*INDEX(Curves!$X$8:$X$68,AH$4-$B155+1)</f>
        <v/>
      </c>
      <c r="AI155" s="56">
        <f>$C155*INDEX(Curves!$X$8:$X$68,AI$4-$B155+1)</f>
        <v/>
      </c>
      <c r="AJ155" s="56">
        <f>$C155*INDEX(Curves!$X$8:$X$68,AJ$4-$B155+1)</f>
        <v/>
      </c>
      <c r="AK155" s="56">
        <f>$C155*INDEX(Curves!$X$8:$X$68,AK$4-$B155+1)</f>
        <v/>
      </c>
      <c r="AL155" s="56">
        <f>$C155*INDEX(Curves!$X$8:$X$68,AL$4-$B155+1)</f>
        <v/>
      </c>
      <c r="AM155" s="56">
        <f>$C155*INDEX(Curves!$X$8:$X$68,AM$4-$B155+1)</f>
        <v/>
      </c>
      <c r="AN155" s="56">
        <f>$C155*INDEX(Curves!$X$8:$X$68,AN$4-$B155+1)</f>
        <v/>
      </c>
      <c r="AO155" s="56">
        <f>$C155*INDEX(Curves!$X$8:$X$68,AO$4-$B155+1)</f>
        <v/>
      </c>
      <c r="AP155" s="56">
        <f>$C155*INDEX(Curves!$X$8:$X$68,AP$4-$B155+1)</f>
        <v/>
      </c>
      <c r="AQ155" s="56">
        <f>$C155*INDEX(Curves!$X$8:$X$68,AQ$4-$B155+1)</f>
        <v/>
      </c>
      <c r="AR155" s="56">
        <f>$C155*INDEX(Curves!$X$8:$X$68,AR$4-$B155+1)</f>
        <v/>
      </c>
      <c r="AS155" s="56">
        <f>$C155*INDEX(Curves!$X$8:$X$68,AS$4-$B155+1)</f>
        <v/>
      </c>
      <c r="AT155" s="56">
        <f>$C155*INDEX(Curves!$X$8:$X$68,AT$4-$B155+1)</f>
        <v/>
      </c>
      <c r="AU155" s="56">
        <f>$C155*INDEX(Curves!$X$8:$X$68,AU$4-$B155+1)</f>
        <v/>
      </c>
      <c r="AV155" s="56">
        <f>$C155*INDEX(Curves!$X$8:$X$68,AV$4-$B155+1)</f>
        <v/>
      </c>
      <c r="AW155" s="56">
        <f>$C155*INDEX(Curves!$X$8:$X$68,AW$4-$B155+1)</f>
        <v/>
      </c>
      <c r="AX155" s="56">
        <f>$C155*INDEX(Curves!$X$8:$X$68,AX$4-$B155+1)</f>
        <v/>
      </c>
      <c r="AY155" s="56">
        <f>$C155*INDEX(Curves!$X$8:$X$68,AY$4-$B155+1)</f>
        <v/>
      </c>
      <c r="AZ155" s="56">
        <f>$C155*INDEX(Curves!$X$8:$X$68,AZ$4-$B155+1)</f>
        <v/>
      </c>
      <c r="BA155" s="56">
        <f>$C155*INDEX(Curves!$X$8:$X$68,BA$4-$B155+1)</f>
        <v/>
      </c>
      <c r="BB155" s="56">
        <f>$C155*INDEX(Curves!$X$8:$X$68,BB$4-$B155+1)</f>
        <v/>
      </c>
      <c r="BC155" s="56">
        <f>$C155*INDEX(Curves!$X$8:$X$68,BC$4-$B155+1)</f>
        <v/>
      </c>
      <c r="BD155" s="56">
        <f>$C155*INDEX(Curves!$X$8:$X$68,BD$4-$B155+1)</f>
        <v/>
      </c>
      <c r="BE155" s="56">
        <f>$C155*INDEX(Curves!$X$8:$X$68,BE$4-$B155+1)</f>
        <v/>
      </c>
      <c r="BF155" s="56">
        <f>$C155*INDEX(Curves!$X$8:$X$68,BF$4-$B155+1)</f>
        <v/>
      </c>
      <c r="BG155" s="56">
        <f>$C155*INDEX(Curves!$X$8:$X$68,BG$4-$B155+1)</f>
        <v/>
      </c>
      <c r="BH155" s="56">
        <f>$C155*INDEX(Curves!$X$8:$X$68,BH$4-$B155+1)</f>
        <v/>
      </c>
      <c r="BI155" s="56">
        <f>$C155*INDEX(Curves!$X$8:$X$68,BI$4-$B155+1)</f>
        <v/>
      </c>
      <c r="BJ155" s="56">
        <f>$C155*INDEX(Curves!$X$8:$X$68,BJ$4-$B155+1)</f>
        <v/>
      </c>
      <c r="BK155" s="56">
        <f>$C155*INDEX(Curves!$X$8:$X$68,BK$4-$B155+1)</f>
        <v/>
      </c>
      <c r="BL155" s="56">
        <f>$C155*INDEX(Curves!$X$8:$X$68,BL$4-$B155+1)</f>
        <v/>
      </c>
    </row>
    <row r="156">
      <c r="A156" s="55" t="inlineStr">
        <is>
          <t>Cohort month 21</t>
        </is>
      </c>
      <c r="B156" s="55" t="n">
        <v>21</v>
      </c>
      <c r="C156" s="46">
        <f>INDEX(Ops!$E$40:$BL$40,1,$B156)</f>
        <v/>
      </c>
      <c r="Z156" s="56">
        <f>$C156*INDEX(Curves!$X$8:$X$68,Z$4-$B156+1)</f>
        <v/>
      </c>
      <c r="AA156" s="56">
        <f>$C156*INDEX(Curves!$X$8:$X$68,AA$4-$B156+1)</f>
        <v/>
      </c>
      <c r="AB156" s="56">
        <f>$C156*INDEX(Curves!$X$8:$X$68,AB$4-$B156+1)</f>
        <v/>
      </c>
      <c r="AC156" s="56">
        <f>$C156*INDEX(Curves!$X$8:$X$68,AC$4-$B156+1)</f>
        <v/>
      </c>
      <c r="AD156" s="56">
        <f>$C156*INDEX(Curves!$X$8:$X$68,AD$4-$B156+1)</f>
        <v/>
      </c>
      <c r="AE156" s="56">
        <f>$C156*INDEX(Curves!$X$8:$X$68,AE$4-$B156+1)</f>
        <v/>
      </c>
      <c r="AF156" s="56">
        <f>$C156*INDEX(Curves!$X$8:$X$68,AF$4-$B156+1)</f>
        <v/>
      </c>
      <c r="AG156" s="56">
        <f>$C156*INDEX(Curves!$X$8:$X$68,AG$4-$B156+1)</f>
        <v/>
      </c>
      <c r="AH156" s="56">
        <f>$C156*INDEX(Curves!$X$8:$X$68,AH$4-$B156+1)</f>
        <v/>
      </c>
      <c r="AI156" s="56">
        <f>$C156*INDEX(Curves!$X$8:$X$68,AI$4-$B156+1)</f>
        <v/>
      </c>
      <c r="AJ156" s="56">
        <f>$C156*INDEX(Curves!$X$8:$X$68,AJ$4-$B156+1)</f>
        <v/>
      </c>
      <c r="AK156" s="56">
        <f>$C156*INDEX(Curves!$X$8:$X$68,AK$4-$B156+1)</f>
        <v/>
      </c>
      <c r="AL156" s="56">
        <f>$C156*INDEX(Curves!$X$8:$X$68,AL$4-$B156+1)</f>
        <v/>
      </c>
      <c r="AM156" s="56">
        <f>$C156*INDEX(Curves!$X$8:$X$68,AM$4-$B156+1)</f>
        <v/>
      </c>
      <c r="AN156" s="56">
        <f>$C156*INDEX(Curves!$X$8:$X$68,AN$4-$B156+1)</f>
        <v/>
      </c>
      <c r="AO156" s="56">
        <f>$C156*INDEX(Curves!$X$8:$X$68,AO$4-$B156+1)</f>
        <v/>
      </c>
      <c r="AP156" s="56">
        <f>$C156*INDEX(Curves!$X$8:$X$68,AP$4-$B156+1)</f>
        <v/>
      </c>
      <c r="AQ156" s="56">
        <f>$C156*INDEX(Curves!$X$8:$X$68,AQ$4-$B156+1)</f>
        <v/>
      </c>
      <c r="AR156" s="56">
        <f>$C156*INDEX(Curves!$X$8:$X$68,AR$4-$B156+1)</f>
        <v/>
      </c>
      <c r="AS156" s="56">
        <f>$C156*INDEX(Curves!$X$8:$X$68,AS$4-$B156+1)</f>
        <v/>
      </c>
      <c r="AT156" s="56">
        <f>$C156*INDEX(Curves!$X$8:$X$68,AT$4-$B156+1)</f>
        <v/>
      </c>
      <c r="AU156" s="56">
        <f>$C156*INDEX(Curves!$X$8:$X$68,AU$4-$B156+1)</f>
        <v/>
      </c>
      <c r="AV156" s="56">
        <f>$C156*INDEX(Curves!$X$8:$X$68,AV$4-$B156+1)</f>
        <v/>
      </c>
      <c r="AW156" s="56">
        <f>$C156*INDEX(Curves!$X$8:$X$68,AW$4-$B156+1)</f>
        <v/>
      </c>
      <c r="AX156" s="56">
        <f>$C156*INDEX(Curves!$X$8:$X$68,AX$4-$B156+1)</f>
        <v/>
      </c>
      <c r="AY156" s="56">
        <f>$C156*INDEX(Curves!$X$8:$X$68,AY$4-$B156+1)</f>
        <v/>
      </c>
      <c r="AZ156" s="56">
        <f>$C156*INDEX(Curves!$X$8:$X$68,AZ$4-$B156+1)</f>
        <v/>
      </c>
      <c r="BA156" s="56">
        <f>$C156*INDEX(Curves!$X$8:$X$68,BA$4-$B156+1)</f>
        <v/>
      </c>
      <c r="BB156" s="56">
        <f>$C156*INDEX(Curves!$X$8:$X$68,BB$4-$B156+1)</f>
        <v/>
      </c>
      <c r="BC156" s="56">
        <f>$C156*INDEX(Curves!$X$8:$X$68,BC$4-$B156+1)</f>
        <v/>
      </c>
      <c r="BD156" s="56">
        <f>$C156*INDEX(Curves!$X$8:$X$68,BD$4-$B156+1)</f>
        <v/>
      </c>
      <c r="BE156" s="56">
        <f>$C156*INDEX(Curves!$X$8:$X$68,BE$4-$B156+1)</f>
        <v/>
      </c>
      <c r="BF156" s="56">
        <f>$C156*INDEX(Curves!$X$8:$X$68,BF$4-$B156+1)</f>
        <v/>
      </c>
      <c r="BG156" s="56">
        <f>$C156*INDEX(Curves!$X$8:$X$68,BG$4-$B156+1)</f>
        <v/>
      </c>
      <c r="BH156" s="56">
        <f>$C156*INDEX(Curves!$X$8:$X$68,BH$4-$B156+1)</f>
        <v/>
      </c>
      <c r="BI156" s="56">
        <f>$C156*INDEX(Curves!$X$8:$X$68,BI$4-$B156+1)</f>
        <v/>
      </c>
      <c r="BJ156" s="56">
        <f>$C156*INDEX(Curves!$X$8:$X$68,BJ$4-$B156+1)</f>
        <v/>
      </c>
      <c r="BK156" s="56">
        <f>$C156*INDEX(Curves!$X$8:$X$68,BK$4-$B156+1)</f>
        <v/>
      </c>
      <c r="BL156" s="56">
        <f>$C156*INDEX(Curves!$X$8:$X$68,BL$4-$B156+1)</f>
        <v/>
      </c>
    </row>
    <row r="157">
      <c r="A157" s="55" t="inlineStr">
        <is>
          <t>Cohort month 22</t>
        </is>
      </c>
      <c r="B157" s="55" t="n">
        <v>22</v>
      </c>
      <c r="C157" s="46">
        <f>INDEX(Ops!$E$40:$BL$40,1,$B157)</f>
        <v/>
      </c>
      <c r="AA157" s="56">
        <f>$C157*INDEX(Curves!$X$8:$X$68,AA$4-$B157+1)</f>
        <v/>
      </c>
      <c r="AB157" s="56">
        <f>$C157*INDEX(Curves!$X$8:$X$68,AB$4-$B157+1)</f>
        <v/>
      </c>
      <c r="AC157" s="56">
        <f>$C157*INDEX(Curves!$X$8:$X$68,AC$4-$B157+1)</f>
        <v/>
      </c>
      <c r="AD157" s="56">
        <f>$C157*INDEX(Curves!$X$8:$X$68,AD$4-$B157+1)</f>
        <v/>
      </c>
      <c r="AE157" s="56">
        <f>$C157*INDEX(Curves!$X$8:$X$68,AE$4-$B157+1)</f>
        <v/>
      </c>
      <c r="AF157" s="56">
        <f>$C157*INDEX(Curves!$X$8:$X$68,AF$4-$B157+1)</f>
        <v/>
      </c>
      <c r="AG157" s="56">
        <f>$C157*INDEX(Curves!$X$8:$X$68,AG$4-$B157+1)</f>
        <v/>
      </c>
      <c r="AH157" s="56">
        <f>$C157*INDEX(Curves!$X$8:$X$68,AH$4-$B157+1)</f>
        <v/>
      </c>
      <c r="AI157" s="56">
        <f>$C157*INDEX(Curves!$X$8:$X$68,AI$4-$B157+1)</f>
        <v/>
      </c>
      <c r="AJ157" s="56">
        <f>$C157*INDEX(Curves!$X$8:$X$68,AJ$4-$B157+1)</f>
        <v/>
      </c>
      <c r="AK157" s="56">
        <f>$C157*INDEX(Curves!$X$8:$X$68,AK$4-$B157+1)</f>
        <v/>
      </c>
      <c r="AL157" s="56">
        <f>$C157*INDEX(Curves!$X$8:$X$68,AL$4-$B157+1)</f>
        <v/>
      </c>
      <c r="AM157" s="56">
        <f>$C157*INDEX(Curves!$X$8:$X$68,AM$4-$B157+1)</f>
        <v/>
      </c>
      <c r="AN157" s="56">
        <f>$C157*INDEX(Curves!$X$8:$X$68,AN$4-$B157+1)</f>
        <v/>
      </c>
      <c r="AO157" s="56">
        <f>$C157*INDEX(Curves!$X$8:$X$68,AO$4-$B157+1)</f>
        <v/>
      </c>
      <c r="AP157" s="56">
        <f>$C157*INDEX(Curves!$X$8:$X$68,AP$4-$B157+1)</f>
        <v/>
      </c>
      <c r="AQ157" s="56">
        <f>$C157*INDEX(Curves!$X$8:$X$68,AQ$4-$B157+1)</f>
        <v/>
      </c>
      <c r="AR157" s="56">
        <f>$C157*INDEX(Curves!$X$8:$X$68,AR$4-$B157+1)</f>
        <v/>
      </c>
      <c r="AS157" s="56">
        <f>$C157*INDEX(Curves!$X$8:$X$68,AS$4-$B157+1)</f>
        <v/>
      </c>
      <c r="AT157" s="56">
        <f>$C157*INDEX(Curves!$X$8:$X$68,AT$4-$B157+1)</f>
        <v/>
      </c>
      <c r="AU157" s="56">
        <f>$C157*INDEX(Curves!$X$8:$X$68,AU$4-$B157+1)</f>
        <v/>
      </c>
      <c r="AV157" s="56">
        <f>$C157*INDEX(Curves!$X$8:$X$68,AV$4-$B157+1)</f>
        <v/>
      </c>
      <c r="AW157" s="56">
        <f>$C157*INDEX(Curves!$X$8:$X$68,AW$4-$B157+1)</f>
        <v/>
      </c>
      <c r="AX157" s="56">
        <f>$C157*INDEX(Curves!$X$8:$X$68,AX$4-$B157+1)</f>
        <v/>
      </c>
      <c r="AY157" s="56">
        <f>$C157*INDEX(Curves!$X$8:$X$68,AY$4-$B157+1)</f>
        <v/>
      </c>
      <c r="AZ157" s="56">
        <f>$C157*INDEX(Curves!$X$8:$X$68,AZ$4-$B157+1)</f>
        <v/>
      </c>
      <c r="BA157" s="56">
        <f>$C157*INDEX(Curves!$X$8:$X$68,BA$4-$B157+1)</f>
        <v/>
      </c>
      <c r="BB157" s="56">
        <f>$C157*INDEX(Curves!$X$8:$X$68,BB$4-$B157+1)</f>
        <v/>
      </c>
      <c r="BC157" s="56">
        <f>$C157*INDEX(Curves!$X$8:$X$68,BC$4-$B157+1)</f>
        <v/>
      </c>
      <c r="BD157" s="56">
        <f>$C157*INDEX(Curves!$X$8:$X$68,BD$4-$B157+1)</f>
        <v/>
      </c>
      <c r="BE157" s="56">
        <f>$C157*INDEX(Curves!$X$8:$X$68,BE$4-$B157+1)</f>
        <v/>
      </c>
      <c r="BF157" s="56">
        <f>$C157*INDEX(Curves!$X$8:$X$68,BF$4-$B157+1)</f>
        <v/>
      </c>
      <c r="BG157" s="56">
        <f>$C157*INDEX(Curves!$X$8:$X$68,BG$4-$B157+1)</f>
        <v/>
      </c>
      <c r="BH157" s="56">
        <f>$C157*INDEX(Curves!$X$8:$X$68,BH$4-$B157+1)</f>
        <v/>
      </c>
      <c r="BI157" s="56">
        <f>$C157*INDEX(Curves!$X$8:$X$68,BI$4-$B157+1)</f>
        <v/>
      </c>
      <c r="BJ157" s="56">
        <f>$C157*INDEX(Curves!$X$8:$X$68,BJ$4-$B157+1)</f>
        <v/>
      </c>
      <c r="BK157" s="56">
        <f>$C157*INDEX(Curves!$X$8:$X$68,BK$4-$B157+1)</f>
        <v/>
      </c>
      <c r="BL157" s="56">
        <f>$C157*INDEX(Curves!$X$8:$X$68,BL$4-$B157+1)</f>
        <v/>
      </c>
    </row>
    <row r="158">
      <c r="A158" s="55" t="inlineStr">
        <is>
          <t>Cohort month 23</t>
        </is>
      </c>
      <c r="B158" s="55" t="n">
        <v>23</v>
      </c>
      <c r="C158" s="46">
        <f>INDEX(Ops!$E$40:$BL$40,1,$B158)</f>
        <v/>
      </c>
      <c r="AB158" s="56">
        <f>$C158*INDEX(Curves!$X$8:$X$68,AB$4-$B158+1)</f>
        <v/>
      </c>
      <c r="AC158" s="56">
        <f>$C158*INDEX(Curves!$X$8:$X$68,AC$4-$B158+1)</f>
        <v/>
      </c>
      <c r="AD158" s="56">
        <f>$C158*INDEX(Curves!$X$8:$X$68,AD$4-$B158+1)</f>
        <v/>
      </c>
      <c r="AE158" s="56">
        <f>$C158*INDEX(Curves!$X$8:$X$68,AE$4-$B158+1)</f>
        <v/>
      </c>
      <c r="AF158" s="56">
        <f>$C158*INDEX(Curves!$X$8:$X$68,AF$4-$B158+1)</f>
        <v/>
      </c>
      <c r="AG158" s="56">
        <f>$C158*INDEX(Curves!$X$8:$X$68,AG$4-$B158+1)</f>
        <v/>
      </c>
      <c r="AH158" s="56">
        <f>$C158*INDEX(Curves!$X$8:$X$68,AH$4-$B158+1)</f>
        <v/>
      </c>
      <c r="AI158" s="56">
        <f>$C158*INDEX(Curves!$X$8:$X$68,AI$4-$B158+1)</f>
        <v/>
      </c>
      <c r="AJ158" s="56">
        <f>$C158*INDEX(Curves!$X$8:$X$68,AJ$4-$B158+1)</f>
        <v/>
      </c>
      <c r="AK158" s="56">
        <f>$C158*INDEX(Curves!$X$8:$X$68,AK$4-$B158+1)</f>
        <v/>
      </c>
      <c r="AL158" s="56">
        <f>$C158*INDEX(Curves!$X$8:$X$68,AL$4-$B158+1)</f>
        <v/>
      </c>
      <c r="AM158" s="56">
        <f>$C158*INDEX(Curves!$X$8:$X$68,AM$4-$B158+1)</f>
        <v/>
      </c>
      <c r="AN158" s="56">
        <f>$C158*INDEX(Curves!$X$8:$X$68,AN$4-$B158+1)</f>
        <v/>
      </c>
      <c r="AO158" s="56">
        <f>$C158*INDEX(Curves!$X$8:$X$68,AO$4-$B158+1)</f>
        <v/>
      </c>
      <c r="AP158" s="56">
        <f>$C158*INDEX(Curves!$X$8:$X$68,AP$4-$B158+1)</f>
        <v/>
      </c>
      <c r="AQ158" s="56">
        <f>$C158*INDEX(Curves!$X$8:$X$68,AQ$4-$B158+1)</f>
        <v/>
      </c>
      <c r="AR158" s="56">
        <f>$C158*INDEX(Curves!$X$8:$X$68,AR$4-$B158+1)</f>
        <v/>
      </c>
      <c r="AS158" s="56">
        <f>$C158*INDEX(Curves!$X$8:$X$68,AS$4-$B158+1)</f>
        <v/>
      </c>
      <c r="AT158" s="56">
        <f>$C158*INDEX(Curves!$X$8:$X$68,AT$4-$B158+1)</f>
        <v/>
      </c>
      <c r="AU158" s="56">
        <f>$C158*INDEX(Curves!$X$8:$X$68,AU$4-$B158+1)</f>
        <v/>
      </c>
      <c r="AV158" s="56">
        <f>$C158*INDEX(Curves!$X$8:$X$68,AV$4-$B158+1)</f>
        <v/>
      </c>
      <c r="AW158" s="56">
        <f>$C158*INDEX(Curves!$X$8:$X$68,AW$4-$B158+1)</f>
        <v/>
      </c>
      <c r="AX158" s="56">
        <f>$C158*INDEX(Curves!$X$8:$X$68,AX$4-$B158+1)</f>
        <v/>
      </c>
      <c r="AY158" s="56">
        <f>$C158*INDEX(Curves!$X$8:$X$68,AY$4-$B158+1)</f>
        <v/>
      </c>
      <c r="AZ158" s="56">
        <f>$C158*INDEX(Curves!$X$8:$X$68,AZ$4-$B158+1)</f>
        <v/>
      </c>
      <c r="BA158" s="56">
        <f>$C158*INDEX(Curves!$X$8:$X$68,BA$4-$B158+1)</f>
        <v/>
      </c>
      <c r="BB158" s="56">
        <f>$C158*INDEX(Curves!$X$8:$X$68,BB$4-$B158+1)</f>
        <v/>
      </c>
      <c r="BC158" s="56">
        <f>$C158*INDEX(Curves!$X$8:$X$68,BC$4-$B158+1)</f>
        <v/>
      </c>
      <c r="BD158" s="56">
        <f>$C158*INDEX(Curves!$X$8:$X$68,BD$4-$B158+1)</f>
        <v/>
      </c>
      <c r="BE158" s="56">
        <f>$C158*INDEX(Curves!$X$8:$X$68,BE$4-$B158+1)</f>
        <v/>
      </c>
      <c r="BF158" s="56">
        <f>$C158*INDEX(Curves!$X$8:$X$68,BF$4-$B158+1)</f>
        <v/>
      </c>
      <c r="BG158" s="56">
        <f>$C158*INDEX(Curves!$X$8:$X$68,BG$4-$B158+1)</f>
        <v/>
      </c>
      <c r="BH158" s="56">
        <f>$C158*INDEX(Curves!$X$8:$X$68,BH$4-$B158+1)</f>
        <v/>
      </c>
      <c r="BI158" s="56">
        <f>$C158*INDEX(Curves!$X$8:$X$68,BI$4-$B158+1)</f>
        <v/>
      </c>
      <c r="BJ158" s="56">
        <f>$C158*INDEX(Curves!$X$8:$X$68,BJ$4-$B158+1)</f>
        <v/>
      </c>
      <c r="BK158" s="56">
        <f>$C158*INDEX(Curves!$X$8:$X$68,BK$4-$B158+1)</f>
        <v/>
      </c>
      <c r="BL158" s="56">
        <f>$C158*INDEX(Curves!$X$8:$X$68,BL$4-$B158+1)</f>
        <v/>
      </c>
    </row>
    <row r="159">
      <c r="A159" s="55" t="inlineStr">
        <is>
          <t>Cohort month 24</t>
        </is>
      </c>
      <c r="B159" s="55" t="n">
        <v>24</v>
      </c>
      <c r="C159" s="46">
        <f>INDEX(Ops!$E$40:$BL$40,1,$B159)</f>
        <v/>
      </c>
      <c r="AC159" s="56">
        <f>$C159*INDEX(Curves!$X$8:$X$68,AC$4-$B159+1)</f>
        <v/>
      </c>
      <c r="AD159" s="56">
        <f>$C159*INDEX(Curves!$X$8:$X$68,AD$4-$B159+1)</f>
        <v/>
      </c>
      <c r="AE159" s="56">
        <f>$C159*INDEX(Curves!$X$8:$X$68,AE$4-$B159+1)</f>
        <v/>
      </c>
      <c r="AF159" s="56">
        <f>$C159*INDEX(Curves!$X$8:$X$68,AF$4-$B159+1)</f>
        <v/>
      </c>
      <c r="AG159" s="56">
        <f>$C159*INDEX(Curves!$X$8:$X$68,AG$4-$B159+1)</f>
        <v/>
      </c>
      <c r="AH159" s="56">
        <f>$C159*INDEX(Curves!$X$8:$X$68,AH$4-$B159+1)</f>
        <v/>
      </c>
      <c r="AI159" s="56">
        <f>$C159*INDEX(Curves!$X$8:$X$68,AI$4-$B159+1)</f>
        <v/>
      </c>
      <c r="AJ159" s="56">
        <f>$C159*INDEX(Curves!$X$8:$X$68,AJ$4-$B159+1)</f>
        <v/>
      </c>
      <c r="AK159" s="56">
        <f>$C159*INDEX(Curves!$X$8:$X$68,AK$4-$B159+1)</f>
        <v/>
      </c>
      <c r="AL159" s="56">
        <f>$C159*INDEX(Curves!$X$8:$X$68,AL$4-$B159+1)</f>
        <v/>
      </c>
      <c r="AM159" s="56">
        <f>$C159*INDEX(Curves!$X$8:$X$68,AM$4-$B159+1)</f>
        <v/>
      </c>
      <c r="AN159" s="56">
        <f>$C159*INDEX(Curves!$X$8:$X$68,AN$4-$B159+1)</f>
        <v/>
      </c>
      <c r="AO159" s="56">
        <f>$C159*INDEX(Curves!$X$8:$X$68,AO$4-$B159+1)</f>
        <v/>
      </c>
      <c r="AP159" s="56">
        <f>$C159*INDEX(Curves!$X$8:$X$68,AP$4-$B159+1)</f>
        <v/>
      </c>
      <c r="AQ159" s="56">
        <f>$C159*INDEX(Curves!$X$8:$X$68,AQ$4-$B159+1)</f>
        <v/>
      </c>
      <c r="AR159" s="56">
        <f>$C159*INDEX(Curves!$X$8:$X$68,AR$4-$B159+1)</f>
        <v/>
      </c>
      <c r="AS159" s="56">
        <f>$C159*INDEX(Curves!$X$8:$X$68,AS$4-$B159+1)</f>
        <v/>
      </c>
      <c r="AT159" s="56">
        <f>$C159*INDEX(Curves!$X$8:$X$68,AT$4-$B159+1)</f>
        <v/>
      </c>
      <c r="AU159" s="56">
        <f>$C159*INDEX(Curves!$X$8:$X$68,AU$4-$B159+1)</f>
        <v/>
      </c>
      <c r="AV159" s="56">
        <f>$C159*INDEX(Curves!$X$8:$X$68,AV$4-$B159+1)</f>
        <v/>
      </c>
      <c r="AW159" s="56">
        <f>$C159*INDEX(Curves!$X$8:$X$68,AW$4-$B159+1)</f>
        <v/>
      </c>
      <c r="AX159" s="56">
        <f>$C159*INDEX(Curves!$X$8:$X$68,AX$4-$B159+1)</f>
        <v/>
      </c>
      <c r="AY159" s="56">
        <f>$C159*INDEX(Curves!$X$8:$X$68,AY$4-$B159+1)</f>
        <v/>
      </c>
      <c r="AZ159" s="56">
        <f>$C159*INDEX(Curves!$X$8:$X$68,AZ$4-$B159+1)</f>
        <v/>
      </c>
      <c r="BA159" s="56">
        <f>$C159*INDEX(Curves!$X$8:$X$68,BA$4-$B159+1)</f>
        <v/>
      </c>
      <c r="BB159" s="56">
        <f>$C159*INDEX(Curves!$X$8:$X$68,BB$4-$B159+1)</f>
        <v/>
      </c>
      <c r="BC159" s="56">
        <f>$C159*INDEX(Curves!$X$8:$X$68,BC$4-$B159+1)</f>
        <v/>
      </c>
      <c r="BD159" s="56">
        <f>$C159*INDEX(Curves!$X$8:$X$68,BD$4-$B159+1)</f>
        <v/>
      </c>
      <c r="BE159" s="56">
        <f>$C159*INDEX(Curves!$X$8:$X$68,BE$4-$B159+1)</f>
        <v/>
      </c>
      <c r="BF159" s="56">
        <f>$C159*INDEX(Curves!$X$8:$X$68,BF$4-$B159+1)</f>
        <v/>
      </c>
      <c r="BG159" s="56">
        <f>$C159*INDEX(Curves!$X$8:$X$68,BG$4-$B159+1)</f>
        <v/>
      </c>
      <c r="BH159" s="56">
        <f>$C159*INDEX(Curves!$X$8:$X$68,BH$4-$B159+1)</f>
        <v/>
      </c>
      <c r="BI159" s="56">
        <f>$C159*INDEX(Curves!$X$8:$X$68,BI$4-$B159+1)</f>
        <v/>
      </c>
      <c r="BJ159" s="56">
        <f>$C159*INDEX(Curves!$X$8:$X$68,BJ$4-$B159+1)</f>
        <v/>
      </c>
      <c r="BK159" s="56">
        <f>$C159*INDEX(Curves!$X$8:$X$68,BK$4-$B159+1)</f>
        <v/>
      </c>
      <c r="BL159" s="56">
        <f>$C159*INDEX(Curves!$X$8:$X$68,BL$4-$B159+1)</f>
        <v/>
      </c>
    </row>
    <row r="160">
      <c r="A160" s="55" t="inlineStr">
        <is>
          <t>Cohort month 25</t>
        </is>
      </c>
      <c r="B160" s="55" t="n">
        <v>25</v>
      </c>
      <c r="C160" s="46">
        <f>INDEX(Ops!$E$40:$BL$40,1,$B160)</f>
        <v/>
      </c>
      <c r="AD160" s="56">
        <f>$C160*INDEX(Curves!$X$8:$X$68,AD$4-$B160+1)</f>
        <v/>
      </c>
      <c r="AE160" s="56">
        <f>$C160*INDEX(Curves!$X$8:$X$68,AE$4-$B160+1)</f>
        <v/>
      </c>
      <c r="AF160" s="56">
        <f>$C160*INDEX(Curves!$X$8:$X$68,AF$4-$B160+1)</f>
        <v/>
      </c>
      <c r="AG160" s="56">
        <f>$C160*INDEX(Curves!$X$8:$X$68,AG$4-$B160+1)</f>
        <v/>
      </c>
      <c r="AH160" s="56">
        <f>$C160*INDEX(Curves!$X$8:$X$68,AH$4-$B160+1)</f>
        <v/>
      </c>
      <c r="AI160" s="56">
        <f>$C160*INDEX(Curves!$X$8:$X$68,AI$4-$B160+1)</f>
        <v/>
      </c>
      <c r="AJ160" s="56">
        <f>$C160*INDEX(Curves!$X$8:$X$68,AJ$4-$B160+1)</f>
        <v/>
      </c>
      <c r="AK160" s="56">
        <f>$C160*INDEX(Curves!$X$8:$X$68,AK$4-$B160+1)</f>
        <v/>
      </c>
      <c r="AL160" s="56">
        <f>$C160*INDEX(Curves!$X$8:$X$68,AL$4-$B160+1)</f>
        <v/>
      </c>
      <c r="AM160" s="56">
        <f>$C160*INDEX(Curves!$X$8:$X$68,AM$4-$B160+1)</f>
        <v/>
      </c>
      <c r="AN160" s="56">
        <f>$C160*INDEX(Curves!$X$8:$X$68,AN$4-$B160+1)</f>
        <v/>
      </c>
      <c r="AO160" s="56">
        <f>$C160*INDEX(Curves!$X$8:$X$68,AO$4-$B160+1)</f>
        <v/>
      </c>
      <c r="AP160" s="56">
        <f>$C160*INDEX(Curves!$X$8:$X$68,AP$4-$B160+1)</f>
        <v/>
      </c>
      <c r="AQ160" s="56">
        <f>$C160*INDEX(Curves!$X$8:$X$68,AQ$4-$B160+1)</f>
        <v/>
      </c>
      <c r="AR160" s="56">
        <f>$C160*INDEX(Curves!$X$8:$X$68,AR$4-$B160+1)</f>
        <v/>
      </c>
      <c r="AS160" s="56">
        <f>$C160*INDEX(Curves!$X$8:$X$68,AS$4-$B160+1)</f>
        <v/>
      </c>
      <c r="AT160" s="56">
        <f>$C160*INDEX(Curves!$X$8:$X$68,AT$4-$B160+1)</f>
        <v/>
      </c>
      <c r="AU160" s="56">
        <f>$C160*INDEX(Curves!$X$8:$X$68,AU$4-$B160+1)</f>
        <v/>
      </c>
      <c r="AV160" s="56">
        <f>$C160*INDEX(Curves!$X$8:$X$68,AV$4-$B160+1)</f>
        <v/>
      </c>
      <c r="AW160" s="56">
        <f>$C160*INDEX(Curves!$X$8:$X$68,AW$4-$B160+1)</f>
        <v/>
      </c>
      <c r="AX160" s="56">
        <f>$C160*INDEX(Curves!$X$8:$X$68,AX$4-$B160+1)</f>
        <v/>
      </c>
      <c r="AY160" s="56">
        <f>$C160*INDEX(Curves!$X$8:$X$68,AY$4-$B160+1)</f>
        <v/>
      </c>
      <c r="AZ160" s="56">
        <f>$C160*INDEX(Curves!$X$8:$X$68,AZ$4-$B160+1)</f>
        <v/>
      </c>
      <c r="BA160" s="56">
        <f>$C160*INDEX(Curves!$X$8:$X$68,BA$4-$B160+1)</f>
        <v/>
      </c>
      <c r="BB160" s="56">
        <f>$C160*INDEX(Curves!$X$8:$X$68,BB$4-$B160+1)</f>
        <v/>
      </c>
      <c r="BC160" s="56">
        <f>$C160*INDEX(Curves!$X$8:$X$68,BC$4-$B160+1)</f>
        <v/>
      </c>
      <c r="BD160" s="56">
        <f>$C160*INDEX(Curves!$X$8:$X$68,BD$4-$B160+1)</f>
        <v/>
      </c>
      <c r="BE160" s="56">
        <f>$C160*INDEX(Curves!$X$8:$X$68,BE$4-$B160+1)</f>
        <v/>
      </c>
      <c r="BF160" s="56">
        <f>$C160*INDEX(Curves!$X$8:$X$68,BF$4-$B160+1)</f>
        <v/>
      </c>
      <c r="BG160" s="56">
        <f>$C160*INDEX(Curves!$X$8:$X$68,BG$4-$B160+1)</f>
        <v/>
      </c>
      <c r="BH160" s="56">
        <f>$C160*INDEX(Curves!$X$8:$X$68,BH$4-$B160+1)</f>
        <v/>
      </c>
      <c r="BI160" s="56">
        <f>$C160*INDEX(Curves!$X$8:$X$68,BI$4-$B160+1)</f>
        <v/>
      </c>
      <c r="BJ160" s="56">
        <f>$C160*INDEX(Curves!$X$8:$X$68,BJ$4-$B160+1)</f>
        <v/>
      </c>
      <c r="BK160" s="56">
        <f>$C160*INDEX(Curves!$X$8:$X$68,BK$4-$B160+1)</f>
        <v/>
      </c>
      <c r="BL160" s="56">
        <f>$C160*INDEX(Curves!$X$8:$X$68,BL$4-$B160+1)</f>
        <v/>
      </c>
    </row>
    <row r="161">
      <c r="A161" s="55" t="inlineStr">
        <is>
          <t>Cohort month 26</t>
        </is>
      </c>
      <c r="B161" s="55" t="n">
        <v>26</v>
      </c>
      <c r="C161" s="46">
        <f>INDEX(Ops!$E$40:$BL$40,1,$B161)</f>
        <v/>
      </c>
      <c r="AE161" s="56">
        <f>$C161*INDEX(Curves!$X$8:$X$68,AE$4-$B161+1)</f>
        <v/>
      </c>
      <c r="AF161" s="56">
        <f>$C161*INDEX(Curves!$X$8:$X$68,AF$4-$B161+1)</f>
        <v/>
      </c>
      <c r="AG161" s="56">
        <f>$C161*INDEX(Curves!$X$8:$X$68,AG$4-$B161+1)</f>
        <v/>
      </c>
      <c r="AH161" s="56">
        <f>$C161*INDEX(Curves!$X$8:$X$68,AH$4-$B161+1)</f>
        <v/>
      </c>
      <c r="AI161" s="56">
        <f>$C161*INDEX(Curves!$X$8:$X$68,AI$4-$B161+1)</f>
        <v/>
      </c>
      <c r="AJ161" s="56">
        <f>$C161*INDEX(Curves!$X$8:$X$68,AJ$4-$B161+1)</f>
        <v/>
      </c>
      <c r="AK161" s="56">
        <f>$C161*INDEX(Curves!$X$8:$X$68,AK$4-$B161+1)</f>
        <v/>
      </c>
      <c r="AL161" s="56">
        <f>$C161*INDEX(Curves!$X$8:$X$68,AL$4-$B161+1)</f>
        <v/>
      </c>
      <c r="AM161" s="56">
        <f>$C161*INDEX(Curves!$X$8:$X$68,AM$4-$B161+1)</f>
        <v/>
      </c>
      <c r="AN161" s="56">
        <f>$C161*INDEX(Curves!$X$8:$X$68,AN$4-$B161+1)</f>
        <v/>
      </c>
      <c r="AO161" s="56">
        <f>$C161*INDEX(Curves!$X$8:$X$68,AO$4-$B161+1)</f>
        <v/>
      </c>
      <c r="AP161" s="56">
        <f>$C161*INDEX(Curves!$X$8:$X$68,AP$4-$B161+1)</f>
        <v/>
      </c>
      <c r="AQ161" s="56">
        <f>$C161*INDEX(Curves!$X$8:$X$68,AQ$4-$B161+1)</f>
        <v/>
      </c>
      <c r="AR161" s="56">
        <f>$C161*INDEX(Curves!$X$8:$X$68,AR$4-$B161+1)</f>
        <v/>
      </c>
      <c r="AS161" s="56">
        <f>$C161*INDEX(Curves!$X$8:$X$68,AS$4-$B161+1)</f>
        <v/>
      </c>
      <c r="AT161" s="56">
        <f>$C161*INDEX(Curves!$X$8:$X$68,AT$4-$B161+1)</f>
        <v/>
      </c>
      <c r="AU161" s="56">
        <f>$C161*INDEX(Curves!$X$8:$X$68,AU$4-$B161+1)</f>
        <v/>
      </c>
      <c r="AV161" s="56">
        <f>$C161*INDEX(Curves!$X$8:$X$68,AV$4-$B161+1)</f>
        <v/>
      </c>
      <c r="AW161" s="56">
        <f>$C161*INDEX(Curves!$X$8:$X$68,AW$4-$B161+1)</f>
        <v/>
      </c>
      <c r="AX161" s="56">
        <f>$C161*INDEX(Curves!$X$8:$X$68,AX$4-$B161+1)</f>
        <v/>
      </c>
      <c r="AY161" s="56">
        <f>$C161*INDEX(Curves!$X$8:$X$68,AY$4-$B161+1)</f>
        <v/>
      </c>
      <c r="AZ161" s="56">
        <f>$C161*INDEX(Curves!$X$8:$X$68,AZ$4-$B161+1)</f>
        <v/>
      </c>
      <c r="BA161" s="56">
        <f>$C161*INDEX(Curves!$X$8:$X$68,BA$4-$B161+1)</f>
        <v/>
      </c>
      <c r="BB161" s="56">
        <f>$C161*INDEX(Curves!$X$8:$X$68,BB$4-$B161+1)</f>
        <v/>
      </c>
      <c r="BC161" s="56">
        <f>$C161*INDEX(Curves!$X$8:$X$68,BC$4-$B161+1)</f>
        <v/>
      </c>
      <c r="BD161" s="56">
        <f>$C161*INDEX(Curves!$X$8:$X$68,BD$4-$B161+1)</f>
        <v/>
      </c>
      <c r="BE161" s="56">
        <f>$C161*INDEX(Curves!$X$8:$X$68,BE$4-$B161+1)</f>
        <v/>
      </c>
      <c r="BF161" s="56">
        <f>$C161*INDEX(Curves!$X$8:$X$68,BF$4-$B161+1)</f>
        <v/>
      </c>
      <c r="BG161" s="56">
        <f>$C161*INDEX(Curves!$X$8:$X$68,BG$4-$B161+1)</f>
        <v/>
      </c>
      <c r="BH161" s="56">
        <f>$C161*INDEX(Curves!$X$8:$X$68,BH$4-$B161+1)</f>
        <v/>
      </c>
      <c r="BI161" s="56">
        <f>$C161*INDEX(Curves!$X$8:$X$68,BI$4-$B161+1)</f>
        <v/>
      </c>
      <c r="BJ161" s="56">
        <f>$C161*INDEX(Curves!$X$8:$X$68,BJ$4-$B161+1)</f>
        <v/>
      </c>
      <c r="BK161" s="56">
        <f>$C161*INDEX(Curves!$X$8:$X$68,BK$4-$B161+1)</f>
        <v/>
      </c>
      <c r="BL161" s="56">
        <f>$C161*INDEX(Curves!$X$8:$X$68,BL$4-$B161+1)</f>
        <v/>
      </c>
    </row>
    <row r="162">
      <c r="A162" s="55" t="inlineStr">
        <is>
          <t>Cohort month 27</t>
        </is>
      </c>
      <c r="B162" s="55" t="n">
        <v>27</v>
      </c>
      <c r="C162" s="46">
        <f>INDEX(Ops!$E$40:$BL$40,1,$B162)</f>
        <v/>
      </c>
      <c r="AF162" s="56">
        <f>$C162*INDEX(Curves!$X$8:$X$68,AF$4-$B162+1)</f>
        <v/>
      </c>
      <c r="AG162" s="56">
        <f>$C162*INDEX(Curves!$X$8:$X$68,AG$4-$B162+1)</f>
        <v/>
      </c>
      <c r="AH162" s="56">
        <f>$C162*INDEX(Curves!$X$8:$X$68,AH$4-$B162+1)</f>
        <v/>
      </c>
      <c r="AI162" s="56">
        <f>$C162*INDEX(Curves!$X$8:$X$68,AI$4-$B162+1)</f>
        <v/>
      </c>
      <c r="AJ162" s="56">
        <f>$C162*INDEX(Curves!$X$8:$X$68,AJ$4-$B162+1)</f>
        <v/>
      </c>
      <c r="AK162" s="56">
        <f>$C162*INDEX(Curves!$X$8:$X$68,AK$4-$B162+1)</f>
        <v/>
      </c>
      <c r="AL162" s="56">
        <f>$C162*INDEX(Curves!$X$8:$X$68,AL$4-$B162+1)</f>
        <v/>
      </c>
      <c r="AM162" s="56">
        <f>$C162*INDEX(Curves!$X$8:$X$68,AM$4-$B162+1)</f>
        <v/>
      </c>
      <c r="AN162" s="56">
        <f>$C162*INDEX(Curves!$X$8:$X$68,AN$4-$B162+1)</f>
        <v/>
      </c>
      <c r="AO162" s="56">
        <f>$C162*INDEX(Curves!$X$8:$X$68,AO$4-$B162+1)</f>
        <v/>
      </c>
      <c r="AP162" s="56">
        <f>$C162*INDEX(Curves!$X$8:$X$68,AP$4-$B162+1)</f>
        <v/>
      </c>
      <c r="AQ162" s="56">
        <f>$C162*INDEX(Curves!$X$8:$X$68,AQ$4-$B162+1)</f>
        <v/>
      </c>
      <c r="AR162" s="56">
        <f>$C162*INDEX(Curves!$X$8:$X$68,AR$4-$B162+1)</f>
        <v/>
      </c>
      <c r="AS162" s="56">
        <f>$C162*INDEX(Curves!$X$8:$X$68,AS$4-$B162+1)</f>
        <v/>
      </c>
      <c r="AT162" s="56">
        <f>$C162*INDEX(Curves!$X$8:$X$68,AT$4-$B162+1)</f>
        <v/>
      </c>
      <c r="AU162" s="56">
        <f>$C162*INDEX(Curves!$X$8:$X$68,AU$4-$B162+1)</f>
        <v/>
      </c>
      <c r="AV162" s="56">
        <f>$C162*INDEX(Curves!$X$8:$X$68,AV$4-$B162+1)</f>
        <v/>
      </c>
      <c r="AW162" s="56">
        <f>$C162*INDEX(Curves!$X$8:$X$68,AW$4-$B162+1)</f>
        <v/>
      </c>
      <c r="AX162" s="56">
        <f>$C162*INDEX(Curves!$X$8:$X$68,AX$4-$B162+1)</f>
        <v/>
      </c>
      <c r="AY162" s="56">
        <f>$C162*INDEX(Curves!$X$8:$X$68,AY$4-$B162+1)</f>
        <v/>
      </c>
      <c r="AZ162" s="56">
        <f>$C162*INDEX(Curves!$X$8:$X$68,AZ$4-$B162+1)</f>
        <v/>
      </c>
      <c r="BA162" s="56">
        <f>$C162*INDEX(Curves!$X$8:$X$68,BA$4-$B162+1)</f>
        <v/>
      </c>
      <c r="BB162" s="56">
        <f>$C162*INDEX(Curves!$X$8:$X$68,BB$4-$B162+1)</f>
        <v/>
      </c>
      <c r="BC162" s="56">
        <f>$C162*INDEX(Curves!$X$8:$X$68,BC$4-$B162+1)</f>
        <v/>
      </c>
      <c r="BD162" s="56">
        <f>$C162*INDEX(Curves!$X$8:$X$68,BD$4-$B162+1)</f>
        <v/>
      </c>
      <c r="BE162" s="56">
        <f>$C162*INDEX(Curves!$X$8:$X$68,BE$4-$B162+1)</f>
        <v/>
      </c>
      <c r="BF162" s="56">
        <f>$C162*INDEX(Curves!$X$8:$X$68,BF$4-$B162+1)</f>
        <v/>
      </c>
      <c r="BG162" s="56">
        <f>$C162*INDEX(Curves!$X$8:$X$68,BG$4-$B162+1)</f>
        <v/>
      </c>
      <c r="BH162" s="56">
        <f>$C162*INDEX(Curves!$X$8:$X$68,BH$4-$B162+1)</f>
        <v/>
      </c>
      <c r="BI162" s="56">
        <f>$C162*INDEX(Curves!$X$8:$X$68,BI$4-$B162+1)</f>
        <v/>
      </c>
      <c r="BJ162" s="56">
        <f>$C162*INDEX(Curves!$X$8:$X$68,BJ$4-$B162+1)</f>
        <v/>
      </c>
      <c r="BK162" s="56">
        <f>$C162*INDEX(Curves!$X$8:$X$68,BK$4-$B162+1)</f>
        <v/>
      </c>
      <c r="BL162" s="56">
        <f>$C162*INDEX(Curves!$X$8:$X$68,BL$4-$B162+1)</f>
        <v/>
      </c>
    </row>
    <row r="163">
      <c r="A163" s="55" t="inlineStr">
        <is>
          <t>Cohort month 28</t>
        </is>
      </c>
      <c r="B163" s="55" t="n">
        <v>28</v>
      </c>
      <c r="C163" s="46">
        <f>INDEX(Ops!$E$40:$BL$40,1,$B163)</f>
        <v/>
      </c>
      <c r="AG163" s="56">
        <f>$C163*INDEX(Curves!$X$8:$X$68,AG$4-$B163+1)</f>
        <v/>
      </c>
      <c r="AH163" s="56">
        <f>$C163*INDEX(Curves!$X$8:$X$68,AH$4-$B163+1)</f>
        <v/>
      </c>
      <c r="AI163" s="56">
        <f>$C163*INDEX(Curves!$X$8:$X$68,AI$4-$B163+1)</f>
        <v/>
      </c>
      <c r="AJ163" s="56">
        <f>$C163*INDEX(Curves!$X$8:$X$68,AJ$4-$B163+1)</f>
        <v/>
      </c>
      <c r="AK163" s="56">
        <f>$C163*INDEX(Curves!$X$8:$X$68,AK$4-$B163+1)</f>
        <v/>
      </c>
      <c r="AL163" s="56">
        <f>$C163*INDEX(Curves!$X$8:$X$68,AL$4-$B163+1)</f>
        <v/>
      </c>
      <c r="AM163" s="56">
        <f>$C163*INDEX(Curves!$X$8:$X$68,AM$4-$B163+1)</f>
        <v/>
      </c>
      <c r="AN163" s="56">
        <f>$C163*INDEX(Curves!$X$8:$X$68,AN$4-$B163+1)</f>
        <v/>
      </c>
      <c r="AO163" s="56">
        <f>$C163*INDEX(Curves!$X$8:$X$68,AO$4-$B163+1)</f>
        <v/>
      </c>
      <c r="AP163" s="56">
        <f>$C163*INDEX(Curves!$X$8:$X$68,AP$4-$B163+1)</f>
        <v/>
      </c>
      <c r="AQ163" s="56">
        <f>$C163*INDEX(Curves!$X$8:$X$68,AQ$4-$B163+1)</f>
        <v/>
      </c>
      <c r="AR163" s="56">
        <f>$C163*INDEX(Curves!$X$8:$X$68,AR$4-$B163+1)</f>
        <v/>
      </c>
      <c r="AS163" s="56">
        <f>$C163*INDEX(Curves!$X$8:$X$68,AS$4-$B163+1)</f>
        <v/>
      </c>
      <c r="AT163" s="56">
        <f>$C163*INDEX(Curves!$X$8:$X$68,AT$4-$B163+1)</f>
        <v/>
      </c>
      <c r="AU163" s="56">
        <f>$C163*INDEX(Curves!$X$8:$X$68,AU$4-$B163+1)</f>
        <v/>
      </c>
      <c r="AV163" s="56">
        <f>$C163*INDEX(Curves!$X$8:$X$68,AV$4-$B163+1)</f>
        <v/>
      </c>
      <c r="AW163" s="56">
        <f>$C163*INDEX(Curves!$X$8:$X$68,AW$4-$B163+1)</f>
        <v/>
      </c>
      <c r="AX163" s="56">
        <f>$C163*INDEX(Curves!$X$8:$X$68,AX$4-$B163+1)</f>
        <v/>
      </c>
      <c r="AY163" s="56">
        <f>$C163*INDEX(Curves!$X$8:$X$68,AY$4-$B163+1)</f>
        <v/>
      </c>
      <c r="AZ163" s="56">
        <f>$C163*INDEX(Curves!$X$8:$X$68,AZ$4-$B163+1)</f>
        <v/>
      </c>
      <c r="BA163" s="56">
        <f>$C163*INDEX(Curves!$X$8:$X$68,BA$4-$B163+1)</f>
        <v/>
      </c>
      <c r="BB163" s="56">
        <f>$C163*INDEX(Curves!$X$8:$X$68,BB$4-$B163+1)</f>
        <v/>
      </c>
      <c r="BC163" s="56">
        <f>$C163*INDEX(Curves!$X$8:$X$68,BC$4-$B163+1)</f>
        <v/>
      </c>
      <c r="BD163" s="56">
        <f>$C163*INDEX(Curves!$X$8:$X$68,BD$4-$B163+1)</f>
        <v/>
      </c>
      <c r="BE163" s="56">
        <f>$C163*INDEX(Curves!$X$8:$X$68,BE$4-$B163+1)</f>
        <v/>
      </c>
      <c r="BF163" s="56">
        <f>$C163*INDEX(Curves!$X$8:$X$68,BF$4-$B163+1)</f>
        <v/>
      </c>
      <c r="BG163" s="56">
        <f>$C163*INDEX(Curves!$X$8:$X$68,BG$4-$B163+1)</f>
        <v/>
      </c>
      <c r="BH163" s="56">
        <f>$C163*INDEX(Curves!$X$8:$X$68,BH$4-$B163+1)</f>
        <v/>
      </c>
      <c r="BI163" s="56">
        <f>$C163*INDEX(Curves!$X$8:$X$68,BI$4-$B163+1)</f>
        <v/>
      </c>
      <c r="BJ163" s="56">
        <f>$C163*INDEX(Curves!$X$8:$X$68,BJ$4-$B163+1)</f>
        <v/>
      </c>
      <c r="BK163" s="56">
        <f>$C163*INDEX(Curves!$X$8:$X$68,BK$4-$B163+1)</f>
        <v/>
      </c>
      <c r="BL163" s="56">
        <f>$C163*INDEX(Curves!$X$8:$X$68,BL$4-$B163+1)</f>
        <v/>
      </c>
    </row>
    <row r="164">
      <c r="A164" s="55" t="inlineStr">
        <is>
          <t>Cohort month 29</t>
        </is>
      </c>
      <c r="B164" s="55" t="n">
        <v>29</v>
      </c>
      <c r="C164" s="46">
        <f>INDEX(Ops!$E$40:$BL$40,1,$B164)</f>
        <v/>
      </c>
      <c r="AH164" s="56">
        <f>$C164*INDEX(Curves!$X$8:$X$68,AH$4-$B164+1)</f>
        <v/>
      </c>
      <c r="AI164" s="56">
        <f>$C164*INDEX(Curves!$X$8:$X$68,AI$4-$B164+1)</f>
        <v/>
      </c>
      <c r="AJ164" s="56">
        <f>$C164*INDEX(Curves!$X$8:$X$68,AJ$4-$B164+1)</f>
        <v/>
      </c>
      <c r="AK164" s="56">
        <f>$C164*INDEX(Curves!$X$8:$X$68,AK$4-$B164+1)</f>
        <v/>
      </c>
      <c r="AL164" s="56">
        <f>$C164*INDEX(Curves!$X$8:$X$68,AL$4-$B164+1)</f>
        <v/>
      </c>
      <c r="AM164" s="56">
        <f>$C164*INDEX(Curves!$X$8:$X$68,AM$4-$B164+1)</f>
        <v/>
      </c>
      <c r="AN164" s="56">
        <f>$C164*INDEX(Curves!$X$8:$X$68,AN$4-$B164+1)</f>
        <v/>
      </c>
      <c r="AO164" s="56">
        <f>$C164*INDEX(Curves!$X$8:$X$68,AO$4-$B164+1)</f>
        <v/>
      </c>
      <c r="AP164" s="56">
        <f>$C164*INDEX(Curves!$X$8:$X$68,AP$4-$B164+1)</f>
        <v/>
      </c>
      <c r="AQ164" s="56">
        <f>$C164*INDEX(Curves!$X$8:$X$68,AQ$4-$B164+1)</f>
        <v/>
      </c>
      <c r="AR164" s="56">
        <f>$C164*INDEX(Curves!$X$8:$X$68,AR$4-$B164+1)</f>
        <v/>
      </c>
      <c r="AS164" s="56">
        <f>$C164*INDEX(Curves!$X$8:$X$68,AS$4-$B164+1)</f>
        <v/>
      </c>
      <c r="AT164" s="56">
        <f>$C164*INDEX(Curves!$X$8:$X$68,AT$4-$B164+1)</f>
        <v/>
      </c>
      <c r="AU164" s="56">
        <f>$C164*INDEX(Curves!$X$8:$X$68,AU$4-$B164+1)</f>
        <v/>
      </c>
      <c r="AV164" s="56">
        <f>$C164*INDEX(Curves!$X$8:$X$68,AV$4-$B164+1)</f>
        <v/>
      </c>
      <c r="AW164" s="56">
        <f>$C164*INDEX(Curves!$X$8:$X$68,AW$4-$B164+1)</f>
        <v/>
      </c>
      <c r="AX164" s="56">
        <f>$C164*INDEX(Curves!$X$8:$X$68,AX$4-$B164+1)</f>
        <v/>
      </c>
      <c r="AY164" s="56">
        <f>$C164*INDEX(Curves!$X$8:$X$68,AY$4-$B164+1)</f>
        <v/>
      </c>
      <c r="AZ164" s="56">
        <f>$C164*INDEX(Curves!$X$8:$X$68,AZ$4-$B164+1)</f>
        <v/>
      </c>
      <c r="BA164" s="56">
        <f>$C164*INDEX(Curves!$X$8:$X$68,BA$4-$B164+1)</f>
        <v/>
      </c>
      <c r="BB164" s="56">
        <f>$C164*INDEX(Curves!$X$8:$X$68,BB$4-$B164+1)</f>
        <v/>
      </c>
      <c r="BC164" s="56">
        <f>$C164*INDEX(Curves!$X$8:$X$68,BC$4-$B164+1)</f>
        <v/>
      </c>
      <c r="BD164" s="56">
        <f>$C164*INDEX(Curves!$X$8:$X$68,BD$4-$B164+1)</f>
        <v/>
      </c>
      <c r="BE164" s="56">
        <f>$C164*INDEX(Curves!$X$8:$X$68,BE$4-$B164+1)</f>
        <v/>
      </c>
      <c r="BF164" s="56">
        <f>$C164*INDEX(Curves!$X$8:$X$68,BF$4-$B164+1)</f>
        <v/>
      </c>
      <c r="BG164" s="56">
        <f>$C164*INDEX(Curves!$X$8:$X$68,BG$4-$B164+1)</f>
        <v/>
      </c>
      <c r="BH164" s="56">
        <f>$C164*INDEX(Curves!$X$8:$X$68,BH$4-$B164+1)</f>
        <v/>
      </c>
      <c r="BI164" s="56">
        <f>$C164*INDEX(Curves!$X$8:$X$68,BI$4-$B164+1)</f>
        <v/>
      </c>
      <c r="BJ164" s="56">
        <f>$C164*INDEX(Curves!$X$8:$X$68,BJ$4-$B164+1)</f>
        <v/>
      </c>
      <c r="BK164" s="56">
        <f>$C164*INDEX(Curves!$X$8:$X$68,BK$4-$B164+1)</f>
        <v/>
      </c>
      <c r="BL164" s="56">
        <f>$C164*INDEX(Curves!$X$8:$X$68,BL$4-$B164+1)</f>
        <v/>
      </c>
    </row>
    <row r="165">
      <c r="A165" s="55" t="inlineStr">
        <is>
          <t>Cohort month 30</t>
        </is>
      </c>
      <c r="B165" s="55" t="n">
        <v>30</v>
      </c>
      <c r="C165" s="46">
        <f>INDEX(Ops!$E$40:$BL$40,1,$B165)</f>
        <v/>
      </c>
      <c r="AI165" s="56">
        <f>$C165*INDEX(Curves!$X$8:$X$68,AI$4-$B165+1)</f>
        <v/>
      </c>
      <c r="AJ165" s="56">
        <f>$C165*INDEX(Curves!$X$8:$X$68,AJ$4-$B165+1)</f>
        <v/>
      </c>
      <c r="AK165" s="56">
        <f>$C165*INDEX(Curves!$X$8:$X$68,AK$4-$B165+1)</f>
        <v/>
      </c>
      <c r="AL165" s="56">
        <f>$C165*INDEX(Curves!$X$8:$X$68,AL$4-$B165+1)</f>
        <v/>
      </c>
      <c r="AM165" s="56">
        <f>$C165*INDEX(Curves!$X$8:$X$68,AM$4-$B165+1)</f>
        <v/>
      </c>
      <c r="AN165" s="56">
        <f>$C165*INDEX(Curves!$X$8:$X$68,AN$4-$B165+1)</f>
        <v/>
      </c>
      <c r="AO165" s="56">
        <f>$C165*INDEX(Curves!$X$8:$X$68,AO$4-$B165+1)</f>
        <v/>
      </c>
      <c r="AP165" s="56">
        <f>$C165*INDEX(Curves!$X$8:$X$68,AP$4-$B165+1)</f>
        <v/>
      </c>
      <c r="AQ165" s="56">
        <f>$C165*INDEX(Curves!$X$8:$X$68,AQ$4-$B165+1)</f>
        <v/>
      </c>
      <c r="AR165" s="56">
        <f>$C165*INDEX(Curves!$X$8:$X$68,AR$4-$B165+1)</f>
        <v/>
      </c>
      <c r="AS165" s="56">
        <f>$C165*INDEX(Curves!$X$8:$X$68,AS$4-$B165+1)</f>
        <v/>
      </c>
      <c r="AT165" s="56">
        <f>$C165*INDEX(Curves!$X$8:$X$68,AT$4-$B165+1)</f>
        <v/>
      </c>
      <c r="AU165" s="56">
        <f>$C165*INDEX(Curves!$X$8:$X$68,AU$4-$B165+1)</f>
        <v/>
      </c>
      <c r="AV165" s="56">
        <f>$C165*INDEX(Curves!$X$8:$X$68,AV$4-$B165+1)</f>
        <v/>
      </c>
      <c r="AW165" s="56">
        <f>$C165*INDEX(Curves!$X$8:$X$68,AW$4-$B165+1)</f>
        <v/>
      </c>
      <c r="AX165" s="56">
        <f>$C165*INDEX(Curves!$X$8:$X$68,AX$4-$B165+1)</f>
        <v/>
      </c>
      <c r="AY165" s="56">
        <f>$C165*INDEX(Curves!$X$8:$X$68,AY$4-$B165+1)</f>
        <v/>
      </c>
      <c r="AZ165" s="56">
        <f>$C165*INDEX(Curves!$X$8:$X$68,AZ$4-$B165+1)</f>
        <v/>
      </c>
      <c r="BA165" s="56">
        <f>$C165*INDEX(Curves!$X$8:$X$68,BA$4-$B165+1)</f>
        <v/>
      </c>
      <c r="BB165" s="56">
        <f>$C165*INDEX(Curves!$X$8:$X$68,BB$4-$B165+1)</f>
        <v/>
      </c>
      <c r="BC165" s="56">
        <f>$C165*INDEX(Curves!$X$8:$X$68,BC$4-$B165+1)</f>
        <v/>
      </c>
      <c r="BD165" s="56">
        <f>$C165*INDEX(Curves!$X$8:$X$68,BD$4-$B165+1)</f>
        <v/>
      </c>
      <c r="BE165" s="56">
        <f>$C165*INDEX(Curves!$X$8:$X$68,BE$4-$B165+1)</f>
        <v/>
      </c>
      <c r="BF165" s="56">
        <f>$C165*INDEX(Curves!$X$8:$X$68,BF$4-$B165+1)</f>
        <v/>
      </c>
      <c r="BG165" s="56">
        <f>$C165*INDEX(Curves!$X$8:$X$68,BG$4-$B165+1)</f>
        <v/>
      </c>
      <c r="BH165" s="56">
        <f>$C165*INDEX(Curves!$X$8:$X$68,BH$4-$B165+1)</f>
        <v/>
      </c>
      <c r="BI165" s="56">
        <f>$C165*INDEX(Curves!$X$8:$X$68,BI$4-$B165+1)</f>
        <v/>
      </c>
      <c r="BJ165" s="56">
        <f>$C165*INDEX(Curves!$X$8:$X$68,BJ$4-$B165+1)</f>
        <v/>
      </c>
      <c r="BK165" s="56">
        <f>$C165*INDEX(Curves!$X$8:$X$68,BK$4-$B165+1)</f>
        <v/>
      </c>
      <c r="BL165" s="56">
        <f>$C165*INDEX(Curves!$X$8:$X$68,BL$4-$B165+1)</f>
        <v/>
      </c>
    </row>
    <row r="166">
      <c r="A166" s="55" t="inlineStr">
        <is>
          <t>Cohort month 31</t>
        </is>
      </c>
      <c r="B166" s="55" t="n">
        <v>31</v>
      </c>
      <c r="C166" s="46">
        <f>INDEX(Ops!$E$40:$BL$40,1,$B166)</f>
        <v/>
      </c>
      <c r="AJ166" s="56">
        <f>$C166*INDEX(Curves!$X$8:$X$68,AJ$4-$B166+1)</f>
        <v/>
      </c>
      <c r="AK166" s="56">
        <f>$C166*INDEX(Curves!$X$8:$X$68,AK$4-$B166+1)</f>
        <v/>
      </c>
      <c r="AL166" s="56">
        <f>$C166*INDEX(Curves!$X$8:$X$68,AL$4-$B166+1)</f>
        <v/>
      </c>
      <c r="AM166" s="56">
        <f>$C166*INDEX(Curves!$X$8:$X$68,AM$4-$B166+1)</f>
        <v/>
      </c>
      <c r="AN166" s="56">
        <f>$C166*INDEX(Curves!$X$8:$X$68,AN$4-$B166+1)</f>
        <v/>
      </c>
      <c r="AO166" s="56">
        <f>$C166*INDEX(Curves!$X$8:$X$68,AO$4-$B166+1)</f>
        <v/>
      </c>
      <c r="AP166" s="56">
        <f>$C166*INDEX(Curves!$X$8:$X$68,AP$4-$B166+1)</f>
        <v/>
      </c>
      <c r="AQ166" s="56">
        <f>$C166*INDEX(Curves!$X$8:$X$68,AQ$4-$B166+1)</f>
        <v/>
      </c>
      <c r="AR166" s="56">
        <f>$C166*INDEX(Curves!$X$8:$X$68,AR$4-$B166+1)</f>
        <v/>
      </c>
      <c r="AS166" s="56">
        <f>$C166*INDEX(Curves!$X$8:$X$68,AS$4-$B166+1)</f>
        <v/>
      </c>
      <c r="AT166" s="56">
        <f>$C166*INDEX(Curves!$X$8:$X$68,AT$4-$B166+1)</f>
        <v/>
      </c>
      <c r="AU166" s="56">
        <f>$C166*INDEX(Curves!$X$8:$X$68,AU$4-$B166+1)</f>
        <v/>
      </c>
      <c r="AV166" s="56">
        <f>$C166*INDEX(Curves!$X$8:$X$68,AV$4-$B166+1)</f>
        <v/>
      </c>
      <c r="AW166" s="56">
        <f>$C166*INDEX(Curves!$X$8:$X$68,AW$4-$B166+1)</f>
        <v/>
      </c>
      <c r="AX166" s="56">
        <f>$C166*INDEX(Curves!$X$8:$X$68,AX$4-$B166+1)</f>
        <v/>
      </c>
      <c r="AY166" s="56">
        <f>$C166*INDEX(Curves!$X$8:$X$68,AY$4-$B166+1)</f>
        <v/>
      </c>
      <c r="AZ166" s="56">
        <f>$C166*INDEX(Curves!$X$8:$X$68,AZ$4-$B166+1)</f>
        <v/>
      </c>
      <c r="BA166" s="56">
        <f>$C166*INDEX(Curves!$X$8:$X$68,BA$4-$B166+1)</f>
        <v/>
      </c>
      <c r="BB166" s="56">
        <f>$C166*INDEX(Curves!$X$8:$X$68,BB$4-$B166+1)</f>
        <v/>
      </c>
      <c r="BC166" s="56">
        <f>$C166*INDEX(Curves!$X$8:$X$68,BC$4-$B166+1)</f>
        <v/>
      </c>
      <c r="BD166" s="56">
        <f>$C166*INDEX(Curves!$X$8:$X$68,BD$4-$B166+1)</f>
        <v/>
      </c>
      <c r="BE166" s="56">
        <f>$C166*INDEX(Curves!$X$8:$X$68,BE$4-$B166+1)</f>
        <v/>
      </c>
      <c r="BF166" s="56">
        <f>$C166*INDEX(Curves!$X$8:$X$68,BF$4-$B166+1)</f>
        <v/>
      </c>
      <c r="BG166" s="56">
        <f>$C166*INDEX(Curves!$X$8:$X$68,BG$4-$B166+1)</f>
        <v/>
      </c>
      <c r="BH166" s="56">
        <f>$C166*INDEX(Curves!$X$8:$X$68,BH$4-$B166+1)</f>
        <v/>
      </c>
      <c r="BI166" s="56">
        <f>$C166*INDEX(Curves!$X$8:$X$68,BI$4-$B166+1)</f>
        <v/>
      </c>
      <c r="BJ166" s="56">
        <f>$C166*INDEX(Curves!$X$8:$X$68,BJ$4-$B166+1)</f>
        <v/>
      </c>
      <c r="BK166" s="56">
        <f>$C166*INDEX(Curves!$X$8:$X$68,BK$4-$B166+1)</f>
        <v/>
      </c>
      <c r="BL166" s="56">
        <f>$C166*INDEX(Curves!$X$8:$X$68,BL$4-$B166+1)</f>
        <v/>
      </c>
    </row>
    <row r="167">
      <c r="A167" s="55" t="inlineStr">
        <is>
          <t>Cohort month 32</t>
        </is>
      </c>
      <c r="B167" s="55" t="n">
        <v>32</v>
      </c>
      <c r="C167" s="46">
        <f>INDEX(Ops!$E$40:$BL$40,1,$B167)</f>
        <v/>
      </c>
      <c r="AK167" s="56">
        <f>$C167*INDEX(Curves!$X$8:$X$68,AK$4-$B167+1)</f>
        <v/>
      </c>
      <c r="AL167" s="56">
        <f>$C167*INDEX(Curves!$X$8:$X$68,AL$4-$B167+1)</f>
        <v/>
      </c>
      <c r="AM167" s="56">
        <f>$C167*INDEX(Curves!$X$8:$X$68,AM$4-$B167+1)</f>
        <v/>
      </c>
      <c r="AN167" s="56">
        <f>$C167*INDEX(Curves!$X$8:$X$68,AN$4-$B167+1)</f>
        <v/>
      </c>
      <c r="AO167" s="56">
        <f>$C167*INDEX(Curves!$X$8:$X$68,AO$4-$B167+1)</f>
        <v/>
      </c>
      <c r="AP167" s="56">
        <f>$C167*INDEX(Curves!$X$8:$X$68,AP$4-$B167+1)</f>
        <v/>
      </c>
      <c r="AQ167" s="56">
        <f>$C167*INDEX(Curves!$X$8:$X$68,AQ$4-$B167+1)</f>
        <v/>
      </c>
      <c r="AR167" s="56">
        <f>$C167*INDEX(Curves!$X$8:$X$68,AR$4-$B167+1)</f>
        <v/>
      </c>
      <c r="AS167" s="56">
        <f>$C167*INDEX(Curves!$X$8:$X$68,AS$4-$B167+1)</f>
        <v/>
      </c>
      <c r="AT167" s="56">
        <f>$C167*INDEX(Curves!$X$8:$X$68,AT$4-$B167+1)</f>
        <v/>
      </c>
      <c r="AU167" s="56">
        <f>$C167*INDEX(Curves!$X$8:$X$68,AU$4-$B167+1)</f>
        <v/>
      </c>
      <c r="AV167" s="56">
        <f>$C167*INDEX(Curves!$X$8:$X$68,AV$4-$B167+1)</f>
        <v/>
      </c>
      <c r="AW167" s="56">
        <f>$C167*INDEX(Curves!$X$8:$X$68,AW$4-$B167+1)</f>
        <v/>
      </c>
      <c r="AX167" s="56">
        <f>$C167*INDEX(Curves!$X$8:$X$68,AX$4-$B167+1)</f>
        <v/>
      </c>
      <c r="AY167" s="56">
        <f>$C167*INDEX(Curves!$X$8:$X$68,AY$4-$B167+1)</f>
        <v/>
      </c>
      <c r="AZ167" s="56">
        <f>$C167*INDEX(Curves!$X$8:$X$68,AZ$4-$B167+1)</f>
        <v/>
      </c>
      <c r="BA167" s="56">
        <f>$C167*INDEX(Curves!$X$8:$X$68,BA$4-$B167+1)</f>
        <v/>
      </c>
      <c r="BB167" s="56">
        <f>$C167*INDEX(Curves!$X$8:$X$68,BB$4-$B167+1)</f>
        <v/>
      </c>
      <c r="BC167" s="56">
        <f>$C167*INDEX(Curves!$X$8:$X$68,BC$4-$B167+1)</f>
        <v/>
      </c>
      <c r="BD167" s="56">
        <f>$C167*INDEX(Curves!$X$8:$X$68,BD$4-$B167+1)</f>
        <v/>
      </c>
      <c r="BE167" s="56">
        <f>$C167*INDEX(Curves!$X$8:$X$68,BE$4-$B167+1)</f>
        <v/>
      </c>
      <c r="BF167" s="56">
        <f>$C167*INDEX(Curves!$X$8:$X$68,BF$4-$B167+1)</f>
        <v/>
      </c>
      <c r="BG167" s="56">
        <f>$C167*INDEX(Curves!$X$8:$X$68,BG$4-$B167+1)</f>
        <v/>
      </c>
      <c r="BH167" s="56">
        <f>$C167*INDEX(Curves!$X$8:$X$68,BH$4-$B167+1)</f>
        <v/>
      </c>
      <c r="BI167" s="56">
        <f>$C167*INDEX(Curves!$X$8:$X$68,BI$4-$B167+1)</f>
        <v/>
      </c>
      <c r="BJ167" s="56">
        <f>$C167*INDEX(Curves!$X$8:$X$68,BJ$4-$B167+1)</f>
        <v/>
      </c>
      <c r="BK167" s="56">
        <f>$C167*INDEX(Curves!$X$8:$X$68,BK$4-$B167+1)</f>
        <v/>
      </c>
      <c r="BL167" s="56">
        <f>$C167*INDEX(Curves!$X$8:$X$68,BL$4-$B167+1)</f>
        <v/>
      </c>
    </row>
    <row r="168">
      <c r="A168" s="55" t="inlineStr">
        <is>
          <t>Cohort month 33</t>
        </is>
      </c>
      <c r="B168" s="55" t="n">
        <v>33</v>
      </c>
      <c r="C168" s="46">
        <f>INDEX(Ops!$E$40:$BL$40,1,$B168)</f>
        <v/>
      </c>
      <c r="AL168" s="56">
        <f>$C168*INDEX(Curves!$X$8:$X$68,AL$4-$B168+1)</f>
        <v/>
      </c>
      <c r="AM168" s="56">
        <f>$C168*INDEX(Curves!$X$8:$X$68,AM$4-$B168+1)</f>
        <v/>
      </c>
      <c r="AN168" s="56">
        <f>$C168*INDEX(Curves!$X$8:$X$68,AN$4-$B168+1)</f>
        <v/>
      </c>
      <c r="AO168" s="56">
        <f>$C168*INDEX(Curves!$X$8:$X$68,AO$4-$B168+1)</f>
        <v/>
      </c>
      <c r="AP168" s="56">
        <f>$C168*INDEX(Curves!$X$8:$X$68,AP$4-$B168+1)</f>
        <v/>
      </c>
      <c r="AQ168" s="56">
        <f>$C168*INDEX(Curves!$X$8:$X$68,AQ$4-$B168+1)</f>
        <v/>
      </c>
      <c r="AR168" s="56">
        <f>$C168*INDEX(Curves!$X$8:$X$68,AR$4-$B168+1)</f>
        <v/>
      </c>
      <c r="AS168" s="56">
        <f>$C168*INDEX(Curves!$X$8:$X$68,AS$4-$B168+1)</f>
        <v/>
      </c>
      <c r="AT168" s="56">
        <f>$C168*INDEX(Curves!$X$8:$X$68,AT$4-$B168+1)</f>
        <v/>
      </c>
      <c r="AU168" s="56">
        <f>$C168*INDEX(Curves!$X$8:$X$68,AU$4-$B168+1)</f>
        <v/>
      </c>
      <c r="AV168" s="56">
        <f>$C168*INDEX(Curves!$X$8:$X$68,AV$4-$B168+1)</f>
        <v/>
      </c>
      <c r="AW168" s="56">
        <f>$C168*INDEX(Curves!$X$8:$X$68,AW$4-$B168+1)</f>
        <v/>
      </c>
      <c r="AX168" s="56">
        <f>$C168*INDEX(Curves!$X$8:$X$68,AX$4-$B168+1)</f>
        <v/>
      </c>
      <c r="AY168" s="56">
        <f>$C168*INDEX(Curves!$X$8:$X$68,AY$4-$B168+1)</f>
        <v/>
      </c>
      <c r="AZ168" s="56">
        <f>$C168*INDEX(Curves!$X$8:$X$68,AZ$4-$B168+1)</f>
        <v/>
      </c>
      <c r="BA168" s="56">
        <f>$C168*INDEX(Curves!$X$8:$X$68,BA$4-$B168+1)</f>
        <v/>
      </c>
      <c r="BB168" s="56">
        <f>$C168*INDEX(Curves!$X$8:$X$68,BB$4-$B168+1)</f>
        <v/>
      </c>
      <c r="BC168" s="56">
        <f>$C168*INDEX(Curves!$X$8:$X$68,BC$4-$B168+1)</f>
        <v/>
      </c>
      <c r="BD168" s="56">
        <f>$C168*INDEX(Curves!$X$8:$X$68,BD$4-$B168+1)</f>
        <v/>
      </c>
      <c r="BE168" s="56">
        <f>$C168*INDEX(Curves!$X$8:$X$68,BE$4-$B168+1)</f>
        <v/>
      </c>
      <c r="BF168" s="56">
        <f>$C168*INDEX(Curves!$X$8:$X$68,BF$4-$B168+1)</f>
        <v/>
      </c>
      <c r="BG168" s="56">
        <f>$C168*INDEX(Curves!$X$8:$X$68,BG$4-$B168+1)</f>
        <v/>
      </c>
      <c r="BH168" s="56">
        <f>$C168*INDEX(Curves!$X$8:$X$68,BH$4-$B168+1)</f>
        <v/>
      </c>
      <c r="BI168" s="56">
        <f>$C168*INDEX(Curves!$X$8:$X$68,BI$4-$B168+1)</f>
        <v/>
      </c>
      <c r="BJ168" s="56">
        <f>$C168*INDEX(Curves!$X$8:$X$68,BJ$4-$B168+1)</f>
        <v/>
      </c>
      <c r="BK168" s="56">
        <f>$C168*INDEX(Curves!$X$8:$X$68,BK$4-$B168+1)</f>
        <v/>
      </c>
      <c r="BL168" s="56">
        <f>$C168*INDEX(Curves!$X$8:$X$68,BL$4-$B168+1)</f>
        <v/>
      </c>
    </row>
    <row r="169">
      <c r="A169" s="55" t="inlineStr">
        <is>
          <t>Cohort month 34</t>
        </is>
      </c>
      <c r="B169" s="55" t="n">
        <v>34</v>
      </c>
      <c r="C169" s="46">
        <f>INDEX(Ops!$E$40:$BL$40,1,$B169)</f>
        <v/>
      </c>
      <c r="AM169" s="56">
        <f>$C169*INDEX(Curves!$X$8:$X$68,AM$4-$B169+1)</f>
        <v/>
      </c>
      <c r="AN169" s="56">
        <f>$C169*INDEX(Curves!$X$8:$X$68,AN$4-$B169+1)</f>
        <v/>
      </c>
      <c r="AO169" s="56">
        <f>$C169*INDEX(Curves!$X$8:$X$68,AO$4-$B169+1)</f>
        <v/>
      </c>
      <c r="AP169" s="56">
        <f>$C169*INDEX(Curves!$X$8:$X$68,AP$4-$B169+1)</f>
        <v/>
      </c>
      <c r="AQ169" s="56">
        <f>$C169*INDEX(Curves!$X$8:$X$68,AQ$4-$B169+1)</f>
        <v/>
      </c>
      <c r="AR169" s="56">
        <f>$C169*INDEX(Curves!$X$8:$X$68,AR$4-$B169+1)</f>
        <v/>
      </c>
      <c r="AS169" s="56">
        <f>$C169*INDEX(Curves!$X$8:$X$68,AS$4-$B169+1)</f>
        <v/>
      </c>
      <c r="AT169" s="56">
        <f>$C169*INDEX(Curves!$X$8:$X$68,AT$4-$B169+1)</f>
        <v/>
      </c>
      <c r="AU169" s="56">
        <f>$C169*INDEX(Curves!$X$8:$X$68,AU$4-$B169+1)</f>
        <v/>
      </c>
      <c r="AV169" s="56">
        <f>$C169*INDEX(Curves!$X$8:$X$68,AV$4-$B169+1)</f>
        <v/>
      </c>
      <c r="AW169" s="56">
        <f>$C169*INDEX(Curves!$X$8:$X$68,AW$4-$B169+1)</f>
        <v/>
      </c>
      <c r="AX169" s="56">
        <f>$C169*INDEX(Curves!$X$8:$X$68,AX$4-$B169+1)</f>
        <v/>
      </c>
      <c r="AY169" s="56">
        <f>$C169*INDEX(Curves!$X$8:$X$68,AY$4-$B169+1)</f>
        <v/>
      </c>
      <c r="AZ169" s="56">
        <f>$C169*INDEX(Curves!$X$8:$X$68,AZ$4-$B169+1)</f>
        <v/>
      </c>
      <c r="BA169" s="56">
        <f>$C169*INDEX(Curves!$X$8:$X$68,BA$4-$B169+1)</f>
        <v/>
      </c>
      <c r="BB169" s="56">
        <f>$C169*INDEX(Curves!$X$8:$X$68,BB$4-$B169+1)</f>
        <v/>
      </c>
      <c r="BC169" s="56">
        <f>$C169*INDEX(Curves!$X$8:$X$68,BC$4-$B169+1)</f>
        <v/>
      </c>
      <c r="BD169" s="56">
        <f>$C169*INDEX(Curves!$X$8:$X$68,BD$4-$B169+1)</f>
        <v/>
      </c>
      <c r="BE169" s="56">
        <f>$C169*INDEX(Curves!$X$8:$X$68,BE$4-$B169+1)</f>
        <v/>
      </c>
      <c r="BF169" s="56">
        <f>$C169*INDEX(Curves!$X$8:$X$68,BF$4-$B169+1)</f>
        <v/>
      </c>
      <c r="BG169" s="56">
        <f>$C169*INDEX(Curves!$X$8:$X$68,BG$4-$B169+1)</f>
        <v/>
      </c>
      <c r="BH169" s="56">
        <f>$C169*INDEX(Curves!$X$8:$X$68,BH$4-$B169+1)</f>
        <v/>
      </c>
      <c r="BI169" s="56">
        <f>$C169*INDEX(Curves!$X$8:$X$68,BI$4-$B169+1)</f>
        <v/>
      </c>
      <c r="BJ169" s="56">
        <f>$C169*INDEX(Curves!$X$8:$X$68,BJ$4-$B169+1)</f>
        <v/>
      </c>
      <c r="BK169" s="56">
        <f>$C169*INDEX(Curves!$X$8:$X$68,BK$4-$B169+1)</f>
        <v/>
      </c>
      <c r="BL169" s="56">
        <f>$C169*INDEX(Curves!$X$8:$X$68,BL$4-$B169+1)</f>
        <v/>
      </c>
    </row>
    <row r="170">
      <c r="A170" s="55" t="inlineStr">
        <is>
          <t>Cohort month 35</t>
        </is>
      </c>
      <c r="B170" s="55" t="n">
        <v>35</v>
      </c>
      <c r="C170" s="46">
        <f>INDEX(Ops!$E$40:$BL$40,1,$B170)</f>
        <v/>
      </c>
      <c r="AN170" s="56">
        <f>$C170*INDEX(Curves!$X$8:$X$68,AN$4-$B170+1)</f>
        <v/>
      </c>
      <c r="AO170" s="56">
        <f>$C170*INDEX(Curves!$X$8:$X$68,AO$4-$B170+1)</f>
        <v/>
      </c>
      <c r="AP170" s="56">
        <f>$C170*INDEX(Curves!$X$8:$X$68,AP$4-$B170+1)</f>
        <v/>
      </c>
      <c r="AQ170" s="56">
        <f>$C170*INDEX(Curves!$X$8:$X$68,AQ$4-$B170+1)</f>
        <v/>
      </c>
      <c r="AR170" s="56">
        <f>$C170*INDEX(Curves!$X$8:$X$68,AR$4-$B170+1)</f>
        <v/>
      </c>
      <c r="AS170" s="56">
        <f>$C170*INDEX(Curves!$X$8:$X$68,AS$4-$B170+1)</f>
        <v/>
      </c>
      <c r="AT170" s="56">
        <f>$C170*INDEX(Curves!$X$8:$X$68,AT$4-$B170+1)</f>
        <v/>
      </c>
      <c r="AU170" s="56">
        <f>$C170*INDEX(Curves!$X$8:$X$68,AU$4-$B170+1)</f>
        <v/>
      </c>
      <c r="AV170" s="56">
        <f>$C170*INDEX(Curves!$X$8:$X$68,AV$4-$B170+1)</f>
        <v/>
      </c>
      <c r="AW170" s="56">
        <f>$C170*INDEX(Curves!$X$8:$X$68,AW$4-$B170+1)</f>
        <v/>
      </c>
      <c r="AX170" s="56">
        <f>$C170*INDEX(Curves!$X$8:$X$68,AX$4-$B170+1)</f>
        <v/>
      </c>
      <c r="AY170" s="56">
        <f>$C170*INDEX(Curves!$X$8:$X$68,AY$4-$B170+1)</f>
        <v/>
      </c>
      <c r="AZ170" s="56">
        <f>$C170*INDEX(Curves!$X$8:$X$68,AZ$4-$B170+1)</f>
        <v/>
      </c>
      <c r="BA170" s="56">
        <f>$C170*INDEX(Curves!$X$8:$X$68,BA$4-$B170+1)</f>
        <v/>
      </c>
      <c r="BB170" s="56">
        <f>$C170*INDEX(Curves!$X$8:$X$68,BB$4-$B170+1)</f>
        <v/>
      </c>
      <c r="BC170" s="56">
        <f>$C170*INDEX(Curves!$X$8:$X$68,BC$4-$B170+1)</f>
        <v/>
      </c>
      <c r="BD170" s="56">
        <f>$C170*INDEX(Curves!$X$8:$X$68,BD$4-$B170+1)</f>
        <v/>
      </c>
      <c r="BE170" s="56">
        <f>$C170*INDEX(Curves!$X$8:$X$68,BE$4-$B170+1)</f>
        <v/>
      </c>
      <c r="BF170" s="56">
        <f>$C170*INDEX(Curves!$X$8:$X$68,BF$4-$B170+1)</f>
        <v/>
      </c>
      <c r="BG170" s="56">
        <f>$C170*INDEX(Curves!$X$8:$X$68,BG$4-$B170+1)</f>
        <v/>
      </c>
      <c r="BH170" s="56">
        <f>$C170*INDEX(Curves!$X$8:$X$68,BH$4-$B170+1)</f>
        <v/>
      </c>
      <c r="BI170" s="56">
        <f>$C170*INDEX(Curves!$X$8:$X$68,BI$4-$B170+1)</f>
        <v/>
      </c>
      <c r="BJ170" s="56">
        <f>$C170*INDEX(Curves!$X$8:$X$68,BJ$4-$B170+1)</f>
        <v/>
      </c>
      <c r="BK170" s="56">
        <f>$C170*INDEX(Curves!$X$8:$X$68,BK$4-$B170+1)</f>
        <v/>
      </c>
      <c r="BL170" s="56">
        <f>$C170*INDEX(Curves!$X$8:$X$68,BL$4-$B170+1)</f>
        <v/>
      </c>
    </row>
    <row r="171">
      <c r="A171" s="55" t="inlineStr">
        <is>
          <t>Cohort month 36</t>
        </is>
      </c>
      <c r="B171" s="55" t="n">
        <v>36</v>
      </c>
      <c r="C171" s="46">
        <f>INDEX(Ops!$E$40:$BL$40,1,$B171)</f>
        <v/>
      </c>
      <c r="AO171" s="56">
        <f>$C171*INDEX(Curves!$X$8:$X$68,AO$4-$B171+1)</f>
        <v/>
      </c>
      <c r="AP171" s="56">
        <f>$C171*INDEX(Curves!$X$8:$X$68,AP$4-$B171+1)</f>
        <v/>
      </c>
      <c r="AQ171" s="56">
        <f>$C171*INDEX(Curves!$X$8:$X$68,AQ$4-$B171+1)</f>
        <v/>
      </c>
      <c r="AR171" s="56">
        <f>$C171*INDEX(Curves!$X$8:$X$68,AR$4-$B171+1)</f>
        <v/>
      </c>
      <c r="AS171" s="56">
        <f>$C171*INDEX(Curves!$X$8:$X$68,AS$4-$B171+1)</f>
        <v/>
      </c>
      <c r="AT171" s="56">
        <f>$C171*INDEX(Curves!$X$8:$X$68,AT$4-$B171+1)</f>
        <v/>
      </c>
      <c r="AU171" s="56">
        <f>$C171*INDEX(Curves!$X$8:$X$68,AU$4-$B171+1)</f>
        <v/>
      </c>
      <c r="AV171" s="56">
        <f>$C171*INDEX(Curves!$X$8:$X$68,AV$4-$B171+1)</f>
        <v/>
      </c>
      <c r="AW171" s="56">
        <f>$C171*INDEX(Curves!$X$8:$X$68,AW$4-$B171+1)</f>
        <v/>
      </c>
      <c r="AX171" s="56">
        <f>$C171*INDEX(Curves!$X$8:$X$68,AX$4-$B171+1)</f>
        <v/>
      </c>
      <c r="AY171" s="56">
        <f>$C171*INDEX(Curves!$X$8:$X$68,AY$4-$B171+1)</f>
        <v/>
      </c>
      <c r="AZ171" s="56">
        <f>$C171*INDEX(Curves!$X$8:$X$68,AZ$4-$B171+1)</f>
        <v/>
      </c>
      <c r="BA171" s="56">
        <f>$C171*INDEX(Curves!$X$8:$X$68,BA$4-$B171+1)</f>
        <v/>
      </c>
      <c r="BB171" s="56">
        <f>$C171*INDEX(Curves!$X$8:$X$68,BB$4-$B171+1)</f>
        <v/>
      </c>
      <c r="BC171" s="56">
        <f>$C171*INDEX(Curves!$X$8:$X$68,BC$4-$B171+1)</f>
        <v/>
      </c>
      <c r="BD171" s="56">
        <f>$C171*INDEX(Curves!$X$8:$X$68,BD$4-$B171+1)</f>
        <v/>
      </c>
      <c r="BE171" s="56">
        <f>$C171*INDEX(Curves!$X$8:$X$68,BE$4-$B171+1)</f>
        <v/>
      </c>
      <c r="BF171" s="56">
        <f>$C171*INDEX(Curves!$X$8:$X$68,BF$4-$B171+1)</f>
        <v/>
      </c>
      <c r="BG171" s="56">
        <f>$C171*INDEX(Curves!$X$8:$X$68,BG$4-$B171+1)</f>
        <v/>
      </c>
      <c r="BH171" s="56">
        <f>$C171*INDEX(Curves!$X$8:$X$68,BH$4-$B171+1)</f>
        <v/>
      </c>
      <c r="BI171" s="56">
        <f>$C171*INDEX(Curves!$X$8:$X$68,BI$4-$B171+1)</f>
        <v/>
      </c>
      <c r="BJ171" s="56">
        <f>$C171*INDEX(Curves!$X$8:$X$68,BJ$4-$B171+1)</f>
        <v/>
      </c>
      <c r="BK171" s="56">
        <f>$C171*INDEX(Curves!$X$8:$X$68,BK$4-$B171+1)</f>
        <v/>
      </c>
      <c r="BL171" s="56">
        <f>$C171*INDEX(Curves!$X$8:$X$68,BL$4-$B171+1)</f>
        <v/>
      </c>
    </row>
    <row r="172">
      <c r="A172" s="55" t="inlineStr">
        <is>
          <t>Cohort month 37</t>
        </is>
      </c>
      <c r="B172" s="55" t="n">
        <v>37</v>
      </c>
      <c r="C172" s="46">
        <f>INDEX(Ops!$E$40:$BL$40,1,$B172)</f>
        <v/>
      </c>
      <c r="AP172" s="56">
        <f>$C172*INDEX(Curves!$X$8:$X$68,AP$4-$B172+1)</f>
        <v/>
      </c>
      <c r="AQ172" s="56">
        <f>$C172*INDEX(Curves!$X$8:$X$68,AQ$4-$B172+1)</f>
        <v/>
      </c>
      <c r="AR172" s="56">
        <f>$C172*INDEX(Curves!$X$8:$X$68,AR$4-$B172+1)</f>
        <v/>
      </c>
      <c r="AS172" s="56">
        <f>$C172*INDEX(Curves!$X$8:$X$68,AS$4-$B172+1)</f>
        <v/>
      </c>
      <c r="AT172" s="56">
        <f>$C172*INDEX(Curves!$X$8:$X$68,AT$4-$B172+1)</f>
        <v/>
      </c>
      <c r="AU172" s="56">
        <f>$C172*INDEX(Curves!$X$8:$X$68,AU$4-$B172+1)</f>
        <v/>
      </c>
      <c r="AV172" s="56">
        <f>$C172*INDEX(Curves!$X$8:$X$68,AV$4-$B172+1)</f>
        <v/>
      </c>
      <c r="AW172" s="56">
        <f>$C172*INDEX(Curves!$X$8:$X$68,AW$4-$B172+1)</f>
        <v/>
      </c>
      <c r="AX172" s="56">
        <f>$C172*INDEX(Curves!$X$8:$X$68,AX$4-$B172+1)</f>
        <v/>
      </c>
      <c r="AY172" s="56">
        <f>$C172*INDEX(Curves!$X$8:$X$68,AY$4-$B172+1)</f>
        <v/>
      </c>
      <c r="AZ172" s="56">
        <f>$C172*INDEX(Curves!$X$8:$X$68,AZ$4-$B172+1)</f>
        <v/>
      </c>
      <c r="BA172" s="56">
        <f>$C172*INDEX(Curves!$X$8:$X$68,BA$4-$B172+1)</f>
        <v/>
      </c>
      <c r="BB172" s="56">
        <f>$C172*INDEX(Curves!$X$8:$X$68,BB$4-$B172+1)</f>
        <v/>
      </c>
      <c r="BC172" s="56">
        <f>$C172*INDEX(Curves!$X$8:$X$68,BC$4-$B172+1)</f>
        <v/>
      </c>
      <c r="BD172" s="56">
        <f>$C172*INDEX(Curves!$X$8:$X$68,BD$4-$B172+1)</f>
        <v/>
      </c>
      <c r="BE172" s="56">
        <f>$C172*INDEX(Curves!$X$8:$X$68,BE$4-$B172+1)</f>
        <v/>
      </c>
      <c r="BF172" s="56">
        <f>$C172*INDEX(Curves!$X$8:$X$68,BF$4-$B172+1)</f>
        <v/>
      </c>
      <c r="BG172" s="56">
        <f>$C172*INDEX(Curves!$X$8:$X$68,BG$4-$B172+1)</f>
        <v/>
      </c>
      <c r="BH172" s="56">
        <f>$C172*INDEX(Curves!$X$8:$X$68,BH$4-$B172+1)</f>
        <v/>
      </c>
      <c r="BI172" s="56">
        <f>$C172*INDEX(Curves!$X$8:$X$68,BI$4-$B172+1)</f>
        <v/>
      </c>
      <c r="BJ172" s="56">
        <f>$C172*INDEX(Curves!$X$8:$X$68,BJ$4-$B172+1)</f>
        <v/>
      </c>
      <c r="BK172" s="56">
        <f>$C172*INDEX(Curves!$X$8:$X$68,BK$4-$B172+1)</f>
        <v/>
      </c>
      <c r="BL172" s="56">
        <f>$C172*INDEX(Curves!$X$8:$X$68,BL$4-$B172+1)</f>
        <v/>
      </c>
    </row>
    <row r="173">
      <c r="A173" s="55" t="inlineStr">
        <is>
          <t>Cohort month 38</t>
        </is>
      </c>
      <c r="B173" s="55" t="n">
        <v>38</v>
      </c>
      <c r="C173" s="46">
        <f>INDEX(Ops!$E$40:$BL$40,1,$B173)</f>
        <v/>
      </c>
      <c r="AQ173" s="56">
        <f>$C173*INDEX(Curves!$X$8:$X$68,AQ$4-$B173+1)</f>
        <v/>
      </c>
      <c r="AR173" s="56">
        <f>$C173*INDEX(Curves!$X$8:$X$68,AR$4-$B173+1)</f>
        <v/>
      </c>
      <c r="AS173" s="56">
        <f>$C173*INDEX(Curves!$X$8:$X$68,AS$4-$B173+1)</f>
        <v/>
      </c>
      <c r="AT173" s="56">
        <f>$C173*INDEX(Curves!$X$8:$X$68,AT$4-$B173+1)</f>
        <v/>
      </c>
      <c r="AU173" s="56">
        <f>$C173*INDEX(Curves!$X$8:$X$68,AU$4-$B173+1)</f>
        <v/>
      </c>
      <c r="AV173" s="56">
        <f>$C173*INDEX(Curves!$X$8:$X$68,AV$4-$B173+1)</f>
        <v/>
      </c>
      <c r="AW173" s="56">
        <f>$C173*INDEX(Curves!$X$8:$X$68,AW$4-$B173+1)</f>
        <v/>
      </c>
      <c r="AX173" s="56">
        <f>$C173*INDEX(Curves!$X$8:$X$68,AX$4-$B173+1)</f>
        <v/>
      </c>
      <c r="AY173" s="56">
        <f>$C173*INDEX(Curves!$X$8:$X$68,AY$4-$B173+1)</f>
        <v/>
      </c>
      <c r="AZ173" s="56">
        <f>$C173*INDEX(Curves!$X$8:$X$68,AZ$4-$B173+1)</f>
        <v/>
      </c>
      <c r="BA173" s="56">
        <f>$C173*INDEX(Curves!$X$8:$X$68,BA$4-$B173+1)</f>
        <v/>
      </c>
      <c r="BB173" s="56">
        <f>$C173*INDEX(Curves!$X$8:$X$68,BB$4-$B173+1)</f>
        <v/>
      </c>
      <c r="BC173" s="56">
        <f>$C173*INDEX(Curves!$X$8:$X$68,BC$4-$B173+1)</f>
        <v/>
      </c>
      <c r="BD173" s="56">
        <f>$C173*INDEX(Curves!$X$8:$X$68,BD$4-$B173+1)</f>
        <v/>
      </c>
      <c r="BE173" s="56">
        <f>$C173*INDEX(Curves!$X$8:$X$68,BE$4-$B173+1)</f>
        <v/>
      </c>
      <c r="BF173" s="56">
        <f>$C173*INDEX(Curves!$X$8:$X$68,BF$4-$B173+1)</f>
        <v/>
      </c>
      <c r="BG173" s="56">
        <f>$C173*INDEX(Curves!$X$8:$X$68,BG$4-$B173+1)</f>
        <v/>
      </c>
      <c r="BH173" s="56">
        <f>$C173*INDEX(Curves!$X$8:$X$68,BH$4-$B173+1)</f>
        <v/>
      </c>
      <c r="BI173" s="56">
        <f>$C173*INDEX(Curves!$X$8:$X$68,BI$4-$B173+1)</f>
        <v/>
      </c>
      <c r="BJ173" s="56">
        <f>$C173*INDEX(Curves!$X$8:$X$68,BJ$4-$B173+1)</f>
        <v/>
      </c>
      <c r="BK173" s="56">
        <f>$C173*INDEX(Curves!$X$8:$X$68,BK$4-$B173+1)</f>
        <v/>
      </c>
      <c r="BL173" s="56">
        <f>$C173*INDEX(Curves!$X$8:$X$68,BL$4-$B173+1)</f>
        <v/>
      </c>
    </row>
    <row r="174">
      <c r="A174" s="55" t="inlineStr">
        <is>
          <t>Cohort month 39</t>
        </is>
      </c>
      <c r="B174" s="55" t="n">
        <v>39</v>
      </c>
      <c r="C174" s="46">
        <f>INDEX(Ops!$E$40:$BL$40,1,$B174)</f>
        <v/>
      </c>
      <c r="AR174" s="56">
        <f>$C174*INDEX(Curves!$X$8:$X$68,AR$4-$B174+1)</f>
        <v/>
      </c>
      <c r="AS174" s="56">
        <f>$C174*INDEX(Curves!$X$8:$X$68,AS$4-$B174+1)</f>
        <v/>
      </c>
      <c r="AT174" s="56">
        <f>$C174*INDEX(Curves!$X$8:$X$68,AT$4-$B174+1)</f>
        <v/>
      </c>
      <c r="AU174" s="56">
        <f>$C174*INDEX(Curves!$X$8:$X$68,AU$4-$B174+1)</f>
        <v/>
      </c>
      <c r="AV174" s="56">
        <f>$C174*INDEX(Curves!$X$8:$X$68,AV$4-$B174+1)</f>
        <v/>
      </c>
      <c r="AW174" s="56">
        <f>$C174*INDEX(Curves!$X$8:$X$68,AW$4-$B174+1)</f>
        <v/>
      </c>
      <c r="AX174" s="56">
        <f>$C174*INDEX(Curves!$X$8:$X$68,AX$4-$B174+1)</f>
        <v/>
      </c>
      <c r="AY174" s="56">
        <f>$C174*INDEX(Curves!$X$8:$X$68,AY$4-$B174+1)</f>
        <v/>
      </c>
      <c r="AZ174" s="56">
        <f>$C174*INDEX(Curves!$X$8:$X$68,AZ$4-$B174+1)</f>
        <v/>
      </c>
      <c r="BA174" s="56">
        <f>$C174*INDEX(Curves!$X$8:$X$68,BA$4-$B174+1)</f>
        <v/>
      </c>
      <c r="BB174" s="56">
        <f>$C174*INDEX(Curves!$X$8:$X$68,BB$4-$B174+1)</f>
        <v/>
      </c>
      <c r="BC174" s="56">
        <f>$C174*INDEX(Curves!$X$8:$X$68,BC$4-$B174+1)</f>
        <v/>
      </c>
      <c r="BD174" s="56">
        <f>$C174*INDEX(Curves!$X$8:$X$68,BD$4-$B174+1)</f>
        <v/>
      </c>
      <c r="BE174" s="56">
        <f>$C174*INDEX(Curves!$X$8:$X$68,BE$4-$B174+1)</f>
        <v/>
      </c>
      <c r="BF174" s="56">
        <f>$C174*INDEX(Curves!$X$8:$X$68,BF$4-$B174+1)</f>
        <v/>
      </c>
      <c r="BG174" s="56">
        <f>$C174*INDEX(Curves!$X$8:$X$68,BG$4-$B174+1)</f>
        <v/>
      </c>
      <c r="BH174" s="56">
        <f>$C174*INDEX(Curves!$X$8:$X$68,BH$4-$B174+1)</f>
        <v/>
      </c>
      <c r="BI174" s="56">
        <f>$C174*INDEX(Curves!$X$8:$X$68,BI$4-$B174+1)</f>
        <v/>
      </c>
      <c r="BJ174" s="56">
        <f>$C174*INDEX(Curves!$X$8:$X$68,BJ$4-$B174+1)</f>
        <v/>
      </c>
      <c r="BK174" s="56">
        <f>$C174*INDEX(Curves!$X$8:$X$68,BK$4-$B174+1)</f>
        <v/>
      </c>
      <c r="BL174" s="56">
        <f>$C174*INDEX(Curves!$X$8:$X$68,BL$4-$B174+1)</f>
        <v/>
      </c>
    </row>
    <row r="175">
      <c r="A175" s="55" t="inlineStr">
        <is>
          <t>Cohort month 40</t>
        </is>
      </c>
      <c r="B175" s="55" t="n">
        <v>40</v>
      </c>
      <c r="C175" s="46">
        <f>INDEX(Ops!$E$40:$BL$40,1,$B175)</f>
        <v/>
      </c>
      <c r="AS175" s="56">
        <f>$C175*INDEX(Curves!$X$8:$X$68,AS$4-$B175+1)</f>
        <v/>
      </c>
      <c r="AT175" s="56">
        <f>$C175*INDEX(Curves!$X$8:$X$68,AT$4-$B175+1)</f>
        <v/>
      </c>
      <c r="AU175" s="56">
        <f>$C175*INDEX(Curves!$X$8:$X$68,AU$4-$B175+1)</f>
        <v/>
      </c>
      <c r="AV175" s="56">
        <f>$C175*INDEX(Curves!$X$8:$X$68,AV$4-$B175+1)</f>
        <v/>
      </c>
      <c r="AW175" s="56">
        <f>$C175*INDEX(Curves!$X$8:$X$68,AW$4-$B175+1)</f>
        <v/>
      </c>
      <c r="AX175" s="56">
        <f>$C175*INDEX(Curves!$X$8:$X$68,AX$4-$B175+1)</f>
        <v/>
      </c>
      <c r="AY175" s="56">
        <f>$C175*INDEX(Curves!$X$8:$X$68,AY$4-$B175+1)</f>
        <v/>
      </c>
      <c r="AZ175" s="56">
        <f>$C175*INDEX(Curves!$X$8:$X$68,AZ$4-$B175+1)</f>
        <v/>
      </c>
      <c r="BA175" s="56">
        <f>$C175*INDEX(Curves!$X$8:$X$68,BA$4-$B175+1)</f>
        <v/>
      </c>
      <c r="BB175" s="56">
        <f>$C175*INDEX(Curves!$X$8:$X$68,BB$4-$B175+1)</f>
        <v/>
      </c>
      <c r="BC175" s="56">
        <f>$C175*INDEX(Curves!$X$8:$X$68,BC$4-$B175+1)</f>
        <v/>
      </c>
      <c r="BD175" s="56">
        <f>$C175*INDEX(Curves!$X$8:$X$68,BD$4-$B175+1)</f>
        <v/>
      </c>
      <c r="BE175" s="56">
        <f>$C175*INDEX(Curves!$X$8:$X$68,BE$4-$B175+1)</f>
        <v/>
      </c>
      <c r="BF175" s="56">
        <f>$C175*INDEX(Curves!$X$8:$X$68,BF$4-$B175+1)</f>
        <v/>
      </c>
      <c r="BG175" s="56">
        <f>$C175*INDEX(Curves!$X$8:$X$68,BG$4-$B175+1)</f>
        <v/>
      </c>
      <c r="BH175" s="56">
        <f>$C175*INDEX(Curves!$X$8:$X$68,BH$4-$B175+1)</f>
        <v/>
      </c>
      <c r="BI175" s="56">
        <f>$C175*INDEX(Curves!$X$8:$X$68,BI$4-$B175+1)</f>
        <v/>
      </c>
      <c r="BJ175" s="56">
        <f>$C175*INDEX(Curves!$X$8:$X$68,BJ$4-$B175+1)</f>
        <v/>
      </c>
      <c r="BK175" s="56">
        <f>$C175*INDEX(Curves!$X$8:$X$68,BK$4-$B175+1)</f>
        <v/>
      </c>
      <c r="BL175" s="56">
        <f>$C175*INDEX(Curves!$X$8:$X$68,BL$4-$B175+1)</f>
        <v/>
      </c>
    </row>
    <row r="176">
      <c r="A176" s="55" t="inlineStr">
        <is>
          <t>Cohort month 41</t>
        </is>
      </c>
      <c r="B176" s="55" t="n">
        <v>41</v>
      </c>
      <c r="C176" s="46">
        <f>INDEX(Ops!$E$40:$BL$40,1,$B176)</f>
        <v/>
      </c>
      <c r="AT176" s="56">
        <f>$C176*INDEX(Curves!$X$8:$X$68,AT$4-$B176+1)</f>
        <v/>
      </c>
      <c r="AU176" s="56">
        <f>$C176*INDEX(Curves!$X$8:$X$68,AU$4-$B176+1)</f>
        <v/>
      </c>
      <c r="AV176" s="56">
        <f>$C176*INDEX(Curves!$X$8:$X$68,AV$4-$B176+1)</f>
        <v/>
      </c>
      <c r="AW176" s="56">
        <f>$C176*INDEX(Curves!$X$8:$X$68,AW$4-$B176+1)</f>
        <v/>
      </c>
      <c r="AX176" s="56">
        <f>$C176*INDEX(Curves!$X$8:$X$68,AX$4-$B176+1)</f>
        <v/>
      </c>
      <c r="AY176" s="56">
        <f>$C176*INDEX(Curves!$X$8:$X$68,AY$4-$B176+1)</f>
        <v/>
      </c>
      <c r="AZ176" s="56">
        <f>$C176*INDEX(Curves!$X$8:$X$68,AZ$4-$B176+1)</f>
        <v/>
      </c>
      <c r="BA176" s="56">
        <f>$C176*INDEX(Curves!$X$8:$X$68,BA$4-$B176+1)</f>
        <v/>
      </c>
      <c r="BB176" s="56">
        <f>$C176*INDEX(Curves!$X$8:$X$68,BB$4-$B176+1)</f>
        <v/>
      </c>
      <c r="BC176" s="56">
        <f>$C176*INDEX(Curves!$X$8:$X$68,BC$4-$B176+1)</f>
        <v/>
      </c>
      <c r="BD176" s="56">
        <f>$C176*INDEX(Curves!$X$8:$X$68,BD$4-$B176+1)</f>
        <v/>
      </c>
      <c r="BE176" s="56">
        <f>$C176*INDEX(Curves!$X$8:$X$68,BE$4-$B176+1)</f>
        <v/>
      </c>
      <c r="BF176" s="56">
        <f>$C176*INDEX(Curves!$X$8:$X$68,BF$4-$B176+1)</f>
        <v/>
      </c>
      <c r="BG176" s="56">
        <f>$C176*INDEX(Curves!$X$8:$X$68,BG$4-$B176+1)</f>
        <v/>
      </c>
      <c r="BH176" s="56">
        <f>$C176*INDEX(Curves!$X$8:$X$68,BH$4-$B176+1)</f>
        <v/>
      </c>
      <c r="BI176" s="56">
        <f>$C176*INDEX(Curves!$X$8:$X$68,BI$4-$B176+1)</f>
        <v/>
      </c>
      <c r="BJ176" s="56">
        <f>$C176*INDEX(Curves!$X$8:$X$68,BJ$4-$B176+1)</f>
        <v/>
      </c>
      <c r="BK176" s="56">
        <f>$C176*INDEX(Curves!$X$8:$X$68,BK$4-$B176+1)</f>
        <v/>
      </c>
      <c r="BL176" s="56">
        <f>$C176*INDEX(Curves!$X$8:$X$68,BL$4-$B176+1)</f>
        <v/>
      </c>
    </row>
    <row r="177">
      <c r="A177" s="55" t="inlineStr">
        <is>
          <t>Cohort month 42</t>
        </is>
      </c>
      <c r="B177" s="55" t="n">
        <v>42</v>
      </c>
      <c r="C177" s="46">
        <f>INDEX(Ops!$E$40:$BL$40,1,$B177)</f>
        <v/>
      </c>
      <c r="AU177" s="56">
        <f>$C177*INDEX(Curves!$X$8:$X$68,AU$4-$B177+1)</f>
        <v/>
      </c>
      <c r="AV177" s="56">
        <f>$C177*INDEX(Curves!$X$8:$X$68,AV$4-$B177+1)</f>
        <v/>
      </c>
      <c r="AW177" s="56">
        <f>$C177*INDEX(Curves!$X$8:$X$68,AW$4-$B177+1)</f>
        <v/>
      </c>
      <c r="AX177" s="56">
        <f>$C177*INDEX(Curves!$X$8:$X$68,AX$4-$B177+1)</f>
        <v/>
      </c>
      <c r="AY177" s="56">
        <f>$C177*INDEX(Curves!$X$8:$X$68,AY$4-$B177+1)</f>
        <v/>
      </c>
      <c r="AZ177" s="56">
        <f>$C177*INDEX(Curves!$X$8:$X$68,AZ$4-$B177+1)</f>
        <v/>
      </c>
      <c r="BA177" s="56">
        <f>$C177*INDEX(Curves!$X$8:$X$68,BA$4-$B177+1)</f>
        <v/>
      </c>
      <c r="BB177" s="56">
        <f>$C177*INDEX(Curves!$X$8:$X$68,BB$4-$B177+1)</f>
        <v/>
      </c>
      <c r="BC177" s="56">
        <f>$C177*INDEX(Curves!$X$8:$X$68,BC$4-$B177+1)</f>
        <v/>
      </c>
      <c r="BD177" s="56">
        <f>$C177*INDEX(Curves!$X$8:$X$68,BD$4-$B177+1)</f>
        <v/>
      </c>
      <c r="BE177" s="56">
        <f>$C177*INDEX(Curves!$X$8:$X$68,BE$4-$B177+1)</f>
        <v/>
      </c>
      <c r="BF177" s="56">
        <f>$C177*INDEX(Curves!$X$8:$X$68,BF$4-$B177+1)</f>
        <v/>
      </c>
      <c r="BG177" s="56">
        <f>$C177*INDEX(Curves!$X$8:$X$68,BG$4-$B177+1)</f>
        <v/>
      </c>
      <c r="BH177" s="56">
        <f>$C177*INDEX(Curves!$X$8:$X$68,BH$4-$B177+1)</f>
        <v/>
      </c>
      <c r="BI177" s="56">
        <f>$C177*INDEX(Curves!$X$8:$X$68,BI$4-$B177+1)</f>
        <v/>
      </c>
      <c r="BJ177" s="56">
        <f>$C177*INDEX(Curves!$X$8:$X$68,BJ$4-$B177+1)</f>
        <v/>
      </c>
      <c r="BK177" s="56">
        <f>$C177*INDEX(Curves!$X$8:$X$68,BK$4-$B177+1)</f>
        <v/>
      </c>
      <c r="BL177" s="56">
        <f>$C177*INDEX(Curves!$X$8:$X$68,BL$4-$B177+1)</f>
        <v/>
      </c>
    </row>
    <row r="178">
      <c r="A178" s="55" t="inlineStr">
        <is>
          <t>Cohort month 43</t>
        </is>
      </c>
      <c r="B178" s="55" t="n">
        <v>43</v>
      </c>
      <c r="C178" s="46">
        <f>INDEX(Ops!$E$40:$BL$40,1,$B178)</f>
        <v/>
      </c>
      <c r="AV178" s="56">
        <f>$C178*INDEX(Curves!$X$8:$X$68,AV$4-$B178+1)</f>
        <v/>
      </c>
      <c r="AW178" s="56">
        <f>$C178*INDEX(Curves!$X$8:$X$68,AW$4-$B178+1)</f>
        <v/>
      </c>
      <c r="AX178" s="56">
        <f>$C178*INDEX(Curves!$X$8:$X$68,AX$4-$B178+1)</f>
        <v/>
      </c>
      <c r="AY178" s="56">
        <f>$C178*INDEX(Curves!$X$8:$X$68,AY$4-$B178+1)</f>
        <v/>
      </c>
      <c r="AZ178" s="56">
        <f>$C178*INDEX(Curves!$X$8:$X$68,AZ$4-$B178+1)</f>
        <v/>
      </c>
      <c r="BA178" s="56">
        <f>$C178*INDEX(Curves!$X$8:$X$68,BA$4-$B178+1)</f>
        <v/>
      </c>
      <c r="BB178" s="56">
        <f>$C178*INDEX(Curves!$X$8:$X$68,BB$4-$B178+1)</f>
        <v/>
      </c>
      <c r="BC178" s="56">
        <f>$C178*INDEX(Curves!$X$8:$X$68,BC$4-$B178+1)</f>
        <v/>
      </c>
      <c r="BD178" s="56">
        <f>$C178*INDEX(Curves!$X$8:$X$68,BD$4-$B178+1)</f>
        <v/>
      </c>
      <c r="BE178" s="56">
        <f>$C178*INDEX(Curves!$X$8:$X$68,BE$4-$B178+1)</f>
        <v/>
      </c>
      <c r="BF178" s="56">
        <f>$C178*INDEX(Curves!$X$8:$X$68,BF$4-$B178+1)</f>
        <v/>
      </c>
      <c r="BG178" s="56">
        <f>$C178*INDEX(Curves!$X$8:$X$68,BG$4-$B178+1)</f>
        <v/>
      </c>
      <c r="BH178" s="56">
        <f>$C178*INDEX(Curves!$X$8:$X$68,BH$4-$B178+1)</f>
        <v/>
      </c>
      <c r="BI178" s="56">
        <f>$C178*INDEX(Curves!$X$8:$X$68,BI$4-$B178+1)</f>
        <v/>
      </c>
      <c r="BJ178" s="56">
        <f>$C178*INDEX(Curves!$X$8:$X$68,BJ$4-$B178+1)</f>
        <v/>
      </c>
      <c r="BK178" s="56">
        <f>$C178*INDEX(Curves!$X$8:$X$68,BK$4-$B178+1)</f>
        <v/>
      </c>
      <c r="BL178" s="56">
        <f>$C178*INDEX(Curves!$X$8:$X$68,BL$4-$B178+1)</f>
        <v/>
      </c>
    </row>
    <row r="179">
      <c r="A179" s="55" t="inlineStr">
        <is>
          <t>Cohort month 44</t>
        </is>
      </c>
      <c r="B179" s="55" t="n">
        <v>44</v>
      </c>
      <c r="C179" s="46">
        <f>INDEX(Ops!$E$40:$BL$40,1,$B179)</f>
        <v/>
      </c>
      <c r="AW179" s="56">
        <f>$C179*INDEX(Curves!$X$8:$X$68,AW$4-$B179+1)</f>
        <v/>
      </c>
      <c r="AX179" s="56">
        <f>$C179*INDEX(Curves!$X$8:$X$68,AX$4-$B179+1)</f>
        <v/>
      </c>
      <c r="AY179" s="56">
        <f>$C179*INDEX(Curves!$X$8:$X$68,AY$4-$B179+1)</f>
        <v/>
      </c>
      <c r="AZ179" s="56">
        <f>$C179*INDEX(Curves!$X$8:$X$68,AZ$4-$B179+1)</f>
        <v/>
      </c>
      <c r="BA179" s="56">
        <f>$C179*INDEX(Curves!$X$8:$X$68,BA$4-$B179+1)</f>
        <v/>
      </c>
      <c r="BB179" s="56">
        <f>$C179*INDEX(Curves!$X$8:$X$68,BB$4-$B179+1)</f>
        <v/>
      </c>
      <c r="BC179" s="56">
        <f>$C179*INDEX(Curves!$X$8:$X$68,BC$4-$B179+1)</f>
        <v/>
      </c>
      <c r="BD179" s="56">
        <f>$C179*INDEX(Curves!$X$8:$X$68,BD$4-$B179+1)</f>
        <v/>
      </c>
      <c r="BE179" s="56">
        <f>$C179*INDEX(Curves!$X$8:$X$68,BE$4-$B179+1)</f>
        <v/>
      </c>
      <c r="BF179" s="56">
        <f>$C179*INDEX(Curves!$X$8:$X$68,BF$4-$B179+1)</f>
        <v/>
      </c>
      <c r="BG179" s="56">
        <f>$C179*INDEX(Curves!$X$8:$X$68,BG$4-$B179+1)</f>
        <v/>
      </c>
      <c r="BH179" s="56">
        <f>$C179*INDEX(Curves!$X$8:$X$68,BH$4-$B179+1)</f>
        <v/>
      </c>
      <c r="BI179" s="56">
        <f>$C179*INDEX(Curves!$X$8:$X$68,BI$4-$B179+1)</f>
        <v/>
      </c>
      <c r="BJ179" s="56">
        <f>$C179*INDEX(Curves!$X$8:$X$68,BJ$4-$B179+1)</f>
        <v/>
      </c>
      <c r="BK179" s="56">
        <f>$C179*INDEX(Curves!$X$8:$X$68,BK$4-$B179+1)</f>
        <v/>
      </c>
      <c r="BL179" s="56">
        <f>$C179*INDEX(Curves!$X$8:$X$68,BL$4-$B179+1)</f>
        <v/>
      </c>
    </row>
    <row r="180">
      <c r="A180" s="55" t="inlineStr">
        <is>
          <t>Cohort month 45</t>
        </is>
      </c>
      <c r="B180" s="55" t="n">
        <v>45</v>
      </c>
      <c r="C180" s="46">
        <f>INDEX(Ops!$E$40:$BL$40,1,$B180)</f>
        <v/>
      </c>
      <c r="AX180" s="56">
        <f>$C180*INDEX(Curves!$X$8:$X$68,AX$4-$B180+1)</f>
        <v/>
      </c>
      <c r="AY180" s="56">
        <f>$C180*INDEX(Curves!$X$8:$X$68,AY$4-$B180+1)</f>
        <v/>
      </c>
      <c r="AZ180" s="56">
        <f>$C180*INDEX(Curves!$X$8:$X$68,AZ$4-$B180+1)</f>
        <v/>
      </c>
      <c r="BA180" s="56">
        <f>$C180*INDEX(Curves!$X$8:$X$68,BA$4-$B180+1)</f>
        <v/>
      </c>
      <c r="BB180" s="56">
        <f>$C180*INDEX(Curves!$X$8:$X$68,BB$4-$B180+1)</f>
        <v/>
      </c>
      <c r="BC180" s="56">
        <f>$C180*INDEX(Curves!$X$8:$X$68,BC$4-$B180+1)</f>
        <v/>
      </c>
      <c r="BD180" s="56">
        <f>$C180*INDEX(Curves!$X$8:$X$68,BD$4-$B180+1)</f>
        <v/>
      </c>
      <c r="BE180" s="56">
        <f>$C180*INDEX(Curves!$X$8:$X$68,BE$4-$B180+1)</f>
        <v/>
      </c>
      <c r="BF180" s="56">
        <f>$C180*INDEX(Curves!$X$8:$X$68,BF$4-$B180+1)</f>
        <v/>
      </c>
      <c r="BG180" s="56">
        <f>$C180*INDEX(Curves!$X$8:$X$68,BG$4-$B180+1)</f>
        <v/>
      </c>
      <c r="BH180" s="56">
        <f>$C180*INDEX(Curves!$X$8:$X$68,BH$4-$B180+1)</f>
        <v/>
      </c>
      <c r="BI180" s="56">
        <f>$C180*INDEX(Curves!$X$8:$X$68,BI$4-$B180+1)</f>
        <v/>
      </c>
      <c r="BJ180" s="56">
        <f>$C180*INDEX(Curves!$X$8:$X$68,BJ$4-$B180+1)</f>
        <v/>
      </c>
      <c r="BK180" s="56">
        <f>$C180*INDEX(Curves!$X$8:$X$68,BK$4-$B180+1)</f>
        <v/>
      </c>
      <c r="BL180" s="56">
        <f>$C180*INDEX(Curves!$X$8:$X$68,BL$4-$B180+1)</f>
        <v/>
      </c>
    </row>
    <row r="181">
      <c r="A181" s="55" t="inlineStr">
        <is>
          <t>Cohort month 46</t>
        </is>
      </c>
      <c r="B181" s="55" t="n">
        <v>46</v>
      </c>
      <c r="C181" s="46">
        <f>INDEX(Ops!$E$40:$BL$40,1,$B181)</f>
        <v/>
      </c>
      <c r="AY181" s="56">
        <f>$C181*INDEX(Curves!$X$8:$X$68,AY$4-$B181+1)</f>
        <v/>
      </c>
      <c r="AZ181" s="56">
        <f>$C181*INDEX(Curves!$X$8:$X$68,AZ$4-$B181+1)</f>
        <v/>
      </c>
      <c r="BA181" s="56">
        <f>$C181*INDEX(Curves!$X$8:$X$68,BA$4-$B181+1)</f>
        <v/>
      </c>
      <c r="BB181" s="56">
        <f>$C181*INDEX(Curves!$X$8:$X$68,BB$4-$B181+1)</f>
        <v/>
      </c>
      <c r="BC181" s="56">
        <f>$C181*INDEX(Curves!$X$8:$X$68,BC$4-$B181+1)</f>
        <v/>
      </c>
      <c r="BD181" s="56">
        <f>$C181*INDEX(Curves!$X$8:$X$68,BD$4-$B181+1)</f>
        <v/>
      </c>
      <c r="BE181" s="56">
        <f>$C181*INDEX(Curves!$X$8:$X$68,BE$4-$B181+1)</f>
        <v/>
      </c>
      <c r="BF181" s="56">
        <f>$C181*INDEX(Curves!$X$8:$X$68,BF$4-$B181+1)</f>
        <v/>
      </c>
      <c r="BG181" s="56">
        <f>$C181*INDEX(Curves!$X$8:$X$68,BG$4-$B181+1)</f>
        <v/>
      </c>
      <c r="BH181" s="56">
        <f>$C181*INDEX(Curves!$X$8:$X$68,BH$4-$B181+1)</f>
        <v/>
      </c>
      <c r="BI181" s="56">
        <f>$C181*INDEX(Curves!$X$8:$X$68,BI$4-$B181+1)</f>
        <v/>
      </c>
      <c r="BJ181" s="56">
        <f>$C181*INDEX(Curves!$X$8:$X$68,BJ$4-$B181+1)</f>
        <v/>
      </c>
      <c r="BK181" s="56">
        <f>$C181*INDEX(Curves!$X$8:$X$68,BK$4-$B181+1)</f>
        <v/>
      </c>
      <c r="BL181" s="56">
        <f>$C181*INDEX(Curves!$X$8:$X$68,BL$4-$B181+1)</f>
        <v/>
      </c>
    </row>
    <row r="182">
      <c r="A182" s="55" t="inlineStr">
        <is>
          <t>Cohort month 47</t>
        </is>
      </c>
      <c r="B182" s="55" t="n">
        <v>47</v>
      </c>
      <c r="C182" s="46">
        <f>INDEX(Ops!$E$40:$BL$40,1,$B182)</f>
        <v/>
      </c>
      <c r="AZ182" s="56">
        <f>$C182*INDEX(Curves!$X$8:$X$68,AZ$4-$B182+1)</f>
        <v/>
      </c>
      <c r="BA182" s="56">
        <f>$C182*INDEX(Curves!$X$8:$X$68,BA$4-$B182+1)</f>
        <v/>
      </c>
      <c r="BB182" s="56">
        <f>$C182*INDEX(Curves!$X$8:$X$68,BB$4-$B182+1)</f>
        <v/>
      </c>
      <c r="BC182" s="56">
        <f>$C182*INDEX(Curves!$X$8:$X$68,BC$4-$B182+1)</f>
        <v/>
      </c>
      <c r="BD182" s="56">
        <f>$C182*INDEX(Curves!$X$8:$X$68,BD$4-$B182+1)</f>
        <v/>
      </c>
      <c r="BE182" s="56">
        <f>$C182*INDEX(Curves!$X$8:$X$68,BE$4-$B182+1)</f>
        <v/>
      </c>
      <c r="BF182" s="56">
        <f>$C182*INDEX(Curves!$X$8:$X$68,BF$4-$B182+1)</f>
        <v/>
      </c>
      <c r="BG182" s="56">
        <f>$C182*INDEX(Curves!$X$8:$X$68,BG$4-$B182+1)</f>
        <v/>
      </c>
      <c r="BH182" s="56">
        <f>$C182*INDEX(Curves!$X$8:$X$68,BH$4-$B182+1)</f>
        <v/>
      </c>
      <c r="BI182" s="56">
        <f>$C182*INDEX(Curves!$X$8:$X$68,BI$4-$B182+1)</f>
        <v/>
      </c>
      <c r="BJ182" s="56">
        <f>$C182*INDEX(Curves!$X$8:$X$68,BJ$4-$B182+1)</f>
        <v/>
      </c>
      <c r="BK182" s="56">
        <f>$C182*INDEX(Curves!$X$8:$X$68,BK$4-$B182+1)</f>
        <v/>
      </c>
      <c r="BL182" s="56">
        <f>$C182*INDEX(Curves!$X$8:$X$68,BL$4-$B182+1)</f>
        <v/>
      </c>
    </row>
    <row r="183">
      <c r="A183" s="55" t="inlineStr">
        <is>
          <t>Cohort month 48</t>
        </is>
      </c>
      <c r="B183" s="55" t="n">
        <v>48</v>
      </c>
      <c r="C183" s="46">
        <f>INDEX(Ops!$E$40:$BL$40,1,$B183)</f>
        <v/>
      </c>
      <c r="BA183" s="56">
        <f>$C183*INDEX(Curves!$X$8:$X$68,BA$4-$B183+1)</f>
        <v/>
      </c>
      <c r="BB183" s="56">
        <f>$C183*INDEX(Curves!$X$8:$X$68,BB$4-$B183+1)</f>
        <v/>
      </c>
      <c r="BC183" s="56">
        <f>$C183*INDEX(Curves!$X$8:$X$68,BC$4-$B183+1)</f>
        <v/>
      </c>
      <c r="BD183" s="56">
        <f>$C183*INDEX(Curves!$X$8:$X$68,BD$4-$B183+1)</f>
        <v/>
      </c>
      <c r="BE183" s="56">
        <f>$C183*INDEX(Curves!$X$8:$X$68,BE$4-$B183+1)</f>
        <v/>
      </c>
      <c r="BF183" s="56">
        <f>$C183*INDEX(Curves!$X$8:$X$68,BF$4-$B183+1)</f>
        <v/>
      </c>
      <c r="BG183" s="56">
        <f>$C183*INDEX(Curves!$X$8:$X$68,BG$4-$B183+1)</f>
        <v/>
      </c>
      <c r="BH183" s="56">
        <f>$C183*INDEX(Curves!$X$8:$X$68,BH$4-$B183+1)</f>
        <v/>
      </c>
      <c r="BI183" s="56">
        <f>$C183*INDEX(Curves!$X$8:$X$68,BI$4-$B183+1)</f>
        <v/>
      </c>
      <c r="BJ183" s="56">
        <f>$C183*INDEX(Curves!$X$8:$X$68,BJ$4-$B183+1)</f>
        <v/>
      </c>
      <c r="BK183" s="56">
        <f>$C183*INDEX(Curves!$X$8:$X$68,BK$4-$B183+1)</f>
        <v/>
      </c>
      <c r="BL183" s="56">
        <f>$C183*INDEX(Curves!$X$8:$X$68,BL$4-$B183+1)</f>
        <v/>
      </c>
    </row>
    <row r="184">
      <c r="A184" s="55" t="inlineStr">
        <is>
          <t>Cohort month 49</t>
        </is>
      </c>
      <c r="B184" s="55" t="n">
        <v>49</v>
      </c>
      <c r="C184" s="46">
        <f>INDEX(Ops!$E$40:$BL$40,1,$B184)</f>
        <v/>
      </c>
      <c r="BB184" s="56">
        <f>$C184*INDEX(Curves!$X$8:$X$68,BB$4-$B184+1)</f>
        <v/>
      </c>
      <c r="BC184" s="56">
        <f>$C184*INDEX(Curves!$X$8:$X$68,BC$4-$B184+1)</f>
        <v/>
      </c>
      <c r="BD184" s="56">
        <f>$C184*INDEX(Curves!$X$8:$X$68,BD$4-$B184+1)</f>
        <v/>
      </c>
      <c r="BE184" s="56">
        <f>$C184*INDEX(Curves!$X$8:$X$68,BE$4-$B184+1)</f>
        <v/>
      </c>
      <c r="BF184" s="56">
        <f>$C184*INDEX(Curves!$X$8:$X$68,BF$4-$B184+1)</f>
        <v/>
      </c>
      <c r="BG184" s="56">
        <f>$C184*INDEX(Curves!$X$8:$X$68,BG$4-$B184+1)</f>
        <v/>
      </c>
      <c r="BH184" s="56">
        <f>$C184*INDEX(Curves!$X$8:$X$68,BH$4-$B184+1)</f>
        <v/>
      </c>
      <c r="BI184" s="56">
        <f>$C184*INDEX(Curves!$X$8:$X$68,BI$4-$B184+1)</f>
        <v/>
      </c>
      <c r="BJ184" s="56">
        <f>$C184*INDEX(Curves!$X$8:$X$68,BJ$4-$B184+1)</f>
        <v/>
      </c>
      <c r="BK184" s="56">
        <f>$C184*INDEX(Curves!$X$8:$X$68,BK$4-$B184+1)</f>
        <v/>
      </c>
      <c r="BL184" s="56">
        <f>$C184*INDEX(Curves!$X$8:$X$68,BL$4-$B184+1)</f>
        <v/>
      </c>
    </row>
    <row r="185">
      <c r="A185" s="55" t="inlineStr">
        <is>
          <t>Cohort month 50</t>
        </is>
      </c>
      <c r="B185" s="55" t="n">
        <v>50</v>
      </c>
      <c r="C185" s="46">
        <f>INDEX(Ops!$E$40:$BL$40,1,$B185)</f>
        <v/>
      </c>
      <c r="BC185" s="56">
        <f>$C185*INDEX(Curves!$X$8:$X$68,BC$4-$B185+1)</f>
        <v/>
      </c>
      <c r="BD185" s="56">
        <f>$C185*INDEX(Curves!$X$8:$X$68,BD$4-$B185+1)</f>
        <v/>
      </c>
      <c r="BE185" s="56">
        <f>$C185*INDEX(Curves!$X$8:$X$68,BE$4-$B185+1)</f>
        <v/>
      </c>
      <c r="BF185" s="56">
        <f>$C185*INDEX(Curves!$X$8:$X$68,BF$4-$B185+1)</f>
        <v/>
      </c>
      <c r="BG185" s="56">
        <f>$C185*INDEX(Curves!$X$8:$X$68,BG$4-$B185+1)</f>
        <v/>
      </c>
      <c r="BH185" s="56">
        <f>$C185*INDEX(Curves!$X$8:$X$68,BH$4-$B185+1)</f>
        <v/>
      </c>
      <c r="BI185" s="56">
        <f>$C185*INDEX(Curves!$X$8:$X$68,BI$4-$B185+1)</f>
        <v/>
      </c>
      <c r="BJ185" s="56">
        <f>$C185*INDEX(Curves!$X$8:$X$68,BJ$4-$B185+1)</f>
        <v/>
      </c>
      <c r="BK185" s="56">
        <f>$C185*INDEX(Curves!$X$8:$X$68,BK$4-$B185+1)</f>
        <v/>
      </c>
      <c r="BL185" s="56">
        <f>$C185*INDEX(Curves!$X$8:$X$68,BL$4-$B185+1)</f>
        <v/>
      </c>
    </row>
    <row r="186">
      <c r="A186" s="55" t="inlineStr">
        <is>
          <t>Cohort month 51</t>
        </is>
      </c>
      <c r="B186" s="55" t="n">
        <v>51</v>
      </c>
      <c r="C186" s="46">
        <f>INDEX(Ops!$E$40:$BL$40,1,$B186)</f>
        <v/>
      </c>
      <c r="BD186" s="56">
        <f>$C186*INDEX(Curves!$X$8:$X$68,BD$4-$B186+1)</f>
        <v/>
      </c>
      <c r="BE186" s="56">
        <f>$C186*INDEX(Curves!$X$8:$X$68,BE$4-$B186+1)</f>
        <v/>
      </c>
      <c r="BF186" s="56">
        <f>$C186*INDEX(Curves!$X$8:$X$68,BF$4-$B186+1)</f>
        <v/>
      </c>
      <c r="BG186" s="56">
        <f>$C186*INDEX(Curves!$X$8:$X$68,BG$4-$B186+1)</f>
        <v/>
      </c>
      <c r="BH186" s="56">
        <f>$C186*INDEX(Curves!$X$8:$X$68,BH$4-$B186+1)</f>
        <v/>
      </c>
      <c r="BI186" s="56">
        <f>$C186*INDEX(Curves!$X$8:$X$68,BI$4-$B186+1)</f>
        <v/>
      </c>
      <c r="BJ186" s="56">
        <f>$C186*INDEX(Curves!$X$8:$X$68,BJ$4-$B186+1)</f>
        <v/>
      </c>
      <c r="BK186" s="56">
        <f>$C186*INDEX(Curves!$X$8:$X$68,BK$4-$B186+1)</f>
        <v/>
      </c>
      <c r="BL186" s="56">
        <f>$C186*INDEX(Curves!$X$8:$X$68,BL$4-$B186+1)</f>
        <v/>
      </c>
    </row>
    <row r="187">
      <c r="A187" s="55" t="inlineStr">
        <is>
          <t>Cohort month 52</t>
        </is>
      </c>
      <c r="B187" s="55" t="n">
        <v>52</v>
      </c>
      <c r="C187" s="46">
        <f>INDEX(Ops!$E$40:$BL$40,1,$B187)</f>
        <v/>
      </c>
      <c r="BE187" s="56">
        <f>$C187*INDEX(Curves!$X$8:$X$68,BE$4-$B187+1)</f>
        <v/>
      </c>
      <c r="BF187" s="56">
        <f>$C187*INDEX(Curves!$X$8:$X$68,BF$4-$B187+1)</f>
        <v/>
      </c>
      <c r="BG187" s="56">
        <f>$C187*INDEX(Curves!$X$8:$X$68,BG$4-$B187+1)</f>
        <v/>
      </c>
      <c r="BH187" s="56">
        <f>$C187*INDEX(Curves!$X$8:$X$68,BH$4-$B187+1)</f>
        <v/>
      </c>
      <c r="BI187" s="56">
        <f>$C187*INDEX(Curves!$X$8:$X$68,BI$4-$B187+1)</f>
        <v/>
      </c>
      <c r="BJ187" s="56">
        <f>$C187*INDEX(Curves!$X$8:$X$68,BJ$4-$B187+1)</f>
        <v/>
      </c>
      <c r="BK187" s="56">
        <f>$C187*INDEX(Curves!$X$8:$X$68,BK$4-$B187+1)</f>
        <v/>
      </c>
      <c r="BL187" s="56">
        <f>$C187*INDEX(Curves!$X$8:$X$68,BL$4-$B187+1)</f>
        <v/>
      </c>
    </row>
    <row r="188">
      <c r="A188" s="55" t="inlineStr">
        <is>
          <t>Cohort month 53</t>
        </is>
      </c>
      <c r="B188" s="55" t="n">
        <v>53</v>
      </c>
      <c r="C188" s="46">
        <f>INDEX(Ops!$E$40:$BL$40,1,$B188)</f>
        <v/>
      </c>
      <c r="BF188" s="56">
        <f>$C188*INDEX(Curves!$X$8:$X$68,BF$4-$B188+1)</f>
        <v/>
      </c>
      <c r="BG188" s="56">
        <f>$C188*INDEX(Curves!$X$8:$X$68,BG$4-$B188+1)</f>
        <v/>
      </c>
      <c r="BH188" s="56">
        <f>$C188*INDEX(Curves!$X$8:$X$68,BH$4-$B188+1)</f>
        <v/>
      </c>
      <c r="BI188" s="56">
        <f>$C188*INDEX(Curves!$X$8:$X$68,BI$4-$B188+1)</f>
        <v/>
      </c>
      <c r="BJ188" s="56">
        <f>$C188*INDEX(Curves!$X$8:$X$68,BJ$4-$B188+1)</f>
        <v/>
      </c>
      <c r="BK188" s="56">
        <f>$C188*INDEX(Curves!$X$8:$X$68,BK$4-$B188+1)</f>
        <v/>
      </c>
      <c r="BL188" s="56">
        <f>$C188*INDEX(Curves!$X$8:$X$68,BL$4-$B188+1)</f>
        <v/>
      </c>
    </row>
    <row r="189">
      <c r="A189" s="55" t="inlineStr">
        <is>
          <t>Cohort month 54</t>
        </is>
      </c>
      <c r="B189" s="55" t="n">
        <v>54</v>
      </c>
      <c r="C189" s="46">
        <f>INDEX(Ops!$E$40:$BL$40,1,$B189)</f>
        <v/>
      </c>
      <c r="BG189" s="56">
        <f>$C189*INDEX(Curves!$X$8:$X$68,BG$4-$B189+1)</f>
        <v/>
      </c>
      <c r="BH189" s="56">
        <f>$C189*INDEX(Curves!$X$8:$X$68,BH$4-$B189+1)</f>
        <v/>
      </c>
      <c r="BI189" s="56">
        <f>$C189*INDEX(Curves!$X$8:$X$68,BI$4-$B189+1)</f>
        <v/>
      </c>
      <c r="BJ189" s="56">
        <f>$C189*INDEX(Curves!$X$8:$X$68,BJ$4-$B189+1)</f>
        <v/>
      </c>
      <c r="BK189" s="56">
        <f>$C189*INDEX(Curves!$X$8:$X$68,BK$4-$B189+1)</f>
        <v/>
      </c>
      <c r="BL189" s="56">
        <f>$C189*INDEX(Curves!$X$8:$X$68,BL$4-$B189+1)</f>
        <v/>
      </c>
    </row>
    <row r="190">
      <c r="A190" s="55" t="inlineStr">
        <is>
          <t>Cohort month 55</t>
        </is>
      </c>
      <c r="B190" s="55" t="n">
        <v>55</v>
      </c>
      <c r="C190" s="46">
        <f>INDEX(Ops!$E$40:$BL$40,1,$B190)</f>
        <v/>
      </c>
      <c r="BH190" s="56">
        <f>$C190*INDEX(Curves!$X$8:$X$68,BH$4-$B190+1)</f>
        <v/>
      </c>
      <c r="BI190" s="56">
        <f>$C190*INDEX(Curves!$X$8:$X$68,BI$4-$B190+1)</f>
        <v/>
      </c>
      <c r="BJ190" s="56">
        <f>$C190*INDEX(Curves!$X$8:$X$68,BJ$4-$B190+1)</f>
        <v/>
      </c>
      <c r="BK190" s="56">
        <f>$C190*INDEX(Curves!$X$8:$X$68,BK$4-$B190+1)</f>
        <v/>
      </c>
      <c r="BL190" s="56">
        <f>$C190*INDEX(Curves!$X$8:$X$68,BL$4-$B190+1)</f>
        <v/>
      </c>
    </row>
    <row r="191">
      <c r="A191" s="55" t="inlineStr">
        <is>
          <t>Cohort month 56</t>
        </is>
      </c>
      <c r="B191" s="55" t="n">
        <v>56</v>
      </c>
      <c r="C191" s="46">
        <f>INDEX(Ops!$E$40:$BL$40,1,$B191)</f>
        <v/>
      </c>
      <c r="BI191" s="56">
        <f>$C191*INDEX(Curves!$X$8:$X$68,BI$4-$B191+1)</f>
        <v/>
      </c>
      <c r="BJ191" s="56">
        <f>$C191*INDEX(Curves!$X$8:$X$68,BJ$4-$B191+1)</f>
        <v/>
      </c>
      <c r="BK191" s="56">
        <f>$C191*INDEX(Curves!$X$8:$X$68,BK$4-$B191+1)</f>
        <v/>
      </c>
      <c r="BL191" s="56">
        <f>$C191*INDEX(Curves!$X$8:$X$68,BL$4-$B191+1)</f>
        <v/>
      </c>
    </row>
    <row r="192">
      <c r="A192" s="55" t="inlineStr">
        <is>
          <t>Cohort month 57</t>
        </is>
      </c>
      <c r="B192" s="55" t="n">
        <v>57</v>
      </c>
      <c r="C192" s="46">
        <f>INDEX(Ops!$E$40:$BL$40,1,$B192)</f>
        <v/>
      </c>
      <c r="BJ192" s="56">
        <f>$C192*INDEX(Curves!$X$8:$X$68,BJ$4-$B192+1)</f>
        <v/>
      </c>
      <c r="BK192" s="56">
        <f>$C192*INDEX(Curves!$X$8:$X$68,BK$4-$B192+1)</f>
        <v/>
      </c>
      <c r="BL192" s="56">
        <f>$C192*INDEX(Curves!$X$8:$X$68,BL$4-$B192+1)</f>
        <v/>
      </c>
    </row>
    <row r="193">
      <c r="A193" s="55" t="inlineStr">
        <is>
          <t>Cohort month 58</t>
        </is>
      </c>
      <c r="B193" s="55" t="n">
        <v>58</v>
      </c>
      <c r="C193" s="46">
        <f>INDEX(Ops!$E$40:$BL$40,1,$B193)</f>
        <v/>
      </c>
      <c r="BK193" s="56">
        <f>$C193*INDEX(Curves!$X$8:$X$68,BK$4-$B193+1)</f>
        <v/>
      </c>
      <c r="BL193" s="56">
        <f>$C193*INDEX(Curves!$X$8:$X$68,BL$4-$B193+1)</f>
        <v/>
      </c>
    </row>
    <row r="194">
      <c r="A194" s="55" t="inlineStr">
        <is>
          <t>Cohort month 59</t>
        </is>
      </c>
      <c r="B194" s="55" t="n">
        <v>59</v>
      </c>
      <c r="C194" s="46">
        <f>INDEX(Ops!$E$40:$BL$40,1,$B194)</f>
        <v/>
      </c>
      <c r="BL194" s="56">
        <f>$C194*INDEX(Curves!$X$8:$X$68,BL$4-$B194+1)</f>
        <v/>
      </c>
    </row>
    <row r="195">
      <c r="A195" s="55" t="inlineStr">
        <is>
          <t>Cohort month 60</t>
        </is>
      </c>
      <c r="B195" s="55" t="n">
        <v>60</v>
      </c>
      <c r="C195" s="46">
        <f>INDEX(Ops!$E$40:$BL$40,1,$B195)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L11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</cols>
  <sheetData>
    <row r="1">
      <c r="A1" s="1" t="inlineStr">
        <is>
          <t>Timeline</t>
        </is>
      </c>
    </row>
    <row r="2">
      <c r="A2" s="2" t="inlineStr">
        <is>
          <t>Dates, FX and indices</t>
        </is>
      </c>
    </row>
    <row r="3"/>
    <row r="4">
      <c r="A4" s="40" t="inlineStr">
        <is>
          <t>Month #</t>
        </is>
      </c>
      <c r="B4" s="41" t="n"/>
      <c r="C4" s="41" t="n"/>
      <c r="D4" s="40" t="inlineStr">
        <is>
          <t>Opening</t>
        </is>
      </c>
      <c r="E4" s="57" t="n">
        <v>1</v>
      </c>
      <c r="F4" s="57" t="n">
        <v>2</v>
      </c>
      <c r="G4" s="57" t="n">
        <v>3</v>
      </c>
      <c r="H4" s="57" t="n">
        <v>4</v>
      </c>
      <c r="I4" s="57" t="n">
        <v>5</v>
      </c>
      <c r="J4" s="57" t="n">
        <v>6</v>
      </c>
      <c r="K4" s="57" t="n">
        <v>7</v>
      </c>
      <c r="L4" s="57" t="n">
        <v>8</v>
      </c>
      <c r="M4" s="57" t="n">
        <v>9</v>
      </c>
      <c r="N4" s="57" t="n">
        <v>10</v>
      </c>
      <c r="O4" s="57" t="n">
        <v>11</v>
      </c>
      <c r="P4" s="57" t="n">
        <v>12</v>
      </c>
      <c r="Q4" s="57" t="n">
        <v>13</v>
      </c>
      <c r="R4" s="57" t="n">
        <v>14</v>
      </c>
      <c r="S4" s="57" t="n">
        <v>15</v>
      </c>
      <c r="T4" s="57" t="n">
        <v>16</v>
      </c>
      <c r="U4" s="57" t="n">
        <v>17</v>
      </c>
      <c r="V4" s="57" t="n">
        <v>18</v>
      </c>
      <c r="W4" s="57" t="n">
        <v>19</v>
      </c>
      <c r="X4" s="57" t="n">
        <v>20</v>
      </c>
      <c r="Y4" s="57" t="n">
        <v>21</v>
      </c>
      <c r="Z4" s="57" t="n">
        <v>22</v>
      </c>
      <c r="AA4" s="57" t="n">
        <v>23</v>
      </c>
      <c r="AB4" s="57" t="n">
        <v>24</v>
      </c>
      <c r="AC4" s="57" t="n">
        <v>25</v>
      </c>
      <c r="AD4" s="57" t="n">
        <v>26</v>
      </c>
      <c r="AE4" s="57" t="n">
        <v>27</v>
      </c>
      <c r="AF4" s="57" t="n">
        <v>28</v>
      </c>
      <c r="AG4" s="57" t="n">
        <v>29</v>
      </c>
      <c r="AH4" s="57" t="n">
        <v>30</v>
      </c>
      <c r="AI4" s="57" t="n">
        <v>31</v>
      </c>
      <c r="AJ4" s="57" t="n">
        <v>32</v>
      </c>
      <c r="AK4" s="57" t="n">
        <v>33</v>
      </c>
      <c r="AL4" s="57" t="n">
        <v>34</v>
      </c>
      <c r="AM4" s="57" t="n">
        <v>35</v>
      </c>
      <c r="AN4" s="57" t="n">
        <v>36</v>
      </c>
      <c r="AO4" s="57" t="n">
        <v>37</v>
      </c>
      <c r="AP4" s="57" t="n">
        <v>38</v>
      </c>
      <c r="AQ4" s="57" t="n">
        <v>39</v>
      </c>
      <c r="AR4" s="57" t="n">
        <v>40</v>
      </c>
      <c r="AS4" s="57" t="n">
        <v>41</v>
      </c>
      <c r="AT4" s="57" t="n">
        <v>42</v>
      </c>
      <c r="AU4" s="57" t="n">
        <v>43</v>
      </c>
      <c r="AV4" s="57" t="n">
        <v>44</v>
      </c>
      <c r="AW4" s="57" t="n">
        <v>45</v>
      </c>
      <c r="AX4" s="57" t="n">
        <v>46</v>
      </c>
      <c r="AY4" s="57" t="n">
        <v>47</v>
      </c>
      <c r="AZ4" s="57" t="n">
        <v>48</v>
      </c>
      <c r="BA4" s="57" t="n">
        <v>49</v>
      </c>
      <c r="BB4" s="57" t="n">
        <v>50</v>
      </c>
      <c r="BC4" s="57" t="n">
        <v>51</v>
      </c>
      <c r="BD4" s="57" t="n">
        <v>52</v>
      </c>
      <c r="BE4" s="57" t="n">
        <v>53</v>
      </c>
      <c r="BF4" s="57" t="n">
        <v>54</v>
      </c>
      <c r="BG4" s="57" t="n">
        <v>55</v>
      </c>
      <c r="BH4" s="57" t="n">
        <v>56</v>
      </c>
      <c r="BI4" s="57" t="n">
        <v>57</v>
      </c>
      <c r="BJ4" s="57" t="n">
        <v>58</v>
      </c>
      <c r="BK4" s="57" t="n">
        <v>59</v>
      </c>
      <c r="BL4" s="57" t="n">
        <v>60</v>
      </c>
    </row>
    <row r="5">
      <c r="A5" s="40" t="inlineStr">
        <is>
          <t>Period end</t>
        </is>
      </c>
      <c r="B5" s="41" t="n"/>
      <c r="C5" s="41" t="n"/>
      <c r="D5" s="40" t="n"/>
      <c r="E5" s="58">
        <f>EOMONTH(Inputs!$C$6,0)</f>
        <v/>
      </c>
      <c r="F5" s="58">
        <f>EOMONTH(Inputs!$C$6,1)</f>
        <v/>
      </c>
      <c r="G5" s="58">
        <f>EOMONTH(Inputs!$C$6,2)</f>
        <v/>
      </c>
      <c r="H5" s="58">
        <f>EOMONTH(Inputs!$C$6,3)</f>
        <v/>
      </c>
      <c r="I5" s="58">
        <f>EOMONTH(Inputs!$C$6,4)</f>
        <v/>
      </c>
      <c r="J5" s="58">
        <f>EOMONTH(Inputs!$C$6,5)</f>
        <v/>
      </c>
      <c r="K5" s="58">
        <f>EOMONTH(Inputs!$C$6,6)</f>
        <v/>
      </c>
      <c r="L5" s="58">
        <f>EOMONTH(Inputs!$C$6,7)</f>
        <v/>
      </c>
      <c r="M5" s="58">
        <f>EOMONTH(Inputs!$C$6,8)</f>
        <v/>
      </c>
      <c r="N5" s="58">
        <f>EOMONTH(Inputs!$C$6,9)</f>
        <v/>
      </c>
      <c r="O5" s="58">
        <f>EOMONTH(Inputs!$C$6,10)</f>
        <v/>
      </c>
      <c r="P5" s="58">
        <f>EOMONTH(Inputs!$C$6,11)</f>
        <v/>
      </c>
      <c r="Q5" s="58">
        <f>EOMONTH(Inputs!$C$6,12)</f>
        <v/>
      </c>
      <c r="R5" s="58">
        <f>EOMONTH(Inputs!$C$6,13)</f>
        <v/>
      </c>
      <c r="S5" s="58">
        <f>EOMONTH(Inputs!$C$6,14)</f>
        <v/>
      </c>
      <c r="T5" s="58">
        <f>EOMONTH(Inputs!$C$6,15)</f>
        <v/>
      </c>
      <c r="U5" s="58">
        <f>EOMONTH(Inputs!$C$6,16)</f>
        <v/>
      </c>
      <c r="V5" s="58">
        <f>EOMONTH(Inputs!$C$6,17)</f>
        <v/>
      </c>
      <c r="W5" s="58">
        <f>EOMONTH(Inputs!$C$6,18)</f>
        <v/>
      </c>
      <c r="X5" s="58">
        <f>EOMONTH(Inputs!$C$6,19)</f>
        <v/>
      </c>
      <c r="Y5" s="58">
        <f>EOMONTH(Inputs!$C$6,20)</f>
        <v/>
      </c>
      <c r="Z5" s="58">
        <f>EOMONTH(Inputs!$C$6,21)</f>
        <v/>
      </c>
      <c r="AA5" s="58">
        <f>EOMONTH(Inputs!$C$6,22)</f>
        <v/>
      </c>
      <c r="AB5" s="58">
        <f>EOMONTH(Inputs!$C$6,23)</f>
        <v/>
      </c>
      <c r="AC5" s="58">
        <f>EOMONTH(Inputs!$C$6,24)</f>
        <v/>
      </c>
      <c r="AD5" s="58">
        <f>EOMONTH(Inputs!$C$6,25)</f>
        <v/>
      </c>
      <c r="AE5" s="58">
        <f>EOMONTH(Inputs!$C$6,26)</f>
        <v/>
      </c>
      <c r="AF5" s="58">
        <f>EOMONTH(Inputs!$C$6,27)</f>
        <v/>
      </c>
      <c r="AG5" s="58">
        <f>EOMONTH(Inputs!$C$6,28)</f>
        <v/>
      </c>
      <c r="AH5" s="58">
        <f>EOMONTH(Inputs!$C$6,29)</f>
        <v/>
      </c>
      <c r="AI5" s="58">
        <f>EOMONTH(Inputs!$C$6,30)</f>
        <v/>
      </c>
      <c r="AJ5" s="58">
        <f>EOMONTH(Inputs!$C$6,31)</f>
        <v/>
      </c>
      <c r="AK5" s="58">
        <f>EOMONTH(Inputs!$C$6,32)</f>
        <v/>
      </c>
      <c r="AL5" s="58">
        <f>EOMONTH(Inputs!$C$6,33)</f>
        <v/>
      </c>
      <c r="AM5" s="58">
        <f>EOMONTH(Inputs!$C$6,34)</f>
        <v/>
      </c>
      <c r="AN5" s="58">
        <f>EOMONTH(Inputs!$C$6,35)</f>
        <v/>
      </c>
      <c r="AO5" s="58">
        <f>EOMONTH(Inputs!$C$6,36)</f>
        <v/>
      </c>
      <c r="AP5" s="58">
        <f>EOMONTH(Inputs!$C$6,37)</f>
        <v/>
      </c>
      <c r="AQ5" s="58">
        <f>EOMONTH(Inputs!$C$6,38)</f>
        <v/>
      </c>
      <c r="AR5" s="58">
        <f>EOMONTH(Inputs!$C$6,39)</f>
        <v/>
      </c>
      <c r="AS5" s="58">
        <f>EOMONTH(Inputs!$C$6,40)</f>
        <v/>
      </c>
      <c r="AT5" s="58">
        <f>EOMONTH(Inputs!$C$6,41)</f>
        <v/>
      </c>
      <c r="AU5" s="58">
        <f>EOMONTH(Inputs!$C$6,42)</f>
        <v/>
      </c>
      <c r="AV5" s="58">
        <f>EOMONTH(Inputs!$C$6,43)</f>
        <v/>
      </c>
      <c r="AW5" s="58">
        <f>EOMONTH(Inputs!$C$6,44)</f>
        <v/>
      </c>
      <c r="AX5" s="58">
        <f>EOMONTH(Inputs!$C$6,45)</f>
        <v/>
      </c>
      <c r="AY5" s="58">
        <f>EOMONTH(Inputs!$C$6,46)</f>
        <v/>
      </c>
      <c r="AZ5" s="58">
        <f>EOMONTH(Inputs!$C$6,47)</f>
        <v/>
      </c>
      <c r="BA5" s="58">
        <f>EOMONTH(Inputs!$C$6,48)</f>
        <v/>
      </c>
      <c r="BB5" s="58">
        <f>EOMONTH(Inputs!$C$6,49)</f>
        <v/>
      </c>
      <c r="BC5" s="58">
        <f>EOMONTH(Inputs!$C$6,50)</f>
        <v/>
      </c>
      <c r="BD5" s="58">
        <f>EOMONTH(Inputs!$C$6,51)</f>
        <v/>
      </c>
      <c r="BE5" s="58">
        <f>EOMONTH(Inputs!$C$6,52)</f>
        <v/>
      </c>
      <c r="BF5" s="58">
        <f>EOMONTH(Inputs!$C$6,53)</f>
        <v/>
      </c>
      <c r="BG5" s="58">
        <f>EOMONTH(Inputs!$C$6,54)</f>
        <v/>
      </c>
      <c r="BH5" s="58">
        <f>EOMONTH(Inputs!$C$6,55)</f>
        <v/>
      </c>
      <c r="BI5" s="58">
        <f>EOMONTH(Inputs!$C$6,56)</f>
        <v/>
      </c>
      <c r="BJ5" s="58">
        <f>EOMONTH(Inputs!$C$6,57)</f>
        <v/>
      </c>
      <c r="BK5" s="58">
        <f>EOMONTH(Inputs!$C$6,58)</f>
        <v/>
      </c>
      <c r="BL5" s="58">
        <f>EOMONTH(Inputs!$C$6,59)</f>
        <v/>
      </c>
    </row>
    <row r="6">
      <c r="A6" s="40" t="inlineStr">
        <is>
          <t>Year #</t>
        </is>
      </c>
      <c r="B6" s="41" t="n"/>
      <c r="C6" s="41" t="n"/>
      <c r="D6" s="40" t="n"/>
      <c r="E6" s="57">
        <f>INT((E4-1)/12)+1</f>
        <v/>
      </c>
      <c r="F6" s="57">
        <f>INT((F4-1)/12)+1</f>
        <v/>
      </c>
      <c r="G6" s="57">
        <f>INT((G4-1)/12)+1</f>
        <v/>
      </c>
      <c r="H6" s="57">
        <f>INT((H4-1)/12)+1</f>
        <v/>
      </c>
      <c r="I6" s="57">
        <f>INT((I4-1)/12)+1</f>
        <v/>
      </c>
      <c r="J6" s="57">
        <f>INT((J4-1)/12)+1</f>
        <v/>
      </c>
      <c r="K6" s="57">
        <f>INT((K4-1)/12)+1</f>
        <v/>
      </c>
      <c r="L6" s="57">
        <f>INT((L4-1)/12)+1</f>
        <v/>
      </c>
      <c r="M6" s="57">
        <f>INT((M4-1)/12)+1</f>
        <v/>
      </c>
      <c r="N6" s="57">
        <f>INT((N4-1)/12)+1</f>
        <v/>
      </c>
      <c r="O6" s="57">
        <f>INT((O4-1)/12)+1</f>
        <v/>
      </c>
      <c r="P6" s="57">
        <f>INT((P4-1)/12)+1</f>
        <v/>
      </c>
      <c r="Q6" s="57">
        <f>INT((Q4-1)/12)+1</f>
        <v/>
      </c>
      <c r="R6" s="57">
        <f>INT((R4-1)/12)+1</f>
        <v/>
      </c>
      <c r="S6" s="57">
        <f>INT((S4-1)/12)+1</f>
        <v/>
      </c>
      <c r="T6" s="57">
        <f>INT((T4-1)/12)+1</f>
        <v/>
      </c>
      <c r="U6" s="57">
        <f>INT((U4-1)/12)+1</f>
        <v/>
      </c>
      <c r="V6" s="57">
        <f>INT((V4-1)/12)+1</f>
        <v/>
      </c>
      <c r="W6" s="57">
        <f>INT((W4-1)/12)+1</f>
        <v/>
      </c>
      <c r="X6" s="57">
        <f>INT((X4-1)/12)+1</f>
        <v/>
      </c>
      <c r="Y6" s="57">
        <f>INT((Y4-1)/12)+1</f>
        <v/>
      </c>
      <c r="Z6" s="57">
        <f>INT((Z4-1)/12)+1</f>
        <v/>
      </c>
      <c r="AA6" s="57">
        <f>INT((AA4-1)/12)+1</f>
        <v/>
      </c>
      <c r="AB6" s="57">
        <f>INT((AB4-1)/12)+1</f>
        <v/>
      </c>
      <c r="AC6" s="57">
        <f>INT((AC4-1)/12)+1</f>
        <v/>
      </c>
      <c r="AD6" s="57">
        <f>INT((AD4-1)/12)+1</f>
        <v/>
      </c>
      <c r="AE6" s="57">
        <f>INT((AE4-1)/12)+1</f>
        <v/>
      </c>
      <c r="AF6" s="57">
        <f>INT((AF4-1)/12)+1</f>
        <v/>
      </c>
      <c r="AG6" s="57">
        <f>INT((AG4-1)/12)+1</f>
        <v/>
      </c>
      <c r="AH6" s="57">
        <f>INT((AH4-1)/12)+1</f>
        <v/>
      </c>
      <c r="AI6" s="57">
        <f>INT((AI4-1)/12)+1</f>
        <v/>
      </c>
      <c r="AJ6" s="57">
        <f>INT((AJ4-1)/12)+1</f>
        <v/>
      </c>
      <c r="AK6" s="57">
        <f>INT((AK4-1)/12)+1</f>
        <v/>
      </c>
      <c r="AL6" s="57">
        <f>INT((AL4-1)/12)+1</f>
        <v/>
      </c>
      <c r="AM6" s="57">
        <f>INT((AM4-1)/12)+1</f>
        <v/>
      </c>
      <c r="AN6" s="57">
        <f>INT((AN4-1)/12)+1</f>
        <v/>
      </c>
      <c r="AO6" s="57">
        <f>INT((AO4-1)/12)+1</f>
        <v/>
      </c>
      <c r="AP6" s="57">
        <f>INT((AP4-1)/12)+1</f>
        <v/>
      </c>
      <c r="AQ6" s="57">
        <f>INT((AQ4-1)/12)+1</f>
        <v/>
      </c>
      <c r="AR6" s="57">
        <f>INT((AR4-1)/12)+1</f>
        <v/>
      </c>
      <c r="AS6" s="57">
        <f>INT((AS4-1)/12)+1</f>
        <v/>
      </c>
      <c r="AT6" s="57">
        <f>INT((AT4-1)/12)+1</f>
        <v/>
      </c>
      <c r="AU6" s="57">
        <f>INT((AU4-1)/12)+1</f>
        <v/>
      </c>
      <c r="AV6" s="57">
        <f>INT((AV4-1)/12)+1</f>
        <v/>
      </c>
      <c r="AW6" s="57">
        <f>INT((AW4-1)/12)+1</f>
        <v/>
      </c>
      <c r="AX6" s="57">
        <f>INT((AX4-1)/12)+1</f>
        <v/>
      </c>
      <c r="AY6" s="57">
        <f>INT((AY4-1)/12)+1</f>
        <v/>
      </c>
      <c r="AZ6" s="57">
        <f>INT((AZ4-1)/12)+1</f>
        <v/>
      </c>
      <c r="BA6" s="57">
        <f>INT((BA4-1)/12)+1</f>
        <v/>
      </c>
      <c r="BB6" s="57">
        <f>INT((BB4-1)/12)+1</f>
        <v/>
      </c>
      <c r="BC6" s="57">
        <f>INT((BC4-1)/12)+1</f>
        <v/>
      </c>
      <c r="BD6" s="57">
        <f>INT((BD4-1)/12)+1</f>
        <v/>
      </c>
      <c r="BE6" s="57">
        <f>INT((BE4-1)/12)+1</f>
        <v/>
      </c>
      <c r="BF6" s="57">
        <f>INT((BF4-1)/12)+1</f>
        <v/>
      </c>
      <c r="BG6" s="57">
        <f>INT((BG4-1)/12)+1</f>
        <v/>
      </c>
      <c r="BH6" s="57">
        <f>INT((BH4-1)/12)+1</f>
        <v/>
      </c>
      <c r="BI6" s="57">
        <f>INT((BI4-1)/12)+1</f>
        <v/>
      </c>
      <c r="BJ6" s="57">
        <f>INT((BJ4-1)/12)+1</f>
        <v/>
      </c>
      <c r="BK6" s="57">
        <f>INT((BK4-1)/12)+1</f>
        <v/>
      </c>
      <c r="BL6" s="57">
        <f>INT((BL4-1)/12)+1</f>
        <v/>
      </c>
    </row>
    <row r="7"/>
    <row r="8">
      <c r="A8" s="44" t="inlineStr">
        <is>
          <t>FX rate</t>
        </is>
      </c>
      <c r="B8" s="13" t="inlineStr">
        <is>
          <t>LCY / USD</t>
        </is>
      </c>
      <c r="D8" s="59">
        <f>Inputs!$C$10</f>
        <v/>
      </c>
      <c r="E8" s="36">
        <f>D8*(1+Scenarios!$G$10)^(1/12)</f>
        <v/>
      </c>
      <c r="F8" s="36">
        <f>E8*(1+Scenarios!$G$10)^(1/12)</f>
        <v/>
      </c>
      <c r="G8" s="36">
        <f>F8*(1+Scenarios!$G$10)^(1/12)</f>
        <v/>
      </c>
      <c r="H8" s="36">
        <f>G8*(1+Scenarios!$G$10)^(1/12)</f>
        <v/>
      </c>
      <c r="I8" s="36">
        <f>H8*(1+Scenarios!$G$10)^(1/12)</f>
        <v/>
      </c>
      <c r="J8" s="36">
        <f>I8*(1+Scenarios!$G$10)^(1/12)</f>
        <v/>
      </c>
      <c r="K8" s="36">
        <f>J8*(1+Scenarios!$G$10)^(1/12)</f>
        <v/>
      </c>
      <c r="L8" s="36">
        <f>K8*(1+Scenarios!$G$10)^(1/12)</f>
        <v/>
      </c>
      <c r="M8" s="36">
        <f>L8*(1+Scenarios!$G$10)^(1/12)</f>
        <v/>
      </c>
      <c r="N8" s="36">
        <f>M8*(1+Scenarios!$G$10)^(1/12)</f>
        <v/>
      </c>
      <c r="O8" s="36">
        <f>N8*(1+Scenarios!$G$10)^(1/12)</f>
        <v/>
      </c>
      <c r="P8" s="36">
        <f>O8*(1+Scenarios!$G$10)^(1/12)</f>
        <v/>
      </c>
      <c r="Q8" s="36">
        <f>P8*(1+Scenarios!$G$10)^(1/12)</f>
        <v/>
      </c>
      <c r="R8" s="36">
        <f>Q8*(1+Scenarios!$G$10)^(1/12)</f>
        <v/>
      </c>
      <c r="S8" s="36">
        <f>R8*(1+Scenarios!$G$10)^(1/12)</f>
        <v/>
      </c>
      <c r="T8" s="36">
        <f>S8*(1+Scenarios!$G$10)^(1/12)</f>
        <v/>
      </c>
      <c r="U8" s="36">
        <f>T8*(1+Scenarios!$G$10)^(1/12)</f>
        <v/>
      </c>
      <c r="V8" s="36">
        <f>U8*(1+Scenarios!$G$10)^(1/12)</f>
        <v/>
      </c>
      <c r="W8" s="36">
        <f>V8*(1+Scenarios!$G$10)^(1/12)</f>
        <v/>
      </c>
      <c r="X8" s="36">
        <f>W8*(1+Scenarios!$G$10)^(1/12)</f>
        <v/>
      </c>
      <c r="Y8" s="36">
        <f>X8*(1+Scenarios!$G$10)^(1/12)</f>
        <v/>
      </c>
      <c r="Z8" s="36">
        <f>Y8*(1+Scenarios!$G$10)^(1/12)</f>
        <v/>
      </c>
      <c r="AA8" s="36">
        <f>Z8*(1+Scenarios!$G$10)^(1/12)</f>
        <v/>
      </c>
      <c r="AB8" s="36">
        <f>AA8*(1+Scenarios!$G$10)^(1/12)</f>
        <v/>
      </c>
      <c r="AC8" s="36">
        <f>AB8*(1+Scenarios!$G$10)^(1/12)</f>
        <v/>
      </c>
      <c r="AD8" s="36">
        <f>AC8*(1+Scenarios!$G$10)^(1/12)</f>
        <v/>
      </c>
      <c r="AE8" s="36">
        <f>AD8*(1+Scenarios!$G$10)^(1/12)</f>
        <v/>
      </c>
      <c r="AF8" s="36">
        <f>AE8*(1+Scenarios!$G$10)^(1/12)</f>
        <v/>
      </c>
      <c r="AG8" s="36">
        <f>AF8*(1+Scenarios!$G$10)^(1/12)</f>
        <v/>
      </c>
      <c r="AH8" s="36">
        <f>AG8*(1+Scenarios!$G$10)^(1/12)</f>
        <v/>
      </c>
      <c r="AI8" s="36">
        <f>AH8*(1+Scenarios!$G$10)^(1/12)</f>
        <v/>
      </c>
      <c r="AJ8" s="36">
        <f>AI8*(1+Scenarios!$G$10)^(1/12)</f>
        <v/>
      </c>
      <c r="AK8" s="36">
        <f>AJ8*(1+Scenarios!$G$10)^(1/12)</f>
        <v/>
      </c>
      <c r="AL8" s="36">
        <f>AK8*(1+Scenarios!$G$10)^(1/12)</f>
        <v/>
      </c>
      <c r="AM8" s="36">
        <f>AL8*(1+Scenarios!$G$10)^(1/12)</f>
        <v/>
      </c>
      <c r="AN8" s="36">
        <f>AM8*(1+Scenarios!$G$10)^(1/12)</f>
        <v/>
      </c>
      <c r="AO8" s="36">
        <f>AN8*(1+Scenarios!$G$10)^(1/12)</f>
        <v/>
      </c>
      <c r="AP8" s="36">
        <f>AO8*(1+Scenarios!$G$10)^(1/12)</f>
        <v/>
      </c>
      <c r="AQ8" s="36">
        <f>AP8*(1+Scenarios!$G$10)^(1/12)</f>
        <v/>
      </c>
      <c r="AR8" s="36">
        <f>AQ8*(1+Scenarios!$G$10)^(1/12)</f>
        <v/>
      </c>
      <c r="AS8" s="36">
        <f>AR8*(1+Scenarios!$G$10)^(1/12)</f>
        <v/>
      </c>
      <c r="AT8" s="36">
        <f>AS8*(1+Scenarios!$G$10)^(1/12)</f>
        <v/>
      </c>
      <c r="AU8" s="36">
        <f>AT8*(1+Scenarios!$G$10)^(1/12)</f>
        <v/>
      </c>
      <c r="AV8" s="36">
        <f>AU8*(1+Scenarios!$G$10)^(1/12)</f>
        <v/>
      </c>
      <c r="AW8" s="36">
        <f>AV8*(1+Scenarios!$G$10)^(1/12)</f>
        <v/>
      </c>
      <c r="AX8" s="36">
        <f>AW8*(1+Scenarios!$G$10)^(1/12)</f>
        <v/>
      </c>
      <c r="AY8" s="36">
        <f>AX8*(1+Scenarios!$G$10)^(1/12)</f>
        <v/>
      </c>
      <c r="AZ8" s="36">
        <f>AY8*(1+Scenarios!$G$10)^(1/12)</f>
        <v/>
      </c>
      <c r="BA8" s="36">
        <f>AZ8*(1+Scenarios!$G$10)^(1/12)</f>
        <v/>
      </c>
      <c r="BB8" s="36">
        <f>BA8*(1+Scenarios!$G$10)^(1/12)</f>
        <v/>
      </c>
      <c r="BC8" s="36">
        <f>BB8*(1+Scenarios!$G$10)^(1/12)</f>
        <v/>
      </c>
      <c r="BD8" s="36">
        <f>BC8*(1+Scenarios!$G$10)^(1/12)</f>
        <v/>
      </c>
      <c r="BE8" s="36">
        <f>BD8*(1+Scenarios!$G$10)^(1/12)</f>
        <v/>
      </c>
      <c r="BF8" s="36">
        <f>BE8*(1+Scenarios!$G$10)^(1/12)</f>
        <v/>
      </c>
      <c r="BG8" s="36">
        <f>BF8*(1+Scenarios!$G$10)^(1/12)</f>
        <v/>
      </c>
      <c r="BH8" s="36">
        <f>BG8*(1+Scenarios!$G$10)^(1/12)</f>
        <v/>
      </c>
      <c r="BI8" s="36">
        <f>BH8*(1+Scenarios!$G$10)^(1/12)</f>
        <v/>
      </c>
      <c r="BJ8" s="36">
        <f>BI8*(1+Scenarios!$G$10)^(1/12)</f>
        <v/>
      </c>
      <c r="BK8" s="36">
        <f>BJ8*(1+Scenarios!$G$10)^(1/12)</f>
        <v/>
      </c>
      <c r="BL8" s="36">
        <f>BK8*(1+Scenarios!$G$10)^(1/12)</f>
        <v/>
      </c>
    </row>
    <row r="9">
      <c r="A9" s="44" t="inlineStr">
        <is>
          <t>Opex inflation index</t>
        </is>
      </c>
      <c r="B9" s="13" t="inlineStr">
        <is>
          <t>index</t>
        </is>
      </c>
      <c r="E9" s="36">
        <f>(1+Inputs!$C$11)^((E$4-1)/12)</f>
        <v/>
      </c>
      <c r="F9" s="36">
        <f>(1+Inputs!$C$11)^((F$4-1)/12)</f>
        <v/>
      </c>
      <c r="G9" s="36">
        <f>(1+Inputs!$C$11)^((G$4-1)/12)</f>
        <v/>
      </c>
      <c r="H9" s="36">
        <f>(1+Inputs!$C$11)^((H$4-1)/12)</f>
        <v/>
      </c>
      <c r="I9" s="36">
        <f>(1+Inputs!$C$11)^((I$4-1)/12)</f>
        <v/>
      </c>
      <c r="J9" s="36">
        <f>(1+Inputs!$C$11)^((J$4-1)/12)</f>
        <v/>
      </c>
      <c r="K9" s="36">
        <f>(1+Inputs!$C$11)^((K$4-1)/12)</f>
        <v/>
      </c>
      <c r="L9" s="36">
        <f>(1+Inputs!$C$11)^((L$4-1)/12)</f>
        <v/>
      </c>
      <c r="M9" s="36">
        <f>(1+Inputs!$C$11)^((M$4-1)/12)</f>
        <v/>
      </c>
      <c r="N9" s="36">
        <f>(1+Inputs!$C$11)^((N$4-1)/12)</f>
        <v/>
      </c>
      <c r="O9" s="36">
        <f>(1+Inputs!$C$11)^((O$4-1)/12)</f>
        <v/>
      </c>
      <c r="P9" s="36">
        <f>(1+Inputs!$C$11)^((P$4-1)/12)</f>
        <v/>
      </c>
      <c r="Q9" s="36">
        <f>(1+Inputs!$C$11)^((Q$4-1)/12)</f>
        <v/>
      </c>
      <c r="R9" s="36">
        <f>(1+Inputs!$C$11)^((R$4-1)/12)</f>
        <v/>
      </c>
      <c r="S9" s="36">
        <f>(1+Inputs!$C$11)^((S$4-1)/12)</f>
        <v/>
      </c>
      <c r="T9" s="36">
        <f>(1+Inputs!$C$11)^((T$4-1)/12)</f>
        <v/>
      </c>
      <c r="U9" s="36">
        <f>(1+Inputs!$C$11)^((U$4-1)/12)</f>
        <v/>
      </c>
      <c r="V9" s="36">
        <f>(1+Inputs!$C$11)^((V$4-1)/12)</f>
        <v/>
      </c>
      <c r="W9" s="36">
        <f>(1+Inputs!$C$11)^((W$4-1)/12)</f>
        <v/>
      </c>
      <c r="X9" s="36">
        <f>(1+Inputs!$C$11)^((X$4-1)/12)</f>
        <v/>
      </c>
      <c r="Y9" s="36">
        <f>(1+Inputs!$C$11)^((Y$4-1)/12)</f>
        <v/>
      </c>
      <c r="Z9" s="36">
        <f>(1+Inputs!$C$11)^((Z$4-1)/12)</f>
        <v/>
      </c>
      <c r="AA9" s="36">
        <f>(1+Inputs!$C$11)^((AA$4-1)/12)</f>
        <v/>
      </c>
      <c r="AB9" s="36">
        <f>(1+Inputs!$C$11)^((AB$4-1)/12)</f>
        <v/>
      </c>
      <c r="AC9" s="36">
        <f>(1+Inputs!$C$11)^((AC$4-1)/12)</f>
        <v/>
      </c>
      <c r="AD9" s="36">
        <f>(1+Inputs!$C$11)^((AD$4-1)/12)</f>
        <v/>
      </c>
      <c r="AE9" s="36">
        <f>(1+Inputs!$C$11)^((AE$4-1)/12)</f>
        <v/>
      </c>
      <c r="AF9" s="36">
        <f>(1+Inputs!$C$11)^((AF$4-1)/12)</f>
        <v/>
      </c>
      <c r="AG9" s="36">
        <f>(1+Inputs!$C$11)^((AG$4-1)/12)</f>
        <v/>
      </c>
      <c r="AH9" s="36">
        <f>(1+Inputs!$C$11)^((AH$4-1)/12)</f>
        <v/>
      </c>
      <c r="AI9" s="36">
        <f>(1+Inputs!$C$11)^((AI$4-1)/12)</f>
        <v/>
      </c>
      <c r="AJ9" s="36">
        <f>(1+Inputs!$C$11)^((AJ$4-1)/12)</f>
        <v/>
      </c>
      <c r="AK9" s="36">
        <f>(1+Inputs!$C$11)^((AK$4-1)/12)</f>
        <v/>
      </c>
      <c r="AL9" s="36">
        <f>(1+Inputs!$C$11)^((AL$4-1)/12)</f>
        <v/>
      </c>
      <c r="AM9" s="36">
        <f>(1+Inputs!$C$11)^((AM$4-1)/12)</f>
        <v/>
      </c>
      <c r="AN9" s="36">
        <f>(1+Inputs!$C$11)^((AN$4-1)/12)</f>
        <v/>
      </c>
      <c r="AO9" s="36">
        <f>(1+Inputs!$C$11)^((AO$4-1)/12)</f>
        <v/>
      </c>
      <c r="AP9" s="36">
        <f>(1+Inputs!$C$11)^((AP$4-1)/12)</f>
        <v/>
      </c>
      <c r="AQ9" s="36">
        <f>(1+Inputs!$C$11)^((AQ$4-1)/12)</f>
        <v/>
      </c>
      <c r="AR9" s="36">
        <f>(1+Inputs!$C$11)^((AR$4-1)/12)</f>
        <v/>
      </c>
      <c r="AS9" s="36">
        <f>(1+Inputs!$C$11)^((AS$4-1)/12)</f>
        <v/>
      </c>
      <c r="AT9" s="36">
        <f>(1+Inputs!$C$11)^((AT$4-1)/12)</f>
        <v/>
      </c>
      <c r="AU9" s="36">
        <f>(1+Inputs!$C$11)^((AU$4-1)/12)</f>
        <v/>
      </c>
      <c r="AV9" s="36">
        <f>(1+Inputs!$C$11)^((AV$4-1)/12)</f>
        <v/>
      </c>
      <c r="AW9" s="36">
        <f>(1+Inputs!$C$11)^((AW$4-1)/12)</f>
        <v/>
      </c>
      <c r="AX9" s="36">
        <f>(1+Inputs!$C$11)^((AX$4-1)/12)</f>
        <v/>
      </c>
      <c r="AY9" s="36">
        <f>(1+Inputs!$C$11)^((AY$4-1)/12)</f>
        <v/>
      </c>
      <c r="AZ9" s="36">
        <f>(1+Inputs!$C$11)^((AZ$4-1)/12)</f>
        <v/>
      </c>
      <c r="BA9" s="36">
        <f>(1+Inputs!$C$11)^((BA$4-1)/12)</f>
        <v/>
      </c>
      <c r="BB9" s="36">
        <f>(1+Inputs!$C$11)^((BB$4-1)/12)</f>
        <v/>
      </c>
      <c r="BC9" s="36">
        <f>(1+Inputs!$C$11)^((BC$4-1)/12)</f>
        <v/>
      </c>
      <c r="BD9" s="36">
        <f>(1+Inputs!$C$11)^((BD$4-1)/12)</f>
        <v/>
      </c>
      <c r="BE9" s="36">
        <f>(1+Inputs!$C$11)^((BE$4-1)/12)</f>
        <v/>
      </c>
      <c r="BF9" s="36">
        <f>(1+Inputs!$C$11)^((BF$4-1)/12)</f>
        <v/>
      </c>
      <c r="BG9" s="36">
        <f>(1+Inputs!$C$11)^((BG$4-1)/12)</f>
        <v/>
      </c>
      <c r="BH9" s="36">
        <f>(1+Inputs!$C$11)^((BH$4-1)/12)</f>
        <v/>
      </c>
      <c r="BI9" s="36">
        <f>(1+Inputs!$C$11)^((BI$4-1)/12)</f>
        <v/>
      </c>
      <c r="BJ9" s="36">
        <f>(1+Inputs!$C$11)^((BJ$4-1)/12)</f>
        <v/>
      </c>
      <c r="BK9" s="36">
        <f>(1+Inputs!$C$11)^((BK$4-1)/12)</f>
        <v/>
      </c>
      <c r="BL9" s="36">
        <f>(1+Inputs!$C$11)^((BL$4-1)/12)</f>
        <v/>
      </c>
    </row>
    <row r="10">
      <c r="A10" s="44" t="inlineStr">
        <is>
          <t>Price index on new contracts</t>
        </is>
      </c>
      <c r="B10" s="13" t="inlineStr">
        <is>
          <t>index</t>
        </is>
      </c>
      <c r="E10" s="36">
        <f>(1+Inputs!$C$13)^((E$4-1)/12)</f>
        <v/>
      </c>
      <c r="F10" s="36">
        <f>(1+Inputs!$C$13)^((F$4-1)/12)</f>
        <v/>
      </c>
      <c r="G10" s="36">
        <f>(1+Inputs!$C$13)^((G$4-1)/12)</f>
        <v/>
      </c>
      <c r="H10" s="36">
        <f>(1+Inputs!$C$13)^((H$4-1)/12)</f>
        <v/>
      </c>
      <c r="I10" s="36">
        <f>(1+Inputs!$C$13)^((I$4-1)/12)</f>
        <v/>
      </c>
      <c r="J10" s="36">
        <f>(1+Inputs!$C$13)^((J$4-1)/12)</f>
        <v/>
      </c>
      <c r="K10" s="36">
        <f>(1+Inputs!$C$13)^((K$4-1)/12)</f>
        <v/>
      </c>
      <c r="L10" s="36">
        <f>(1+Inputs!$C$13)^((L$4-1)/12)</f>
        <v/>
      </c>
      <c r="M10" s="36">
        <f>(1+Inputs!$C$13)^((M$4-1)/12)</f>
        <v/>
      </c>
      <c r="N10" s="36">
        <f>(1+Inputs!$C$13)^((N$4-1)/12)</f>
        <v/>
      </c>
      <c r="O10" s="36">
        <f>(1+Inputs!$C$13)^((O$4-1)/12)</f>
        <v/>
      </c>
      <c r="P10" s="36">
        <f>(1+Inputs!$C$13)^((P$4-1)/12)</f>
        <v/>
      </c>
      <c r="Q10" s="36">
        <f>(1+Inputs!$C$13)^((Q$4-1)/12)</f>
        <v/>
      </c>
      <c r="R10" s="36">
        <f>(1+Inputs!$C$13)^((R$4-1)/12)</f>
        <v/>
      </c>
      <c r="S10" s="36">
        <f>(1+Inputs!$C$13)^((S$4-1)/12)</f>
        <v/>
      </c>
      <c r="T10" s="36">
        <f>(1+Inputs!$C$13)^((T$4-1)/12)</f>
        <v/>
      </c>
      <c r="U10" s="36">
        <f>(1+Inputs!$C$13)^((U$4-1)/12)</f>
        <v/>
      </c>
      <c r="V10" s="36">
        <f>(1+Inputs!$C$13)^((V$4-1)/12)</f>
        <v/>
      </c>
      <c r="W10" s="36">
        <f>(1+Inputs!$C$13)^((W$4-1)/12)</f>
        <v/>
      </c>
      <c r="X10" s="36">
        <f>(1+Inputs!$C$13)^((X$4-1)/12)</f>
        <v/>
      </c>
      <c r="Y10" s="36">
        <f>(1+Inputs!$C$13)^((Y$4-1)/12)</f>
        <v/>
      </c>
      <c r="Z10" s="36">
        <f>(1+Inputs!$C$13)^((Z$4-1)/12)</f>
        <v/>
      </c>
      <c r="AA10" s="36">
        <f>(1+Inputs!$C$13)^((AA$4-1)/12)</f>
        <v/>
      </c>
      <c r="AB10" s="36">
        <f>(1+Inputs!$C$13)^((AB$4-1)/12)</f>
        <v/>
      </c>
      <c r="AC10" s="36">
        <f>(1+Inputs!$C$13)^((AC$4-1)/12)</f>
        <v/>
      </c>
      <c r="AD10" s="36">
        <f>(1+Inputs!$C$13)^((AD$4-1)/12)</f>
        <v/>
      </c>
      <c r="AE10" s="36">
        <f>(1+Inputs!$C$13)^((AE$4-1)/12)</f>
        <v/>
      </c>
      <c r="AF10" s="36">
        <f>(1+Inputs!$C$13)^((AF$4-1)/12)</f>
        <v/>
      </c>
      <c r="AG10" s="36">
        <f>(1+Inputs!$C$13)^((AG$4-1)/12)</f>
        <v/>
      </c>
      <c r="AH10" s="36">
        <f>(1+Inputs!$C$13)^((AH$4-1)/12)</f>
        <v/>
      </c>
      <c r="AI10" s="36">
        <f>(1+Inputs!$C$13)^((AI$4-1)/12)</f>
        <v/>
      </c>
      <c r="AJ10" s="36">
        <f>(1+Inputs!$C$13)^((AJ$4-1)/12)</f>
        <v/>
      </c>
      <c r="AK10" s="36">
        <f>(1+Inputs!$C$13)^((AK$4-1)/12)</f>
        <v/>
      </c>
      <c r="AL10" s="36">
        <f>(1+Inputs!$C$13)^((AL$4-1)/12)</f>
        <v/>
      </c>
      <c r="AM10" s="36">
        <f>(1+Inputs!$C$13)^((AM$4-1)/12)</f>
        <v/>
      </c>
      <c r="AN10" s="36">
        <f>(1+Inputs!$C$13)^((AN$4-1)/12)</f>
        <v/>
      </c>
      <c r="AO10" s="36">
        <f>(1+Inputs!$C$13)^((AO$4-1)/12)</f>
        <v/>
      </c>
      <c r="AP10" s="36">
        <f>(1+Inputs!$C$13)^((AP$4-1)/12)</f>
        <v/>
      </c>
      <c r="AQ10" s="36">
        <f>(1+Inputs!$C$13)^((AQ$4-1)/12)</f>
        <v/>
      </c>
      <c r="AR10" s="36">
        <f>(1+Inputs!$C$13)^((AR$4-1)/12)</f>
        <v/>
      </c>
      <c r="AS10" s="36">
        <f>(1+Inputs!$C$13)^((AS$4-1)/12)</f>
        <v/>
      </c>
      <c r="AT10" s="36">
        <f>(1+Inputs!$C$13)^((AT$4-1)/12)</f>
        <v/>
      </c>
      <c r="AU10" s="36">
        <f>(1+Inputs!$C$13)^((AU$4-1)/12)</f>
        <v/>
      </c>
      <c r="AV10" s="36">
        <f>(1+Inputs!$C$13)^((AV$4-1)/12)</f>
        <v/>
      </c>
      <c r="AW10" s="36">
        <f>(1+Inputs!$C$13)^((AW$4-1)/12)</f>
        <v/>
      </c>
      <c r="AX10" s="36">
        <f>(1+Inputs!$C$13)^((AX$4-1)/12)</f>
        <v/>
      </c>
      <c r="AY10" s="36">
        <f>(1+Inputs!$C$13)^((AY$4-1)/12)</f>
        <v/>
      </c>
      <c r="AZ10" s="36">
        <f>(1+Inputs!$C$13)^((AZ$4-1)/12)</f>
        <v/>
      </c>
      <c r="BA10" s="36">
        <f>(1+Inputs!$C$13)^((BA$4-1)/12)</f>
        <v/>
      </c>
      <c r="BB10" s="36">
        <f>(1+Inputs!$C$13)^((BB$4-1)/12)</f>
        <v/>
      </c>
      <c r="BC10" s="36">
        <f>(1+Inputs!$C$13)^((BC$4-1)/12)</f>
        <v/>
      </c>
      <c r="BD10" s="36">
        <f>(1+Inputs!$C$13)^((BD$4-1)/12)</f>
        <v/>
      </c>
      <c r="BE10" s="36">
        <f>(1+Inputs!$C$13)^((BE$4-1)/12)</f>
        <v/>
      </c>
      <c r="BF10" s="36">
        <f>(1+Inputs!$C$13)^((BF$4-1)/12)</f>
        <v/>
      </c>
      <c r="BG10" s="36">
        <f>(1+Inputs!$C$13)^((BG$4-1)/12)</f>
        <v/>
      </c>
      <c r="BH10" s="36">
        <f>(1+Inputs!$C$13)^((BH$4-1)/12)</f>
        <v/>
      </c>
      <c r="BI10" s="36">
        <f>(1+Inputs!$C$13)^((BI$4-1)/12)</f>
        <v/>
      </c>
      <c r="BJ10" s="36">
        <f>(1+Inputs!$C$13)^((BJ$4-1)/12)</f>
        <v/>
      </c>
      <c r="BK10" s="36">
        <f>(1+Inputs!$C$13)^((BK$4-1)/12)</f>
        <v/>
      </c>
      <c r="BL10" s="36">
        <f>(1+Inputs!$C$13)^((BL$4-1)/12)</f>
        <v/>
      </c>
    </row>
    <row r="11">
      <c r="A11" s="44" t="inlineStr">
        <is>
          <t>Total units sold (scenario)</t>
        </is>
      </c>
      <c r="B11" s="13" t="inlineStr">
        <is>
          <t>units</t>
        </is>
      </c>
      <c r="C11" s="45">
        <f>SUM(E11:BL11)</f>
        <v/>
      </c>
      <c r="E11" s="25">
        <f>CHOOSE(E$6,Inputs!$C$16,Inputs!$C$17,Inputs!$C$18,Inputs!$C$19,Inputs!$C$20)/12*Scenarios!$G$8</f>
        <v/>
      </c>
      <c r="F11" s="25">
        <f>CHOOSE(F$6,Inputs!$C$16,Inputs!$C$17,Inputs!$C$18,Inputs!$C$19,Inputs!$C$20)/12*Scenarios!$G$8</f>
        <v/>
      </c>
      <c r="G11" s="25">
        <f>CHOOSE(G$6,Inputs!$C$16,Inputs!$C$17,Inputs!$C$18,Inputs!$C$19,Inputs!$C$20)/12*Scenarios!$G$8</f>
        <v/>
      </c>
      <c r="H11" s="25">
        <f>CHOOSE(H$6,Inputs!$C$16,Inputs!$C$17,Inputs!$C$18,Inputs!$C$19,Inputs!$C$20)/12*Scenarios!$G$8</f>
        <v/>
      </c>
      <c r="I11" s="25">
        <f>CHOOSE(I$6,Inputs!$C$16,Inputs!$C$17,Inputs!$C$18,Inputs!$C$19,Inputs!$C$20)/12*Scenarios!$G$8</f>
        <v/>
      </c>
      <c r="J11" s="25">
        <f>CHOOSE(J$6,Inputs!$C$16,Inputs!$C$17,Inputs!$C$18,Inputs!$C$19,Inputs!$C$20)/12*Scenarios!$G$8</f>
        <v/>
      </c>
      <c r="K11" s="25">
        <f>CHOOSE(K$6,Inputs!$C$16,Inputs!$C$17,Inputs!$C$18,Inputs!$C$19,Inputs!$C$20)/12*Scenarios!$G$8</f>
        <v/>
      </c>
      <c r="L11" s="25">
        <f>CHOOSE(L$6,Inputs!$C$16,Inputs!$C$17,Inputs!$C$18,Inputs!$C$19,Inputs!$C$20)/12*Scenarios!$G$8</f>
        <v/>
      </c>
      <c r="M11" s="25">
        <f>CHOOSE(M$6,Inputs!$C$16,Inputs!$C$17,Inputs!$C$18,Inputs!$C$19,Inputs!$C$20)/12*Scenarios!$G$8</f>
        <v/>
      </c>
      <c r="N11" s="25">
        <f>CHOOSE(N$6,Inputs!$C$16,Inputs!$C$17,Inputs!$C$18,Inputs!$C$19,Inputs!$C$20)/12*Scenarios!$G$8</f>
        <v/>
      </c>
      <c r="O11" s="25">
        <f>CHOOSE(O$6,Inputs!$C$16,Inputs!$C$17,Inputs!$C$18,Inputs!$C$19,Inputs!$C$20)/12*Scenarios!$G$8</f>
        <v/>
      </c>
      <c r="P11" s="25">
        <f>CHOOSE(P$6,Inputs!$C$16,Inputs!$C$17,Inputs!$C$18,Inputs!$C$19,Inputs!$C$20)/12*Scenarios!$G$8</f>
        <v/>
      </c>
      <c r="Q11" s="25">
        <f>CHOOSE(Q$6,Inputs!$C$16,Inputs!$C$17,Inputs!$C$18,Inputs!$C$19,Inputs!$C$20)/12*Scenarios!$G$8</f>
        <v/>
      </c>
      <c r="R11" s="25">
        <f>CHOOSE(R$6,Inputs!$C$16,Inputs!$C$17,Inputs!$C$18,Inputs!$C$19,Inputs!$C$20)/12*Scenarios!$G$8</f>
        <v/>
      </c>
      <c r="S11" s="25">
        <f>CHOOSE(S$6,Inputs!$C$16,Inputs!$C$17,Inputs!$C$18,Inputs!$C$19,Inputs!$C$20)/12*Scenarios!$G$8</f>
        <v/>
      </c>
      <c r="T11" s="25">
        <f>CHOOSE(T$6,Inputs!$C$16,Inputs!$C$17,Inputs!$C$18,Inputs!$C$19,Inputs!$C$20)/12*Scenarios!$G$8</f>
        <v/>
      </c>
      <c r="U11" s="25">
        <f>CHOOSE(U$6,Inputs!$C$16,Inputs!$C$17,Inputs!$C$18,Inputs!$C$19,Inputs!$C$20)/12*Scenarios!$G$8</f>
        <v/>
      </c>
      <c r="V11" s="25">
        <f>CHOOSE(V$6,Inputs!$C$16,Inputs!$C$17,Inputs!$C$18,Inputs!$C$19,Inputs!$C$20)/12*Scenarios!$G$8</f>
        <v/>
      </c>
      <c r="W11" s="25">
        <f>CHOOSE(W$6,Inputs!$C$16,Inputs!$C$17,Inputs!$C$18,Inputs!$C$19,Inputs!$C$20)/12*Scenarios!$G$8</f>
        <v/>
      </c>
      <c r="X11" s="25">
        <f>CHOOSE(X$6,Inputs!$C$16,Inputs!$C$17,Inputs!$C$18,Inputs!$C$19,Inputs!$C$20)/12*Scenarios!$G$8</f>
        <v/>
      </c>
      <c r="Y11" s="25">
        <f>CHOOSE(Y$6,Inputs!$C$16,Inputs!$C$17,Inputs!$C$18,Inputs!$C$19,Inputs!$C$20)/12*Scenarios!$G$8</f>
        <v/>
      </c>
      <c r="Z11" s="25">
        <f>CHOOSE(Z$6,Inputs!$C$16,Inputs!$C$17,Inputs!$C$18,Inputs!$C$19,Inputs!$C$20)/12*Scenarios!$G$8</f>
        <v/>
      </c>
      <c r="AA11" s="25">
        <f>CHOOSE(AA$6,Inputs!$C$16,Inputs!$C$17,Inputs!$C$18,Inputs!$C$19,Inputs!$C$20)/12*Scenarios!$G$8</f>
        <v/>
      </c>
      <c r="AB11" s="25">
        <f>CHOOSE(AB$6,Inputs!$C$16,Inputs!$C$17,Inputs!$C$18,Inputs!$C$19,Inputs!$C$20)/12*Scenarios!$G$8</f>
        <v/>
      </c>
      <c r="AC11" s="25">
        <f>CHOOSE(AC$6,Inputs!$C$16,Inputs!$C$17,Inputs!$C$18,Inputs!$C$19,Inputs!$C$20)/12*Scenarios!$G$8</f>
        <v/>
      </c>
      <c r="AD11" s="25">
        <f>CHOOSE(AD$6,Inputs!$C$16,Inputs!$C$17,Inputs!$C$18,Inputs!$C$19,Inputs!$C$20)/12*Scenarios!$G$8</f>
        <v/>
      </c>
      <c r="AE11" s="25">
        <f>CHOOSE(AE$6,Inputs!$C$16,Inputs!$C$17,Inputs!$C$18,Inputs!$C$19,Inputs!$C$20)/12*Scenarios!$G$8</f>
        <v/>
      </c>
      <c r="AF11" s="25">
        <f>CHOOSE(AF$6,Inputs!$C$16,Inputs!$C$17,Inputs!$C$18,Inputs!$C$19,Inputs!$C$20)/12*Scenarios!$G$8</f>
        <v/>
      </c>
      <c r="AG11" s="25">
        <f>CHOOSE(AG$6,Inputs!$C$16,Inputs!$C$17,Inputs!$C$18,Inputs!$C$19,Inputs!$C$20)/12*Scenarios!$G$8</f>
        <v/>
      </c>
      <c r="AH11" s="25">
        <f>CHOOSE(AH$6,Inputs!$C$16,Inputs!$C$17,Inputs!$C$18,Inputs!$C$19,Inputs!$C$20)/12*Scenarios!$G$8</f>
        <v/>
      </c>
      <c r="AI11" s="25">
        <f>CHOOSE(AI$6,Inputs!$C$16,Inputs!$C$17,Inputs!$C$18,Inputs!$C$19,Inputs!$C$20)/12*Scenarios!$G$8</f>
        <v/>
      </c>
      <c r="AJ11" s="25">
        <f>CHOOSE(AJ$6,Inputs!$C$16,Inputs!$C$17,Inputs!$C$18,Inputs!$C$19,Inputs!$C$20)/12*Scenarios!$G$8</f>
        <v/>
      </c>
      <c r="AK11" s="25">
        <f>CHOOSE(AK$6,Inputs!$C$16,Inputs!$C$17,Inputs!$C$18,Inputs!$C$19,Inputs!$C$20)/12*Scenarios!$G$8</f>
        <v/>
      </c>
      <c r="AL11" s="25">
        <f>CHOOSE(AL$6,Inputs!$C$16,Inputs!$C$17,Inputs!$C$18,Inputs!$C$19,Inputs!$C$20)/12*Scenarios!$G$8</f>
        <v/>
      </c>
      <c r="AM11" s="25">
        <f>CHOOSE(AM$6,Inputs!$C$16,Inputs!$C$17,Inputs!$C$18,Inputs!$C$19,Inputs!$C$20)/12*Scenarios!$G$8</f>
        <v/>
      </c>
      <c r="AN11" s="25">
        <f>CHOOSE(AN$6,Inputs!$C$16,Inputs!$C$17,Inputs!$C$18,Inputs!$C$19,Inputs!$C$20)/12*Scenarios!$G$8</f>
        <v/>
      </c>
      <c r="AO11" s="25">
        <f>CHOOSE(AO$6,Inputs!$C$16,Inputs!$C$17,Inputs!$C$18,Inputs!$C$19,Inputs!$C$20)/12*Scenarios!$G$8</f>
        <v/>
      </c>
      <c r="AP11" s="25">
        <f>CHOOSE(AP$6,Inputs!$C$16,Inputs!$C$17,Inputs!$C$18,Inputs!$C$19,Inputs!$C$20)/12*Scenarios!$G$8</f>
        <v/>
      </c>
      <c r="AQ11" s="25">
        <f>CHOOSE(AQ$6,Inputs!$C$16,Inputs!$C$17,Inputs!$C$18,Inputs!$C$19,Inputs!$C$20)/12*Scenarios!$G$8</f>
        <v/>
      </c>
      <c r="AR11" s="25">
        <f>CHOOSE(AR$6,Inputs!$C$16,Inputs!$C$17,Inputs!$C$18,Inputs!$C$19,Inputs!$C$20)/12*Scenarios!$G$8</f>
        <v/>
      </c>
      <c r="AS11" s="25">
        <f>CHOOSE(AS$6,Inputs!$C$16,Inputs!$C$17,Inputs!$C$18,Inputs!$C$19,Inputs!$C$20)/12*Scenarios!$G$8</f>
        <v/>
      </c>
      <c r="AT11" s="25">
        <f>CHOOSE(AT$6,Inputs!$C$16,Inputs!$C$17,Inputs!$C$18,Inputs!$C$19,Inputs!$C$20)/12*Scenarios!$G$8</f>
        <v/>
      </c>
      <c r="AU11" s="25">
        <f>CHOOSE(AU$6,Inputs!$C$16,Inputs!$C$17,Inputs!$C$18,Inputs!$C$19,Inputs!$C$20)/12*Scenarios!$G$8</f>
        <v/>
      </c>
      <c r="AV11" s="25">
        <f>CHOOSE(AV$6,Inputs!$C$16,Inputs!$C$17,Inputs!$C$18,Inputs!$C$19,Inputs!$C$20)/12*Scenarios!$G$8</f>
        <v/>
      </c>
      <c r="AW11" s="25">
        <f>CHOOSE(AW$6,Inputs!$C$16,Inputs!$C$17,Inputs!$C$18,Inputs!$C$19,Inputs!$C$20)/12*Scenarios!$G$8</f>
        <v/>
      </c>
      <c r="AX11" s="25">
        <f>CHOOSE(AX$6,Inputs!$C$16,Inputs!$C$17,Inputs!$C$18,Inputs!$C$19,Inputs!$C$20)/12*Scenarios!$G$8</f>
        <v/>
      </c>
      <c r="AY11" s="25">
        <f>CHOOSE(AY$6,Inputs!$C$16,Inputs!$C$17,Inputs!$C$18,Inputs!$C$19,Inputs!$C$20)/12*Scenarios!$G$8</f>
        <v/>
      </c>
      <c r="AZ11" s="25">
        <f>CHOOSE(AZ$6,Inputs!$C$16,Inputs!$C$17,Inputs!$C$18,Inputs!$C$19,Inputs!$C$20)/12*Scenarios!$G$8</f>
        <v/>
      </c>
      <c r="BA11" s="25">
        <f>CHOOSE(BA$6,Inputs!$C$16,Inputs!$C$17,Inputs!$C$18,Inputs!$C$19,Inputs!$C$20)/12*Scenarios!$G$8</f>
        <v/>
      </c>
      <c r="BB11" s="25">
        <f>CHOOSE(BB$6,Inputs!$C$16,Inputs!$C$17,Inputs!$C$18,Inputs!$C$19,Inputs!$C$20)/12*Scenarios!$G$8</f>
        <v/>
      </c>
      <c r="BC11" s="25">
        <f>CHOOSE(BC$6,Inputs!$C$16,Inputs!$C$17,Inputs!$C$18,Inputs!$C$19,Inputs!$C$20)/12*Scenarios!$G$8</f>
        <v/>
      </c>
      <c r="BD11" s="25">
        <f>CHOOSE(BD$6,Inputs!$C$16,Inputs!$C$17,Inputs!$C$18,Inputs!$C$19,Inputs!$C$20)/12*Scenarios!$G$8</f>
        <v/>
      </c>
      <c r="BE11" s="25">
        <f>CHOOSE(BE$6,Inputs!$C$16,Inputs!$C$17,Inputs!$C$18,Inputs!$C$19,Inputs!$C$20)/12*Scenarios!$G$8</f>
        <v/>
      </c>
      <c r="BF11" s="25">
        <f>CHOOSE(BF$6,Inputs!$C$16,Inputs!$C$17,Inputs!$C$18,Inputs!$C$19,Inputs!$C$20)/12*Scenarios!$G$8</f>
        <v/>
      </c>
      <c r="BG11" s="25">
        <f>CHOOSE(BG$6,Inputs!$C$16,Inputs!$C$17,Inputs!$C$18,Inputs!$C$19,Inputs!$C$20)/12*Scenarios!$G$8</f>
        <v/>
      </c>
      <c r="BH11" s="25">
        <f>CHOOSE(BH$6,Inputs!$C$16,Inputs!$C$17,Inputs!$C$18,Inputs!$C$19,Inputs!$C$20)/12*Scenarios!$G$8</f>
        <v/>
      </c>
      <c r="BI11" s="25">
        <f>CHOOSE(BI$6,Inputs!$C$16,Inputs!$C$17,Inputs!$C$18,Inputs!$C$19,Inputs!$C$20)/12*Scenarios!$G$8</f>
        <v/>
      </c>
      <c r="BJ11" s="25">
        <f>CHOOSE(BJ$6,Inputs!$C$16,Inputs!$C$17,Inputs!$C$18,Inputs!$C$19,Inputs!$C$20)/12*Scenarios!$G$8</f>
        <v/>
      </c>
      <c r="BK11" s="25">
        <f>CHOOSE(BK$6,Inputs!$C$16,Inputs!$C$17,Inputs!$C$18,Inputs!$C$19,Inputs!$C$20)/12*Scenarios!$G$8</f>
        <v/>
      </c>
      <c r="BL11" s="25">
        <f>CHOOSE(BL$6,Inputs!$C$16,Inputs!$C$17,Inputs!$C$18,Inputs!$C$19,Inputs!$C$20)/12*Scenarios!$G$8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F0000"/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6" customWidth="1" min="3" max="3"/>
  </cols>
  <sheetData>
    <row r="1">
      <c r="A1" s="1" t="inlineStr">
        <is>
          <t>Integrity checks</t>
        </is>
      </c>
    </row>
    <row r="2">
      <c r="A2" s="2" t="inlineStr">
        <is>
          <t>Each check returns 0 when OK. Master check feeds the Cover.</t>
        </is>
      </c>
    </row>
    <row r="3"/>
    <row r="4">
      <c r="A4" s="24" t="inlineStr">
        <is>
          <t>Check</t>
        </is>
      </c>
      <c r="B4" s="24" t="inlineStr">
        <is>
          <t>Unit</t>
        </is>
      </c>
      <c r="C4" s="24" t="inlineStr">
        <is>
          <t>Result (0 = OK)</t>
        </is>
      </c>
    </row>
    <row r="5">
      <c r="A5" s="4" t="inlineStr">
        <is>
          <t>Balance sheet balances (max abs difference, all months)</t>
        </is>
      </c>
      <c r="B5" s="4" t="inlineStr">
        <is>
          <t>flag</t>
        </is>
      </c>
      <c r="C5" s="25">
        <f>MAX(MAX(FS!$E$44:$BL$44),-MIN(FS!$E$44:$BL$44))</f>
        <v/>
      </c>
    </row>
    <row r="6">
      <c r="A6" s="4" t="inlineStr">
        <is>
          <t>Sales mix sums to 100%</t>
        </is>
      </c>
      <c r="B6" s="4" t="inlineStr">
        <is>
          <t>flag</t>
        </is>
      </c>
      <c r="C6" s="25">
        <f>IF(ABS(SUM(Products!$C$13:$E$13)-1)&gt;0.0001,1,0)</f>
        <v/>
      </c>
    </row>
    <row r="7">
      <c r="A7" s="4" t="inlineStr">
        <is>
          <t>Closing cash never below minimum cash</t>
        </is>
      </c>
      <c r="B7" s="4" t="inlineStr">
        <is>
          <t>flag</t>
        </is>
      </c>
      <c r="C7" s="25">
        <f>IF(MIN(FS!$E$60:$BL$60)&lt;Inputs!$C$35-1,1,0)</f>
        <v/>
      </c>
    </row>
    <row r="8">
      <c r="A8" s="4" t="inlineStr">
        <is>
          <t>Gross receivables never negative</t>
        </is>
      </c>
      <c r="B8" s="4" t="inlineStr">
        <is>
          <t>flag</t>
        </is>
      </c>
      <c r="C8" s="25">
        <f>IF(MIN(FS!$E$30:$BL$30)&lt;-1,1,0)</f>
        <v/>
      </c>
    </row>
    <row r="9">
      <c r="A9" s="4" t="inlineStr">
        <is>
          <t>Loss allowance never positive (contra-asset)</t>
        </is>
      </c>
      <c r="B9" s="4" t="inlineStr">
        <is>
          <t>flag</t>
        </is>
      </c>
      <c r="C9" s="25">
        <f>IF(MAX(FS!$E$31:$BL$31)&gt;1,1,0)</f>
        <v/>
      </c>
    </row>
    <row r="10">
      <c r="A10" s="4" t="inlineStr">
        <is>
          <t>Facility within limit</t>
        </is>
      </c>
      <c r="B10" s="4" t="inlineStr">
        <is>
          <t>flag</t>
        </is>
      </c>
      <c r="C10" s="25">
        <f>IF(MAX(Financing!$E$24:$BL$24)&gt;Inputs!$C$44+1,1,0)</f>
        <v/>
      </c>
    </row>
    <row r="11">
      <c r="A11" s="4" t="inlineStr">
        <is>
          <t>Cash flow ties to balance-sheet cash</t>
        </is>
      </c>
      <c r="B11" s="4" t="inlineStr">
        <is>
          <t>flag</t>
        </is>
      </c>
      <c r="C11" s="25">
        <f>IF(ABS(FS!BL29-FS!BL60)&gt;1,1,0)</f>
        <v/>
      </c>
    </row>
    <row r="12">
      <c r="A12" s="4" t="inlineStr">
        <is>
          <t>Tenors within model limit (&lt;= 60 months)</t>
        </is>
      </c>
      <c r="B12" s="4" t="inlineStr">
        <is>
          <t>flag</t>
        </is>
      </c>
      <c r="C12" s="25">
        <f>IF(MAX(Products!$C$9:$E$9)&gt;60,1,0)</f>
        <v/>
      </c>
    </row>
    <row r="13">
      <c r="A13" s="4" t="inlineStr">
        <is>
          <t>Scenario selector valid (1-3)</t>
        </is>
      </c>
      <c r="B13" s="4" t="inlineStr">
        <is>
          <t>flag</t>
        </is>
      </c>
      <c r="C13" s="25">
        <f>IF(OR(Inputs!$C$5&lt;1,Inputs!$C$5&gt;3),1,0)</f>
        <v/>
      </c>
    </row>
    <row r="14"/>
    <row r="15">
      <c r="A15" s="3" t="inlineStr">
        <is>
          <t>MASTER CHECK</t>
        </is>
      </c>
      <c r="C15" s="29">
        <f>IF(SUM(C5:C13)=0,"OK","ERROR")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Africa Energy Finance</dc:creator>
  <dc:title>AEF Volume 2 - SHS PAYGo Company Financial Model</dc:title>
  <dcterms:created xsi:type="dcterms:W3CDTF">2026-10-02T16:22:23Z</dcterms:created>
  <dcterms:modified xsi:type="dcterms:W3CDTF">2026-10-02T16:22:24Z</dcterms:modified>
</cp:coreProperties>
</file>